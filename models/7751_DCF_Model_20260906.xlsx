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29FCB493-ED8C-4FED-AB13-66796FCF51D8}"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I6" i="7" s="1"/>
  <c r="O10" i="6"/>
  <c r="N10" i="6"/>
  <c r="M10" i="6"/>
  <c r="L10" i="6"/>
  <c r="K10" i="6"/>
  <c r="J10" i="6"/>
  <c r="O9" i="6"/>
  <c r="N9" i="6"/>
  <c r="M9" i="6"/>
  <c r="L9" i="6"/>
  <c r="K9" i="6"/>
  <c r="J9" i="6"/>
  <c r="O8" i="6"/>
  <c r="N8" i="6"/>
  <c r="M8" i="6"/>
  <c r="L8" i="6"/>
  <c r="K8" i="6"/>
  <c r="J8" i="6"/>
  <c r="O7" i="6"/>
  <c r="N7" i="6"/>
  <c r="M7" i="6"/>
  <c r="L7" i="6"/>
  <c r="F15" i="6" s="1"/>
  <c r="K7" i="6"/>
  <c r="J7" i="6"/>
  <c r="O6" i="6"/>
  <c r="N6" i="6"/>
  <c r="M6" i="6"/>
  <c r="L6" i="6"/>
  <c r="K6" i="6"/>
  <c r="J6" i="6"/>
  <c r="D17" i="6" s="1"/>
  <c r="O5" i="6"/>
  <c r="N5" i="6"/>
  <c r="D5" i="6"/>
  <c r="E5" i="6" s="1"/>
  <c r="J5" i="6" s="1"/>
  <c r="C16" i="5"/>
  <c r="C14" i="5"/>
  <c r="C18" i="5" s="1"/>
  <c r="C7" i="5"/>
  <c r="C6" i="5"/>
  <c r="C5" i="5"/>
  <c r="C13" i="4"/>
  <c r="C12" i="4"/>
  <c r="C9" i="4"/>
  <c r="C7" i="4"/>
  <c r="C6" i="4"/>
  <c r="D27" i="3"/>
  <c r="G5" i="5" s="1"/>
  <c r="C25" i="3"/>
  <c r="C24" i="3"/>
  <c r="C23" i="3"/>
  <c r="C26" i="3" s="1"/>
  <c r="F28" i="2"/>
  <c r="E28" i="2"/>
  <c r="D28" i="2"/>
  <c r="C28" i="2"/>
  <c r="F16" i="2"/>
  <c r="E16" i="2"/>
  <c r="D16" i="2"/>
  <c r="F15" i="2"/>
  <c r="E15" i="2"/>
  <c r="D15" i="2"/>
  <c r="F14" i="2"/>
  <c r="E14" i="2"/>
  <c r="D14" i="2"/>
  <c r="C14" i="2"/>
  <c r="F13" i="2"/>
  <c r="E13" i="2"/>
  <c r="D13" i="2"/>
  <c r="C13" i="2"/>
  <c r="E9" i="2"/>
  <c r="F8" i="2"/>
  <c r="F9" i="2" s="1"/>
  <c r="E8" i="2"/>
  <c r="D8" i="2"/>
  <c r="D9" i="2" s="1"/>
  <c r="C8" i="2"/>
  <c r="C9" i="2" s="1"/>
  <c r="C30" i="3" l="1"/>
  <c r="C33" i="3" s="1"/>
  <c r="D33" i="3" s="1"/>
  <c r="E9" i="5" s="1"/>
  <c r="I15" i="6"/>
  <c r="F17" i="6"/>
  <c r="D30" i="3"/>
  <c r="F31" i="3"/>
  <c r="D16" i="6"/>
  <c r="C27" i="6" s="1"/>
  <c r="C18" i="1" s="1"/>
  <c r="D18" i="1" s="1"/>
  <c r="C8" i="4"/>
  <c r="C10" i="4" s="1"/>
  <c r="M5" i="6"/>
  <c r="E17" i="6"/>
  <c r="L5" i="6"/>
  <c r="D7" i="5"/>
  <c r="H5" i="5"/>
  <c r="K5" i="6"/>
  <c r="G31" i="3"/>
  <c r="E7" i="5"/>
  <c r="C3" i="7"/>
  <c r="G36" i="4"/>
  <c r="C11" i="4"/>
  <c r="G46" i="3"/>
  <c r="F36" i="4"/>
  <c r="F46" i="3"/>
  <c r="E46" i="3"/>
  <c r="E36" i="4"/>
  <c r="D36" i="4"/>
  <c r="D46" i="3"/>
  <c r="C46" i="3"/>
  <c r="E15" i="6"/>
  <c r="H6" i="7"/>
  <c r="G6" i="7"/>
  <c r="F6" i="7"/>
  <c r="E6" i="7"/>
  <c r="D6" i="7"/>
  <c r="C6" i="7"/>
  <c r="H36" i="4"/>
  <c r="I16" i="6"/>
  <c r="E16" i="6"/>
  <c r="G15" i="6"/>
  <c r="G16" i="6"/>
  <c r="G17" i="6"/>
  <c r="C24" i="4"/>
  <c r="C25" i="4" s="1"/>
  <c r="C71" i="4"/>
  <c r="C70" i="4"/>
  <c r="H15" i="6"/>
  <c r="H16" i="6"/>
  <c r="H17" i="6"/>
  <c r="E30" i="3"/>
  <c r="D6" i="5"/>
  <c r="D32" i="3"/>
  <c r="E6" i="5"/>
  <c r="G7" i="5"/>
  <c r="D15" i="6"/>
  <c r="F16" i="6"/>
  <c r="C28" i="6" s="1"/>
  <c r="C19" i="1" s="1"/>
  <c r="D19" i="1" s="1"/>
  <c r="E17" i="7"/>
  <c r="C32" i="3"/>
  <c r="F7" i="5"/>
  <c r="D17" i="7"/>
  <c r="F30" i="3"/>
  <c r="G30" i="3"/>
  <c r="E32" i="3"/>
  <c r="D5" i="5"/>
  <c r="F6" i="5"/>
  <c r="H7" i="5"/>
  <c r="I17" i="6"/>
  <c r="F17" i="7"/>
  <c r="E5" i="5"/>
  <c r="G6" i="5"/>
  <c r="G17" i="7"/>
  <c r="C17" i="7"/>
  <c r="C31" i="3"/>
  <c r="F32" i="3"/>
  <c r="D31" i="3"/>
  <c r="G32" i="3"/>
  <c r="F5" i="5"/>
  <c r="H6" i="5"/>
  <c r="H17" i="7"/>
  <c r="E31" i="3"/>
  <c r="D34" i="3" l="1"/>
  <c r="C42" i="3"/>
  <c r="E33" i="3"/>
  <c r="F9" i="5" s="1"/>
  <c r="F12" i="5" s="1"/>
  <c r="D42" i="3"/>
  <c r="C37" i="3"/>
  <c r="D9" i="5"/>
  <c r="D12" i="5" s="1"/>
  <c r="D37" i="3"/>
  <c r="C34" i="3"/>
  <c r="D10" i="5" s="1"/>
  <c r="C74" i="4"/>
  <c r="E42" i="3"/>
  <c r="E34" i="3"/>
  <c r="F10" i="5" s="1"/>
  <c r="E37" i="3"/>
  <c r="F33" i="3"/>
  <c r="E35" i="3"/>
  <c r="E10" i="5"/>
  <c r="D35" i="3"/>
  <c r="B12" i="7"/>
  <c r="B9" i="7"/>
  <c r="B11" i="7"/>
  <c r="B7" i="7"/>
  <c r="B13" i="7"/>
  <c r="B10" i="7"/>
  <c r="B8" i="7"/>
  <c r="B23" i="7"/>
  <c r="B22" i="7"/>
  <c r="B21" i="7"/>
  <c r="B18" i="7"/>
  <c r="B20" i="7"/>
  <c r="B19" i="7"/>
  <c r="B24" i="7"/>
  <c r="E39" i="4"/>
  <c r="E43" i="4"/>
  <c r="E46" i="4"/>
  <c r="E40" i="4"/>
  <c r="E44" i="4"/>
  <c r="E38" i="4"/>
  <c r="E48" i="4" s="1"/>
  <c r="E53" i="4" s="1"/>
  <c r="E45" i="4"/>
  <c r="E41" i="4"/>
  <c r="E12" i="5"/>
  <c r="F43" i="4"/>
  <c r="F46" i="4"/>
  <c r="F40" i="4"/>
  <c r="F44" i="4"/>
  <c r="F38" i="4"/>
  <c r="F48" i="4" s="1"/>
  <c r="F53" i="4" s="1"/>
  <c r="F41" i="4"/>
  <c r="F51" i="4" s="1"/>
  <c r="F56" i="4" s="1"/>
  <c r="F39" i="4"/>
  <c r="F45" i="4"/>
  <c r="C29" i="4"/>
  <c r="C27" i="4"/>
  <c r="C26" i="4"/>
  <c r="H40" i="4"/>
  <c r="H44" i="4"/>
  <c r="H39" i="4"/>
  <c r="H49" i="4" s="1"/>
  <c r="H54" i="4" s="1"/>
  <c r="H38" i="4"/>
  <c r="H41" i="4"/>
  <c r="H45" i="4"/>
  <c r="H46" i="4"/>
  <c r="H43" i="4"/>
  <c r="G46" i="4"/>
  <c r="G40" i="4"/>
  <c r="G50" i="4" s="1"/>
  <c r="G55" i="4" s="1"/>
  <c r="G44" i="4"/>
  <c r="G38" i="4"/>
  <c r="G41" i="4"/>
  <c r="G45" i="4"/>
  <c r="G43" i="4"/>
  <c r="G39" i="4"/>
  <c r="D45" i="4"/>
  <c r="D39" i="4"/>
  <c r="D49" i="4" s="1"/>
  <c r="D54" i="4" s="1"/>
  <c r="D43" i="4"/>
  <c r="D46" i="4"/>
  <c r="D44" i="4"/>
  <c r="D40" i="4"/>
  <c r="D38" i="4"/>
  <c r="D41" i="4"/>
  <c r="D51" i="4" s="1"/>
  <c r="D56" i="4" s="1"/>
  <c r="E50" i="4" l="1"/>
  <c r="E55" i="4" s="1"/>
  <c r="C35" i="3"/>
  <c r="D50" i="4"/>
  <c r="D55" i="4" s="1"/>
  <c r="G49" i="4"/>
  <c r="G54" i="4" s="1"/>
  <c r="E51" i="4"/>
  <c r="E56" i="4" s="1"/>
  <c r="H50" i="4"/>
  <c r="H55" i="4" s="1"/>
  <c r="D36" i="3"/>
  <c r="D39" i="3"/>
  <c r="D38" i="3"/>
  <c r="E13" i="5"/>
  <c r="E14" i="5" s="1"/>
  <c r="E15" i="5"/>
  <c r="E16" i="5" s="1"/>
  <c r="F50" i="4"/>
  <c r="F55" i="4" s="1"/>
  <c r="F42" i="3"/>
  <c r="F34" i="3"/>
  <c r="G10" i="5" s="1"/>
  <c r="F37" i="3"/>
  <c r="F35" i="3"/>
  <c r="G33" i="3"/>
  <c r="G9" i="5"/>
  <c r="G12" i="5" s="1"/>
  <c r="D48" i="4"/>
  <c r="D53" i="4" s="1"/>
  <c r="E39" i="3"/>
  <c r="E38" i="3"/>
  <c r="E36" i="3"/>
  <c r="G51" i="4"/>
  <c r="G56" i="4" s="1"/>
  <c r="H51" i="4"/>
  <c r="H56" i="4" s="1"/>
  <c r="G48" i="4"/>
  <c r="G53" i="4" s="1"/>
  <c r="H48" i="4"/>
  <c r="H53" i="4" s="1"/>
  <c r="F13" i="5"/>
  <c r="F14" i="5" s="1"/>
  <c r="F15" i="5"/>
  <c r="F16" i="5" s="1"/>
  <c r="E49" i="4"/>
  <c r="E54" i="4" s="1"/>
  <c r="C36" i="3"/>
  <c r="C39" i="3"/>
  <c r="C38" i="3"/>
  <c r="F49" i="4"/>
  <c r="D15" i="5"/>
  <c r="D16" i="5" s="1"/>
  <c r="D13" i="5"/>
  <c r="D14" i="5" s="1"/>
  <c r="D18" i="5" s="1"/>
  <c r="D19" i="5" s="1"/>
  <c r="C44" i="3" s="1"/>
  <c r="F18" i="5" l="1"/>
  <c r="F19" i="5" s="1"/>
  <c r="E44" i="3" s="1"/>
  <c r="E18" i="5"/>
  <c r="E19" i="5" s="1"/>
  <c r="D44" i="3" s="1"/>
  <c r="F38" i="3"/>
  <c r="F36" i="3"/>
  <c r="F39" i="3"/>
  <c r="D40" i="3"/>
  <c r="D41" i="3" s="1"/>
  <c r="D45" i="3" s="1"/>
  <c r="D47" i="3" s="1"/>
  <c r="E40" i="3"/>
  <c r="E41" i="3" s="1"/>
  <c r="E45" i="3" s="1"/>
  <c r="E47" i="3" s="1"/>
  <c r="G37" i="3"/>
  <c r="C16" i="4"/>
  <c r="C28" i="4" s="1"/>
  <c r="G42" i="3"/>
  <c r="C72" i="4" s="1"/>
  <c r="H9" i="5"/>
  <c r="H12" i="5" s="1"/>
  <c r="G34" i="3"/>
  <c r="H10" i="5" s="1"/>
  <c r="C40" i="3"/>
  <c r="C41" i="3" s="1"/>
  <c r="C45" i="3" s="1"/>
  <c r="G13" i="5"/>
  <c r="G14" i="5" s="1"/>
  <c r="G15" i="5"/>
  <c r="G16" i="5" s="1"/>
  <c r="F54" i="4"/>
  <c r="B78" i="4"/>
  <c r="C60" i="4"/>
  <c r="G18" i="5" l="1"/>
  <c r="G19" i="5" s="1"/>
  <c r="F44" i="3" s="1"/>
  <c r="C47" i="3"/>
  <c r="C65" i="4"/>
  <c r="D65" i="4" s="1"/>
  <c r="C64" i="4"/>
  <c r="D64" i="4" s="1"/>
  <c r="C67" i="4"/>
  <c r="D67" i="4" s="1"/>
  <c r="C63" i="4"/>
  <c r="D63" i="4" s="1"/>
  <c r="C66" i="4"/>
  <c r="D66" i="4" s="1"/>
  <c r="C73" i="4"/>
  <c r="H15" i="5"/>
  <c r="H16" i="5" s="1"/>
  <c r="H13" i="5"/>
  <c r="H14" i="5"/>
  <c r="F40" i="3"/>
  <c r="F41" i="3" s="1"/>
  <c r="F45" i="3" s="1"/>
  <c r="F47" i="3" s="1"/>
  <c r="G35" i="3"/>
  <c r="G38" i="3" l="1"/>
  <c r="G36" i="3"/>
  <c r="G39" i="3"/>
  <c r="H18" i="5"/>
  <c r="H19" i="5" s="1"/>
  <c r="G44" i="3" s="1"/>
  <c r="G40" i="3" l="1"/>
  <c r="G41" i="3" s="1"/>
  <c r="G45" i="3" s="1"/>
  <c r="C59" i="3"/>
  <c r="C60" i="3" s="1"/>
  <c r="C61" i="3" s="1"/>
  <c r="C51" i="3" l="1"/>
  <c r="C52" i="3" s="1"/>
  <c r="G47" i="3"/>
  <c r="C50" i="3" s="1"/>
  <c r="I24" i="7"/>
  <c r="C7" i="7"/>
  <c r="I23" i="7"/>
  <c r="H11" i="7"/>
  <c r="H21" i="7"/>
  <c r="G9" i="7"/>
  <c r="E7" i="7"/>
  <c r="D23" i="7"/>
  <c r="I18" i="7"/>
  <c r="F12" i="7"/>
  <c r="E21" i="7"/>
  <c r="G11" i="7"/>
  <c r="E9" i="7"/>
  <c r="C9" i="7"/>
  <c r="G10" i="7"/>
  <c r="F10" i="7"/>
  <c r="D7" i="7"/>
  <c r="F19" i="7"/>
  <c r="E18" i="7"/>
  <c r="G12" i="7"/>
  <c r="F22" i="7"/>
  <c r="D9" i="7"/>
  <c r="H23" i="7"/>
  <c r="F21" i="7"/>
  <c r="C8" i="7"/>
  <c r="G22" i="7"/>
  <c r="F20" i="7"/>
  <c r="C23" i="7"/>
  <c r="F9" i="7"/>
  <c r="C21" i="7"/>
  <c r="G24" i="7"/>
  <c r="C10" i="7"/>
  <c r="C11" i="7"/>
  <c r="H13" i="7"/>
  <c r="F11" i="7"/>
  <c r="E20" i="7"/>
  <c r="I8" i="7"/>
  <c r="H22" i="7"/>
  <c r="E8" i="7"/>
  <c r="I13" i="7"/>
  <c r="G21" i="7"/>
  <c r="I12" i="7"/>
  <c r="H24" i="7"/>
  <c r="E10" i="7"/>
  <c r="I7" i="7"/>
  <c r="G23" i="7"/>
  <c r="D8" i="7"/>
  <c r="H12" i="7"/>
  <c r="E19" i="7"/>
  <c r="C24" i="7"/>
  <c r="I9" i="7"/>
  <c r="G13" i="7"/>
  <c r="E12" i="7"/>
  <c r="F7" i="7"/>
  <c r="G20" i="7"/>
  <c r="D22" i="7"/>
  <c r="D20" i="7"/>
  <c r="E11" i="7"/>
  <c r="H9" i="7"/>
  <c r="F23" i="7"/>
  <c r="D24" i="7"/>
  <c r="D21" i="7"/>
  <c r="C20" i="7"/>
  <c r="D10" i="7"/>
  <c r="H7" i="7"/>
  <c r="F24" i="7"/>
  <c r="G19" i="7"/>
  <c r="C19" i="7"/>
  <c r="G8" i="7"/>
  <c r="H20" i="7"/>
  <c r="H10" i="7"/>
  <c r="H18" i="7"/>
  <c r="I22" i="7"/>
  <c r="E24" i="7"/>
  <c r="E23" i="7"/>
  <c r="C13" i="7"/>
  <c r="F8" i="7"/>
  <c r="E22" i="7"/>
  <c r="I19" i="7"/>
  <c r="G18" i="7"/>
  <c r="I11" i="7"/>
  <c r="G7" i="7"/>
  <c r="D13" i="7"/>
  <c r="D12" i="7"/>
  <c r="H8" i="7"/>
  <c r="F13" i="7"/>
  <c r="D19" i="7"/>
  <c r="C12" i="7"/>
  <c r="I10" i="7"/>
  <c r="C22" i="7"/>
  <c r="H19" i="7"/>
  <c r="D18" i="7"/>
  <c r="C18" i="7"/>
  <c r="D11" i="7"/>
  <c r="I21" i="7"/>
  <c r="I20" i="7"/>
  <c r="F18" i="7"/>
  <c r="E13" i="7"/>
  <c r="C58" i="3" l="1"/>
  <c r="C62" i="3" s="1"/>
  <c r="C53" i="3"/>
  <c r="C17" i="4" l="1"/>
  <c r="C54" i="3"/>
  <c r="C55" i="3" s="1"/>
  <c r="C16" i="1" s="1"/>
  <c r="C63" i="3"/>
  <c r="C64" i="3" s="1"/>
  <c r="C17" i="1" s="1"/>
  <c r="D17" i="1" s="1"/>
  <c r="C10" i="1" l="1"/>
  <c r="C12" i="1" s="1"/>
  <c r="C11" i="1" s="1"/>
  <c r="C21" i="1"/>
  <c r="D16" i="1"/>
  <c r="C19" i="4"/>
  <c r="C20" i="4" s="1"/>
  <c r="B79" i="4"/>
</calcChain>
</file>

<file path=xl/sharedStrings.xml><?xml version="1.0" encoding="utf-8"?>
<sst xmlns="http://schemas.openxmlformats.org/spreadsheetml/2006/main" count="445" uniqueCount="359">
  <si>
    <t>DISCLAIMER: This is a sample analysis for demonstration purposes only. It does not constitute investment advice.</t>
  </si>
  <si>
    <t>キヤノン (7751.T)</t>
  </si>
  <si>
    <t>Equity Research Report</t>
  </si>
  <si>
    <t>Company</t>
  </si>
  <si>
    <t>キヤノン</t>
  </si>
  <si>
    <t>Ticker</t>
  </si>
  <si>
    <t>7751.T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</si>
  <si>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</si>
  <si>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</si>
  <si>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</si>
  <si>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</si>
  <si>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</si>
  <si>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</si>
  <si>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</si>
  <si>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</si>
  <si>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</si>
  <si>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</si>
  <si>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</si>
  <si>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</si>
  <si>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</si>
  <si>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</si>
  <si>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</si>
  <si>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</si>
  <si>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</si>
  <si>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</si>
  <si>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</si>
  <si>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</si>
  <si>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</si>
  <si>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</si>
  <si>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</si>
  <si>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</si>
  <si>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キヤノン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</si>
  <si>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</si>
  <si>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</si>
  <si>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</si>
  <si>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</si>
  <si>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</si>
  <si>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</si>
  <si>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</si>
  <si>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</si>
  <si>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</si>
  <si>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</si>
  <si>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</si>
  <si>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</si>
  <si>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</si>
  <si>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</si>
  <si>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</si>
  <si>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</si>
  <si>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</si>
  <si>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</si>
  <si>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</si>
  <si>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</si>
  <si>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</si>
  <si>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</si>
  <si>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</si>
  <si>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</si>
  <si>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</si>
  <si>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</si>
  <si>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</si>
  <si>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0/4, Cash 4/4, Debt 4/4 — blank cells are years with no year-key match in the source data (verify against 決算短信 or set hist_ocf / hist_cash / hist_debt in overrides).</t>
  </si>
  <si>
    <t>DCF Valuation Model - キヤノン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</si>
  <si>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</si>
  <si>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</si>
  <si>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</si>
  <si>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</si>
  <si>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</si>
  <si>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</si>
  <si>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</si>
  <si>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</si>
  <si>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</si>
  <si>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</si>
  <si>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</si>
  <si>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</si>
  <si>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</si>
  <si>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</si>
  <si>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</si>
  <si>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</si>
  <si>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</si>
  <si>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</si>
  <si>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</si>
  <si>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</si>
  <si>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</si>
  <si>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</si>
  <si>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</si>
  <si>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</si>
  <si>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</si>
  <si>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</si>
  <si>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</si>
  <si>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</si>
  <si>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</si>
  <si>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</si>
  <si>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</si>
  <si>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</si>
  <si>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</si>
  <si>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</si>
  <si>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</si>
  <si>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</si>
  <si>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</si>
  <si>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</si>
  <si>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</si>
  <si>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</si>
  <si>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</si>
  <si>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</si>
  <si>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</si>
  <si>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</si>
  <si>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</si>
  <si>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</si>
  <si>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</si>
  <si>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</si>
  <si>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</si>
  <si>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</si>
  <si>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</si>
  <si>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</si>
  <si>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</si>
  <si>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</si>
  <si>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</si>
  <si>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</si>
  <si>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</si>
  <si>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</si>
  <si>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</si>
  <si>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</si>
  <si>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</si>
  <si>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</si>
  <si>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</si>
  <si>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</si>
  <si>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キヤノン (7751.T)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</si>
  <si>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</si>
  <si>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</si>
  <si>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</si>
  <si>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</si>
  <si>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</si>
  <si>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</si>
  <si>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</si>
  <si>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</si>
  <si>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</si>
  <si>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</si>
  <si>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</si>
  <si>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</si>
  <si>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</si>
  <si>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</si>
  <si>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</si>
  <si>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</si>
  <si>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</si>
  <si>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</si>
  <si>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</si>
  <si>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</si>
  <si>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</si>
  <si>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</si>
  <si>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</si>
  <si>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</si>
  <si>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</si>
  <si>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</si>
  <si>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</si>
  <si>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</si>
  <si>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</si>
  <si>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</si>
  <si>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</si>
  <si>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</si>
  <si>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</si>
  <si>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</si>
  <si>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</si>
  <si>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</si>
  <si>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</si>
  <si>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</si>
  <si>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</si>
  <si>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</si>
  <si>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</si>
  <si>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</si>
  <si>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</si>
  <si>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</si>
  <si>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</si>
  <si>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</si>
  <si>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</si>
  <si>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</si>
  <si>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</si>
  <si>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</si>
  <si>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</si>
  <si>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キヤノン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</si>
  <si>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</si>
  <si>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</si>
  <si>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</si>
  <si>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</si>
  <si>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</si>
  <si>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</si>
  <si>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</si>
  <si>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</si>
  <si>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</si>
  <si>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</si>
  <si>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</si>
  <si>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</si>
  <si>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</si>
  <si>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</si>
  <si>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</si>
  <si>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</si>
  <si>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</si>
  <si>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</si>
  <si>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</si>
  <si>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</si>
  <si>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</si>
  <si>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</si>
  <si>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</si>
  <si>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</si>
  <si>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</si>
  <si>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</si>
  <si>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</si>
  <si>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</si>
  <si>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</si>
  <si>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</si>
  <si>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</si>
  <si>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</si>
  <si>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</si>
  <si>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</si>
  <si>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Canon Inc.</t>
  </si>
  <si>
    <t>7751.T</t>
  </si>
  <si>
    <t>Seiko Epson Corporation</t>
  </si>
  <si>
    <t>6724.T</t>
  </si>
  <si>
    <t>Konica Minolta, Inc.</t>
  </si>
  <si>
    <t>4902.T</t>
  </si>
  <si>
    <t>Brother Industries, Ltd.</t>
  </si>
  <si>
    <t>6448.T</t>
  </si>
  <si>
    <t>FUJIFILM Holdings Corporation</t>
  </si>
  <si>
    <t>4901.T</t>
  </si>
  <si>
    <t>Kyocera Corporation</t>
  </si>
  <si>
    <t>6971.T</t>
  </si>
  <si>
    <t>Statistics</t>
  </si>
  <si>
    <t>25th Percentile</t>
  </si>
  <si>
    <t>Median (50th)</t>
  </si>
  <si>
    <t>75th Percentile</t>
  </si>
  <si>
    <t>Implied Valuation for キヤノン</t>
  </si>
  <si>
    <t>キヤノン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</si>
  <si>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</si>
  <si>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</si>
  <si>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</si>
  <si>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</si>
  <si>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</si>
  <si>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</si>
  <si>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</si>
  <si>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</si>
  <si>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</si>
  <si>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</si>
  <si>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</si>
  <si>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</si>
  <si>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</si>
  <si>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</si>
  <si>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</si>
  <si>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キヤノン</t>
  </si>
  <si>
    <t>日付</t>
  </si>
  <si>
    <t>セル</t>
  </si>
  <si>
    <t>変更内容</t>
  </si>
  <si>
    <t>理由</t>
  </si>
  <si>
    <t>元の値</t>
  </si>
  <si>
    <t>状態</t>
  </si>
  <si>
    <t>2026-09-06</t>
  </si>
  <si>
    <t>-</t>
  </si>
  <si>
    <t>Generated by pipeline on 2026-09-06 19:30, template rev 63983ab</t>
  </si>
  <si>
    <t>初期生成（手修正なし）</t>
  </si>
  <si>
    <t>generated</t>
  </si>
  <si>
    <t>DCF Model!C11</t>
  </si>
  <si>
    <t>After-tax Cost of Debt = 0.68% (実績ベース)</t>
  </si>
  <si>
    <t>実績Kd = 支払利息7,305 ÷ 平均有利子負債804,830(期首663,500/期末946,159、debt_beginning/debt_ending) = 税引前0.91% × (1−25.0%) = 0.68%。【マージナルコスト注記】これは既存借入の実績平均コストであり、新規調達の限界コストではない。テンプレ既定(税引前2.8%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</si>
  <si>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</si>
  <si>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</si>
  <si>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</si>
  <si>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0.847（採用値）</t>
  </si>
  <si>
    <t>実測β(raw) = 0.771 → Blume調整 0.67×raw + 0.33×1.00 = 0.847 → 採用 0.847。クランプ域 [0.3, 2.0] の内側。置換なし。回帰βは平均回帰するため Blume 調整を既定とする（2026-09-05 バッチで85件中57件が旧下限 0.60 に張り付き、両裾の歪みが実証された）。</t>
  </si>
  <si>
    <t>実測 0.771</t>
  </si>
  <si>
    <t>確定</t>
  </si>
  <si>
    <t>Pipeline Metadata (do not edit — read by scripts/validate_output.py)</t>
  </si>
  <si>
    <t>key</t>
  </si>
  <si>
    <t>value</t>
  </si>
  <si>
    <t>auto_log_entries</t>
  </si>
  <si>
    <t>2</t>
  </si>
  <si>
    <t>beta_adopted_c8</t>
  </si>
  <si>
    <t>0.8468</t>
  </si>
  <si>
    <t>beta_basis</t>
  </si>
  <si>
    <t>Blume: 0.67 x 0.771 + 0.33 x 1.00 = 0.847</t>
  </si>
  <si>
    <t>beta_blume_adjusted</t>
  </si>
  <si>
    <t>beta_clamped</t>
  </si>
  <si>
    <t>no</t>
  </si>
  <si>
    <t>beta_raw</t>
  </si>
  <si>
    <t>0.7714</t>
  </si>
  <si>
    <t>capex_pct_basis</t>
  </si>
  <si>
    <t>explicit_override</t>
  </si>
  <si>
    <t>capex_pct_c5</t>
  </si>
  <si>
    <t>0.0546</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</si>
  <si>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</si>
  <si>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</si>
  <si>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</si>
  <si>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</si>
  <si>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</si>
  <si>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</si>
  <si>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</si>
  <si>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</si>
  <si>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</si>
  <si>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</si>
  <si>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</si>
  <si>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</si>
  <si>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</si>
  <si>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</si>
  <si>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</si>
  <si>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</si>
  <si>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</si>
  <si>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</si>
  <si>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</si>
  <si>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</si>
  <si>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</si>
  <si>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694626.0</t>
  </si>
  <si>
    <t>core_net_income</t>
  </si>
  <si>
    <t>262055.0</t>
  </si>
  <si>
    <t>cost_of_debt_actual</t>
  </si>
  <si>
    <t>interest 7,305 (expense 7,305 + fees 0) / avg debt 804,830 (debt_beginning/debt_ending) = 0.009076 pre-tax -&gt; 0.006800 after-tax</t>
  </si>
  <si>
    <t>cost_of_debt_at_c11</t>
  </si>
  <si>
    <t>0.0068</t>
  </si>
  <si>
    <t>cost_of_debt_avg_debt</t>
  </si>
  <si>
    <t>804829.5</t>
  </si>
  <si>
    <t>cost_of_debt_basis</t>
  </si>
  <si>
    <t>actual</t>
  </si>
  <si>
    <t>cost_of_debt_interest</t>
  </si>
  <si>
    <t>7305.0</t>
  </si>
  <si>
    <t>cost_of_debt_pretax</t>
  </si>
  <si>
    <t>0.00907645656626652</t>
  </si>
  <si>
    <t>da_pct_basis</t>
  </si>
  <si>
    <t>da_pct_c18</t>
  </si>
  <si>
    <t>0.052</t>
  </si>
  <si>
    <t>da_pct_hist3yr</t>
  </si>
  <si>
    <t>0.003409</t>
  </si>
  <si>
    <t>fs_year_coverage</t>
  </si>
  <si>
    <t>OCF 0/4, Cash 4/4, Debt 4/4</t>
  </si>
  <si>
    <t>fs_year_map</t>
  </si>
  <si>
    <t>FY2022&lt;-FY2022[cash+debt]; FY2023&lt;-FY2023[cash+debt]; FY2024&lt;-FY2024[cash+debt]; FY2025&lt;-FY2025[cash+debt]</t>
  </si>
  <si>
    <t>fs_year_sources</t>
  </si>
  <si>
    <t>overrides: none | EDINET year-key match: hist_ocf, hist_cash, hist_debt, hist_capex, hist_depreciation</t>
  </si>
  <si>
    <t>fx_sensitivity</t>
  </si>
  <si>
    <t>not enabled</t>
  </si>
  <si>
    <t>generated_at</t>
  </si>
  <si>
    <t>2026-09-06 19:30:08</t>
  </si>
  <si>
    <t>guidance_note</t>
  </si>
  <si>
    <t>screener DB: no guidance row for code=7751 in the TDnet archive | EDINET XBRL: 5 cached EDINET XBRL file(s) for this ticker carry no ForecastMember context | EDINET tanshin: skipped (--tanshin-fallback not given; EDINET does not host 決算短信)</t>
  </si>
  <si>
    <t>guidance_source</t>
  </si>
  <si>
    <t>latest_operating_income</t>
  </si>
  <si>
    <t>455390.0</t>
  </si>
  <si>
    <t>ltm_revenue_c20</t>
  </si>
  <si>
    <t>1837606.0</t>
  </si>
  <si>
    <t>ltm_revenue_source</t>
  </si>
  <si>
    <t>latest FY (no LTM)</t>
  </si>
  <si>
    <t>market_data_source</t>
  </si>
  <si>
    <t>yfinance; from overrides: beta, current_price, shares_outstanding</t>
  </si>
  <si>
    <t>narrative_tokens_used</t>
  </si>
  <si>
    <t>net_debt_source</t>
  </si>
  <si>
    <t>EDINET net_debt</t>
  </si>
  <si>
    <t>reverse_dcf_sheet</t>
  </si>
  <si>
    <t>op0=455,390(FY2025) peak=455,390(FY2025) peak_opm=0.0985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</si>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</sst>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4615</v>
      </c>
    </row>
    <row r="10" spans="2:5" ht="14" x14ac:dyDescent="0.3">
      <c r="B10" s="4" t="s">
        <v>10</v>
      </c>
      <c r="C10" s="5">
        <f>IF(COUNT(C16:C17)=0,"N/A",ROUND(AVERAGE(C16:C17),0))</f>
        <v>5174</v>
      </c>
    </row>
    <row r="11" spans="2:5" ht="14" x14ac:dyDescent="0.3">
      <c r="B11" s="4" t="s">
        <v>11</v>
      </c>
      <c r="C11" s="6" t="str">
        <f>IF(NOT(ISNUMBER(C12)),"N/A",IF(C12&gt;0.15,"BUY",IF(C12&gt;0.05,"HOLD","SELL")))</f>
        <v>HOLD</v>
      </c>
    </row>
    <row r="12" spans="2:5" ht="14" x14ac:dyDescent="0.3">
      <c r="B12" s="4" t="s">
        <v>12</v>
      </c>
      <c r="C12" s="7">
        <f>IF(ISNUMBER(C10),(C10-C9)/C9,"N/A")</f>
        <v>0.12112676056338029</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4556</v>
      </c>
      <c r="D16" s="7">
        <f>IF(ISNUMBER(C16),(C16-C9)/C9,"N/A")</f>
        <v>-1.2784398699891657E-2</v>
      </c>
    </row>
    <row r="17" spans="2:5" ht="13.5" x14ac:dyDescent="0.25">
      <c r="B17" t="s">
        <v>18</v>
      </c>
      <c r="C17" s="11">
        <f>IF('DCF Model'!C62&lt;'DCF Model'!C16,"INVALID (EV &lt; net debt)",'DCF Model'!C64)</f>
        <v>5792</v>
      </c>
      <c r="D17" s="7">
        <f>IF(ISNUMBER(C17),(C17-C9)/C9,"N/A")</f>
        <v>0.25503791982665225</v>
      </c>
    </row>
    <row r="18" spans="2:5" ht="13.5" x14ac:dyDescent="0.25">
      <c r="B18" t="s">
        <v>19</v>
      </c>
      <c r="C18" s="11">
        <f>'Comps Analysis'!C27</f>
        <v>6009</v>
      </c>
      <c r="D18" s="7">
        <f>IF(ISNUMBER(C18),(C18-C9)/C9,"N/A")</f>
        <v>0.30205850487540631</v>
      </c>
    </row>
    <row r="19" spans="2:5" ht="13.5" x14ac:dyDescent="0.25">
      <c r="B19" t="s">
        <v>20</v>
      </c>
      <c r="C19" s="11">
        <f>'Comps Analysis'!C28</f>
        <v>5546</v>
      </c>
      <c r="D19" s="7">
        <f>IF(ISNUMBER(C19),(C19-C9)/C9,"N/A")</f>
        <v>0.20173347778981582</v>
      </c>
    </row>
    <row r="20" spans="2:5" ht="14" x14ac:dyDescent="0.3">
      <c r="B20" s="45" t="s">
        <v>21</v>
      </c>
      <c r="C20" s="44"/>
      <c r="D20" s="44"/>
      <c r="E20" s="44"/>
    </row>
    <row r="21" spans="2:5" ht="14" x14ac:dyDescent="0.3">
      <c r="B21" s="4" t="s">
        <v>22</v>
      </c>
      <c r="C21" s="6" t="str">
        <f>IF(COUNT(C16:C17)=0,"N/A",MIN(C16:C17)&amp;" - "&amp;MAX(C16:C17))</f>
        <v>4556 - 5792</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4031414</v>
      </c>
      <c r="D6" s="5">
        <v>4180972</v>
      </c>
      <c r="E6" s="5">
        <v>4509821</v>
      </c>
      <c r="F6" s="5">
        <v>4624727</v>
      </c>
    </row>
    <row r="7" spans="2:6" ht="14" x14ac:dyDescent="0.3">
      <c r="B7" s="4" t="s">
        <v>38</v>
      </c>
      <c r="C7" s="5">
        <v>2203612</v>
      </c>
      <c r="D7" s="5">
        <v>2212062</v>
      </c>
      <c r="E7" s="5">
        <v>2366726</v>
      </c>
      <c r="F7" s="5">
        <v>2462772</v>
      </c>
    </row>
    <row r="8" spans="2:6" ht="14" x14ac:dyDescent="0.3">
      <c r="B8" s="4" t="s">
        <v>39</v>
      </c>
      <c r="C8" s="5">
        <f>C6-C7</f>
        <v>1827802</v>
      </c>
      <c r="D8" s="5">
        <f>D6-D7</f>
        <v>1968910</v>
      </c>
      <c r="E8" s="5">
        <f>E6-E7</f>
        <v>2143095</v>
      </c>
      <c r="F8" s="5">
        <f>F6-F7</f>
        <v>2161955</v>
      </c>
    </row>
    <row r="9" spans="2:6" ht="13.5" x14ac:dyDescent="0.25">
      <c r="B9" t="s">
        <v>40</v>
      </c>
      <c r="C9" s="7">
        <f>C8/C6</f>
        <v>0.4533898031807202</v>
      </c>
      <c r="D9" s="7">
        <f>D8/D6</f>
        <v>0.47092159430869185</v>
      </c>
      <c r="E9" s="7">
        <f>E8/E6</f>
        <v>0.47520622215382829</v>
      </c>
      <c r="F9" s="7">
        <f>F8/F6</f>
        <v>0.46747732352634003</v>
      </c>
    </row>
    <row r="10" spans="2:6" ht="14" x14ac:dyDescent="0.3">
      <c r="B10" s="4" t="s">
        <v>41</v>
      </c>
      <c r="C10" s="5">
        <v>1474403</v>
      </c>
      <c r="D10" s="5">
        <v>1593544</v>
      </c>
      <c r="E10" s="5">
        <v>1698241</v>
      </c>
      <c r="F10" s="5">
        <v>1706565</v>
      </c>
    </row>
    <row r="11" spans="2:6" ht="14" x14ac:dyDescent="0.3">
      <c r="B11" s="4" t="s">
        <v>42</v>
      </c>
      <c r="C11" s="5">
        <v>353399</v>
      </c>
      <c r="D11" s="5">
        <v>375366</v>
      </c>
      <c r="E11" s="5">
        <v>444854</v>
      </c>
      <c r="F11" s="5">
        <v>455390</v>
      </c>
    </row>
    <row r="12" spans="2:6" ht="14" x14ac:dyDescent="0.3">
      <c r="B12" s="4" t="s">
        <v>43</v>
      </c>
      <c r="C12" s="5">
        <v>243961</v>
      </c>
      <c r="D12" s="5">
        <v>264513</v>
      </c>
      <c r="E12" s="5">
        <v>160025</v>
      </c>
      <c r="F12" s="5">
        <v>332053</v>
      </c>
    </row>
    <row r="13" spans="2:6" ht="13.5" x14ac:dyDescent="0.25">
      <c r="B13" t="s">
        <v>44</v>
      </c>
      <c r="C13" s="7">
        <f>C11/C6</f>
        <v>8.7661301965017729E-2</v>
      </c>
      <c r="D13" s="7">
        <f>D11/D6</f>
        <v>8.9779601489797106E-2</v>
      </c>
      <c r="E13" s="7">
        <f>E11/E6</f>
        <v>9.8641165580629478E-2</v>
      </c>
      <c r="F13" s="7">
        <f>F11/F6</f>
        <v>9.846851500639929E-2</v>
      </c>
    </row>
    <row r="14" spans="2:6" ht="13.5" x14ac:dyDescent="0.25">
      <c r="B14" t="s">
        <v>45</v>
      </c>
      <c r="C14" s="7">
        <f>C12/C6</f>
        <v>6.0514995482974461E-2</v>
      </c>
      <c r="D14" s="7">
        <f>D12/D6</f>
        <v>6.3265910415090082E-2</v>
      </c>
      <c r="E14" s="7">
        <f>E12/E6</f>
        <v>3.5483669972710671E-2</v>
      </c>
      <c r="F14" s="7">
        <f>F12/F6</f>
        <v>7.1799481353169603E-2</v>
      </c>
    </row>
    <row r="15" spans="2:6" ht="13.5" x14ac:dyDescent="0.25">
      <c r="B15" t="s">
        <v>46</v>
      </c>
      <c r="C15" t="s">
        <v>47</v>
      </c>
      <c r="D15" s="7">
        <f>(D6-C6)/C6</f>
        <v>3.7098149681476525E-2</v>
      </c>
      <c r="E15" s="7">
        <f>(E6-D6)/D6</f>
        <v>7.8653719757032572E-2</v>
      </c>
      <c r="F15" s="7">
        <f>(F6-E6)/E6</f>
        <v>2.5479060033646569E-2</v>
      </c>
    </row>
    <row r="16" spans="2:6" ht="13.5" x14ac:dyDescent="0.25">
      <c r="B16" t="s">
        <v>48</v>
      </c>
      <c r="C16" t="s">
        <v>47</v>
      </c>
      <c r="D16" s="7">
        <f>(D11-C11)/C11</f>
        <v>6.2159202487839522E-2</v>
      </c>
      <c r="E16" s="7">
        <f>(E11-D11)/D11</f>
        <v>0.18512065557349361</v>
      </c>
      <c r="F16" s="7">
        <f>(F11-E11)/E11</f>
        <v>2.3684175032707359E-2</v>
      </c>
    </row>
    <row r="18" spans="2:6" ht="14" x14ac:dyDescent="0.3">
      <c r="B18" s="3" t="s">
        <v>49</v>
      </c>
    </row>
    <row r="19" spans="2:6" ht="14" x14ac:dyDescent="0.3">
      <c r="B19" s="4" t="s">
        <v>50</v>
      </c>
      <c r="C19" s="5"/>
      <c r="D19" s="5"/>
      <c r="E19" s="5"/>
      <c r="F19" s="5"/>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33159</v>
      </c>
      <c r="D26" s="5">
        <v>43845</v>
      </c>
      <c r="E26" s="5">
        <v>44670</v>
      </c>
      <c r="F26" s="5">
        <v>20517</v>
      </c>
    </row>
    <row r="27" spans="2:6" ht="14" x14ac:dyDescent="0.3">
      <c r="B27" s="4" t="s">
        <v>57</v>
      </c>
      <c r="C27" s="5">
        <v>1066655</v>
      </c>
      <c r="D27" s="5">
        <v>883620</v>
      </c>
      <c r="E27" s="5">
        <v>740545</v>
      </c>
      <c r="F27" s="5">
        <v>927399</v>
      </c>
    </row>
    <row r="28" spans="2:6" ht="14" x14ac:dyDescent="0.3">
      <c r="B28" s="4" t="s">
        <v>58</v>
      </c>
      <c r="C28" s="5">
        <f>C27-C26</f>
        <v>1033496</v>
      </c>
      <c r="D28" s="5">
        <f>D27-D26</f>
        <v>839775</v>
      </c>
      <c r="E28" s="5">
        <f>E27-E26</f>
        <v>695875</v>
      </c>
      <c r="F28" s="5">
        <f>F27-F26</f>
        <v>906882</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5.4600000000000003E-2</v>
      </c>
    </row>
    <row r="6" spans="2:7" ht="14" x14ac:dyDescent="0.3">
      <c r="B6" s="4" t="s">
        <v>63</v>
      </c>
      <c r="C6" s="7">
        <v>0.25</v>
      </c>
    </row>
    <row r="7" spans="2:7" ht="14" x14ac:dyDescent="0.3">
      <c r="B7" s="4" t="s">
        <v>64</v>
      </c>
      <c r="C7" s="7">
        <v>2.9700000000000001E-2</v>
      </c>
    </row>
    <row r="8" spans="2:7" ht="14" x14ac:dyDescent="0.3">
      <c r="B8" s="4" t="s">
        <v>65</v>
      </c>
      <c r="C8" s="12">
        <v>0.8468</v>
      </c>
    </row>
    <row r="9" spans="2:7" ht="14" x14ac:dyDescent="0.3">
      <c r="B9" s="4" t="s">
        <v>66</v>
      </c>
      <c r="C9" s="7">
        <v>6.5000000000000002E-2</v>
      </c>
    </row>
    <row r="10" spans="2:7" ht="14" x14ac:dyDescent="0.3">
      <c r="B10" s="4" t="s">
        <v>67</v>
      </c>
      <c r="C10" s="7">
        <v>0.01</v>
      </c>
    </row>
    <row r="11" spans="2:7" ht="14" x14ac:dyDescent="0.3">
      <c r="B11" s="4" t="s">
        <v>68</v>
      </c>
      <c r="C11" s="7">
        <v>6.7999999999999996E-3</v>
      </c>
    </row>
    <row r="12" spans="2:7" ht="14" x14ac:dyDescent="0.3">
      <c r="B12" s="4" t="s">
        <v>69</v>
      </c>
      <c r="C12" s="13">
        <v>9.2499999999999999E-2</v>
      </c>
    </row>
    <row r="13" spans="2:7" ht="14" x14ac:dyDescent="0.3">
      <c r="B13" s="4" t="s">
        <v>70</v>
      </c>
      <c r="C13" s="7">
        <v>0.01</v>
      </c>
    </row>
    <row r="14" spans="2:7" ht="14" x14ac:dyDescent="0.3">
      <c r="B14" s="4" t="s">
        <v>71</v>
      </c>
      <c r="C14" s="14">
        <v>7.8</v>
      </c>
    </row>
    <row r="15" spans="2:7" ht="14" x14ac:dyDescent="0.3">
      <c r="B15" s="4" t="s">
        <v>72</v>
      </c>
      <c r="C15" s="15">
        <v>843953156</v>
      </c>
    </row>
    <row r="16" spans="2:7" ht="14" x14ac:dyDescent="0.3">
      <c r="B16" s="4" t="s">
        <v>73</v>
      </c>
      <c r="C16" s="5">
        <v>360178</v>
      </c>
    </row>
    <row r="17" spans="2:7" ht="14" x14ac:dyDescent="0.3">
      <c r="B17" s="4" t="s">
        <v>74</v>
      </c>
      <c r="C17" s="5">
        <v>4624727</v>
      </c>
    </row>
    <row r="18" spans="2:7" ht="14" x14ac:dyDescent="0.3">
      <c r="B18" s="4" t="s">
        <v>75</v>
      </c>
      <c r="C18" s="7">
        <v>5.1999999999999998E-2</v>
      </c>
    </row>
    <row r="19" spans="2:7" ht="14" x14ac:dyDescent="0.3">
      <c r="B19" s="4" t="s">
        <v>76</v>
      </c>
      <c r="C19" s="12">
        <v>1</v>
      </c>
    </row>
    <row r="20" spans="2:7" ht="14" x14ac:dyDescent="0.3">
      <c r="B20" s="4" t="s">
        <v>77</v>
      </c>
      <c r="C20" s="5">
        <v>1837606</v>
      </c>
    </row>
    <row r="22" spans="2:7" ht="14" x14ac:dyDescent="0.3">
      <c r="B22" s="8" t="s">
        <v>78</v>
      </c>
      <c r="C22" s="9"/>
      <c r="D22" s="9"/>
      <c r="E22" s="9"/>
      <c r="F22" s="9"/>
      <c r="G22" s="9"/>
    </row>
    <row r="23" spans="2:7" ht="14" x14ac:dyDescent="0.3">
      <c r="B23" s="4" t="s">
        <v>79</v>
      </c>
      <c r="C23" s="16">
        <f>C7+C8*C9+C10</f>
        <v>9.4741999999999993E-2</v>
      </c>
    </row>
    <row r="24" spans="2:7" ht="14" x14ac:dyDescent="0.3">
      <c r="B24" s="4" t="s">
        <v>80</v>
      </c>
      <c r="C24" s="16">
        <f>1/(1+C12)</f>
        <v>0.91533180778032031</v>
      </c>
    </row>
    <row r="25" spans="2:7" ht="14" x14ac:dyDescent="0.3">
      <c r="B25" s="4" t="s">
        <v>81</v>
      </c>
      <c r="C25" s="16">
        <f>C12/(1+C12)</f>
        <v>8.4668192219679625E-2</v>
      </c>
    </row>
    <row r="26" spans="2:7" ht="14" x14ac:dyDescent="0.3">
      <c r="B26" s="4" t="s">
        <v>82</v>
      </c>
      <c r="C26" s="16">
        <f>C23*C24+C11*C25</f>
        <v>8.7296109839816921E-2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2.5000000000000001E-2</v>
      </c>
      <c r="D30" s="18">
        <f>CHOOSE($D$27,D69,D70,D71,D72,D73)</f>
        <v>2.5000000000000001E-2</v>
      </c>
      <c r="E30" s="18">
        <f>CHOOSE($D$27,E69,E70,E71,E72,E73)</f>
        <v>0.02</v>
      </c>
      <c r="F30" s="18">
        <f>CHOOSE($D$27,F69,F70,F71,F72,F73)</f>
        <v>0.02</v>
      </c>
      <c r="G30" s="18">
        <f>CHOOSE($D$27,G69,G70,G71,G72,G73)</f>
        <v>0.02</v>
      </c>
    </row>
    <row r="31" spans="2:7" ht="14" x14ac:dyDescent="0.3">
      <c r="B31" s="4" t="s">
        <v>91</v>
      </c>
      <c r="C31" s="18">
        <f>CHOOSE($D$27,C76,C77,C78,C79,C80)</f>
        <v>0.53300000000000003</v>
      </c>
      <c r="D31" s="18">
        <f>CHOOSE($D$27,D76,D77,D78,D79,D80)</f>
        <v>0.53300000000000003</v>
      </c>
      <c r="E31" s="18">
        <f>CHOOSE($D$27,E76,E77,E78,E79,E80)</f>
        <v>0.53300000000000003</v>
      </c>
      <c r="F31" s="18">
        <f>CHOOSE($D$27,F76,F77,F78,F79,F80)</f>
        <v>0.53300000000000003</v>
      </c>
      <c r="G31" s="18">
        <f>CHOOSE($D$27,G76,G77,G78,G79,G80)</f>
        <v>0.53300000000000003</v>
      </c>
    </row>
    <row r="32" spans="2:7" ht="14" x14ac:dyDescent="0.3">
      <c r="B32" s="4" t="s">
        <v>92</v>
      </c>
      <c r="C32" s="18">
        <f>CHOOSE($D$27,C83,C84,C85,C86,C87)</f>
        <v>0.36849999999999999</v>
      </c>
      <c r="D32" s="18">
        <f>CHOOSE($D$27,D83,D84,D85,D86,D87)</f>
        <v>0.36849999999999999</v>
      </c>
      <c r="E32" s="18">
        <f>CHOOSE($D$27,E83,E84,E85,E86,E87)</f>
        <v>0.36849999999999999</v>
      </c>
      <c r="F32" s="18">
        <f>CHOOSE($D$27,F83,F84,F85,F86,F87)</f>
        <v>0.36849999999999999</v>
      </c>
      <c r="G32" s="18">
        <f>CHOOSE($D$27,G83,G84,G85,G86,G87)</f>
        <v>0.36849999999999999</v>
      </c>
    </row>
    <row r="33" spans="2:7" ht="14" x14ac:dyDescent="0.3">
      <c r="B33" s="4" t="s">
        <v>37</v>
      </c>
      <c r="C33" s="5">
        <f>C17*(1+C30)</f>
        <v>4740345.1749999998</v>
      </c>
      <c r="D33" s="5">
        <f>C33*(1+D30)</f>
        <v>4858853.8043749994</v>
      </c>
      <c r="E33" s="5">
        <f>D33*(1+E30)</f>
        <v>4956030.8804624993</v>
      </c>
      <c r="F33" s="5">
        <f>E33*(1+F30)</f>
        <v>5055151.4980717497</v>
      </c>
      <c r="G33" s="5">
        <f>F33*(1+G30)</f>
        <v>5156254.5280331848</v>
      </c>
    </row>
    <row r="34" spans="2:7" ht="14" x14ac:dyDescent="0.3">
      <c r="B34" s="4" t="s">
        <v>38</v>
      </c>
      <c r="C34" s="5">
        <f>C33*C31</f>
        <v>2526603.9782750001</v>
      </c>
      <c r="D34" s="5">
        <f>D33*D31</f>
        <v>2589769.0777318748</v>
      </c>
      <c r="E34" s="5">
        <f>E33*E31</f>
        <v>2641564.4592865123</v>
      </c>
      <c r="F34" s="5">
        <f>F33*F31</f>
        <v>2694395.7484722426</v>
      </c>
      <c r="G34" s="5">
        <f>G33*G31</f>
        <v>2748283.6634416878</v>
      </c>
    </row>
    <row r="35" spans="2:7" ht="14" x14ac:dyDescent="0.3">
      <c r="B35" s="4" t="s">
        <v>39</v>
      </c>
      <c r="C35" s="19">
        <f>C33-C34</f>
        <v>2213741.1967249997</v>
      </c>
      <c r="D35" s="19">
        <f>D33-D34</f>
        <v>2269084.7266431246</v>
      </c>
      <c r="E35" s="19">
        <f>E33-E34</f>
        <v>2314466.421175987</v>
      </c>
      <c r="F35" s="19">
        <f>F33-F34</f>
        <v>2360755.7495995071</v>
      </c>
      <c r="G35" s="19">
        <f>G33-G34</f>
        <v>2407970.864591497</v>
      </c>
    </row>
    <row r="36" spans="2:7" ht="14" x14ac:dyDescent="0.3">
      <c r="B36" s="4" t="s">
        <v>40</v>
      </c>
      <c r="C36" s="7">
        <f>C35/C33</f>
        <v>0.46699999999999997</v>
      </c>
      <c r="D36" s="7">
        <f>D35/D33</f>
        <v>0.46699999999999997</v>
      </c>
      <c r="E36" s="7">
        <f>E35/E33</f>
        <v>0.46699999999999997</v>
      </c>
      <c r="F36" s="7">
        <f>F35/F33</f>
        <v>0.46699999999999997</v>
      </c>
      <c r="G36" s="7">
        <f>G35/G33</f>
        <v>0.46699999999999992</v>
      </c>
    </row>
    <row r="37" spans="2:7" ht="14" x14ac:dyDescent="0.3">
      <c r="B37" s="4" t="s">
        <v>93</v>
      </c>
      <c r="C37" s="5">
        <f>C33*C32</f>
        <v>1746817.1969874999</v>
      </c>
      <c r="D37" s="5">
        <f>D33*D32</f>
        <v>1790487.6269121873</v>
      </c>
      <c r="E37" s="5">
        <f>E33*E32</f>
        <v>1826297.3794504309</v>
      </c>
      <c r="F37" s="5">
        <f>F33*F32</f>
        <v>1862823.3270394397</v>
      </c>
      <c r="G37" s="5">
        <f>G33*G32</f>
        <v>1900079.7935802285</v>
      </c>
    </row>
    <row r="38" spans="2:7" ht="14" x14ac:dyDescent="0.3">
      <c r="B38" s="4" t="s">
        <v>94</v>
      </c>
      <c r="C38" s="7">
        <f>(C35-C37)/C33</f>
        <v>9.8499999999999949E-2</v>
      </c>
      <c r="D38" s="7">
        <f>(D35-D37)/D33</f>
        <v>9.8499999999999963E-2</v>
      </c>
      <c r="E38" s="7">
        <f>(E35-E37)/E33</f>
        <v>9.849999999999999E-2</v>
      </c>
      <c r="F38" s="7">
        <f>(F35-F37)/F33</f>
        <v>9.8500000000000004E-2</v>
      </c>
      <c r="G38" s="7">
        <f>(G35-G37)/G33</f>
        <v>9.8499999999999963E-2</v>
      </c>
    </row>
    <row r="39" spans="2:7" ht="14" x14ac:dyDescent="0.3">
      <c r="B39" s="4" t="s">
        <v>95</v>
      </c>
      <c r="C39" s="19">
        <f>C35-C37</f>
        <v>466923.99973749975</v>
      </c>
      <c r="D39" s="19">
        <f>D35-D37</f>
        <v>478597.09973093728</v>
      </c>
      <c r="E39" s="19">
        <f>E35-E37</f>
        <v>488169.04172555613</v>
      </c>
      <c r="F39" s="19">
        <f>F35-F37</f>
        <v>497932.42256006738</v>
      </c>
      <c r="G39" s="19">
        <f>G35-G37</f>
        <v>507891.07101126853</v>
      </c>
    </row>
    <row r="40" spans="2:7" ht="14" x14ac:dyDescent="0.3">
      <c r="B40" s="4" t="s">
        <v>96</v>
      </c>
      <c r="C40" s="5">
        <f>MAX(0,C39*C6)</f>
        <v>116730.99993437494</v>
      </c>
      <c r="D40" s="5">
        <f>MAX(0,D39*C6)</f>
        <v>119649.27493273432</v>
      </c>
      <c r="E40" s="5">
        <f>MAX(0,E39*C6)</f>
        <v>122042.26043138903</v>
      </c>
      <c r="F40" s="5">
        <f>MAX(0,F39*C6)</f>
        <v>124483.10564001685</v>
      </c>
      <c r="G40" s="5">
        <f>MAX(0,G39*C6)</f>
        <v>126972.76775281713</v>
      </c>
    </row>
    <row r="41" spans="2:7" ht="14" x14ac:dyDescent="0.3">
      <c r="B41" s="4" t="s">
        <v>97</v>
      </c>
      <c r="C41" s="19">
        <f>C39-C40</f>
        <v>350192.99980312481</v>
      </c>
      <c r="D41" s="19">
        <f>D39-D40</f>
        <v>358947.82479820296</v>
      </c>
      <c r="E41" s="19">
        <f>E39-E40</f>
        <v>366126.7812941671</v>
      </c>
      <c r="F41" s="19">
        <f>F39-F40</f>
        <v>373449.31692005054</v>
      </c>
      <c r="G41" s="19">
        <f>G39-G40</f>
        <v>380918.3032584514</v>
      </c>
    </row>
    <row r="42" spans="2:7" ht="14" x14ac:dyDescent="0.3">
      <c r="B42" s="4" t="s">
        <v>98</v>
      </c>
      <c r="C42" s="5">
        <f>C33*C18</f>
        <v>246497.94909999997</v>
      </c>
      <c r="D42" s="5">
        <f>D33*C18</f>
        <v>252660.39782749995</v>
      </c>
      <c r="E42" s="5">
        <f>E33*C18</f>
        <v>257713.60578404996</v>
      </c>
      <c r="F42" s="5">
        <f>F33*C18</f>
        <v>262867.87789973099</v>
      </c>
      <c r="G42" s="5">
        <f>G33*C18</f>
        <v>268125.23545772559</v>
      </c>
    </row>
    <row r="43" spans="2:7" ht="14" x14ac:dyDescent="0.3">
      <c r="B43" s="4" t="s">
        <v>99</v>
      </c>
      <c r="C43" s="5">
        <v>270000</v>
      </c>
      <c r="D43" s="5">
        <v>272000</v>
      </c>
      <c r="E43" s="5">
        <v>275000</v>
      </c>
      <c r="F43" s="5">
        <v>278000</v>
      </c>
      <c r="G43" s="5">
        <v>280000</v>
      </c>
    </row>
    <row r="44" spans="2:7" ht="14" x14ac:dyDescent="0.3">
      <c r="B44" s="4" t="s">
        <v>100</v>
      </c>
      <c r="C44" s="5">
        <f>'NWC Schedule'!D19</f>
        <v>9860.6884991093539</v>
      </c>
      <c r="D44" s="5">
        <f>'NWC Schedule'!E19</f>
        <v>31832.067212477792</v>
      </c>
      <c r="E44" s="5">
        <f>'NWC Schedule'!F19</f>
        <v>26102.295114231762</v>
      </c>
      <c r="F44" s="5">
        <f>'NWC Schedule'!G19</f>
        <v>26624.341016516555</v>
      </c>
      <c r="G44" s="5">
        <f>'NWC Schedule'!H19</f>
        <v>27156.8278368467</v>
      </c>
    </row>
    <row r="45" spans="2:7" ht="14" x14ac:dyDescent="0.3">
      <c r="B45" s="4" t="s">
        <v>101</v>
      </c>
      <c r="C45" s="20">
        <f>C41+C42-C43-C44</f>
        <v>316830.26040401543</v>
      </c>
      <c r="D45" s="20">
        <f>D41+D42-D43-D44</f>
        <v>307776.15541322506</v>
      </c>
      <c r="E45" s="20">
        <f>E41+E42-E43-E44</f>
        <v>322738.09196398524</v>
      </c>
      <c r="F45" s="20">
        <f>F41+F42-F43-F44</f>
        <v>331692.85380326491</v>
      </c>
      <c r="G45" s="20">
        <f>G41+G42-G43-G44</f>
        <v>341886.71087933029</v>
      </c>
    </row>
    <row r="46" spans="2:7" ht="14" x14ac:dyDescent="0.3">
      <c r="B46" s="4" t="s">
        <v>102</v>
      </c>
      <c r="C46" s="21">
        <f>1/(1+C26)^(C19+0)</f>
        <v>0.91971266240189387</v>
      </c>
      <c r="D46" s="21">
        <f>1/(1+C26)^(C19+1)</f>
        <v>0.84587138138238005</v>
      </c>
      <c r="E46" s="21">
        <f>1/(1+C26)^(C19+2)</f>
        <v>0.77795862022075657</v>
      </c>
      <c r="F46" s="21">
        <f>1/(1+C26)^(C19+3)</f>
        <v>0.71549839384173586</v>
      </c>
      <c r="G46" s="21">
        <f>1/(1+C26)^(C19+4)</f>
        <v>0.65805293274446175</v>
      </c>
    </row>
    <row r="47" spans="2:7" ht="14" x14ac:dyDescent="0.3">
      <c r="B47" s="4" t="s">
        <v>103</v>
      </c>
      <c r="C47" s="19">
        <f>C45*C46</f>
        <v>291392.80232566234</v>
      </c>
      <c r="D47" s="19">
        <f>D45*D46</f>
        <v>260339.04173594277</v>
      </c>
      <c r="E47" s="19">
        <f>E45*E46</f>
        <v>251076.8807169816</v>
      </c>
      <c r="F47" s="19">
        <f>F45*F46</f>
        <v>237325.70414501775</v>
      </c>
      <c r="G47" s="19">
        <f>G45*G46</f>
        <v>224979.55276050119</v>
      </c>
    </row>
    <row r="49" spans="2:7" ht="14" x14ac:dyDescent="0.3">
      <c r="B49" s="22" t="s">
        <v>104</v>
      </c>
      <c r="C49" s="23"/>
      <c r="D49" s="23"/>
      <c r="E49" s="23"/>
      <c r="F49" s="23"/>
      <c r="G49" s="23"/>
    </row>
    <row r="50" spans="2:7" ht="14" x14ac:dyDescent="0.3">
      <c r="B50" s="4" t="s">
        <v>105</v>
      </c>
      <c r="C50" s="5">
        <f>SUM(C47:G47)</f>
        <v>1265113.9816841057</v>
      </c>
    </row>
    <row r="51" spans="2:7" ht="14" x14ac:dyDescent="0.3">
      <c r="B51" s="4" t="s">
        <v>106</v>
      </c>
      <c r="C51" s="5">
        <f>G45*(1+C13)/(C26-C13)</f>
        <v>4467308.6226940891</v>
      </c>
    </row>
    <row r="52" spans="2:7" ht="14" x14ac:dyDescent="0.3">
      <c r="B52" s="4" t="s">
        <v>107</v>
      </c>
      <c r="C52" s="5">
        <f>C51*G46</f>
        <v>2939725.5406384673</v>
      </c>
    </row>
    <row r="53" spans="2:7" ht="14" x14ac:dyDescent="0.3">
      <c r="B53" s="4" t="s">
        <v>108</v>
      </c>
      <c r="C53" s="5">
        <f>C50+C52</f>
        <v>4204839.5223225728</v>
      </c>
    </row>
    <row r="54" spans="2:7" ht="14" x14ac:dyDescent="0.3">
      <c r="B54" s="4" t="s">
        <v>109</v>
      </c>
      <c r="C54" s="5">
        <f>C53-C16</f>
        <v>3844661.5223225728</v>
      </c>
    </row>
    <row r="55" spans="2:7" ht="14" x14ac:dyDescent="0.3">
      <c r="B55" s="4" t="s">
        <v>110</v>
      </c>
      <c r="C55" s="24">
        <f>ROUND(C54*1000000/C15,0)</f>
        <v>4556</v>
      </c>
    </row>
    <row r="57" spans="2:7" ht="14" x14ac:dyDescent="0.3">
      <c r="B57" s="22" t="s">
        <v>111</v>
      </c>
      <c r="C57" s="23"/>
      <c r="D57" s="23"/>
      <c r="E57" s="23"/>
      <c r="F57" s="23"/>
      <c r="G57" s="23"/>
    </row>
    <row r="58" spans="2:7" ht="14" x14ac:dyDescent="0.3">
      <c r="B58" s="4" t="s">
        <v>105</v>
      </c>
      <c r="C58" s="5">
        <f>C50</f>
        <v>1265113.9816841057</v>
      </c>
    </row>
    <row r="59" spans="2:7" ht="14" x14ac:dyDescent="0.3">
      <c r="B59" s="4" t="s">
        <v>112</v>
      </c>
      <c r="C59" s="5">
        <f>G39+G42</f>
        <v>776016.30646899412</v>
      </c>
    </row>
    <row r="60" spans="2:7" ht="14" x14ac:dyDescent="0.3">
      <c r="B60" s="4" t="s">
        <v>113</v>
      </c>
      <c r="C60" s="5">
        <f>C59*C14</f>
        <v>6052927.1904581543</v>
      </c>
    </row>
    <row r="61" spans="2:7" ht="14" x14ac:dyDescent="0.3">
      <c r="B61" s="4" t="s">
        <v>107</v>
      </c>
      <c r="C61" s="5">
        <f>C60*G46</f>
        <v>3983146.4893696834</v>
      </c>
    </row>
    <row r="62" spans="2:7" ht="14" x14ac:dyDescent="0.3">
      <c r="B62" s="4" t="s">
        <v>108</v>
      </c>
      <c r="C62" s="5">
        <f>C58+C61</f>
        <v>5248260.4710537894</v>
      </c>
    </row>
    <row r="63" spans="2:7" ht="14" x14ac:dyDescent="0.3">
      <c r="B63" s="4" t="s">
        <v>109</v>
      </c>
      <c r="C63" s="5">
        <f>C62-C16</f>
        <v>4888082.4710537894</v>
      </c>
    </row>
    <row r="64" spans="2:7" ht="14" x14ac:dyDescent="0.3">
      <c r="B64" s="4" t="s">
        <v>114</v>
      </c>
      <c r="C64" s="24">
        <f>ROUND(C63*1000000/C15,0)</f>
        <v>5792</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2.5000000000000001E-2</v>
      </c>
      <c r="D69" s="26">
        <v>2.5000000000000001E-2</v>
      </c>
      <c r="E69" s="26">
        <v>0.02</v>
      </c>
      <c r="F69" s="26">
        <v>0.02</v>
      </c>
      <c r="G69" s="26">
        <v>0.02</v>
      </c>
    </row>
    <row r="70" spans="2:7" ht="14" x14ac:dyDescent="0.3">
      <c r="B70" s="4" t="s">
        <v>121</v>
      </c>
      <c r="C70" s="26">
        <v>0.04</v>
      </c>
      <c r="D70" s="26">
        <v>3.5000000000000003E-2</v>
      </c>
      <c r="E70" s="26">
        <v>0.03</v>
      </c>
      <c r="F70" s="26">
        <v>0.03</v>
      </c>
      <c r="G70" s="26">
        <v>2.5000000000000001E-2</v>
      </c>
    </row>
    <row r="71" spans="2:7" ht="14" x14ac:dyDescent="0.3">
      <c r="B71" s="4" t="s">
        <v>122</v>
      </c>
      <c r="C71" s="26">
        <v>2.5000000000000001E-2</v>
      </c>
      <c r="D71" s="26">
        <v>2.5000000000000001E-2</v>
      </c>
      <c r="E71" s="26">
        <v>0.02</v>
      </c>
      <c r="F71" s="26">
        <v>0.02</v>
      </c>
      <c r="G71" s="26">
        <v>0.02</v>
      </c>
    </row>
    <row r="72" spans="2:7" ht="14" x14ac:dyDescent="0.3">
      <c r="B72" s="4" t="s">
        <v>123</v>
      </c>
      <c r="C72" s="26">
        <v>0</v>
      </c>
      <c r="D72" s="26">
        <v>0.01</v>
      </c>
      <c r="E72" s="26">
        <v>1.4999999999999999E-2</v>
      </c>
      <c r="F72" s="26">
        <v>1.4999999999999999E-2</v>
      </c>
      <c r="G72" s="26">
        <v>1.4999999999999999E-2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0.53300000000000003</v>
      </c>
      <c r="D76" s="26">
        <v>0.53300000000000003</v>
      </c>
      <c r="E76" s="26">
        <v>0.53300000000000003</v>
      </c>
      <c r="F76" s="26">
        <v>0.53300000000000003</v>
      </c>
      <c r="G76" s="26">
        <v>0.53300000000000003</v>
      </c>
    </row>
    <row r="77" spans="2:7" ht="14" x14ac:dyDescent="0.3">
      <c r="B77" s="4" t="s">
        <v>121</v>
      </c>
      <c r="C77" s="26">
        <v>0.52500000000000002</v>
      </c>
      <c r="D77" s="26">
        <v>0.52500000000000002</v>
      </c>
      <c r="E77" s="26">
        <v>0.52500000000000002</v>
      </c>
      <c r="F77" s="26">
        <v>0.52500000000000002</v>
      </c>
      <c r="G77" s="26">
        <v>0.52500000000000002</v>
      </c>
    </row>
    <row r="78" spans="2:7" ht="14" x14ac:dyDescent="0.3">
      <c r="B78" s="4" t="s">
        <v>122</v>
      </c>
      <c r="C78" s="26">
        <v>0.53300000000000003</v>
      </c>
      <c r="D78" s="26">
        <v>0.53300000000000003</v>
      </c>
      <c r="E78" s="26">
        <v>0.53300000000000003</v>
      </c>
      <c r="F78" s="26">
        <v>0.53300000000000003</v>
      </c>
      <c r="G78" s="26">
        <v>0.53300000000000003</v>
      </c>
    </row>
    <row r="79" spans="2:7" ht="14" x14ac:dyDescent="0.3">
      <c r="B79" s="4" t="s">
        <v>123</v>
      </c>
      <c r="C79" s="26">
        <v>0.54300000000000004</v>
      </c>
      <c r="D79" s="26">
        <v>0.54300000000000004</v>
      </c>
      <c r="E79" s="26">
        <v>0.54300000000000004</v>
      </c>
      <c r="F79" s="26">
        <v>0.54300000000000004</v>
      </c>
      <c r="G79" s="26">
        <v>0.54300000000000004</v>
      </c>
    </row>
    <row r="80" spans="2:7" ht="14" x14ac:dyDescent="0.3">
      <c r="B80" s="4" t="s">
        <v>124</v>
      </c>
      <c r="C80" s="26">
        <v>0.56000000000000005</v>
      </c>
      <c r="D80" s="26">
        <v>0.56000000000000005</v>
      </c>
      <c r="E80" s="26">
        <v>0.56000000000000005</v>
      </c>
      <c r="F80" s="26">
        <v>0.56000000000000005</v>
      </c>
      <c r="G80" s="26">
        <v>0.56000000000000005</v>
      </c>
    </row>
    <row r="82" spans="2:7" ht="14" x14ac:dyDescent="0.3">
      <c r="B82" s="3" t="s">
        <v>92</v>
      </c>
    </row>
    <row r="83" spans="2:7" ht="14" x14ac:dyDescent="0.3">
      <c r="B83" s="4" t="s">
        <v>84</v>
      </c>
      <c r="C83" s="26">
        <v>0.36849999999999999</v>
      </c>
      <c r="D83" s="26">
        <v>0.36849999999999999</v>
      </c>
      <c r="E83" s="26">
        <v>0.36849999999999999</v>
      </c>
      <c r="F83" s="26">
        <v>0.36849999999999999</v>
      </c>
      <c r="G83" s="26">
        <v>0.36849999999999999</v>
      </c>
    </row>
    <row r="84" spans="2:7" ht="14" x14ac:dyDescent="0.3">
      <c r="B84" s="4" t="s">
        <v>121</v>
      </c>
      <c r="C84" s="26">
        <v>0.373</v>
      </c>
      <c r="D84" s="26">
        <v>0.371</v>
      </c>
      <c r="E84" s="26">
        <v>0.36899999999999999</v>
      </c>
      <c r="F84" s="26">
        <v>0.36749999999999999</v>
      </c>
      <c r="G84" s="26">
        <v>0.36649999999999999</v>
      </c>
    </row>
    <row r="85" spans="2:7" ht="14" x14ac:dyDescent="0.3">
      <c r="B85" s="4" t="s">
        <v>122</v>
      </c>
      <c r="C85" s="26">
        <v>0.36849999999999999</v>
      </c>
      <c r="D85" s="26">
        <v>0.36849999999999999</v>
      </c>
      <c r="E85" s="26">
        <v>0.36849999999999999</v>
      </c>
      <c r="F85" s="26">
        <v>0.36849999999999999</v>
      </c>
      <c r="G85" s="26">
        <v>0.36849999999999999</v>
      </c>
    </row>
    <row r="86" spans="2:7" ht="14" x14ac:dyDescent="0.3">
      <c r="B86" s="4" t="s">
        <v>123</v>
      </c>
      <c r="C86" s="26">
        <v>0.36199999999999999</v>
      </c>
      <c r="D86" s="26">
        <v>0.36449999999999999</v>
      </c>
      <c r="E86" s="26">
        <v>0.36599999999999999</v>
      </c>
      <c r="F86" s="26">
        <v>0.36699999999999999</v>
      </c>
      <c r="G86" s="26">
        <v>0.36770000000000003</v>
      </c>
    </row>
    <row r="87" spans="2:7" ht="14" x14ac:dyDescent="0.3">
      <c r="B87" s="4" t="s">
        <v>124</v>
      </c>
      <c r="C87" s="26">
        <v>0.36099999999999999</v>
      </c>
      <c r="D87" s="26">
        <v>0.36399999999999999</v>
      </c>
      <c r="E87" s="26">
        <v>0.36499999999999999</v>
      </c>
      <c r="F87" s="26">
        <v>0.36499999999999999</v>
      </c>
      <c r="G87" s="26">
        <v>0.36499999999999999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4615</v>
      </c>
    </row>
    <row r="7" spans="2:9" ht="14" x14ac:dyDescent="0.3">
      <c r="B7" s="4" t="s">
        <v>72</v>
      </c>
      <c r="C7" s="15">
        <f>'DCF Model'!C15</f>
        <v>843953156</v>
      </c>
    </row>
    <row r="8" spans="2:9" ht="14" x14ac:dyDescent="0.3">
      <c r="B8" s="4" t="s">
        <v>129</v>
      </c>
      <c r="C8" s="5">
        <f>C6*C7/1000000</f>
        <v>3894843.81494</v>
      </c>
    </row>
    <row r="9" spans="2:9" ht="14" x14ac:dyDescent="0.3">
      <c r="B9" s="4" t="s">
        <v>73</v>
      </c>
      <c r="C9" s="5">
        <f>'DCF Model'!C16</f>
        <v>360178</v>
      </c>
    </row>
    <row r="10" spans="2:9" ht="14" x14ac:dyDescent="0.3">
      <c r="B10" s="4" t="s">
        <v>130</v>
      </c>
      <c r="C10" s="5">
        <f>C8+C9</f>
        <v>4255021.81494</v>
      </c>
    </row>
    <row r="11" spans="2:9" ht="14" x14ac:dyDescent="0.3">
      <c r="B11" s="4" t="s">
        <v>131</v>
      </c>
      <c r="C11" s="16">
        <f>'DCF Model'!C26</f>
        <v>8.7296109839816921E-2</v>
      </c>
    </row>
    <row r="12" spans="2:9" ht="14" x14ac:dyDescent="0.3">
      <c r="B12" s="4" t="s">
        <v>132</v>
      </c>
      <c r="C12" s="16">
        <f>'DCF Model'!C13</f>
        <v>0.01</v>
      </c>
    </row>
    <row r="13" spans="2:9" ht="14" x14ac:dyDescent="0.3">
      <c r="B13" s="4" t="s">
        <v>133</v>
      </c>
      <c r="C13" s="16">
        <f>'DCF Model'!C6</f>
        <v>0.25</v>
      </c>
    </row>
    <row r="14" spans="2:9" ht="14" x14ac:dyDescent="0.3">
      <c r="B14" s="4" t="s">
        <v>134</v>
      </c>
      <c r="C14" s="27">
        <v>455390</v>
      </c>
    </row>
    <row r="15" spans="2:9" ht="14" x14ac:dyDescent="0.3">
      <c r="B15" s="4" t="s">
        <v>135</v>
      </c>
      <c r="C15" s="27">
        <v>455390</v>
      </c>
    </row>
    <row r="16" spans="2:9" ht="14" x14ac:dyDescent="0.3">
      <c r="B16" s="4" t="s">
        <v>136</v>
      </c>
      <c r="C16" s="5">
        <f>'DCF Model'!G33</f>
        <v>5156254.5280331848</v>
      </c>
    </row>
    <row r="17" spans="2:9" ht="14" x14ac:dyDescent="0.3">
      <c r="B17" s="4" t="s">
        <v>137</v>
      </c>
      <c r="C17" s="5">
        <f>'DCF Model'!C53</f>
        <v>4204839.5223225728</v>
      </c>
    </row>
    <row r="18" spans="2:9" ht="14" x14ac:dyDescent="0.3">
      <c r="B18" s="4" t="s">
        <v>138</v>
      </c>
      <c r="C18" s="26">
        <v>9.846851500639929E-2</v>
      </c>
    </row>
    <row r="19" spans="2:9" ht="14" x14ac:dyDescent="0.3">
      <c r="B19" s="4" t="s">
        <v>139</v>
      </c>
      <c r="C19" s="5">
        <f>C10-C17</f>
        <v>50182.292617427185</v>
      </c>
    </row>
    <row r="20" spans="2:9" ht="14" x14ac:dyDescent="0.3">
      <c r="B20" s="4" t="s">
        <v>140</v>
      </c>
      <c r="C20" s="15">
        <f>IFERROR(ROUND(C19*1000000/C7,0),"N/A")</f>
        <v>59</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328896.63357841939</v>
      </c>
    </row>
    <row r="25" spans="2:9" ht="14" x14ac:dyDescent="0.3">
      <c r="B25" s="4" t="s">
        <v>144</v>
      </c>
      <c r="C25" s="5">
        <f>IFERROR(C24/(1-C13),"N/A")</f>
        <v>438528.84477122588</v>
      </c>
    </row>
    <row r="26" spans="2:9" ht="13.5" x14ac:dyDescent="0.25">
      <c r="B26" s="6" t="s">
        <v>145</v>
      </c>
      <c r="C26" s="14">
        <f>IFERROR(C25/C15,"N/A")</f>
        <v>0.96297425233585687</v>
      </c>
    </row>
    <row r="27" spans="2:9" ht="13.5" x14ac:dyDescent="0.25">
      <c r="B27" s="6" t="s">
        <v>146</v>
      </c>
      <c r="C27" s="14">
        <f>IFERROR(C25/C14,"N/A")</f>
        <v>0.96297425233585687</v>
      </c>
    </row>
    <row r="28" spans="2:9" ht="13.5" x14ac:dyDescent="0.25">
      <c r="B28" s="6" t="s">
        <v>147</v>
      </c>
      <c r="C28" s="7">
        <f>IFERROR(C25/C16,"N/A")</f>
        <v>8.5047943693830702E-2</v>
      </c>
    </row>
    <row r="29" spans="2:9" ht="13.5" x14ac:dyDescent="0.25">
      <c r="B29" s="6" t="s">
        <v>148</v>
      </c>
      <c r="C29" s="5">
        <f>IFERROR(C25/C18,"N/A")</f>
        <v>4453493.0250824504</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6.7296109839816917E-2</v>
      </c>
      <c r="E36" s="29">
        <f>'DCF Model'!C26-0.01</f>
        <v>7.7296109839816926E-2</v>
      </c>
      <c r="F36" s="29">
        <f>'DCF Model'!C26</f>
        <v>8.7296109839816921E-2</v>
      </c>
      <c r="G36" s="29">
        <f>'DCF Model'!C26+0.01</f>
        <v>9.7296109839816916E-2</v>
      </c>
      <c r="H36" s="29">
        <f>'DCF Model'!C26+0.02</f>
        <v>0.10729610983981692</v>
      </c>
    </row>
    <row r="37" spans="2:9" ht="14" x14ac:dyDescent="0.3">
      <c r="B37" s="3" t="s">
        <v>154</v>
      </c>
    </row>
    <row r="38" spans="2:9" ht="14" x14ac:dyDescent="0.3">
      <c r="B38" s="4" t="s">
        <v>155</v>
      </c>
      <c r="C38" s="30">
        <v>3</v>
      </c>
      <c r="D38" s="13">
        <f t="shared" ref="D38:H41" si="0">IFERROR((1-(1+D$36)^(-$C38))/D$36-(1+D$36)/(D$36^2*$C38)*(1-($C38+1)/(1+D$36)^$C38+$C38/(1+D$36)^($C38+1)),"N/A")</f>
        <v>0.91725469550246053</v>
      </c>
      <c r="E38" s="13">
        <f t="shared" si="0"/>
        <v>0.90604921818358197</v>
      </c>
      <c r="F38" s="13">
        <f t="shared" si="0"/>
        <v>0.89509890206205966</v>
      </c>
      <c r="G38" s="13">
        <f t="shared" si="0"/>
        <v>0.88439544238649059</v>
      </c>
      <c r="H38" s="13">
        <f t="shared" si="0"/>
        <v>0.87393088196974711</v>
      </c>
    </row>
    <row r="39" spans="2:9" ht="14" x14ac:dyDescent="0.3">
      <c r="B39" s="4" t="s">
        <v>156</v>
      </c>
      <c r="C39" s="30">
        <v>5</v>
      </c>
      <c r="D39" s="13">
        <f t="shared" si="0"/>
        <v>1.7594177700752009</v>
      </c>
      <c r="E39" s="13">
        <f t="shared" si="0"/>
        <v>1.7280058603093016</v>
      </c>
      <c r="F39" s="13">
        <f t="shared" si="0"/>
        <v>1.6975760856075999</v>
      </c>
      <c r="G39" s="13">
        <f t="shared" si="0"/>
        <v>1.6680865022995119</v>
      </c>
      <c r="H39" s="13">
        <f t="shared" si="0"/>
        <v>1.6394973922375353</v>
      </c>
    </row>
    <row r="40" spans="2:9" ht="14" x14ac:dyDescent="0.3">
      <c r="B40" s="4" t="s">
        <v>157</v>
      </c>
      <c r="C40" s="30">
        <v>7</v>
      </c>
      <c r="D40" s="13">
        <f t="shared" si="0"/>
        <v>2.5333901887360892</v>
      </c>
      <c r="E40" s="13">
        <f t="shared" si="0"/>
        <v>2.474628786676226</v>
      </c>
      <c r="F40" s="13">
        <f t="shared" si="0"/>
        <v>2.4181840034280322</v>
      </c>
      <c r="G40" s="13">
        <f t="shared" si="0"/>
        <v>2.3639341431472451</v>
      </c>
      <c r="H40" s="13">
        <f t="shared" si="0"/>
        <v>2.3117652917927383</v>
      </c>
    </row>
    <row r="41" spans="2:9" ht="14" x14ac:dyDescent="0.3">
      <c r="B41" s="4" t="s">
        <v>158</v>
      </c>
      <c r="C41" s="30">
        <v>10</v>
      </c>
      <c r="D41" s="13">
        <f t="shared" si="0"/>
        <v>3.5799413264565612</v>
      </c>
      <c r="E41" s="13">
        <f t="shared" si="0"/>
        <v>3.470108558767198</v>
      </c>
      <c r="F41" s="13">
        <f t="shared" si="0"/>
        <v>3.3658824989448748</v>
      </c>
      <c r="G41" s="13">
        <f t="shared" si="0"/>
        <v>3.2668894273547373</v>
      </c>
      <c r="H41" s="13">
        <f t="shared" si="0"/>
        <v>3.1727854009430336</v>
      </c>
    </row>
    <row r="42" spans="2:9" ht="14" x14ac:dyDescent="0.3">
      <c r="B42" s="3" t="s">
        <v>159</v>
      </c>
    </row>
    <row r="43" spans="2:9" ht="14" x14ac:dyDescent="0.3">
      <c r="B43" s="4" t="s">
        <v>155</v>
      </c>
      <c r="C43" s="30">
        <v>3</v>
      </c>
      <c r="D43" s="13">
        <f t="shared" ref="D43:H46" si="1">IFERROR((1+D$36)/(D$36^2*$C43)*(1-($C43+1)/(1+D$36)^$C43+$C43/(1+D$36)^($C43+1))+(1+$C$12)/((D$36-$C$12)*(1+D$36)^$C43),"N/A")</f>
        <v>16.219193711329311</v>
      </c>
      <c r="E43" s="13">
        <f t="shared" si="1"/>
        <v>13.687677294899236</v>
      </c>
      <c r="F43" s="13">
        <f t="shared" si="1"/>
        <v>11.813744551999198</v>
      </c>
      <c r="G43" s="13">
        <f t="shared" si="1"/>
        <v>10.371334611176097</v>
      </c>
      <c r="H43" s="13">
        <f t="shared" si="1"/>
        <v>9.2273268469895875</v>
      </c>
    </row>
    <row r="44" spans="2:9" ht="14" x14ac:dyDescent="0.3">
      <c r="B44" s="4" t="s">
        <v>156</v>
      </c>
      <c r="C44" s="30">
        <v>5</v>
      </c>
      <c r="D44" s="13">
        <f t="shared" si="1"/>
        <v>15.098971067768833</v>
      </c>
      <c r="E44" s="13">
        <f t="shared" si="1"/>
        <v>12.636545208691176</v>
      </c>
      <c r="F44" s="13">
        <f t="shared" si="1"/>
        <v>10.818054926435886</v>
      </c>
      <c r="G44" s="13">
        <f t="shared" si="1"/>
        <v>9.4219256202788575</v>
      </c>
      <c r="H44" s="13">
        <f t="shared" si="1"/>
        <v>8.3176898602533758</v>
      </c>
    </row>
    <row r="45" spans="2:9" ht="14" x14ac:dyDescent="0.3">
      <c r="B45" s="4" t="s">
        <v>157</v>
      </c>
      <c r="C45" s="30">
        <v>7</v>
      </c>
      <c r="D45" s="13">
        <f t="shared" si="1"/>
        <v>14.080898529466747</v>
      </c>
      <c r="E45" s="13">
        <f t="shared" si="1"/>
        <v>11.692453749964685</v>
      </c>
      <c r="F45" s="13">
        <f t="shared" si="1"/>
        <v>9.9340141333856185</v>
      </c>
      <c r="G45" s="13">
        <f t="shared" si="1"/>
        <v>8.5884452180589772</v>
      </c>
      <c r="H45" s="13">
        <f t="shared" si="1"/>
        <v>7.5279193694254314</v>
      </c>
    </row>
    <row r="46" spans="2:9" ht="14" x14ac:dyDescent="0.3">
      <c r="B46" s="4" t="s">
        <v>158</v>
      </c>
      <c r="C46" s="30">
        <v>10</v>
      </c>
      <c r="D46" s="13">
        <f t="shared" si="1"/>
        <v>12.722938835634334</v>
      </c>
      <c r="E46" s="13">
        <f t="shared" si="1"/>
        <v>10.450794023289163</v>
      </c>
      <c r="F46" s="13">
        <f t="shared" si="1"/>
        <v>8.7871591842691004</v>
      </c>
      <c r="G46" s="13">
        <f t="shared" si="1"/>
        <v>7.5215129995571131</v>
      </c>
      <c r="H46" s="13">
        <f t="shared" si="1"/>
        <v>6.5299946448573198</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324039.15371354087</v>
      </c>
      <c r="E48" s="5">
        <f t="shared" si="2"/>
        <v>384342.54060123255</v>
      </c>
      <c r="F48" s="5">
        <f t="shared" si="2"/>
        <v>445730.25154999277</v>
      </c>
      <c r="G48" s="5">
        <f t="shared" si="2"/>
        <v>508190.87195702142</v>
      </c>
      <c r="H48" s="5">
        <f t="shared" si="2"/>
        <v>571713.03488625085</v>
      </c>
    </row>
    <row r="49" spans="2:9" ht="14" x14ac:dyDescent="0.3">
      <c r="B49" s="4" t="s">
        <v>156</v>
      </c>
      <c r="C49" s="30">
        <v>5</v>
      </c>
      <c r="D49" s="5">
        <f t="shared" si="2"/>
        <v>322680.34290136624</v>
      </c>
      <c r="E49" s="5">
        <f t="shared" si="2"/>
        <v>386691.59572451352</v>
      </c>
      <c r="F49" s="5">
        <f t="shared" si="2"/>
        <v>452974.52080044185</v>
      </c>
      <c r="G49" s="5">
        <f t="shared" si="2"/>
        <v>521521.0462988558</v>
      </c>
      <c r="H49" s="5">
        <f t="shared" si="2"/>
        <v>592322.1213154092</v>
      </c>
    </row>
    <row r="50" spans="2:9" ht="14" x14ac:dyDescent="0.3">
      <c r="B50" s="4" t="s">
        <v>157</v>
      </c>
      <c r="C50" s="30">
        <v>7</v>
      </c>
      <c r="D50" s="5">
        <f t="shared" si="2"/>
        <v>320979.64859367791</v>
      </c>
      <c r="E50" s="5">
        <f t="shared" si="2"/>
        <v>388835.50997747126</v>
      </c>
      <c r="F50" s="5">
        <f t="shared" si="2"/>
        <v>460251.57053412334</v>
      </c>
      <c r="G50" s="5">
        <f t="shared" si="2"/>
        <v>535236.62709128659</v>
      </c>
      <c r="H50" s="5">
        <f t="shared" si="2"/>
        <v>613796.10977995547</v>
      </c>
    </row>
    <row r="51" spans="2:9" ht="14" x14ac:dyDescent="0.3">
      <c r="B51" s="4" t="s">
        <v>158</v>
      </c>
      <c r="C51" s="30">
        <v>10</v>
      </c>
      <c r="D51" s="5">
        <f t="shared" si="2"/>
        <v>317779.79848029098</v>
      </c>
      <c r="E51" s="5">
        <f t="shared" si="2"/>
        <v>391655.3779762265</v>
      </c>
      <c r="F51" s="5">
        <f t="shared" si="2"/>
        <v>471207.25844343507</v>
      </c>
      <c r="G51" s="5">
        <f t="shared" si="2"/>
        <v>556490.91397480655</v>
      </c>
      <c r="H51" s="5">
        <f t="shared" si="2"/>
        <v>647551.47686295607</v>
      </c>
    </row>
    <row r="52" spans="2:9" ht="14" x14ac:dyDescent="0.3">
      <c r="B52" s="22" t="s">
        <v>161</v>
      </c>
      <c r="C52" s="23"/>
      <c r="D52" s="23"/>
      <c r="E52" s="23"/>
      <c r="F52" s="23"/>
      <c r="G52" s="23"/>
      <c r="H52" s="23"/>
      <c r="I52" s="23"/>
    </row>
    <row r="53" spans="2:9" ht="14" x14ac:dyDescent="0.3">
      <c r="B53" s="4" t="s">
        <v>155</v>
      </c>
      <c r="C53" s="30">
        <v>3</v>
      </c>
      <c r="D53" s="14">
        <f t="shared" ref="D53:H56" si="3">IFERROR(D48/$C$15,"N/A")</f>
        <v>0.71156405216087504</v>
      </c>
      <c r="E53" s="14">
        <f t="shared" si="3"/>
        <v>0.84398546432998656</v>
      </c>
      <c r="F53" s="14">
        <f t="shared" si="3"/>
        <v>0.97878796537032597</v>
      </c>
      <c r="G53" s="14">
        <f t="shared" si="3"/>
        <v>1.1159464897275333</v>
      </c>
      <c r="H53" s="14">
        <f t="shared" si="3"/>
        <v>1.2554360765195784</v>
      </c>
    </row>
    <row r="54" spans="2:9" ht="14" x14ac:dyDescent="0.3">
      <c r="B54" s="4" t="s">
        <v>156</v>
      </c>
      <c r="C54" s="30">
        <v>5</v>
      </c>
      <c r="D54" s="14">
        <f t="shared" si="3"/>
        <v>0.70858021234846225</v>
      </c>
      <c r="E54" s="14">
        <f t="shared" si="3"/>
        <v>0.84914380141090828</v>
      </c>
      <c r="F54" s="14">
        <f t="shared" si="3"/>
        <v>0.99469580096278321</v>
      </c>
      <c r="G54" s="14">
        <f t="shared" si="3"/>
        <v>1.1452184859106607</v>
      </c>
      <c r="H54" s="14">
        <f t="shared" si="3"/>
        <v>1.3006919811928439</v>
      </c>
    </row>
    <row r="55" spans="2:9" ht="14" x14ac:dyDescent="0.3">
      <c r="B55" s="4" t="s">
        <v>157</v>
      </c>
      <c r="C55" s="30">
        <v>7</v>
      </c>
      <c r="D55" s="14">
        <f t="shared" si="3"/>
        <v>0.70484562373718773</v>
      </c>
      <c r="E55" s="14">
        <f t="shared" si="3"/>
        <v>0.85385166555583403</v>
      </c>
      <c r="F55" s="14">
        <f t="shared" si="3"/>
        <v>1.0106756198733466</v>
      </c>
      <c r="G55" s="14">
        <f t="shared" si="3"/>
        <v>1.1753368038193341</v>
      </c>
      <c r="H55" s="14">
        <f t="shared" si="3"/>
        <v>1.3478471415269451</v>
      </c>
    </row>
    <row r="56" spans="2:9" ht="14" x14ac:dyDescent="0.3">
      <c r="B56" s="4" t="s">
        <v>158</v>
      </c>
      <c r="C56" s="30">
        <v>10</v>
      </c>
      <c r="D56" s="14">
        <f t="shared" si="3"/>
        <v>0.69781900893803328</v>
      </c>
      <c r="E56" s="14">
        <f t="shared" si="3"/>
        <v>0.8600438700371692</v>
      </c>
      <c r="F56" s="14">
        <f t="shared" si="3"/>
        <v>1.0347334338554537</v>
      </c>
      <c r="G56" s="14">
        <f t="shared" si="3"/>
        <v>1.2220095170618734</v>
      </c>
      <c r="H56" s="14">
        <f t="shared" si="3"/>
        <v>1.4219712265595557</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452974.52080044185</v>
      </c>
    </row>
    <row r="62" spans="2:9" ht="14" x14ac:dyDescent="0.3">
      <c r="B62" s="28" t="s">
        <v>165</v>
      </c>
      <c r="C62" s="28" t="s">
        <v>166</v>
      </c>
      <c r="D62" s="28" t="s">
        <v>167</v>
      </c>
    </row>
    <row r="63" spans="2:9" ht="14" x14ac:dyDescent="0.3">
      <c r="B63" s="31">
        <v>4.9200000000000001E-2</v>
      </c>
      <c r="C63" s="5">
        <f>IFERROR($C$60/B63,"N/A")</f>
        <v>9206799.2032610122</v>
      </c>
      <c r="D63" s="14">
        <f>IFERROR(C63/'DCF Model'!C17,"N/A")</f>
        <v>1.9907767968273613</v>
      </c>
    </row>
    <row r="64" spans="2:9" ht="14" x14ac:dyDescent="0.3">
      <c r="B64" s="31">
        <v>7.3899999999999993E-2</v>
      </c>
      <c r="C64" s="5">
        <f>IFERROR($C$60/B64,"N/A")</f>
        <v>6129560.49797621</v>
      </c>
      <c r="D64" s="14">
        <f>IFERROR(C64/'DCF Model'!C17,"N/A")</f>
        <v>1.3253886116902056</v>
      </c>
    </row>
    <row r="65" spans="2:9" ht="14" x14ac:dyDescent="0.3">
      <c r="B65" s="4" t="s">
        <v>168</v>
      </c>
      <c r="C65" s="5">
        <f>IFERROR($C$60/$C$18,"N/A")</f>
        <v>4600196.5274992101</v>
      </c>
      <c r="D65" s="14">
        <f>IFERROR(C65/'DCF Model'!C17,"N/A")</f>
        <v>0.99469580096278332</v>
      </c>
    </row>
    <row r="66" spans="2:9" ht="14" x14ac:dyDescent="0.3">
      <c r="B66" s="31">
        <v>0.1231</v>
      </c>
      <c r="C66" s="5">
        <f>IFERROR($C$60/B66,"N/A")</f>
        <v>3679728.0324974968</v>
      </c>
      <c r="D66" s="14">
        <f>IFERROR(C66/'DCF Model'!C17,"N/A")</f>
        <v>0.79566383756219483</v>
      </c>
    </row>
    <row r="67" spans="2:9" ht="14" x14ac:dyDescent="0.3">
      <c r="B67" s="31">
        <v>0.1477</v>
      </c>
      <c r="C67" s="5">
        <f>IFERROR($C$60/B67,"N/A")</f>
        <v>3066855.252541922</v>
      </c>
      <c r="D67" s="14">
        <f>IFERROR(C67/'DCF Model'!C17,"N/A")</f>
        <v>0.66314298174614894</v>
      </c>
    </row>
    <row r="69" spans="2:9" ht="14" x14ac:dyDescent="0.3">
      <c r="B69" s="8" t="s">
        <v>169</v>
      </c>
      <c r="C69" s="9"/>
      <c r="D69" s="9"/>
      <c r="E69" s="9"/>
      <c r="F69" s="9"/>
      <c r="G69" s="9"/>
      <c r="H69" s="9"/>
      <c r="I69" s="9"/>
    </row>
    <row r="70" spans="2:9" ht="13.5" x14ac:dyDescent="0.25">
      <c r="B70" s="6" t="s">
        <v>170</v>
      </c>
      <c r="C70" s="14">
        <f>IFERROR(C10/'Comps Analysis'!G5,"N/A")</f>
        <v>6.125629928825008</v>
      </c>
    </row>
    <row r="71" spans="2:9" ht="13.5" x14ac:dyDescent="0.25">
      <c r="B71" s="6" t="s">
        <v>171</v>
      </c>
      <c r="C71" s="14">
        <f>IFERROR(C10/'Comps Analysis'!F5,"N/A")</f>
        <v>0.92005902509272441</v>
      </c>
    </row>
    <row r="72" spans="2:9" ht="14" x14ac:dyDescent="0.3">
      <c r="B72" s="4" t="s">
        <v>172</v>
      </c>
      <c r="C72" s="14">
        <f>IFERROR(C10/(C25+'DCF Model'!G42),"N/A")</f>
        <v>6.0213645317966602</v>
      </c>
    </row>
    <row r="73" spans="2:9" ht="14" x14ac:dyDescent="0.3">
      <c r="B73" s="4" t="s">
        <v>173</v>
      </c>
      <c r="C73" s="14">
        <f>IFERROR(C10/(C60+'DCF Model'!G42),"N/A")</f>
        <v>5.9007394996492293</v>
      </c>
    </row>
    <row r="74" spans="2:9" ht="14" x14ac:dyDescent="0.3">
      <c r="B74" s="4" t="s">
        <v>174</v>
      </c>
      <c r="C74" s="14">
        <f>IFERROR('Comps Analysis'!D16,"N/A")</f>
        <v>7.819779267887113</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4,615 yen the market is paying for a steady-state operating profit of 452,975 mn JPY - 0.99x the FY2025 cycle peak of 455,390 mn - reached in 5 years and sustained for ever, against 455,390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438,529 mn, or 0.96x the peak. The base case supports an EV of only 4,204,840 mn, leaving 59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57.914831513297969</v>
      </c>
      <c r="D5" s="34">
        <f>CHOOSE('DCF Model'!$D$27,D25,D26,D27,D28,D29)</f>
        <v>57</v>
      </c>
      <c r="E5" s="34">
        <f>CHOOSE('DCF Model'!$D$27,E25,E26,E27,E28,E29)</f>
        <v>57</v>
      </c>
      <c r="F5" s="34">
        <f>CHOOSE('DCF Model'!$D$27,F25,F26,F27,F28,F29)</f>
        <v>57</v>
      </c>
      <c r="G5" s="34">
        <f>CHOOSE('DCF Model'!$D$27,G25,G26,G27,G28,G29)</f>
        <v>57</v>
      </c>
      <c r="H5" s="34">
        <f>CHOOSE('DCF Model'!$D$27,H25,H26,H27,H28,H29)</f>
        <v>57</v>
      </c>
    </row>
    <row r="6" spans="2:8" ht="14" x14ac:dyDescent="0.3">
      <c r="B6" s="33" t="s">
        <v>181</v>
      </c>
      <c r="C6" s="34">
        <f>C13/C10*365</f>
        <v>124.55981511889853</v>
      </c>
      <c r="D6" s="34">
        <f>CHOOSE('DCF Model'!$D$27,D32,D33,D34,D35,D36)</f>
        <v>130</v>
      </c>
      <c r="E6" s="34">
        <f>CHOOSE('DCF Model'!$D$27,E32,E33,E34,E35,E36)</f>
        <v>130</v>
      </c>
      <c r="F6" s="34">
        <f>CHOOSE('DCF Model'!$D$27,F32,F33,F34,F35,F36)</f>
        <v>130</v>
      </c>
      <c r="G6" s="34">
        <f>CHOOSE('DCF Model'!$D$27,G32,G33,G34,G35,G36)</f>
        <v>130</v>
      </c>
      <c r="H6" s="34">
        <f>CHOOSE('DCF Model'!$D$27,H32,H33,H34,H35,H36)</f>
        <v>130</v>
      </c>
    </row>
    <row r="7" spans="2:8" ht="14" x14ac:dyDescent="0.3">
      <c r="B7" s="33" t="s">
        <v>182</v>
      </c>
      <c r="C7" s="34">
        <f>C15/C10*365</f>
        <v>46.06747193812501</v>
      </c>
      <c r="D7" s="34">
        <f>CHOOSE('DCF Model'!$D$27,D39,D40,D41,D42,D43)</f>
        <v>53</v>
      </c>
      <c r="E7" s="34">
        <f>CHOOSE('DCF Model'!$D$27,E39,E40,E41,E42,E43)</f>
        <v>53</v>
      </c>
      <c r="F7" s="34">
        <f>CHOOSE('DCF Model'!$D$27,F39,F40,F41,F42,F43)</f>
        <v>53</v>
      </c>
      <c r="G7" s="34">
        <f>CHOOSE('DCF Model'!$D$27,G39,G40,G41,G42,G43)</f>
        <v>53</v>
      </c>
      <c r="H7" s="34">
        <f>CHOOSE('DCF Model'!$D$27,H39,H40,H41,H42,H43)</f>
        <v>53</v>
      </c>
    </row>
    <row r="8" spans="2:8" ht="14" x14ac:dyDescent="0.3">
      <c r="B8" s="8" t="s">
        <v>183</v>
      </c>
      <c r="C8" s="9"/>
      <c r="D8" s="9"/>
      <c r="E8" s="9"/>
      <c r="F8" s="9"/>
      <c r="G8" s="9"/>
      <c r="H8" s="9"/>
    </row>
    <row r="9" spans="2:8" ht="14" x14ac:dyDescent="0.3">
      <c r="B9" s="33" t="s">
        <v>37</v>
      </c>
      <c r="C9" s="35">
        <v>4624727</v>
      </c>
      <c r="D9" s="35">
        <f>'DCF Model'!C33</f>
        <v>4740345.1749999998</v>
      </c>
      <c r="E9" s="35">
        <f>'DCF Model'!D33</f>
        <v>4858853.8043749994</v>
      </c>
      <c r="F9" s="35">
        <f>'DCF Model'!E33</f>
        <v>4956030.8804624993</v>
      </c>
      <c r="G9" s="35">
        <f>'DCF Model'!F33</f>
        <v>5055151.4980717497</v>
      </c>
      <c r="H9" s="35">
        <f>'DCF Model'!G33</f>
        <v>5156254.5280331848</v>
      </c>
    </row>
    <row r="10" spans="2:8" ht="14" x14ac:dyDescent="0.3">
      <c r="B10" s="33" t="s">
        <v>38</v>
      </c>
      <c r="C10" s="35">
        <v>2462772</v>
      </c>
      <c r="D10" s="35">
        <f>'DCF Model'!C34</f>
        <v>2526603.9782750001</v>
      </c>
      <c r="E10" s="35">
        <f>'DCF Model'!D34</f>
        <v>2589769.0777318748</v>
      </c>
      <c r="F10" s="35">
        <f>'DCF Model'!E34</f>
        <v>2641564.4592865123</v>
      </c>
      <c r="G10" s="35">
        <f>'DCF Model'!F34</f>
        <v>2694395.7484722426</v>
      </c>
      <c r="H10" s="35">
        <f>'DCF Model'!G34</f>
        <v>2748283.6634416878</v>
      </c>
    </row>
    <row r="11" spans="2:8" ht="14" x14ac:dyDescent="0.3">
      <c r="B11" s="8" t="s">
        <v>184</v>
      </c>
      <c r="C11" s="9"/>
      <c r="D11" s="9"/>
      <c r="E11" s="9"/>
      <c r="F11" s="9"/>
      <c r="G11" s="9"/>
      <c r="H11" s="9"/>
    </row>
    <row r="12" spans="2:8" ht="14" x14ac:dyDescent="0.3">
      <c r="B12" s="33" t="s">
        <v>185</v>
      </c>
      <c r="C12" s="35">
        <v>733809</v>
      </c>
      <c r="D12" s="35">
        <f t="shared" ref="D12:H13" si="0">D9*D5/365</f>
        <v>740273.0821232876</v>
      </c>
      <c r="E12" s="35">
        <f t="shared" si="0"/>
        <v>758779.90917636978</v>
      </c>
      <c r="F12" s="35">
        <f t="shared" si="0"/>
        <v>773955.50735989714</v>
      </c>
      <c r="G12" s="35">
        <f t="shared" si="0"/>
        <v>789434.61750709522</v>
      </c>
      <c r="H12" s="35">
        <f t="shared" si="0"/>
        <v>805223.30985723704</v>
      </c>
    </row>
    <row r="13" spans="2:8" ht="14" x14ac:dyDescent="0.3">
      <c r="B13" s="33" t="s">
        <v>186</v>
      </c>
      <c r="C13" s="35">
        <v>840445</v>
      </c>
      <c r="D13" s="35">
        <f t="shared" si="0"/>
        <v>899886.34842671233</v>
      </c>
      <c r="E13" s="35">
        <f t="shared" si="0"/>
        <v>922383.50713738007</v>
      </c>
      <c r="F13" s="35">
        <f t="shared" si="0"/>
        <v>940831.17728012765</v>
      </c>
      <c r="G13" s="35">
        <f t="shared" si="0"/>
        <v>959647.8008257302</v>
      </c>
      <c r="H13" s="35">
        <f t="shared" si="0"/>
        <v>978840.756842245</v>
      </c>
    </row>
    <row r="14" spans="2:8" ht="14" x14ac:dyDescent="0.3">
      <c r="B14" s="33" t="s">
        <v>187</v>
      </c>
      <c r="C14" s="35">
        <f t="shared" ref="C14:H14" si="1">C12+C13</f>
        <v>1574254</v>
      </c>
      <c r="D14" s="35">
        <f t="shared" si="1"/>
        <v>1640159.4305499999</v>
      </c>
      <c r="E14" s="35">
        <f t="shared" si="1"/>
        <v>1681163.4163137497</v>
      </c>
      <c r="F14" s="35">
        <f t="shared" si="1"/>
        <v>1714786.6846400248</v>
      </c>
      <c r="G14" s="35">
        <f t="shared" si="1"/>
        <v>1749082.4183328254</v>
      </c>
      <c r="H14" s="35">
        <f t="shared" si="1"/>
        <v>1784064.066699482</v>
      </c>
    </row>
    <row r="15" spans="2:8" ht="14" x14ac:dyDescent="0.3">
      <c r="B15" s="33" t="s">
        <v>188</v>
      </c>
      <c r="C15" s="35">
        <v>310832</v>
      </c>
      <c r="D15" s="35">
        <f>D10*D7/365</f>
        <v>366876.74205089046</v>
      </c>
      <c r="E15" s="35">
        <f>E10*E7/365</f>
        <v>376048.66060216265</v>
      </c>
      <c r="F15" s="35">
        <f>F10*F7/365</f>
        <v>383569.63381420588</v>
      </c>
      <c r="G15" s="35">
        <f>G10*G7/365</f>
        <v>391241.02649049001</v>
      </c>
      <c r="H15" s="35">
        <f>H10*H7/365</f>
        <v>399065.84702029987</v>
      </c>
    </row>
    <row r="16" spans="2:8" ht="14" x14ac:dyDescent="0.3">
      <c r="B16" s="33" t="s">
        <v>189</v>
      </c>
      <c r="C16" s="35">
        <f t="shared" ref="C16:H16" si="2">C15</f>
        <v>310832</v>
      </c>
      <c r="D16" s="35">
        <f t="shared" si="2"/>
        <v>366876.74205089046</v>
      </c>
      <c r="E16" s="35">
        <f t="shared" si="2"/>
        <v>376048.66060216265</v>
      </c>
      <c r="F16" s="35">
        <f t="shared" si="2"/>
        <v>383569.63381420588</v>
      </c>
      <c r="G16" s="35">
        <f t="shared" si="2"/>
        <v>391241.02649049001</v>
      </c>
      <c r="H16" s="35">
        <f t="shared" si="2"/>
        <v>399065.84702029987</v>
      </c>
    </row>
    <row r="17" spans="2:8" ht="14" x14ac:dyDescent="0.3">
      <c r="B17" s="22" t="s">
        <v>190</v>
      </c>
      <c r="C17" s="23"/>
      <c r="D17" s="23"/>
      <c r="E17" s="23"/>
      <c r="F17" s="23"/>
      <c r="G17" s="23"/>
      <c r="H17" s="23"/>
    </row>
    <row r="18" spans="2:8" ht="14" x14ac:dyDescent="0.3">
      <c r="B18" s="33" t="s">
        <v>191</v>
      </c>
      <c r="C18" s="20">
        <f t="shared" ref="C18:H18" si="3">C14-C16</f>
        <v>1263422</v>
      </c>
      <c r="D18" s="20">
        <f t="shared" si="3"/>
        <v>1273282.6884991094</v>
      </c>
      <c r="E18" s="20">
        <f t="shared" si="3"/>
        <v>1305114.7557115871</v>
      </c>
      <c r="F18" s="20">
        <f t="shared" si="3"/>
        <v>1331217.0508258189</v>
      </c>
      <c r="G18" s="20">
        <f t="shared" si="3"/>
        <v>1357841.3918423355</v>
      </c>
      <c r="H18" s="20">
        <f t="shared" si="3"/>
        <v>1384998.2196791822</v>
      </c>
    </row>
    <row r="19" spans="2:8" ht="14" x14ac:dyDescent="0.3">
      <c r="B19" s="33" t="s">
        <v>100</v>
      </c>
      <c r="C19" s="36" t="s">
        <v>47</v>
      </c>
      <c r="D19" s="24">
        <f>D18-C18</f>
        <v>9860.6884991093539</v>
      </c>
      <c r="E19" s="24">
        <f>E18-D18</f>
        <v>31832.067212477792</v>
      </c>
      <c r="F19" s="24">
        <f>F18-E18</f>
        <v>26102.295114231762</v>
      </c>
      <c r="G19" s="24">
        <f>G18-F18</f>
        <v>26624.341016516555</v>
      </c>
      <c r="H19" s="24">
        <f>H18-G18</f>
        <v>27156.8278368467</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57</v>
      </c>
      <c r="E25" s="30">
        <v>57</v>
      </c>
      <c r="F25" s="30">
        <v>57</v>
      </c>
      <c r="G25" s="30">
        <v>57</v>
      </c>
      <c r="H25" s="30">
        <v>57</v>
      </c>
    </row>
    <row r="26" spans="2:8" ht="14" x14ac:dyDescent="0.3">
      <c r="B26" s="4" t="s">
        <v>121</v>
      </c>
      <c r="D26" s="30">
        <v>55</v>
      </c>
      <c r="E26" s="30">
        <v>55</v>
      </c>
      <c r="F26" s="30">
        <v>55</v>
      </c>
      <c r="G26" s="30">
        <v>55</v>
      </c>
      <c r="H26" s="30">
        <v>55</v>
      </c>
    </row>
    <row r="27" spans="2:8" ht="14" x14ac:dyDescent="0.3">
      <c r="B27" s="4" t="s">
        <v>122</v>
      </c>
      <c r="D27" s="30">
        <v>57</v>
      </c>
      <c r="E27" s="30">
        <v>57</v>
      </c>
      <c r="F27" s="30">
        <v>57</v>
      </c>
      <c r="G27" s="30">
        <v>57</v>
      </c>
      <c r="H27" s="30">
        <v>57</v>
      </c>
    </row>
    <row r="28" spans="2:8" ht="14" x14ac:dyDescent="0.3">
      <c r="B28" s="4" t="s">
        <v>123</v>
      </c>
      <c r="D28" s="30">
        <v>60</v>
      </c>
      <c r="E28" s="30">
        <v>60</v>
      </c>
      <c r="F28" s="30">
        <v>60</v>
      </c>
      <c r="G28" s="30">
        <v>60</v>
      </c>
      <c r="H28" s="30">
        <v>60</v>
      </c>
    </row>
    <row r="29" spans="2:8" ht="14" x14ac:dyDescent="0.3">
      <c r="B29" s="4" t="s">
        <v>124</v>
      </c>
      <c r="D29" s="30">
        <v>64</v>
      </c>
      <c r="E29" s="30">
        <v>64</v>
      </c>
      <c r="F29" s="30">
        <v>64</v>
      </c>
      <c r="G29" s="30">
        <v>64</v>
      </c>
      <c r="H29" s="30">
        <v>64</v>
      </c>
    </row>
    <row r="31" spans="2:8" ht="14" x14ac:dyDescent="0.3">
      <c r="B31" s="3" t="s">
        <v>194</v>
      </c>
    </row>
    <row r="32" spans="2:8" ht="14" x14ac:dyDescent="0.3">
      <c r="B32" s="4" t="s">
        <v>84</v>
      </c>
      <c r="D32" s="30">
        <v>130</v>
      </c>
      <c r="E32" s="30">
        <v>130</v>
      </c>
      <c r="F32" s="30">
        <v>130</v>
      </c>
      <c r="G32" s="30">
        <v>130</v>
      </c>
      <c r="H32" s="30">
        <v>130</v>
      </c>
    </row>
    <row r="33" spans="2:8" ht="14" x14ac:dyDescent="0.3">
      <c r="B33" s="4" t="s">
        <v>121</v>
      </c>
      <c r="D33" s="30">
        <v>124</v>
      </c>
      <c r="E33" s="30">
        <v>124</v>
      </c>
      <c r="F33" s="30">
        <v>124</v>
      </c>
      <c r="G33" s="30">
        <v>124</v>
      </c>
      <c r="H33" s="30">
        <v>124</v>
      </c>
    </row>
    <row r="34" spans="2:8" ht="14" x14ac:dyDescent="0.3">
      <c r="B34" s="4" t="s">
        <v>122</v>
      </c>
      <c r="D34" s="30">
        <v>130</v>
      </c>
      <c r="E34" s="30">
        <v>130</v>
      </c>
      <c r="F34" s="30">
        <v>130</v>
      </c>
      <c r="G34" s="30">
        <v>130</v>
      </c>
      <c r="H34" s="30">
        <v>130</v>
      </c>
    </row>
    <row r="35" spans="2:8" ht="14" x14ac:dyDescent="0.3">
      <c r="B35" s="4" t="s">
        <v>123</v>
      </c>
      <c r="D35" s="30">
        <v>136</v>
      </c>
      <c r="E35" s="30">
        <v>136</v>
      </c>
      <c r="F35" s="30">
        <v>136</v>
      </c>
      <c r="G35" s="30">
        <v>136</v>
      </c>
      <c r="H35" s="30">
        <v>136</v>
      </c>
    </row>
    <row r="36" spans="2:8" ht="14" x14ac:dyDescent="0.3">
      <c r="B36" s="4" t="s">
        <v>124</v>
      </c>
      <c r="D36" s="30">
        <v>145</v>
      </c>
      <c r="E36" s="30">
        <v>145</v>
      </c>
      <c r="F36" s="30">
        <v>145</v>
      </c>
      <c r="G36" s="30">
        <v>145</v>
      </c>
      <c r="H36" s="30">
        <v>145</v>
      </c>
    </row>
    <row r="38" spans="2:8" ht="14" x14ac:dyDescent="0.3">
      <c r="B38" s="3" t="s">
        <v>195</v>
      </c>
    </row>
    <row r="39" spans="2:8" ht="14" x14ac:dyDescent="0.3">
      <c r="B39" s="4" t="s">
        <v>84</v>
      </c>
      <c r="D39" s="30">
        <v>53</v>
      </c>
      <c r="E39" s="30">
        <v>53</v>
      </c>
      <c r="F39" s="30">
        <v>53</v>
      </c>
      <c r="G39" s="30">
        <v>53</v>
      </c>
      <c r="H39" s="30">
        <v>53</v>
      </c>
    </row>
    <row r="40" spans="2:8" ht="14" x14ac:dyDescent="0.3">
      <c r="B40" s="4" t="s">
        <v>121</v>
      </c>
      <c r="D40" s="30">
        <v>55</v>
      </c>
      <c r="E40" s="30">
        <v>55</v>
      </c>
      <c r="F40" s="30">
        <v>55</v>
      </c>
      <c r="G40" s="30">
        <v>55</v>
      </c>
      <c r="H40" s="30">
        <v>55</v>
      </c>
    </row>
    <row r="41" spans="2:8" ht="14" x14ac:dyDescent="0.3">
      <c r="B41" s="4" t="s">
        <v>122</v>
      </c>
      <c r="D41" s="30">
        <v>53</v>
      </c>
      <c r="E41" s="30">
        <v>53</v>
      </c>
      <c r="F41" s="30">
        <v>53</v>
      </c>
      <c r="G41" s="30">
        <v>53</v>
      </c>
      <c r="H41" s="30">
        <v>53</v>
      </c>
    </row>
    <row r="42" spans="2:8" ht="14" x14ac:dyDescent="0.3">
      <c r="B42" s="4" t="s">
        <v>123</v>
      </c>
      <c r="D42" s="30">
        <v>51</v>
      </c>
      <c r="E42" s="30">
        <v>51</v>
      </c>
      <c r="F42" s="30">
        <v>51</v>
      </c>
      <c r="G42" s="30">
        <v>51</v>
      </c>
      <c r="H42" s="30">
        <v>51</v>
      </c>
    </row>
    <row r="43" spans="2:8" ht="14" x14ac:dyDescent="0.3">
      <c r="B43" s="4" t="s">
        <v>124</v>
      </c>
      <c r="D43" s="30">
        <v>48</v>
      </c>
      <c r="E43" s="30">
        <v>48</v>
      </c>
      <c r="F43" s="30">
        <v>48</v>
      </c>
      <c r="G43" s="30">
        <v>48</v>
      </c>
      <c r="H43" s="30">
        <v>48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3894843.81494</v>
      </c>
      <c r="E5" s="37">
        <f>D5+C24</f>
        <v>4255021.81494</v>
      </c>
      <c r="F5" s="37">
        <v>4624727</v>
      </c>
      <c r="G5" s="37">
        <v>694626</v>
      </c>
      <c r="H5" s="37">
        <v>455390</v>
      </c>
      <c r="I5" s="37">
        <v>332053</v>
      </c>
      <c r="J5" s="38">
        <f t="shared" ref="J5:J10" si="0">IFERROR(E5/G5,"")</f>
        <v>6.125629928825008</v>
      </c>
      <c r="K5" s="38">
        <f t="shared" ref="K5:K10" si="1">IFERROR(E5/F5,"")</f>
        <v>0.92005902509272441</v>
      </c>
      <c r="L5" s="38">
        <f t="shared" ref="L5:L10" si="2">IFERROR(D5/I5,"")</f>
        <v>11.729584779959826</v>
      </c>
      <c r="M5" s="38">
        <f t="shared" ref="M5:M10" si="3">IFERROR(D5/P5,"")</f>
        <v>1.1154232463354228</v>
      </c>
      <c r="N5" s="39">
        <f t="shared" ref="N5:N10" si="4">IFERROR(H5/F5,"")</f>
        <v>9.846851500639929E-2</v>
      </c>
      <c r="O5" s="39">
        <f t="shared" ref="O5:O10" si="5">IFERROR(I5/P5,"")</f>
        <v>9.5094862031360264E-2</v>
      </c>
      <c r="P5" s="37">
        <v>3491808</v>
      </c>
    </row>
    <row r="6" spans="2:17" ht="14" x14ac:dyDescent="0.3">
      <c r="B6" s="4" t="s">
        <v>214</v>
      </c>
      <c r="C6" t="s">
        <v>215</v>
      </c>
      <c r="D6" s="37">
        <v>1037225</v>
      </c>
      <c r="E6" s="37">
        <v>980101</v>
      </c>
      <c r="F6" s="37">
        <v>1413251</v>
      </c>
      <c r="G6" s="37">
        <v>126975</v>
      </c>
      <c r="H6" s="37">
        <v>49558</v>
      </c>
      <c r="I6" s="37">
        <v>18201</v>
      </c>
      <c r="J6" s="38">
        <f t="shared" si="0"/>
        <v>7.7188501673557788</v>
      </c>
      <c r="K6" s="38">
        <f t="shared" si="1"/>
        <v>0.69350808879668224</v>
      </c>
      <c r="L6" s="38">
        <f t="shared" si="2"/>
        <v>56.987253447612765</v>
      </c>
      <c r="M6" s="38">
        <f t="shared" si="3"/>
        <v>1.2152564197196729</v>
      </c>
      <c r="N6" s="39">
        <f t="shared" si="4"/>
        <v>3.5066665440180125E-2</v>
      </c>
      <c r="O6" s="39">
        <f t="shared" si="5"/>
        <v>2.1325056853930213E-2</v>
      </c>
      <c r="P6" s="37">
        <v>853503</v>
      </c>
    </row>
    <row r="7" spans="2:17" ht="14" x14ac:dyDescent="0.3">
      <c r="B7" s="4" t="s">
        <v>216</v>
      </c>
      <c r="C7" t="s">
        <v>217</v>
      </c>
      <c r="D7" s="37">
        <v>325420</v>
      </c>
      <c r="E7" s="37">
        <v>612968</v>
      </c>
      <c r="F7" s="37">
        <v>1087738</v>
      </c>
      <c r="G7" s="37">
        <v>108552</v>
      </c>
      <c r="H7" s="37">
        <v>49869</v>
      </c>
      <c r="I7" s="37">
        <v>30268</v>
      </c>
      <c r="J7" s="38">
        <f t="shared" si="0"/>
        <v>5.6467683690765718</v>
      </c>
      <c r="K7" s="38">
        <f t="shared" si="1"/>
        <v>0.56352540777282767</v>
      </c>
      <c r="L7" s="38">
        <f t="shared" si="2"/>
        <v>10.751288489493854</v>
      </c>
      <c r="M7" s="38">
        <f t="shared" si="3"/>
        <v>0.60655539090968402</v>
      </c>
      <c r="N7" s="39">
        <f t="shared" si="4"/>
        <v>4.5846518187284073E-2</v>
      </c>
      <c r="O7" s="39">
        <f t="shared" si="5"/>
        <v>5.6416995181778361E-2</v>
      </c>
      <c r="P7" s="37">
        <v>536505</v>
      </c>
    </row>
    <row r="8" spans="2:17" ht="14" x14ac:dyDescent="0.3">
      <c r="B8" s="4" t="s">
        <v>218</v>
      </c>
      <c r="C8" t="s">
        <v>219</v>
      </c>
      <c r="D8" s="37">
        <v>1207757</v>
      </c>
      <c r="E8" s="37">
        <v>1011074</v>
      </c>
      <c r="F8" s="37">
        <v>893464</v>
      </c>
      <c r="G8" s="37">
        <v>129297</v>
      </c>
      <c r="H8" s="37">
        <v>77868</v>
      </c>
      <c r="I8" s="37">
        <v>67624</v>
      </c>
      <c r="J8" s="38">
        <f t="shared" si="0"/>
        <v>7.819779267887113</v>
      </c>
      <c r="K8" s="38">
        <f t="shared" si="1"/>
        <v>1.1316337311855877</v>
      </c>
      <c r="L8" s="38">
        <f t="shared" si="2"/>
        <v>17.859887022358926</v>
      </c>
      <c r="M8" s="38">
        <f t="shared" si="3"/>
        <v>1.582331185139864</v>
      </c>
      <c r="N8" s="39">
        <f t="shared" si="4"/>
        <v>8.7152923900683188E-2</v>
      </c>
      <c r="O8" s="39">
        <f t="shared" si="5"/>
        <v>8.8596931389259725E-2</v>
      </c>
      <c r="P8" s="37">
        <v>763277</v>
      </c>
    </row>
    <row r="9" spans="2:17" ht="14" x14ac:dyDescent="0.3">
      <c r="B9" s="4" t="s">
        <v>220</v>
      </c>
      <c r="C9" t="s">
        <v>221</v>
      </c>
      <c r="D9" s="37">
        <v>3962306</v>
      </c>
      <c r="E9" s="37">
        <v>4818766</v>
      </c>
      <c r="F9" s="37">
        <v>3356969</v>
      </c>
      <c r="G9" s="37">
        <v>522581</v>
      </c>
      <c r="H9" s="37">
        <v>350210</v>
      </c>
      <c r="I9" s="37">
        <v>276415</v>
      </c>
      <c r="J9" s="38">
        <f t="shared" si="0"/>
        <v>9.2210891708653779</v>
      </c>
      <c r="K9" s="38">
        <f t="shared" si="1"/>
        <v>1.4354514444428887</v>
      </c>
      <c r="L9" s="38">
        <f t="shared" si="2"/>
        <v>14.334627281442758</v>
      </c>
      <c r="M9" s="38">
        <f t="shared" si="3"/>
        <v>1.0319714549882149</v>
      </c>
      <c r="N9" s="39">
        <f t="shared" si="4"/>
        <v>0.10432327495428168</v>
      </c>
      <c r="O9" s="39">
        <f t="shared" si="5"/>
        <v>7.1991509421677022E-2</v>
      </c>
      <c r="P9" s="37">
        <v>3839550</v>
      </c>
    </row>
    <row r="10" spans="2:17" ht="14" x14ac:dyDescent="0.3">
      <c r="B10" s="4" t="s">
        <v>222</v>
      </c>
      <c r="C10" t="s">
        <v>223</v>
      </c>
      <c r="D10" s="37">
        <v>4475178</v>
      </c>
      <c r="E10" s="37">
        <v>4352015</v>
      </c>
      <c r="F10" s="37">
        <v>2070203</v>
      </c>
      <c r="G10" s="37">
        <v>253210</v>
      </c>
      <c r="H10" s="37">
        <v>95021</v>
      </c>
      <c r="I10" s="37">
        <v>140969</v>
      </c>
      <c r="J10" s="38">
        <f t="shared" si="0"/>
        <v>17.187374116346117</v>
      </c>
      <c r="K10" s="38">
        <f t="shared" si="1"/>
        <v>2.1022165459136133</v>
      </c>
      <c r="L10" s="38">
        <f t="shared" si="2"/>
        <v>31.745830643616681</v>
      </c>
      <c r="M10" s="38">
        <f t="shared" si="3"/>
        <v>1.3401019515001209</v>
      </c>
      <c r="N10" s="39">
        <f t="shared" si="4"/>
        <v>4.5899363492372489E-2</v>
      </c>
      <c r="O10" s="39">
        <f t="shared" si="5"/>
        <v>4.2213478883079185E-2</v>
      </c>
      <c r="P10" s="37">
        <v>3339431</v>
      </c>
    </row>
    <row r="14" spans="2:17" ht="14" x14ac:dyDescent="0.3">
      <c r="B14" s="3" t="s">
        <v>224</v>
      </c>
    </row>
    <row r="15" spans="2:17" ht="14" x14ac:dyDescent="0.3">
      <c r="B15" s="4" t="s">
        <v>225</v>
      </c>
      <c r="D15" s="38">
        <f t="shared" ref="D15:I15" si="6">PERCENTILE(J6:J10,0.25)</f>
        <v>7.7188501673557788</v>
      </c>
      <c r="E15" s="38">
        <f t="shared" si="6"/>
        <v>0.69350808879668224</v>
      </c>
      <c r="F15" s="38">
        <f t="shared" si="6"/>
        <v>14.334627281442758</v>
      </c>
      <c r="G15" s="38">
        <f t="shared" si="6"/>
        <v>1.0319714549882149</v>
      </c>
      <c r="H15" s="39">
        <f t="shared" si="6"/>
        <v>4.5846518187284073E-2</v>
      </c>
      <c r="I15" s="39">
        <f t="shared" si="6"/>
        <v>4.2213478883079185E-2</v>
      </c>
    </row>
    <row r="16" spans="2:17" ht="14" x14ac:dyDescent="0.3">
      <c r="B16" s="4" t="s">
        <v>226</v>
      </c>
      <c r="D16" s="38">
        <f t="shared" ref="D16:I16" si="7">MEDIAN(J6:J10)</f>
        <v>7.819779267887113</v>
      </c>
      <c r="E16" s="38">
        <f t="shared" si="7"/>
        <v>1.1316337311855877</v>
      </c>
      <c r="F16" s="38">
        <f t="shared" si="7"/>
        <v>17.859887022358926</v>
      </c>
      <c r="G16" s="38">
        <f t="shared" si="7"/>
        <v>1.2152564197196729</v>
      </c>
      <c r="H16" s="39">
        <f t="shared" si="7"/>
        <v>4.5899363492372489E-2</v>
      </c>
      <c r="I16" s="39">
        <f t="shared" si="7"/>
        <v>5.6416995181778361E-2</v>
      </c>
    </row>
    <row r="17" spans="2:9" ht="14" x14ac:dyDescent="0.3">
      <c r="B17" s="4" t="s">
        <v>227</v>
      </c>
      <c r="D17" s="38">
        <f t="shared" ref="D17:I17" si="8">PERCENTILE(J6:J10,0.75)</f>
        <v>9.2210891708653779</v>
      </c>
      <c r="E17" s="38">
        <f t="shared" si="8"/>
        <v>1.4354514444428887</v>
      </c>
      <c r="F17" s="38">
        <f t="shared" si="8"/>
        <v>31.745830643616681</v>
      </c>
      <c r="G17" s="38">
        <f t="shared" si="8"/>
        <v>1.3401019515001209</v>
      </c>
      <c r="H17" s="39">
        <f t="shared" si="8"/>
        <v>8.7152923900683188E-2</v>
      </c>
      <c r="I17" s="39">
        <f t="shared" si="8"/>
        <v>7.1991509421677022E-2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694626</v>
      </c>
    </row>
    <row r="22" spans="2:9" ht="14" x14ac:dyDescent="0.3">
      <c r="B22" s="4" t="s">
        <v>231</v>
      </c>
      <c r="C22" s="5">
        <v>262055</v>
      </c>
    </row>
    <row r="23" spans="2:9" ht="14" x14ac:dyDescent="0.3">
      <c r="B23" s="4" t="s">
        <v>232</v>
      </c>
      <c r="C23" s="15">
        <v>843953156</v>
      </c>
    </row>
    <row r="24" spans="2:9" ht="14" x14ac:dyDescent="0.3">
      <c r="B24" s="4" t="s">
        <v>73</v>
      </c>
      <c r="C24" s="5">
        <v>360178</v>
      </c>
    </row>
    <row r="26" spans="2:9" ht="14" x14ac:dyDescent="0.3">
      <c r="B26" s="3" t="s">
        <v>233</v>
      </c>
    </row>
    <row r="27" spans="2:9" ht="14" x14ac:dyDescent="0.3">
      <c r="B27" s="4" t="s">
        <v>234</v>
      </c>
      <c r="C27" s="24">
        <f>ROUND((C21*D16-C24)*1000000/C23,0)</f>
        <v>6009</v>
      </c>
    </row>
    <row r="28" spans="2:9" ht="14" x14ac:dyDescent="0.3">
      <c r="B28" s="4" t="s">
        <v>235</v>
      </c>
      <c r="C28" s="24">
        <f>ROUND(C22*F16*1000000/C23,0)</f>
        <v>5546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8.7296109839816921E-2</v>
      </c>
      <c r="E3" s="4" t="s">
        <v>238</v>
      </c>
      <c r="F3" s="16">
        <f>'DCF Model'!C13</f>
        <v>0.01</v>
      </c>
      <c r="H3" s="4" t="s">
        <v>239</v>
      </c>
      <c r="I3" s="14">
        <f>'DCF Model'!C14</f>
        <v>7.8</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7.2296109839816922E-2</v>
      </c>
      <c r="C7" s="37">
        <f>IFERROR(ROUND(('DCF Model'!C45/(1+$B7)^('DCF Model'!C19+0)+'DCF Model'!D45/(1+$B7)^('DCF Model'!C19+1)+'DCF Model'!E45/(1+$B7)^('DCF Model'!C19+2)+'DCF Model'!F45/(1+$B7)^('DCF Model'!C19+3)+'DCF Model'!G45/(1+$B7)^('DCF Model'!C19+4)+'DCF Model'!G45*(1+C$6)/($B7-C$6)/(1+$B7)^('DCF Model'!C19+4)-'DCF Model'!C16)*1000000/'DCF Model'!C15,0),"")</f>
        <v>5238</v>
      </c>
      <c r="D7" s="37">
        <f>IFERROR(ROUND(('DCF Model'!C45/(1+$B7)^('DCF Model'!C19+0)+'DCF Model'!D45/(1+$B7)^('DCF Model'!C19+1)+'DCF Model'!E45/(1+$B7)^('DCF Model'!C19+2)+'DCF Model'!F45/(1+$B7)^('DCF Model'!C19+3)+'DCF Model'!G45/(1+$B7)^('DCF Model'!C19+4)+'DCF Model'!G45*(1+D$6)/($B7-D$6)/(1+$B7)^('DCF Model'!C19+4)-'DCF Model'!C16)*1000000/'DCF Model'!C15,0),"")</f>
        <v>5401</v>
      </c>
      <c r="E7" s="37">
        <f>IFERROR(ROUND(('DCF Model'!C45/(1+$B7)^('DCF Model'!C19+0)+'DCF Model'!D45/(1+$B7)^('DCF Model'!C19+1)+'DCF Model'!E45/(1+$B7)^('DCF Model'!C19+2)+'DCF Model'!F45/(1+$B7)^('DCF Model'!C19+3)+'DCF Model'!G45/(1+$B7)^('DCF Model'!C19+4)+'DCF Model'!G45*(1+E$6)/($B7-E$6)/(1+$B7)^('DCF Model'!C19+4)-'DCF Model'!C16)*1000000/'DCF Model'!C15,0),"")</f>
        <v>5577</v>
      </c>
      <c r="F7" s="37">
        <f>IFERROR(ROUND(('DCF Model'!C45/(1+$B7)^('DCF Model'!C19+0)+'DCF Model'!D45/(1+$B7)^('DCF Model'!C19+1)+'DCF Model'!E45/(1+$B7)^('DCF Model'!C19+2)+'DCF Model'!F45/(1+$B7)^('DCF Model'!C19+3)+'DCF Model'!G45/(1+$B7)^('DCF Model'!C19+4)+'DCF Model'!G45*(1+F$6)/($B7-F$6)/(1+$B7)^('DCF Model'!C19+4)-'DCF Model'!C16)*1000000/'DCF Model'!C15,0),"")</f>
        <v>5767</v>
      </c>
      <c r="G7" s="37">
        <f>IFERROR(ROUND(('DCF Model'!C45/(1+$B7)^('DCF Model'!C19+0)+'DCF Model'!D45/(1+$B7)^('DCF Model'!C19+1)+'DCF Model'!E45/(1+$B7)^('DCF Model'!C19+2)+'DCF Model'!F45/(1+$B7)^('DCF Model'!C19+3)+'DCF Model'!G45/(1+$B7)^('DCF Model'!C19+4)+'DCF Model'!G45*(1+G$6)/($B7-G$6)/(1+$B7)^('DCF Model'!C19+4)-'DCF Model'!C16)*1000000/'DCF Model'!C15,0),"")</f>
        <v>5972</v>
      </c>
      <c r="H7" s="37">
        <f>IFERROR(ROUND(('DCF Model'!C45/(1+$B7)^('DCF Model'!C19+0)+'DCF Model'!D45/(1+$B7)^('DCF Model'!C19+1)+'DCF Model'!E45/(1+$B7)^('DCF Model'!C19+2)+'DCF Model'!F45/(1+$B7)^('DCF Model'!C19+3)+'DCF Model'!G45/(1+$B7)^('DCF Model'!C19+4)+'DCF Model'!G45*(1+H$6)/($B7-H$6)/(1+$B7)^('DCF Model'!C19+4)-'DCF Model'!C16)*1000000/'DCF Model'!C15,0),"")</f>
        <v>6196</v>
      </c>
      <c r="I7" s="37">
        <f>IFERROR(ROUND(('DCF Model'!C45/(1+$B7)^('DCF Model'!C19+0)+'DCF Model'!D45/(1+$B7)^('DCF Model'!C19+1)+'DCF Model'!E45/(1+$B7)^('DCF Model'!C19+2)+'DCF Model'!F45/(1+$B7)^('DCF Model'!C19+3)+'DCF Model'!G45/(1+$B7)^('DCF Model'!C19+4)+'DCF Model'!G45*(1+I$6)/($B7-I$6)/(1+$B7)^('DCF Model'!C19+4)-'DCF Model'!C16)*1000000/'DCF Model'!C15,0),"")</f>
        <v>6440</v>
      </c>
    </row>
    <row r="8" spans="2:9" ht="13.5" x14ac:dyDescent="0.25">
      <c r="B8" s="39">
        <f>$C$3-0.01</f>
        <v>7.7296109839816926E-2</v>
      </c>
      <c r="C8" s="37">
        <f>IFERROR(ROUND(('DCF Model'!C45/(1+$B8)^('DCF Model'!C19+0)+'DCF Model'!D45/(1+$B8)^('DCF Model'!C19+1)+'DCF Model'!E45/(1+$B8)^('DCF Model'!C19+2)+'DCF Model'!F45/(1+$B8)^('DCF Model'!C19+3)+'DCF Model'!G45/(1+$B8)^('DCF Model'!C19+4)+'DCF Model'!G45*(1+C$6)/($B8-C$6)/(1+$B8)^('DCF Model'!C19+4)-'DCF Model'!C16)*1000000/'DCF Model'!C15,0),"")</f>
        <v>4855</v>
      </c>
      <c r="D8" s="37">
        <f>IFERROR(ROUND(('DCF Model'!C45/(1+$B8)^('DCF Model'!C19+0)+'DCF Model'!D45/(1+$B8)^('DCF Model'!C19+1)+'DCF Model'!E45/(1+$B8)^('DCF Model'!C19+2)+'DCF Model'!F45/(1+$B8)^('DCF Model'!C19+3)+'DCF Model'!G45/(1+$B8)^('DCF Model'!C19+4)+'DCF Model'!G45*(1+D$6)/($B8-D$6)/(1+$B8)^('DCF Model'!C19+4)-'DCF Model'!C16)*1000000/'DCF Model'!C15,0),"")</f>
        <v>4994</v>
      </c>
      <c r="E8" s="37">
        <f>IFERROR(ROUND(('DCF Model'!C45/(1+$B8)^('DCF Model'!C19+0)+'DCF Model'!D45/(1+$B8)^('DCF Model'!C19+1)+'DCF Model'!E45/(1+$B8)^('DCF Model'!C19+2)+'DCF Model'!F45/(1+$B8)^('DCF Model'!C19+3)+'DCF Model'!G45/(1+$B8)^('DCF Model'!C19+4)+'DCF Model'!G45*(1+E$6)/($B8-E$6)/(1+$B8)^('DCF Model'!C19+4)-'DCF Model'!C16)*1000000/'DCF Model'!C15,0),"")</f>
        <v>5143</v>
      </c>
      <c r="F8" s="37">
        <f>IFERROR(ROUND(('DCF Model'!C45/(1+$B8)^('DCF Model'!C19+0)+'DCF Model'!D45/(1+$B8)^('DCF Model'!C19+1)+'DCF Model'!E45/(1+$B8)^('DCF Model'!C19+2)+'DCF Model'!F45/(1+$B8)^('DCF Model'!C19+3)+'DCF Model'!G45/(1+$B8)^('DCF Model'!C19+4)+'DCF Model'!G45*(1+F$6)/($B8-F$6)/(1+$B8)^('DCF Model'!C19+4)-'DCF Model'!C16)*1000000/'DCF Model'!C15,0),"")</f>
        <v>5303</v>
      </c>
      <c r="G8" s="37">
        <f>IFERROR(ROUND(('DCF Model'!C45/(1+$B8)^('DCF Model'!C19+0)+'DCF Model'!D45/(1+$B8)^('DCF Model'!C19+1)+'DCF Model'!E45/(1+$B8)^('DCF Model'!C19+2)+'DCF Model'!F45/(1+$B8)^('DCF Model'!C19+3)+'DCF Model'!G45/(1+$B8)^('DCF Model'!C19+4)+'DCF Model'!G45*(1+G$6)/($B8-G$6)/(1+$B8)^('DCF Model'!C19+4)-'DCF Model'!C16)*1000000/'DCF Model'!C15,0),"")</f>
        <v>5475</v>
      </c>
      <c r="H8" s="37">
        <f>IFERROR(ROUND(('DCF Model'!C45/(1+$B8)^('DCF Model'!C19+0)+'DCF Model'!D45/(1+$B8)^('DCF Model'!C19+1)+'DCF Model'!E45/(1+$B8)^('DCF Model'!C19+2)+'DCF Model'!F45/(1+$B8)^('DCF Model'!C19+3)+'DCF Model'!G45/(1+$B8)^('DCF Model'!C19+4)+'DCF Model'!G45*(1+H$6)/($B8-H$6)/(1+$B8)^('DCF Model'!C19+4)-'DCF Model'!C16)*1000000/'DCF Model'!C15,0),"")</f>
        <v>5662</v>
      </c>
      <c r="I8" s="37">
        <f>IFERROR(ROUND(('DCF Model'!C45/(1+$B8)^('DCF Model'!C19+0)+'DCF Model'!D45/(1+$B8)^('DCF Model'!C19+1)+'DCF Model'!E45/(1+$B8)^('DCF Model'!C19+2)+'DCF Model'!F45/(1+$B8)^('DCF Model'!C19+3)+'DCF Model'!G45/(1+$B8)^('DCF Model'!C19+4)+'DCF Model'!G45*(1+I$6)/($B8-I$6)/(1+$B8)^('DCF Model'!C19+4)-'DCF Model'!C16)*1000000/'DCF Model'!C15,0),"")</f>
        <v>5863</v>
      </c>
    </row>
    <row r="9" spans="2:9" ht="13.5" x14ac:dyDescent="0.25">
      <c r="B9" s="39">
        <f>$C$3-0.005</f>
        <v>8.2296109839816917E-2</v>
      </c>
      <c r="C9" s="37">
        <f>IFERROR(ROUND(('DCF Model'!C45/(1+$B9)^('DCF Model'!C19+0)+'DCF Model'!D45/(1+$B9)^('DCF Model'!C19+1)+'DCF Model'!E45/(1+$B9)^('DCF Model'!C19+2)+'DCF Model'!F45/(1+$B9)^('DCF Model'!C19+3)+'DCF Model'!G45/(1+$B9)^('DCF Model'!C19+4)+'DCF Model'!G45*(1+C$6)/($B9-C$6)/(1+$B9)^('DCF Model'!C19+4)-'DCF Model'!C16)*1000000/'DCF Model'!C15,0),"")</f>
        <v>4519</v>
      </c>
      <c r="D9" s="37">
        <f>IFERROR(ROUND(('DCF Model'!C45/(1+$B9)^('DCF Model'!C19+0)+'DCF Model'!D45/(1+$B9)^('DCF Model'!C19+1)+'DCF Model'!E45/(1+$B9)^('DCF Model'!C19+2)+'DCF Model'!F45/(1+$B9)^('DCF Model'!C19+3)+'DCF Model'!G45/(1+$B9)^('DCF Model'!C19+4)+'DCF Model'!G45*(1+D$6)/($B9-D$6)/(1+$B9)^('DCF Model'!C19+4)-'DCF Model'!C16)*1000000/'DCF Model'!C15,0),"")</f>
        <v>4639</v>
      </c>
      <c r="E9" s="37">
        <f>IFERROR(ROUND(('DCF Model'!C45/(1+$B9)^('DCF Model'!C19+0)+'DCF Model'!D45/(1+$B9)^('DCF Model'!C19+1)+'DCF Model'!E45/(1+$B9)^('DCF Model'!C19+2)+'DCF Model'!F45/(1+$B9)^('DCF Model'!C19+3)+'DCF Model'!G45/(1+$B9)^('DCF Model'!C19+4)+'DCF Model'!G45*(1+E$6)/($B9-E$6)/(1+$B9)^('DCF Model'!C19+4)-'DCF Model'!C16)*1000000/'DCF Model'!C15,0),"")</f>
        <v>4767</v>
      </c>
      <c r="F9" s="37">
        <f>IFERROR(ROUND(('DCF Model'!C45/(1+$B9)^('DCF Model'!C19+0)+'DCF Model'!D45/(1+$B9)^('DCF Model'!C19+1)+'DCF Model'!E45/(1+$B9)^('DCF Model'!C19+2)+'DCF Model'!F45/(1+$B9)^('DCF Model'!C19+3)+'DCF Model'!G45/(1+$B9)^('DCF Model'!C19+4)+'DCF Model'!G45*(1+F$6)/($B9-F$6)/(1+$B9)^('DCF Model'!C19+4)-'DCF Model'!C16)*1000000/'DCF Model'!C15,0),"")</f>
        <v>4903</v>
      </c>
      <c r="G9" s="37">
        <f>IFERROR(ROUND(('DCF Model'!C45/(1+$B9)^('DCF Model'!C19+0)+'DCF Model'!D45/(1+$B9)^('DCF Model'!C19+1)+'DCF Model'!E45/(1+$B9)^('DCF Model'!C19+2)+'DCF Model'!F45/(1+$B9)^('DCF Model'!C19+3)+'DCF Model'!G45/(1+$B9)^('DCF Model'!C19+4)+'DCF Model'!G45*(1+G$6)/($B9-G$6)/(1+$B9)^('DCF Model'!C19+4)-'DCF Model'!C16)*1000000/'DCF Model'!C15,0),"")</f>
        <v>5050</v>
      </c>
      <c r="H9" s="37">
        <f>IFERROR(ROUND(('DCF Model'!C45/(1+$B9)^('DCF Model'!C19+0)+'DCF Model'!D45/(1+$B9)^('DCF Model'!C19+1)+'DCF Model'!E45/(1+$B9)^('DCF Model'!C19+2)+'DCF Model'!F45/(1+$B9)^('DCF Model'!C19+3)+'DCF Model'!G45/(1+$B9)^('DCF Model'!C19+4)+'DCF Model'!G45*(1+H$6)/($B9-H$6)/(1+$B9)^('DCF Model'!C19+4)-'DCF Model'!C16)*1000000/'DCF Model'!C15,0),"")</f>
        <v>5207</v>
      </c>
      <c r="I9" s="37">
        <f>IFERROR(ROUND(('DCF Model'!C45/(1+$B9)^('DCF Model'!C19+0)+'DCF Model'!D45/(1+$B9)^('DCF Model'!C19+1)+'DCF Model'!E45/(1+$B9)^('DCF Model'!C19+2)+'DCF Model'!F45/(1+$B9)^('DCF Model'!C19+3)+'DCF Model'!G45/(1+$B9)^('DCF Model'!C19+4)+'DCF Model'!G45*(1+I$6)/($B9-I$6)/(1+$B9)^('DCF Model'!C19+4)-'DCF Model'!C16)*1000000/'DCF Model'!C15,0),"")</f>
        <v>5376</v>
      </c>
    </row>
    <row r="10" spans="2:9" ht="13.5" x14ac:dyDescent="0.25">
      <c r="B10" s="39">
        <f>$C$3</f>
        <v>8.7296109839816921E-2</v>
      </c>
      <c r="C10" s="37">
        <f>IFERROR(ROUND(('DCF Model'!C45/(1+$B10)^('DCF Model'!C19+0)+'DCF Model'!D45/(1+$B10)^('DCF Model'!C19+1)+'DCF Model'!E45/(1+$B10)^('DCF Model'!C19+2)+'DCF Model'!F45/(1+$B10)^('DCF Model'!C19+3)+'DCF Model'!G45/(1+$B10)^('DCF Model'!C19+4)+'DCF Model'!G45*(1+C$6)/($B10-C$6)/(1+$B10)^('DCF Model'!C19+4)-'DCF Model'!C16)*1000000/'DCF Model'!C15,0),"")</f>
        <v>4224</v>
      </c>
      <c r="D10" s="37">
        <f>IFERROR(ROUND(('DCF Model'!C45/(1+$B10)^('DCF Model'!C19+0)+'DCF Model'!D45/(1+$B10)^('DCF Model'!C19+1)+'DCF Model'!E45/(1+$B10)^('DCF Model'!C19+2)+'DCF Model'!F45/(1+$B10)^('DCF Model'!C19+3)+'DCF Model'!G45/(1+$B10)^('DCF Model'!C19+4)+'DCF Model'!G45*(1+D$6)/($B10-D$6)/(1+$B10)^('DCF Model'!C19+4)-'DCF Model'!C16)*1000000/'DCF Model'!C15,0),"")</f>
        <v>4328</v>
      </c>
      <c r="E10" s="37">
        <f>IFERROR(ROUND(('DCF Model'!C45/(1+$B10)^('DCF Model'!C19+0)+'DCF Model'!D45/(1+$B10)^('DCF Model'!C19+1)+'DCF Model'!E45/(1+$B10)^('DCF Model'!C19+2)+'DCF Model'!F45/(1+$B10)^('DCF Model'!C19+3)+'DCF Model'!G45/(1+$B10)^('DCF Model'!C19+4)+'DCF Model'!G45*(1+E$6)/($B10-E$6)/(1+$B10)^('DCF Model'!C19+4)-'DCF Model'!C16)*1000000/'DCF Model'!C15,0),"")</f>
        <v>4438</v>
      </c>
      <c r="F10" s="37">
        <f>IFERROR(ROUND(('DCF Model'!C45/(1+$B10)^('DCF Model'!C19+0)+'DCF Model'!D45/(1+$B10)^('DCF Model'!C19+1)+'DCF Model'!E45/(1+$B10)^('DCF Model'!C19+2)+'DCF Model'!F45/(1+$B10)^('DCF Model'!C19+3)+'DCF Model'!G45/(1+$B10)^('DCF Model'!C19+4)+'DCF Model'!G45*(1+F$6)/($B10-F$6)/(1+$B10)^('DCF Model'!C19+4)-'DCF Model'!C16)*1000000/'DCF Model'!C15,0),"")</f>
        <v>4556</v>
      </c>
      <c r="G10" s="37">
        <f>IFERROR(ROUND(('DCF Model'!C45/(1+$B10)^('DCF Model'!C19+0)+'DCF Model'!D45/(1+$B10)^('DCF Model'!C19+1)+'DCF Model'!E45/(1+$B10)^('DCF Model'!C19+2)+'DCF Model'!F45/(1+$B10)^('DCF Model'!C19+3)+'DCF Model'!G45/(1+$B10)^('DCF Model'!C19+4)+'DCF Model'!G45*(1+G$6)/($B10-G$6)/(1+$B10)^('DCF Model'!C19+4)-'DCF Model'!C16)*1000000/'DCF Model'!C15,0),"")</f>
        <v>4681</v>
      </c>
      <c r="H10" s="37">
        <f>IFERROR(ROUND(('DCF Model'!C45/(1+$B10)^('DCF Model'!C19+0)+'DCF Model'!D45/(1+$B10)^('DCF Model'!C19+1)+'DCF Model'!E45/(1+$B10)^('DCF Model'!C19+2)+'DCF Model'!F45/(1+$B10)^('DCF Model'!C19+3)+'DCF Model'!G45/(1+$B10)^('DCF Model'!C19+4)+'DCF Model'!G45*(1+H$6)/($B10-H$6)/(1+$B10)^('DCF Model'!C19+4)-'DCF Model'!C16)*1000000/'DCF Model'!C15,0),"")</f>
        <v>4815</v>
      </c>
      <c r="I10" s="37">
        <f>IFERROR(ROUND(('DCF Model'!C45/(1+$B10)^('DCF Model'!C19+0)+'DCF Model'!D45/(1+$B10)^('DCF Model'!C19+1)+'DCF Model'!E45/(1+$B10)^('DCF Model'!C19+2)+'DCF Model'!F45/(1+$B10)^('DCF Model'!C19+3)+'DCF Model'!G45/(1+$B10)^('DCF Model'!C19+4)+'DCF Model'!G45*(1+I$6)/($B10-I$6)/(1+$B10)^('DCF Model'!C19+4)-'DCF Model'!C16)*1000000/'DCF Model'!C15,0),"")</f>
        <v>4958</v>
      </c>
    </row>
    <row r="11" spans="2:9" ht="13.5" x14ac:dyDescent="0.25">
      <c r="B11" s="39">
        <f>$C$3+0.005</f>
        <v>9.2296109839816926E-2</v>
      </c>
      <c r="C11" s="37">
        <f>IFERROR(ROUND(('DCF Model'!C45/(1+$B11)^('DCF Model'!C19+0)+'DCF Model'!D45/(1+$B11)^('DCF Model'!C19+1)+'DCF Model'!E45/(1+$B11)^('DCF Model'!C19+2)+'DCF Model'!F45/(1+$B11)^('DCF Model'!C19+3)+'DCF Model'!G45/(1+$B11)^('DCF Model'!C19+4)+'DCF Model'!G45*(1+C$6)/($B11-C$6)/(1+$B11)^('DCF Model'!C19+4)-'DCF Model'!C16)*1000000/'DCF Model'!C15,0),"")</f>
        <v>3961</v>
      </c>
      <c r="D11" s="37">
        <f>IFERROR(ROUND(('DCF Model'!C45/(1+$B11)^('DCF Model'!C19+0)+'DCF Model'!D45/(1+$B11)^('DCF Model'!C19+1)+'DCF Model'!E45/(1+$B11)^('DCF Model'!C19+2)+'DCF Model'!F45/(1+$B11)^('DCF Model'!C19+3)+'DCF Model'!G45/(1+$B11)^('DCF Model'!C19+4)+'DCF Model'!G45*(1+D$6)/($B11-D$6)/(1+$B11)^('DCF Model'!C19+4)-'DCF Model'!C16)*1000000/'DCF Model'!C15,0),"")</f>
        <v>4052</v>
      </c>
      <c r="E11" s="37">
        <f>IFERROR(ROUND(('DCF Model'!C45/(1+$B11)^('DCF Model'!C19+0)+'DCF Model'!D45/(1+$B11)^('DCF Model'!C19+1)+'DCF Model'!E45/(1+$B11)^('DCF Model'!C19+2)+'DCF Model'!F45/(1+$B11)^('DCF Model'!C19+3)+'DCF Model'!G45/(1+$B11)^('DCF Model'!C19+4)+'DCF Model'!G45*(1+E$6)/($B11-E$6)/(1+$B11)^('DCF Model'!C19+4)-'DCF Model'!C16)*1000000/'DCF Model'!C15,0),"")</f>
        <v>4148</v>
      </c>
      <c r="F11" s="37">
        <f>IFERROR(ROUND(('DCF Model'!C45/(1+$B11)^('DCF Model'!C19+0)+'DCF Model'!D45/(1+$B11)^('DCF Model'!C19+1)+'DCF Model'!E45/(1+$B11)^('DCF Model'!C19+2)+'DCF Model'!F45/(1+$B11)^('DCF Model'!C19+3)+'DCF Model'!G45/(1+$B11)^('DCF Model'!C19+4)+'DCF Model'!G45*(1+F$6)/($B11-F$6)/(1+$B11)^('DCF Model'!C19+4)-'DCF Model'!C16)*1000000/'DCF Model'!C15,0),"")</f>
        <v>4250</v>
      </c>
      <c r="G11" s="37">
        <f>IFERROR(ROUND(('DCF Model'!C45/(1+$B11)^('DCF Model'!C19+0)+'DCF Model'!D45/(1+$B11)^('DCF Model'!C19+1)+'DCF Model'!E45/(1+$B11)^('DCF Model'!C19+2)+'DCF Model'!F45/(1+$B11)^('DCF Model'!C19+3)+'DCF Model'!G45/(1+$B11)^('DCF Model'!C19+4)+'DCF Model'!G45*(1+G$6)/($B11-G$6)/(1+$B11)^('DCF Model'!C19+4)-'DCF Model'!C16)*1000000/'DCF Model'!C15,0),"")</f>
        <v>4358</v>
      </c>
      <c r="H11" s="37">
        <f>IFERROR(ROUND(('DCF Model'!C45/(1+$B11)^('DCF Model'!C19+0)+'DCF Model'!D45/(1+$B11)^('DCF Model'!C19+1)+'DCF Model'!E45/(1+$B11)^('DCF Model'!C19+2)+'DCF Model'!F45/(1+$B11)^('DCF Model'!C19+3)+'DCF Model'!G45/(1+$B11)^('DCF Model'!C19+4)+'DCF Model'!G45*(1+H$6)/($B11-H$6)/(1+$B11)^('DCF Model'!C19+4)-'DCF Model'!C16)*1000000/'DCF Model'!C15,0),"")</f>
        <v>4474</v>
      </c>
      <c r="I11" s="37">
        <f>IFERROR(ROUND(('DCF Model'!C45/(1+$B11)^('DCF Model'!C19+0)+'DCF Model'!D45/(1+$B11)^('DCF Model'!C19+1)+'DCF Model'!E45/(1+$B11)^('DCF Model'!C19+2)+'DCF Model'!F45/(1+$B11)^('DCF Model'!C19+3)+'DCF Model'!G45/(1+$B11)^('DCF Model'!C19+4)+'DCF Model'!G45*(1+I$6)/($B11-I$6)/(1+$B11)^('DCF Model'!C19+4)-'DCF Model'!C16)*1000000/'DCF Model'!C15,0),"")</f>
        <v>4597</v>
      </c>
    </row>
    <row r="12" spans="2:9" ht="13.5" x14ac:dyDescent="0.25">
      <c r="B12" s="39">
        <f>$C$3+0.01</f>
        <v>9.7296109839816916E-2</v>
      </c>
      <c r="C12" s="37">
        <f>IFERROR(ROUND(('DCF Model'!C45/(1+$B12)^('DCF Model'!C19+0)+'DCF Model'!D45/(1+$B12)^('DCF Model'!C19+1)+'DCF Model'!E45/(1+$B12)^('DCF Model'!C19+2)+'DCF Model'!F45/(1+$B12)^('DCF Model'!C19+3)+'DCF Model'!G45/(1+$B12)^('DCF Model'!C19+4)+'DCF Model'!G45*(1+C$6)/($B12-C$6)/(1+$B12)^('DCF Model'!C19+4)-'DCF Model'!C16)*1000000/'DCF Model'!C15,0),"")</f>
        <v>3726</v>
      </c>
      <c r="D12" s="37">
        <f>IFERROR(ROUND(('DCF Model'!C45/(1+$B12)^('DCF Model'!C19+0)+'DCF Model'!D45/(1+$B12)^('DCF Model'!C19+1)+'DCF Model'!E45/(1+$B12)^('DCF Model'!C19+2)+'DCF Model'!F45/(1+$B12)^('DCF Model'!C19+3)+'DCF Model'!G45/(1+$B12)^('DCF Model'!C19+4)+'DCF Model'!G45*(1+D$6)/($B12-D$6)/(1+$B12)^('DCF Model'!C19+4)-'DCF Model'!C16)*1000000/'DCF Model'!C15,0),"")</f>
        <v>3806</v>
      </c>
      <c r="E12" s="37">
        <f>IFERROR(ROUND(('DCF Model'!C45/(1+$B12)^('DCF Model'!C19+0)+'DCF Model'!D45/(1+$B12)^('DCF Model'!C19+1)+'DCF Model'!E45/(1+$B12)^('DCF Model'!C19+2)+'DCF Model'!F45/(1+$B12)^('DCF Model'!C19+3)+'DCF Model'!G45/(1+$B12)^('DCF Model'!C19+4)+'DCF Model'!G45*(1+E$6)/($B12-E$6)/(1+$B12)^('DCF Model'!C19+4)-'DCF Model'!C16)*1000000/'DCF Model'!C15,0),"")</f>
        <v>3891</v>
      </c>
      <c r="F12" s="37">
        <f>IFERROR(ROUND(('DCF Model'!C45/(1+$B12)^('DCF Model'!C19+0)+'DCF Model'!D45/(1+$B12)^('DCF Model'!C19+1)+'DCF Model'!E45/(1+$B12)^('DCF Model'!C19+2)+'DCF Model'!F45/(1+$B12)^('DCF Model'!C19+3)+'DCF Model'!G45/(1+$B12)^('DCF Model'!C19+4)+'DCF Model'!G45*(1+F$6)/($B12-F$6)/(1+$B12)^('DCF Model'!C19+4)-'DCF Model'!C16)*1000000/'DCF Model'!C15,0),"")</f>
        <v>3980</v>
      </c>
      <c r="G12" s="37">
        <f>IFERROR(ROUND(('DCF Model'!C45/(1+$B12)^('DCF Model'!C19+0)+'DCF Model'!D45/(1+$B12)^('DCF Model'!C19+1)+'DCF Model'!E45/(1+$B12)^('DCF Model'!C19+2)+'DCF Model'!F45/(1+$B12)^('DCF Model'!C19+3)+'DCF Model'!G45/(1+$B12)^('DCF Model'!C19+4)+'DCF Model'!G45*(1+G$6)/($B12-G$6)/(1+$B12)^('DCF Model'!C19+4)-'DCF Model'!C16)*1000000/'DCF Model'!C15,0),"")</f>
        <v>4074</v>
      </c>
      <c r="H12" s="37">
        <f>IFERROR(ROUND(('DCF Model'!C45/(1+$B12)^('DCF Model'!C19+0)+'DCF Model'!D45/(1+$B12)^('DCF Model'!C19+1)+'DCF Model'!E45/(1+$B12)^('DCF Model'!C19+2)+'DCF Model'!F45/(1+$B12)^('DCF Model'!C19+3)+'DCF Model'!G45/(1+$B12)^('DCF Model'!C19+4)+'DCF Model'!G45*(1+H$6)/($B12-H$6)/(1+$B12)^('DCF Model'!C19+4)-'DCF Model'!C16)*1000000/'DCF Model'!C15,0),"")</f>
        <v>4174</v>
      </c>
      <c r="I12" s="37">
        <f>IFERROR(ROUND(('DCF Model'!C45/(1+$B12)^('DCF Model'!C19+0)+'DCF Model'!D45/(1+$B12)^('DCF Model'!C19+1)+'DCF Model'!E45/(1+$B12)^('DCF Model'!C19+2)+'DCF Model'!F45/(1+$B12)^('DCF Model'!C19+3)+'DCF Model'!G45/(1+$B12)^('DCF Model'!C19+4)+'DCF Model'!G45*(1+I$6)/($B12-I$6)/(1+$B12)^('DCF Model'!C19+4)-'DCF Model'!C16)*1000000/'DCF Model'!C15,0),"")</f>
        <v>4281</v>
      </c>
    </row>
    <row r="13" spans="2:9" ht="13.5" x14ac:dyDescent="0.25">
      <c r="B13" s="39">
        <f>$C$3+0.015</f>
        <v>0.10229610983981692</v>
      </c>
      <c r="C13" s="37">
        <f>IFERROR(ROUND(('DCF Model'!C45/(1+$B13)^('DCF Model'!C19+0)+'DCF Model'!D45/(1+$B13)^('DCF Model'!C19+1)+'DCF Model'!E45/(1+$B13)^('DCF Model'!C19+2)+'DCF Model'!F45/(1+$B13)^('DCF Model'!C19+3)+'DCF Model'!G45/(1+$B13)^('DCF Model'!C19+4)+'DCF Model'!G45*(1+C$6)/($B13-C$6)/(1+$B13)^('DCF Model'!C19+4)-'DCF Model'!C16)*1000000/'DCF Model'!C15,0),"")</f>
        <v>3515</v>
      </c>
      <c r="D13" s="37">
        <f>IFERROR(ROUND(('DCF Model'!C45/(1+$B13)^('DCF Model'!C19+0)+'DCF Model'!D45/(1+$B13)^('DCF Model'!C19+1)+'DCF Model'!E45/(1+$B13)^('DCF Model'!C19+2)+'DCF Model'!F45/(1+$B13)^('DCF Model'!C19+3)+'DCF Model'!G45/(1+$B13)^('DCF Model'!C19+4)+'DCF Model'!G45*(1+D$6)/($B13-D$6)/(1+$B13)^('DCF Model'!C19+4)-'DCF Model'!C16)*1000000/'DCF Model'!C15,0),"")</f>
        <v>3586</v>
      </c>
      <c r="E13" s="37">
        <f>IFERROR(ROUND(('DCF Model'!C45/(1+$B13)^('DCF Model'!C19+0)+'DCF Model'!D45/(1+$B13)^('DCF Model'!C19+1)+'DCF Model'!E45/(1+$B13)^('DCF Model'!C19+2)+'DCF Model'!F45/(1+$B13)^('DCF Model'!C19+3)+'DCF Model'!G45/(1+$B13)^('DCF Model'!C19+4)+'DCF Model'!G45*(1+E$6)/($B13-E$6)/(1+$B13)^('DCF Model'!C19+4)-'DCF Model'!C16)*1000000/'DCF Model'!C15,0),"")</f>
        <v>3660</v>
      </c>
      <c r="F13" s="37">
        <f>IFERROR(ROUND(('DCF Model'!C45/(1+$B13)^('DCF Model'!C19+0)+'DCF Model'!D45/(1+$B13)^('DCF Model'!C19+1)+'DCF Model'!E45/(1+$B13)^('DCF Model'!C19+2)+'DCF Model'!F45/(1+$B13)^('DCF Model'!C19+3)+'DCF Model'!G45/(1+$B13)^('DCF Model'!C19+4)+'DCF Model'!G45*(1+F$6)/($B13-F$6)/(1+$B13)^('DCF Model'!C19+4)-'DCF Model'!C16)*1000000/'DCF Model'!C15,0),"")</f>
        <v>3739</v>
      </c>
      <c r="G13" s="37">
        <f>IFERROR(ROUND(('DCF Model'!C45/(1+$B13)^('DCF Model'!C19+0)+'DCF Model'!D45/(1+$B13)^('DCF Model'!C19+1)+'DCF Model'!E45/(1+$B13)^('DCF Model'!C19+2)+'DCF Model'!F45/(1+$B13)^('DCF Model'!C19+3)+'DCF Model'!G45/(1+$B13)^('DCF Model'!C19+4)+'DCF Model'!G45*(1+G$6)/($B13-G$6)/(1+$B13)^('DCF Model'!C19+4)-'DCF Model'!C16)*1000000/'DCF Model'!C15,0),"")</f>
        <v>3821</v>
      </c>
      <c r="H13" s="37">
        <f>IFERROR(ROUND(('DCF Model'!C45/(1+$B13)^('DCF Model'!C19+0)+'DCF Model'!D45/(1+$B13)^('DCF Model'!C19+1)+'DCF Model'!E45/(1+$B13)^('DCF Model'!C19+2)+'DCF Model'!F45/(1+$B13)^('DCF Model'!C19+3)+'DCF Model'!G45/(1+$B13)^('DCF Model'!C19+4)+'DCF Model'!G45*(1+H$6)/($B13-H$6)/(1+$B13)^('DCF Model'!C19+4)-'DCF Model'!C16)*1000000/'DCF Model'!C15,0),"")</f>
        <v>3909</v>
      </c>
      <c r="I13" s="37">
        <f>IFERROR(ROUND(('DCF Model'!C45/(1+$B13)^('DCF Model'!C19+0)+'DCF Model'!D45/(1+$B13)^('DCF Model'!C19+1)+'DCF Model'!E45/(1+$B13)^('DCF Model'!C19+2)+'DCF Model'!F45/(1+$B13)^('DCF Model'!C19+3)+'DCF Model'!G45/(1+$B13)^('DCF Model'!C19+4)+'DCF Model'!G45*(1+I$6)/($B13-I$6)/(1+$B13)^('DCF Model'!C19+4)-'DCF Model'!C16)*1000000/'DCF Model'!C15,0),"")</f>
        <v>4002</v>
      </c>
    </row>
    <row r="16" spans="2:9" ht="14" x14ac:dyDescent="0.3">
      <c r="B16" s="3" t="s">
        <v>242</v>
      </c>
    </row>
    <row r="17" spans="2:9" ht="14" x14ac:dyDescent="0.3">
      <c r="B17" s="40" t="s">
        <v>243</v>
      </c>
      <c r="C17" s="42">
        <f>$I$3-3</f>
        <v>4.8</v>
      </c>
      <c r="D17" s="42">
        <f>$I$3-2</f>
        <v>5.8</v>
      </c>
      <c r="E17" s="42">
        <f>$I$3-1</f>
        <v>6.8</v>
      </c>
      <c r="F17" s="42">
        <f>$I$3</f>
        <v>7.8</v>
      </c>
      <c r="G17" s="42">
        <f>$I$3+1</f>
        <v>8.8000000000000007</v>
      </c>
      <c r="H17" s="42">
        <f>$I$3+2</f>
        <v>9.8000000000000007</v>
      </c>
      <c r="I17" s="42">
        <f>$I$3+3</f>
        <v>10.8</v>
      </c>
    </row>
    <row r="18" spans="2:9" ht="13.5" x14ac:dyDescent="0.25">
      <c r="B18" s="39">
        <f>$C$3-0.015</f>
        <v>7.2296109839816922E-2</v>
      </c>
      <c r="C18" s="37">
        <f>IFERROR(ROUND(('DCF Model'!C45/(1+$B18)^('DCF Model'!C19+0)+'DCF Model'!D45/(1+$B18)^('DCF Model'!C19+1)+'DCF Model'!E45/(1+$B18)^('DCF Model'!C19+2)+'DCF Model'!F45/(1+$B18)^('DCF Model'!C19+3)+'DCF Model'!G45/(1+$B18)^('DCF Model'!C19+4)+('DCF Model'!G39+'DCF Model'!G42)*C$17/(1+$B18)^('DCF Model'!C19+4)-'DCF Model'!C16)*1000000/'DCF Model'!C15,0),"")</f>
        <v>4247</v>
      </c>
      <c r="D18" s="37">
        <f>IFERROR(ROUND(('DCF Model'!C45/(1+$B18)^('DCF Model'!C19+0)+'DCF Model'!D45/(1+$B18)^('DCF Model'!C19+1)+'DCF Model'!E45/(1+$B18)^('DCF Model'!C19+2)+'DCF Model'!F45/(1+$B18)^('DCF Model'!C19+3)+'DCF Model'!G45/(1+$B18)^('DCF Model'!C19+4)+('DCF Model'!G39+'DCF Model'!G42)*D$17/(1+$B18)^('DCF Model'!C19+4)-'DCF Model'!C16)*1000000/'DCF Model'!C15,0),"")</f>
        <v>4896</v>
      </c>
      <c r="E18" s="37">
        <f>IFERROR(ROUND(('DCF Model'!C45/(1+$B18)^('DCF Model'!C19+0)+'DCF Model'!D45/(1+$B18)^('DCF Model'!C19+1)+'DCF Model'!E45/(1+$B18)^('DCF Model'!C19+2)+'DCF Model'!F45/(1+$B18)^('DCF Model'!C19+3)+'DCF Model'!G45/(1+$B18)^('DCF Model'!C19+4)+('DCF Model'!G39+'DCF Model'!G42)*E$17/(1+$B18)^('DCF Model'!C19+4)-'DCF Model'!C16)*1000000/'DCF Model'!C15,0),"")</f>
        <v>5544</v>
      </c>
      <c r="F18" s="37">
        <f>IFERROR(ROUND(('DCF Model'!C45/(1+$B18)^('DCF Model'!C19+0)+'DCF Model'!D45/(1+$B18)^('DCF Model'!C19+1)+'DCF Model'!E45/(1+$B18)^('DCF Model'!C19+2)+'DCF Model'!F45/(1+$B18)^('DCF Model'!C19+3)+'DCF Model'!G45/(1+$B18)^('DCF Model'!C19+4)+('DCF Model'!G39+'DCF Model'!G42)*F$17/(1+$B18)^('DCF Model'!C19+4)-'DCF Model'!C16)*1000000/'DCF Model'!C15,0),"")</f>
        <v>6193</v>
      </c>
      <c r="G18" s="37">
        <f>IFERROR(ROUND(('DCF Model'!C45/(1+$B18)^('DCF Model'!C19+0)+'DCF Model'!D45/(1+$B18)^('DCF Model'!C19+1)+'DCF Model'!E45/(1+$B18)^('DCF Model'!C19+2)+'DCF Model'!F45/(1+$B18)^('DCF Model'!C19+3)+'DCF Model'!G45/(1+$B18)^('DCF Model'!C19+4)+('DCF Model'!G39+'DCF Model'!G42)*G$17/(1+$B18)^('DCF Model'!C19+4)-'DCF Model'!C16)*1000000/'DCF Model'!C15,0),"")</f>
        <v>6841</v>
      </c>
      <c r="H18" s="37">
        <f>IFERROR(ROUND(('DCF Model'!C45/(1+$B18)^('DCF Model'!C19+0)+'DCF Model'!D45/(1+$B18)^('DCF Model'!C19+1)+'DCF Model'!E45/(1+$B18)^('DCF Model'!C19+2)+'DCF Model'!F45/(1+$B18)^('DCF Model'!C19+3)+'DCF Model'!G45/(1+$B18)^('DCF Model'!C19+4)+('DCF Model'!G39+'DCF Model'!G42)*H$17/(1+$B18)^('DCF Model'!C19+4)-'DCF Model'!C16)*1000000/'DCF Model'!C15,0),"")</f>
        <v>7490</v>
      </c>
      <c r="I18" s="37">
        <f>IFERROR(ROUND(('DCF Model'!C45/(1+$B18)^('DCF Model'!C19+0)+'DCF Model'!D45/(1+$B18)^('DCF Model'!C19+1)+'DCF Model'!E45/(1+$B18)^('DCF Model'!C19+2)+'DCF Model'!F45/(1+$B18)^('DCF Model'!C19+3)+'DCF Model'!G45/(1+$B18)^('DCF Model'!C19+4)+('DCF Model'!G39+'DCF Model'!G42)*I$17/(1+$B18)^('DCF Model'!C19+4)-'DCF Model'!C16)*1000000/'DCF Model'!C15,0),"")</f>
        <v>8139</v>
      </c>
    </row>
    <row r="19" spans="2:9" ht="13.5" x14ac:dyDescent="0.25">
      <c r="B19" s="39">
        <f>$C$3-0.01</f>
        <v>7.7296109839816926E-2</v>
      </c>
      <c r="C19" s="37">
        <f>IFERROR(ROUND(('DCF Model'!C45/(1+$B19)^('DCF Model'!C19+0)+'DCF Model'!D45/(1+$B19)^('DCF Model'!C19+1)+'DCF Model'!E45/(1+$B19)^('DCF Model'!C19+2)+'DCF Model'!F45/(1+$B19)^('DCF Model'!C19+3)+'DCF Model'!G45/(1+$B19)^('DCF Model'!C19+4)+('DCF Model'!G39+'DCF Model'!G42)*C$17/(1+$B19)^('DCF Model'!C19+4)-'DCF Model'!C16)*1000000/'DCF Model'!C15,0),"")</f>
        <v>4154</v>
      </c>
      <c r="D19" s="37">
        <f>IFERROR(ROUND(('DCF Model'!C45/(1+$B19)^('DCF Model'!C19+0)+'DCF Model'!D45/(1+$B19)^('DCF Model'!C19+1)+'DCF Model'!E45/(1+$B19)^('DCF Model'!C19+2)+'DCF Model'!F45/(1+$B19)^('DCF Model'!C19+3)+'DCF Model'!G45/(1+$B19)^('DCF Model'!C19+4)+('DCF Model'!G39+'DCF Model'!G42)*D$17/(1+$B19)^('DCF Model'!C19+4)-'DCF Model'!C16)*1000000/'DCF Model'!C15,0),"")</f>
        <v>4788</v>
      </c>
      <c r="E19" s="37">
        <f>IFERROR(ROUND(('DCF Model'!C45/(1+$B19)^('DCF Model'!C19+0)+'DCF Model'!D45/(1+$B19)^('DCF Model'!C19+1)+'DCF Model'!E45/(1+$B19)^('DCF Model'!C19+2)+'DCF Model'!F45/(1+$B19)^('DCF Model'!C19+3)+'DCF Model'!G45/(1+$B19)^('DCF Model'!C19+4)+('DCF Model'!G39+'DCF Model'!G42)*E$17/(1+$B19)^('DCF Model'!C19+4)-'DCF Model'!C16)*1000000/'DCF Model'!C15,0),"")</f>
        <v>5422</v>
      </c>
      <c r="F19" s="37">
        <f>IFERROR(ROUND(('DCF Model'!C45/(1+$B19)^('DCF Model'!C19+0)+'DCF Model'!D45/(1+$B19)^('DCF Model'!C19+1)+'DCF Model'!E45/(1+$B19)^('DCF Model'!C19+2)+'DCF Model'!F45/(1+$B19)^('DCF Model'!C19+3)+'DCF Model'!G45/(1+$B19)^('DCF Model'!C19+4)+('DCF Model'!G39+'DCF Model'!G42)*F$17/(1+$B19)^('DCF Model'!C19+4)-'DCF Model'!C16)*1000000/'DCF Model'!C15,0),"")</f>
        <v>6056</v>
      </c>
      <c r="G19" s="37">
        <f>IFERROR(ROUND(('DCF Model'!C45/(1+$B19)^('DCF Model'!C19+0)+'DCF Model'!D45/(1+$B19)^('DCF Model'!C19+1)+'DCF Model'!E45/(1+$B19)^('DCF Model'!C19+2)+'DCF Model'!F45/(1+$B19)^('DCF Model'!C19+3)+'DCF Model'!G45/(1+$B19)^('DCF Model'!C19+4)+('DCF Model'!G39+'DCF Model'!G42)*G$17/(1+$B19)^('DCF Model'!C19+4)-'DCF Model'!C16)*1000000/'DCF Model'!C15,0),"")</f>
        <v>6689</v>
      </c>
      <c r="H19" s="37">
        <f>IFERROR(ROUND(('DCF Model'!C45/(1+$B19)^('DCF Model'!C19+0)+'DCF Model'!D45/(1+$B19)^('DCF Model'!C19+1)+'DCF Model'!E45/(1+$B19)^('DCF Model'!C19+2)+'DCF Model'!F45/(1+$B19)^('DCF Model'!C19+3)+'DCF Model'!G45/(1+$B19)^('DCF Model'!C19+4)+('DCF Model'!G39+'DCF Model'!G42)*H$17/(1+$B19)^('DCF Model'!C19+4)-'DCF Model'!C16)*1000000/'DCF Model'!C15,0),"")</f>
        <v>7323</v>
      </c>
      <c r="I19" s="37">
        <f>IFERROR(ROUND(('DCF Model'!C45/(1+$B19)^('DCF Model'!C19+0)+'DCF Model'!D45/(1+$B19)^('DCF Model'!C19+1)+'DCF Model'!E45/(1+$B19)^('DCF Model'!C19+2)+'DCF Model'!F45/(1+$B19)^('DCF Model'!C19+3)+'DCF Model'!G45/(1+$B19)^('DCF Model'!C19+4)+('DCF Model'!G39+'DCF Model'!G42)*I$17/(1+$B19)^('DCF Model'!C19+4)-'DCF Model'!C16)*1000000/'DCF Model'!C15,0),"")</f>
        <v>7957</v>
      </c>
    </row>
    <row r="20" spans="2:9" ht="13.5" x14ac:dyDescent="0.25">
      <c r="B20" s="39">
        <f>$C$3-0.005</f>
        <v>8.2296109839816917E-2</v>
      </c>
      <c r="C20" s="37">
        <f>IFERROR(ROUND(('DCF Model'!C45/(1+$B20)^('DCF Model'!C19+0)+'DCF Model'!D45/(1+$B20)^('DCF Model'!C19+1)+'DCF Model'!E45/(1+$B20)^('DCF Model'!C19+2)+'DCF Model'!F45/(1+$B20)^('DCF Model'!C19+3)+'DCF Model'!G45/(1+$B20)^('DCF Model'!C19+4)+('DCF Model'!G39+'DCF Model'!G42)*C$17/(1+$B20)^('DCF Model'!C19+4)-'DCF Model'!C16)*1000000/'DCF Model'!C15,0),"")</f>
        <v>4064</v>
      </c>
      <c r="D20" s="37">
        <f>IFERROR(ROUND(('DCF Model'!C45/(1+$B20)^('DCF Model'!C19+0)+'DCF Model'!D45/(1+$B20)^('DCF Model'!C19+1)+'DCF Model'!E45/(1+$B20)^('DCF Model'!C19+2)+'DCF Model'!F45/(1+$B20)^('DCF Model'!C19+3)+'DCF Model'!G45/(1+$B20)^('DCF Model'!C19+4)+('DCF Model'!G39+'DCF Model'!G42)*D$17/(1+$B20)^('DCF Model'!C19+4)-'DCF Model'!C16)*1000000/'DCF Model'!C15,0),"")</f>
        <v>4684</v>
      </c>
      <c r="E20" s="37">
        <f>IFERROR(ROUND(('DCF Model'!C45/(1+$B20)^('DCF Model'!C19+0)+'DCF Model'!D45/(1+$B20)^('DCF Model'!C19+1)+'DCF Model'!E45/(1+$B20)^('DCF Model'!C19+2)+'DCF Model'!F45/(1+$B20)^('DCF Model'!C19+3)+'DCF Model'!G45/(1+$B20)^('DCF Model'!C19+4)+('DCF Model'!G39+'DCF Model'!G42)*E$17/(1+$B20)^('DCF Model'!C19+4)-'DCF Model'!C16)*1000000/'DCF Model'!C15,0),"")</f>
        <v>5303</v>
      </c>
      <c r="F20" s="37">
        <f>IFERROR(ROUND(('DCF Model'!C45/(1+$B20)^('DCF Model'!C19+0)+'DCF Model'!D45/(1+$B20)^('DCF Model'!C19+1)+'DCF Model'!E45/(1+$B20)^('DCF Model'!C19+2)+'DCF Model'!F45/(1+$B20)^('DCF Model'!C19+3)+'DCF Model'!G45/(1+$B20)^('DCF Model'!C19+4)+('DCF Model'!G39+'DCF Model'!G42)*F$17/(1+$B20)^('DCF Model'!C19+4)-'DCF Model'!C16)*1000000/'DCF Model'!C15,0),"")</f>
        <v>5922</v>
      </c>
      <c r="G20" s="37">
        <f>IFERROR(ROUND(('DCF Model'!C45/(1+$B20)^('DCF Model'!C19+0)+'DCF Model'!D45/(1+$B20)^('DCF Model'!C19+1)+'DCF Model'!E45/(1+$B20)^('DCF Model'!C19+2)+'DCF Model'!F45/(1+$B20)^('DCF Model'!C19+3)+'DCF Model'!G45/(1+$B20)^('DCF Model'!C19+4)+('DCF Model'!G39+'DCF Model'!G42)*G$17/(1+$B20)^('DCF Model'!C19+4)-'DCF Model'!C16)*1000000/'DCF Model'!C15,0),"")</f>
        <v>6541</v>
      </c>
      <c r="H20" s="37">
        <f>IFERROR(ROUND(('DCF Model'!C45/(1+$B20)^('DCF Model'!C19+0)+'DCF Model'!D45/(1+$B20)^('DCF Model'!C19+1)+'DCF Model'!E45/(1+$B20)^('DCF Model'!C19+2)+'DCF Model'!F45/(1+$B20)^('DCF Model'!C19+3)+'DCF Model'!G45/(1+$B20)^('DCF Model'!C19+4)+('DCF Model'!G39+'DCF Model'!G42)*H$17/(1+$B20)^('DCF Model'!C19+4)-'DCF Model'!C16)*1000000/'DCF Model'!C15,0),"")</f>
        <v>7160</v>
      </c>
      <c r="I20" s="37">
        <f>IFERROR(ROUND(('DCF Model'!C45/(1+$B20)^('DCF Model'!C19+0)+'DCF Model'!D45/(1+$B20)^('DCF Model'!C19+1)+'DCF Model'!E45/(1+$B20)^('DCF Model'!C19+2)+'DCF Model'!F45/(1+$B20)^('DCF Model'!C19+3)+'DCF Model'!G45/(1+$B20)^('DCF Model'!C19+4)+('DCF Model'!G39+'DCF Model'!G42)*I$17/(1+$B20)^('DCF Model'!C19+4)-'DCF Model'!C16)*1000000/'DCF Model'!C15,0),"")</f>
        <v>7780</v>
      </c>
    </row>
    <row r="21" spans="2:9" ht="13.5" x14ac:dyDescent="0.25">
      <c r="B21" s="39">
        <f>$C$3</f>
        <v>8.7296109839816921E-2</v>
      </c>
      <c r="C21" s="37">
        <f>IFERROR(ROUND(('DCF Model'!C45/(1+$B21)^('DCF Model'!C19+0)+'DCF Model'!D45/(1+$B21)^('DCF Model'!C19+1)+'DCF Model'!E45/(1+$B21)^('DCF Model'!C19+2)+'DCF Model'!F45/(1+$B21)^('DCF Model'!C19+3)+'DCF Model'!G45/(1+$B21)^('DCF Model'!C19+4)+('DCF Model'!G39+'DCF Model'!G42)*C$17/(1+$B21)^('DCF Model'!C19+4)-'DCF Model'!C16)*1000000/'DCF Model'!C15,0),"")</f>
        <v>3977</v>
      </c>
      <c r="D21" s="37">
        <f>IFERROR(ROUND(('DCF Model'!C45/(1+$B21)^('DCF Model'!C19+0)+'DCF Model'!D45/(1+$B21)^('DCF Model'!C19+1)+'DCF Model'!E45/(1+$B21)^('DCF Model'!C19+2)+'DCF Model'!F45/(1+$B21)^('DCF Model'!C19+3)+'DCF Model'!G45/(1+$B21)^('DCF Model'!C19+4)+('DCF Model'!G39+'DCF Model'!G42)*D$17/(1+$B21)^('DCF Model'!C19+4)-'DCF Model'!C16)*1000000/'DCF Model'!C15,0),"")</f>
        <v>4582</v>
      </c>
      <c r="E21" s="37">
        <f>IFERROR(ROUND(('DCF Model'!C45/(1+$B21)^('DCF Model'!C19+0)+'DCF Model'!D45/(1+$B21)^('DCF Model'!C19+1)+'DCF Model'!E45/(1+$B21)^('DCF Model'!C19+2)+'DCF Model'!F45/(1+$B21)^('DCF Model'!C19+3)+'DCF Model'!G45/(1+$B21)^('DCF Model'!C19+4)+('DCF Model'!G39+'DCF Model'!G42)*E$17/(1+$B21)^('DCF Model'!C19+4)-'DCF Model'!C16)*1000000/'DCF Model'!C15,0),"")</f>
        <v>5187</v>
      </c>
      <c r="F21" s="37">
        <f>IFERROR(ROUND(('DCF Model'!C45/(1+$B21)^('DCF Model'!C19+0)+'DCF Model'!D45/(1+$B21)^('DCF Model'!C19+1)+'DCF Model'!E45/(1+$B21)^('DCF Model'!C19+2)+'DCF Model'!F45/(1+$B21)^('DCF Model'!C19+3)+'DCF Model'!G45/(1+$B21)^('DCF Model'!C19+4)+('DCF Model'!G39+'DCF Model'!G42)*F$17/(1+$B21)^('DCF Model'!C19+4)-'DCF Model'!C16)*1000000/'DCF Model'!C15,0),"")</f>
        <v>5792</v>
      </c>
      <c r="G21" s="37">
        <f>IFERROR(ROUND(('DCF Model'!C45/(1+$B21)^('DCF Model'!C19+0)+'DCF Model'!D45/(1+$B21)^('DCF Model'!C19+1)+'DCF Model'!E45/(1+$B21)^('DCF Model'!C19+2)+'DCF Model'!F45/(1+$B21)^('DCF Model'!C19+3)+'DCF Model'!G45/(1+$B21)^('DCF Model'!C19+4)+('DCF Model'!G39+'DCF Model'!G42)*G$17/(1+$B21)^('DCF Model'!C19+4)-'DCF Model'!C16)*1000000/'DCF Model'!C15,0),"")</f>
        <v>6397</v>
      </c>
      <c r="H21" s="37">
        <f>IFERROR(ROUND(('DCF Model'!C45/(1+$B21)^('DCF Model'!C19+0)+'DCF Model'!D45/(1+$B21)^('DCF Model'!C19+1)+'DCF Model'!E45/(1+$B21)^('DCF Model'!C19+2)+'DCF Model'!F45/(1+$B21)^('DCF Model'!C19+3)+'DCF Model'!G45/(1+$B21)^('DCF Model'!C19+4)+('DCF Model'!G39+'DCF Model'!G42)*H$17/(1+$B21)^('DCF Model'!C19+4)-'DCF Model'!C16)*1000000/'DCF Model'!C15,0),"")</f>
        <v>7002</v>
      </c>
      <c r="I21" s="37">
        <f>IFERROR(ROUND(('DCF Model'!C45/(1+$B21)^('DCF Model'!C19+0)+'DCF Model'!D45/(1+$B21)^('DCF Model'!C19+1)+'DCF Model'!E45/(1+$B21)^('DCF Model'!C19+2)+'DCF Model'!F45/(1+$B21)^('DCF Model'!C19+3)+'DCF Model'!G45/(1+$B21)^('DCF Model'!C19+4)+('DCF Model'!G39+'DCF Model'!G42)*I$17/(1+$B21)^('DCF Model'!C19+4)-'DCF Model'!C16)*1000000/'DCF Model'!C15,0),"")</f>
        <v>7607</v>
      </c>
    </row>
    <row r="22" spans="2:9" ht="13.5" x14ac:dyDescent="0.25">
      <c r="B22" s="39">
        <f>$C$3+0.005</f>
        <v>9.2296109839816926E-2</v>
      </c>
      <c r="C22" s="37">
        <f>IFERROR(ROUND(('DCF Model'!C45/(1+$B22)^('DCF Model'!C19+0)+'DCF Model'!D45/(1+$B22)^('DCF Model'!C19+1)+'DCF Model'!E45/(1+$B22)^('DCF Model'!C19+2)+'DCF Model'!F45/(1+$B22)^('DCF Model'!C19+3)+'DCF Model'!G45/(1+$B22)^('DCF Model'!C19+4)+('DCF Model'!G39+'DCF Model'!G42)*C$17/(1+$B22)^('DCF Model'!C19+4)-'DCF Model'!C16)*1000000/'DCF Model'!C15,0),"")</f>
        <v>3891</v>
      </c>
      <c r="D22" s="37">
        <f>IFERROR(ROUND(('DCF Model'!C45/(1+$B22)^('DCF Model'!C19+0)+'DCF Model'!D45/(1+$B22)^('DCF Model'!C19+1)+'DCF Model'!E45/(1+$B22)^('DCF Model'!C19+2)+'DCF Model'!F45/(1+$B22)^('DCF Model'!C19+3)+'DCF Model'!G45/(1+$B22)^('DCF Model'!C19+4)+('DCF Model'!G39+'DCF Model'!G42)*D$17/(1+$B22)^('DCF Model'!C19+4)-'DCF Model'!C16)*1000000/'DCF Model'!C15,0),"")</f>
        <v>4483</v>
      </c>
      <c r="E22" s="37">
        <f>IFERROR(ROUND(('DCF Model'!C45/(1+$B22)^('DCF Model'!C19+0)+'DCF Model'!D45/(1+$B22)^('DCF Model'!C19+1)+'DCF Model'!E45/(1+$B22)^('DCF Model'!C19+2)+'DCF Model'!F45/(1+$B22)^('DCF Model'!C19+3)+'DCF Model'!G45/(1+$B22)^('DCF Model'!C19+4)+('DCF Model'!G39+'DCF Model'!G42)*E$17/(1+$B22)^('DCF Model'!C19+4)-'DCF Model'!C16)*1000000/'DCF Model'!C15,0),"")</f>
        <v>5074</v>
      </c>
      <c r="F22" s="37">
        <f>IFERROR(ROUND(('DCF Model'!C45/(1+$B22)^('DCF Model'!C19+0)+'DCF Model'!D45/(1+$B22)^('DCF Model'!C19+1)+'DCF Model'!E45/(1+$B22)^('DCF Model'!C19+2)+'DCF Model'!F45/(1+$B22)^('DCF Model'!C19+3)+'DCF Model'!G45/(1+$B22)^('DCF Model'!C19+4)+('DCF Model'!G39+'DCF Model'!G42)*F$17/(1+$B22)^('DCF Model'!C19+4)-'DCF Model'!C16)*1000000/'DCF Model'!C15,0),"")</f>
        <v>5665</v>
      </c>
      <c r="G22" s="37">
        <f>IFERROR(ROUND(('DCF Model'!C45/(1+$B22)^('DCF Model'!C19+0)+'DCF Model'!D45/(1+$B22)^('DCF Model'!C19+1)+'DCF Model'!E45/(1+$B22)^('DCF Model'!C19+2)+'DCF Model'!F45/(1+$B22)^('DCF Model'!C19+3)+'DCF Model'!G45/(1+$B22)^('DCF Model'!C19+4)+('DCF Model'!G39+'DCF Model'!G42)*G$17/(1+$B22)^('DCF Model'!C19+4)-'DCF Model'!C16)*1000000/'DCF Model'!C15,0),"")</f>
        <v>6257</v>
      </c>
      <c r="H22" s="37">
        <f>IFERROR(ROUND(('DCF Model'!C45/(1+$B22)^('DCF Model'!C19+0)+'DCF Model'!D45/(1+$B22)^('DCF Model'!C19+1)+'DCF Model'!E45/(1+$B22)^('DCF Model'!C19+2)+'DCF Model'!F45/(1+$B22)^('DCF Model'!C19+3)+'DCF Model'!G45/(1+$B22)^('DCF Model'!C19+4)+('DCF Model'!G39+'DCF Model'!G42)*H$17/(1+$B22)^('DCF Model'!C19+4)-'DCF Model'!C16)*1000000/'DCF Model'!C15,0),"")</f>
        <v>6848</v>
      </c>
      <c r="I22" s="37">
        <f>IFERROR(ROUND(('DCF Model'!C45/(1+$B22)^('DCF Model'!C19+0)+'DCF Model'!D45/(1+$B22)^('DCF Model'!C19+1)+'DCF Model'!E45/(1+$B22)^('DCF Model'!C19+2)+'DCF Model'!F45/(1+$B22)^('DCF Model'!C19+3)+'DCF Model'!G45/(1+$B22)^('DCF Model'!C19+4)+('DCF Model'!G39+'DCF Model'!G42)*I$17/(1+$B22)^('DCF Model'!C19+4)-'DCF Model'!C16)*1000000/'DCF Model'!C15,0),"")</f>
        <v>7439</v>
      </c>
    </row>
    <row r="23" spans="2:9" ht="13.5" x14ac:dyDescent="0.25">
      <c r="B23" s="39">
        <f>$C$3+0.01</f>
        <v>9.7296109839816916E-2</v>
      </c>
      <c r="C23" s="37">
        <f>IFERROR(ROUND(('DCF Model'!C45/(1+$B23)^('DCF Model'!C19+0)+'DCF Model'!D45/(1+$B23)^('DCF Model'!C19+1)+'DCF Model'!E45/(1+$B23)^('DCF Model'!C19+2)+'DCF Model'!F45/(1+$B23)^('DCF Model'!C19+3)+'DCF Model'!G45/(1+$B23)^('DCF Model'!C19+4)+('DCF Model'!G39+'DCF Model'!G42)*C$17/(1+$B23)^('DCF Model'!C19+4)-'DCF Model'!C16)*1000000/'DCF Model'!C15,0),"")</f>
        <v>3808</v>
      </c>
      <c r="D23" s="37">
        <f>IFERROR(ROUND(('DCF Model'!C45/(1+$B23)^('DCF Model'!C19+0)+'DCF Model'!D45/(1+$B23)^('DCF Model'!C19+1)+'DCF Model'!E45/(1+$B23)^('DCF Model'!C19+2)+'DCF Model'!F45/(1+$B23)^('DCF Model'!C19+3)+'DCF Model'!G45/(1+$B23)^('DCF Model'!C19+4)+('DCF Model'!G39+'DCF Model'!G42)*D$17/(1+$B23)^('DCF Model'!C19+4)-'DCF Model'!C16)*1000000/'DCF Model'!C15,0),"")</f>
        <v>4386</v>
      </c>
      <c r="E23" s="37">
        <f>IFERROR(ROUND(('DCF Model'!C45/(1+$B23)^('DCF Model'!C19+0)+'DCF Model'!D45/(1+$B23)^('DCF Model'!C19+1)+'DCF Model'!E45/(1+$B23)^('DCF Model'!C19+2)+'DCF Model'!F45/(1+$B23)^('DCF Model'!C19+3)+'DCF Model'!G45/(1+$B23)^('DCF Model'!C19+4)+('DCF Model'!G39+'DCF Model'!G42)*E$17/(1+$B23)^('DCF Model'!C19+4)-'DCF Model'!C16)*1000000/'DCF Model'!C15,0),"")</f>
        <v>4964</v>
      </c>
      <c r="F23" s="37">
        <f>IFERROR(ROUND(('DCF Model'!C45/(1+$B23)^('DCF Model'!C19+0)+'DCF Model'!D45/(1+$B23)^('DCF Model'!C19+1)+'DCF Model'!E45/(1+$B23)^('DCF Model'!C19+2)+'DCF Model'!F45/(1+$B23)^('DCF Model'!C19+3)+'DCF Model'!G45/(1+$B23)^('DCF Model'!C19+4)+('DCF Model'!G39+'DCF Model'!G42)*F$17/(1+$B23)^('DCF Model'!C19+4)-'DCF Model'!C16)*1000000/'DCF Model'!C15,0),"")</f>
        <v>5542</v>
      </c>
      <c r="G23" s="37">
        <f>IFERROR(ROUND(('DCF Model'!C45/(1+$B23)^('DCF Model'!C19+0)+'DCF Model'!D45/(1+$B23)^('DCF Model'!C19+1)+'DCF Model'!E45/(1+$B23)^('DCF Model'!C19+2)+'DCF Model'!F45/(1+$B23)^('DCF Model'!C19+3)+'DCF Model'!G45/(1+$B23)^('DCF Model'!C19+4)+('DCF Model'!G39+'DCF Model'!G42)*G$17/(1+$B23)^('DCF Model'!C19+4)-'DCF Model'!C16)*1000000/'DCF Model'!C15,0),"")</f>
        <v>6120</v>
      </c>
      <c r="H23" s="37">
        <f>IFERROR(ROUND(('DCF Model'!C45/(1+$B23)^('DCF Model'!C19+0)+'DCF Model'!D45/(1+$B23)^('DCF Model'!C19+1)+'DCF Model'!E45/(1+$B23)^('DCF Model'!C19+2)+'DCF Model'!F45/(1+$B23)^('DCF Model'!C19+3)+'DCF Model'!G45/(1+$B23)^('DCF Model'!C19+4)+('DCF Model'!G39+'DCF Model'!G42)*H$17/(1+$B23)^('DCF Model'!C19+4)-'DCF Model'!C16)*1000000/'DCF Model'!C15,0),"")</f>
        <v>6698</v>
      </c>
      <c r="I23" s="37">
        <f>IFERROR(ROUND(('DCF Model'!C45/(1+$B23)^('DCF Model'!C19+0)+'DCF Model'!D45/(1+$B23)^('DCF Model'!C19+1)+'DCF Model'!E45/(1+$B23)^('DCF Model'!C19+2)+'DCF Model'!F45/(1+$B23)^('DCF Model'!C19+3)+'DCF Model'!G45/(1+$B23)^('DCF Model'!C19+4)+('DCF Model'!G39+'DCF Model'!G42)*I$17/(1+$B23)^('DCF Model'!C19+4)-'DCF Model'!C16)*1000000/'DCF Model'!C15,0),"")</f>
        <v>7276</v>
      </c>
    </row>
    <row r="24" spans="2:9" ht="13.5" x14ac:dyDescent="0.25">
      <c r="B24" s="39">
        <f>$C$3+0.015</f>
        <v>0.10229610983981692</v>
      </c>
      <c r="C24" s="37">
        <f>IFERROR(ROUND(('DCF Model'!C45/(1+$B24)^('DCF Model'!C19+0)+'DCF Model'!D45/(1+$B24)^('DCF Model'!C19+1)+'DCF Model'!E45/(1+$B24)^('DCF Model'!C19+2)+'DCF Model'!F45/(1+$B24)^('DCF Model'!C19+3)+'DCF Model'!G45/(1+$B24)^('DCF Model'!C19+4)+('DCF Model'!G39+'DCF Model'!G42)*C$17/(1+$B24)^('DCF Model'!C19+4)-'DCF Model'!C16)*1000000/'DCF Model'!C15,0),"")</f>
        <v>3727</v>
      </c>
      <c r="D24" s="37">
        <f>IFERROR(ROUND(('DCF Model'!C45/(1+$B24)^('DCF Model'!C19+0)+'DCF Model'!D45/(1+$B24)^('DCF Model'!C19+1)+'DCF Model'!E45/(1+$B24)^('DCF Model'!C19+2)+'DCF Model'!F45/(1+$B24)^('DCF Model'!C19+3)+'DCF Model'!G45/(1+$B24)^('DCF Model'!C19+4)+('DCF Model'!G39+'DCF Model'!G42)*D$17/(1+$B24)^('DCF Model'!C19+4)-'DCF Model'!C16)*1000000/'DCF Model'!C15,0),"")</f>
        <v>4292</v>
      </c>
      <c r="E24" s="37">
        <f>IFERROR(ROUND(('DCF Model'!C45/(1+$B24)^('DCF Model'!C19+0)+'DCF Model'!D45/(1+$B24)^('DCF Model'!C19+1)+'DCF Model'!E45/(1+$B24)^('DCF Model'!C19+2)+'DCF Model'!F45/(1+$B24)^('DCF Model'!C19+3)+'DCF Model'!G45/(1+$B24)^('DCF Model'!C19+4)+('DCF Model'!G39+'DCF Model'!G42)*E$17/(1+$B24)^('DCF Model'!C19+4)-'DCF Model'!C16)*1000000/'DCF Model'!C15,0),"")</f>
        <v>4857</v>
      </c>
      <c r="F24" s="37">
        <f>IFERROR(ROUND(('DCF Model'!C45/(1+$B24)^('DCF Model'!C19+0)+'DCF Model'!D45/(1+$B24)^('DCF Model'!C19+1)+'DCF Model'!E45/(1+$B24)^('DCF Model'!C19+2)+'DCF Model'!F45/(1+$B24)^('DCF Model'!C19+3)+'DCF Model'!G45/(1+$B24)^('DCF Model'!C19+4)+('DCF Model'!G39+'DCF Model'!G42)*F$17/(1+$B24)^('DCF Model'!C19+4)-'DCF Model'!C16)*1000000/'DCF Model'!C15,0),"")</f>
        <v>5422</v>
      </c>
      <c r="G24" s="37">
        <f>IFERROR(ROUND(('DCF Model'!C45/(1+$B24)^('DCF Model'!C19+0)+'DCF Model'!D45/(1+$B24)^('DCF Model'!C19+1)+'DCF Model'!E45/(1+$B24)^('DCF Model'!C19+2)+'DCF Model'!F45/(1+$B24)^('DCF Model'!C19+3)+'DCF Model'!G45/(1+$B24)^('DCF Model'!C19+4)+('DCF Model'!G39+'DCF Model'!G42)*G$17/(1+$B24)^('DCF Model'!C19+4)-'DCF Model'!C16)*1000000/'DCF Model'!C15,0),"")</f>
        <v>5987</v>
      </c>
      <c r="H24" s="37">
        <f>IFERROR(ROUND(('DCF Model'!C45/(1+$B24)^('DCF Model'!C19+0)+'DCF Model'!D45/(1+$B24)^('DCF Model'!C19+1)+'DCF Model'!E45/(1+$B24)^('DCF Model'!C19+2)+'DCF Model'!F45/(1+$B24)^('DCF Model'!C19+3)+'DCF Model'!G45/(1+$B24)^('DCF Model'!C19+4)+('DCF Model'!G39+'DCF Model'!G42)*H$17/(1+$B24)^('DCF Model'!C19+4)-'DCF Model'!C16)*1000000/'DCF Model'!C15,0),"")</f>
        <v>6552</v>
      </c>
      <c r="I24" s="37">
        <f>IFERROR(ROUND(('DCF Model'!C45/(1+$B24)^('DCF Model'!C19+0)+'DCF Model'!D45/(1+$B24)^('DCF Model'!C19+1)+'DCF Model'!E45/(1+$B24)^('DCF Model'!C19+2)+'DCF Model'!F45/(1+$B24)^('DCF Model'!C19+3)+'DCF Model'!G45/(1+$B24)^('DCF Model'!C19+4)+('DCF Model'!G39+'DCF Model'!G42)*I$17/(1+$B24)^('DCF Model'!C19+4)-'DCF Model'!C16)*1000000/'DCF Model'!C15,0),"")</f>
        <v>7117</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47</v>
      </c>
    </row>
    <row r="23" spans="2:3" ht="14" x14ac:dyDescent="0.3">
      <c r="B23" s="4" t="s">
        <v>286</v>
      </c>
      <c r="C23" t="s">
        <v>4</v>
      </c>
    </row>
    <row r="24" spans="2:3" ht="14" x14ac:dyDescent="0.3">
      <c r="B24" s="4" t="s">
        <v>287</v>
      </c>
      <c r="C24" t="s">
        <v>252</v>
      </c>
    </row>
    <row r="25" spans="2:3" ht="14" x14ac:dyDescent="0.3">
      <c r="B25" s="4" t="s">
        <v>288</v>
      </c>
      <c r="C25" t="s">
        <v>289</v>
      </c>
    </row>
    <row r="26" spans="2:3" ht="14" x14ac:dyDescent="0.3">
      <c r="B26" s="4" t="s">
        <v>290</v>
      </c>
      <c r="C26" t="s">
        <v>278</v>
      </c>
    </row>
    <row r="27" spans="2:3" ht="14" x14ac:dyDescent="0.3">
      <c r="B27" s="4" t="s">
        <v>291</v>
      </c>
      <c r="C27" t="s">
        <v>278</v>
      </c>
    </row>
    <row r="28" spans="2:3" ht="14" x14ac:dyDescent="0.3">
      <c r="B28" s="4" t="s">
        <v>292</v>
      </c>
      <c r="C28" t="s">
        <v>293</v>
      </c>
    </row>
    <row r="29" spans="2:3" ht="14" x14ac:dyDescent="0.3">
      <c r="B29" s="4" t="s">
        <v>294</v>
      </c>
      <c r="C29" t="s">
        <v>295</v>
      </c>
    </row>
    <row r="30" spans="2:3" ht="14" x14ac:dyDescent="0.3">
      <c r="B30" s="4" t="s">
        <v>296</v>
      </c>
      <c r="C30" t="s">
        <v>297</v>
      </c>
    </row>
    <row r="31" spans="2:3" ht="14" x14ac:dyDescent="0.3">
      <c r="B31" s="4" t="s">
        <v>298</v>
      </c>
      <c r="C31" t="s">
        <v>293</v>
      </c>
    </row>
    <row r="32" spans="2:3" ht="14" x14ac:dyDescent="0.3">
      <c r="B32" s="4" t="s">
        <v>299</v>
      </c>
      <c r="C32" t="s">
        <v>278</v>
      </c>
    </row>
    <row r="33" spans="2:3" ht="14" x14ac:dyDescent="0.3">
      <c r="B33" s="4" t="s">
        <v>300</v>
      </c>
      <c r="C33" t="s">
        <v>289</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282</v>
      </c>
    </row>
    <row r="45" spans="2:3" ht="14" x14ac:dyDescent="0.3">
      <c r="B45" s="4" t="s">
        <v>322</v>
      </c>
      <c r="C45" t="s">
        <v>323</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335</v>
      </c>
    </row>
    <row r="52" spans="2:3" ht="14" x14ac:dyDescent="0.3">
      <c r="B52" s="4" t="s">
        <v>336</v>
      </c>
      <c r="C52" t="s">
        <v>337</v>
      </c>
    </row>
    <row r="53" spans="2:3" ht="14" x14ac:dyDescent="0.3">
      <c r="B53" s="4" t="s">
        <v>338</v>
      </c>
      <c r="C53" t="s">
        <v>289</v>
      </c>
    </row>
    <row r="54" spans="2:3" ht="14" x14ac:dyDescent="0.3">
      <c r="B54" s="4" t="s">
        <v>339</v>
      </c>
      <c r="C54" t="s">
        <v>340</v>
      </c>
    </row>
    <row r="55" spans="2:3" ht="14" x14ac:dyDescent="0.3">
      <c r="B55" s="4" t="s">
        <v>341</v>
      </c>
      <c r="C55" t="s">
        <v>342</v>
      </c>
    </row>
    <row r="56" spans="2:3" ht="14" x14ac:dyDescent="0.3">
      <c r="B56" s="4" t="s">
        <v>343</v>
      </c>
      <c r="C56" t="s">
        <v>344</v>
      </c>
    </row>
    <row r="57" spans="2:3" ht="14" x14ac:dyDescent="0.3">
      <c r="B57" s="4" t="s">
        <v>345</v>
      </c>
      <c r="C57" t="s">
        <v>346</v>
      </c>
    </row>
    <row r="58" spans="2:3" ht="14" x14ac:dyDescent="0.3">
      <c r="B58" s="4" t="s">
        <v>347</v>
      </c>
      <c r="C58" t="s">
        <v>289</v>
      </c>
    </row>
    <row r="59" spans="2:3" ht="14" x14ac:dyDescent="0.3">
      <c r="B59" s="4" t="s">
        <v>348</v>
      </c>
      <c r="C59" t="s">
        <v>349</v>
      </c>
    </row>
    <row r="60" spans="2:3" ht="14" x14ac:dyDescent="0.3">
      <c r="B60" s="4" t="s">
        <v>350</v>
      </c>
      <c r="C60" t="s">
        <v>351</v>
      </c>
    </row>
    <row r="61" spans="2:3" ht="14" x14ac:dyDescent="0.3">
      <c r="B61" s="4" t="s">
        <v>352</v>
      </c>
      <c r="C61" t="s">
        <v>353</v>
      </c>
    </row>
    <row r="62" spans="2:3" ht="14" x14ac:dyDescent="0.3">
      <c r="B62" s="4" t="s">
        <v>354</v>
      </c>
      <c r="C62" t="s">
        <v>355</v>
      </c>
    </row>
    <row r="63" spans="2:3" ht="14" x14ac:dyDescent="0.3">
      <c r="B63" s="4" t="s">
        <v>356</v>
      </c>
      <c r="C63" t="s">
        <v>357</v>
      </c>
    </row>
    <row r="64" spans="2:3" ht="14" x14ac:dyDescent="0.3">
      <c r="B64" s="4" t="s">
        <v>358</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2026-09-06T10:30:08Z</dcterms:created>
  <dcterms:modified xsi:type="dcterms:W3CDTF">2026-09-06T10:30:11Z</dcterms:modified>
</cp:coreProperties>
</file>