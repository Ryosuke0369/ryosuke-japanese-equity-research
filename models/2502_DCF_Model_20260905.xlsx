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CFF643B5-BB9D-4B9A-8979-9EB8B9282F11}"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F16" i="6" s="1"/>
  <c r="C28" i="6" s="1"/>
  <c r="C19" i="1" s="1"/>
  <c r="D19" i="1" s="1"/>
  <c r="K6" i="6"/>
  <c r="E15" i="6" s="1"/>
  <c r="J6" i="6"/>
  <c r="O5" i="6"/>
  <c r="N5" i="6"/>
  <c r="D5" i="6"/>
  <c r="E5" i="6" s="1"/>
  <c r="C16" i="5"/>
  <c r="C14" i="5"/>
  <c r="C18" i="5" s="1"/>
  <c r="C7" i="5"/>
  <c r="C6" i="5"/>
  <c r="C5" i="5"/>
  <c r="C13" i="4"/>
  <c r="C12" i="4"/>
  <c r="C9" i="4"/>
  <c r="C7" i="4"/>
  <c r="C6" i="4"/>
  <c r="D27" i="3"/>
  <c r="G5" i="5" s="1"/>
  <c r="C25" i="3"/>
  <c r="C24" i="3"/>
  <c r="C23" i="3"/>
  <c r="C26" i="3" s="1"/>
  <c r="E28" i="2"/>
  <c r="D28" i="2"/>
  <c r="C28" i="2"/>
  <c r="F16" i="2"/>
  <c r="E16" i="2"/>
  <c r="D16" i="2"/>
  <c r="F15" i="2"/>
  <c r="E15" i="2"/>
  <c r="D15" i="2"/>
  <c r="F14" i="2"/>
  <c r="E14" i="2"/>
  <c r="D14" i="2"/>
  <c r="C14" i="2"/>
  <c r="F13" i="2"/>
  <c r="E13" i="2"/>
  <c r="D13" i="2"/>
  <c r="C13" i="2"/>
  <c r="F9" i="2"/>
  <c r="F8" i="2"/>
  <c r="E8" i="2"/>
  <c r="E9" i="2" s="1"/>
  <c r="D8" i="2"/>
  <c r="D9" i="2" s="1"/>
  <c r="C8" i="2"/>
  <c r="C9" i="2" s="1"/>
  <c r="G15" i="6" l="1"/>
  <c r="I15" i="6"/>
  <c r="L5" i="6"/>
  <c r="H15" i="6"/>
  <c r="D16" i="6"/>
  <c r="F17" i="6"/>
  <c r="M5" i="6"/>
  <c r="I16" i="6"/>
  <c r="E16" i="6"/>
  <c r="E17" i="6"/>
  <c r="C30" i="3"/>
  <c r="C33" i="3" s="1"/>
  <c r="D9" i="5" s="1"/>
  <c r="F31" i="3"/>
  <c r="D17" i="6"/>
  <c r="F15" i="6"/>
  <c r="C27" i="6"/>
  <c r="C18" i="1" s="1"/>
  <c r="D18" i="1" s="1"/>
  <c r="C74" i="4"/>
  <c r="J5" i="6"/>
  <c r="K5" i="6"/>
  <c r="C3" i="7"/>
  <c r="G36" i="4"/>
  <c r="C11" i="4"/>
  <c r="G46" i="3"/>
  <c r="F36" i="4"/>
  <c r="F46" i="3"/>
  <c r="B25" i="1"/>
  <c r="E36" i="4"/>
  <c r="E46" i="3"/>
  <c r="D36" i="4"/>
  <c r="D46" i="3"/>
  <c r="B30" i="1"/>
  <c r="C46" i="3"/>
  <c r="H36" i="4"/>
  <c r="E7" i="5"/>
  <c r="E30" i="3"/>
  <c r="C32" i="3"/>
  <c r="C37" i="3" s="1"/>
  <c r="G17" i="6"/>
  <c r="C6" i="7"/>
  <c r="D17" i="7"/>
  <c r="G31" i="3"/>
  <c r="D6" i="5"/>
  <c r="F7" i="5"/>
  <c r="F30" i="3"/>
  <c r="D32" i="3"/>
  <c r="E6" i="5"/>
  <c r="G7" i="5"/>
  <c r="D15" i="6"/>
  <c r="H17" i="6"/>
  <c r="D6" i="7"/>
  <c r="E17" i="7"/>
  <c r="D7" i="5"/>
  <c r="D30" i="3"/>
  <c r="D33" i="3" s="1"/>
  <c r="G30" i="3"/>
  <c r="E32" i="3"/>
  <c r="C8" i="4"/>
  <c r="C10" i="4" s="1"/>
  <c r="D5" i="5"/>
  <c r="F6" i="5"/>
  <c r="H7" i="5"/>
  <c r="G16" i="6"/>
  <c r="I17" i="6"/>
  <c r="E6" i="7"/>
  <c r="F17" i="7"/>
  <c r="H5" i="5"/>
  <c r="I6" i="7"/>
  <c r="C17" i="7"/>
  <c r="C31" i="3"/>
  <c r="C34" i="3" s="1"/>
  <c r="F32" i="3"/>
  <c r="H16" i="6"/>
  <c r="F6" i="7"/>
  <c r="G17" i="7"/>
  <c r="E5" i="5"/>
  <c r="G6" i="5"/>
  <c r="D31" i="3"/>
  <c r="G32" i="3"/>
  <c r="F5" i="5"/>
  <c r="H6" i="5"/>
  <c r="G6" i="7"/>
  <c r="H17" i="7"/>
  <c r="E31" i="3"/>
  <c r="B24" i="1" l="1"/>
  <c r="B29" i="1"/>
  <c r="C42" i="3"/>
  <c r="D10" i="5"/>
  <c r="C35" i="3"/>
  <c r="C24" i="4"/>
  <c r="C25" i="4" s="1"/>
  <c r="C71" i="4"/>
  <c r="C70" i="4"/>
  <c r="H40" i="4"/>
  <c r="H50" i="4" s="1"/>
  <c r="H55" i="4" s="1"/>
  <c r="H44" i="4"/>
  <c r="H38" i="4"/>
  <c r="H48" i="4" s="1"/>
  <c r="H53" i="4" s="1"/>
  <c r="H41" i="4"/>
  <c r="H43" i="4"/>
  <c r="H45" i="4"/>
  <c r="H39" i="4"/>
  <c r="H49" i="4" s="1"/>
  <c r="H54" i="4" s="1"/>
  <c r="H46" i="4"/>
  <c r="F43" i="4"/>
  <c r="F46" i="4"/>
  <c r="F40" i="4"/>
  <c r="F45" i="4"/>
  <c r="F39" i="4"/>
  <c r="F44" i="4"/>
  <c r="F38" i="4"/>
  <c r="F41" i="4"/>
  <c r="F51" i="4" s="1"/>
  <c r="F56" i="4" s="1"/>
  <c r="E9" i="5"/>
  <c r="E12" i="5" s="1"/>
  <c r="D42" i="3"/>
  <c r="D34" i="3"/>
  <c r="E10" i="5" s="1"/>
  <c r="E33" i="3"/>
  <c r="D37" i="3"/>
  <c r="D45" i="4"/>
  <c r="D39" i="4"/>
  <c r="D43" i="4"/>
  <c r="D46" i="4"/>
  <c r="D41" i="4"/>
  <c r="D40" i="4"/>
  <c r="D44" i="4"/>
  <c r="D38" i="4"/>
  <c r="G46" i="4"/>
  <c r="G40" i="4"/>
  <c r="G50" i="4" s="1"/>
  <c r="G55" i="4" s="1"/>
  <c r="G44" i="4"/>
  <c r="G43" i="4"/>
  <c r="G38" i="4"/>
  <c r="G39" i="4"/>
  <c r="G41" i="4"/>
  <c r="G45" i="4"/>
  <c r="D12" i="5"/>
  <c r="B11" i="7"/>
  <c r="B8" i="7"/>
  <c r="B21" i="7"/>
  <c r="B20" i="7"/>
  <c r="B18" i="7"/>
  <c r="B12" i="7"/>
  <c r="B9" i="7"/>
  <c r="B24" i="7"/>
  <c r="B19" i="7"/>
  <c r="B22" i="7"/>
  <c r="B13" i="7"/>
  <c r="B10" i="7"/>
  <c r="B7" i="7"/>
  <c r="B23" i="7"/>
  <c r="E39" i="4"/>
  <c r="E43" i="4"/>
  <c r="E46" i="4"/>
  <c r="E41" i="4"/>
  <c r="E51" i="4" s="1"/>
  <c r="E56" i="4" s="1"/>
  <c r="E40" i="4"/>
  <c r="E50" i="4" s="1"/>
  <c r="E55" i="4" s="1"/>
  <c r="E45" i="4"/>
  <c r="E44" i="4"/>
  <c r="E38" i="4"/>
  <c r="E49" i="4" l="1"/>
  <c r="E54" i="4" s="1"/>
  <c r="D48" i="4"/>
  <c r="D53" i="4" s="1"/>
  <c r="F49" i="4"/>
  <c r="G51" i="4"/>
  <c r="G56" i="4" s="1"/>
  <c r="D49" i="4"/>
  <c r="D54" i="4" s="1"/>
  <c r="H51" i="4"/>
  <c r="H56" i="4" s="1"/>
  <c r="F48" i="4"/>
  <c r="F53" i="4" s="1"/>
  <c r="G49" i="4"/>
  <c r="G54" i="4" s="1"/>
  <c r="D50" i="4"/>
  <c r="D55" i="4" s="1"/>
  <c r="F50" i="4"/>
  <c r="F55" i="4" s="1"/>
  <c r="E48" i="4"/>
  <c r="E53" i="4" s="1"/>
  <c r="G48" i="4"/>
  <c r="G53" i="4" s="1"/>
  <c r="D51" i="4"/>
  <c r="D56" i="4" s="1"/>
  <c r="F54" i="4"/>
  <c r="C60" i="4"/>
  <c r="B78" i="4"/>
  <c r="E13" i="5"/>
  <c r="E15" i="5"/>
  <c r="E16" i="5" s="1"/>
  <c r="F9" i="5"/>
  <c r="F12" i="5" s="1"/>
  <c r="E42" i="3"/>
  <c r="E34" i="3"/>
  <c r="F10" i="5" s="1"/>
  <c r="E37" i="3"/>
  <c r="E35" i="3"/>
  <c r="F33" i="3"/>
  <c r="E14" i="5"/>
  <c r="E18" i="5" s="1"/>
  <c r="D35" i="3"/>
  <c r="C36" i="3"/>
  <c r="C39" i="3"/>
  <c r="C38" i="3"/>
  <c r="C27" i="4"/>
  <c r="C29" i="4"/>
  <c r="C26" i="4"/>
  <c r="D15" i="5"/>
  <c r="D16" i="5" s="1"/>
  <c r="D13" i="5"/>
  <c r="D14" i="5" s="1"/>
  <c r="D18" i="5" l="1"/>
  <c r="D19" i="5" s="1"/>
  <c r="C44" i="3" s="1"/>
  <c r="E19" i="5"/>
  <c r="D44" i="3" s="1"/>
  <c r="F42" i="3"/>
  <c r="F34" i="3"/>
  <c r="G10" i="5" s="1"/>
  <c r="F37" i="3"/>
  <c r="G9" i="5"/>
  <c r="G12" i="5" s="1"/>
  <c r="G33" i="3"/>
  <c r="D36" i="3"/>
  <c r="D39" i="3"/>
  <c r="D38" i="3"/>
  <c r="E39" i="3"/>
  <c r="E38" i="3"/>
  <c r="E36" i="3"/>
  <c r="F13" i="5"/>
  <c r="F14" i="5" s="1"/>
  <c r="F18" i="5" s="1"/>
  <c r="F19" i="5" s="1"/>
  <c r="E44" i="3" s="1"/>
  <c r="F15" i="5"/>
  <c r="F16" i="5" s="1"/>
  <c r="C65" i="4"/>
  <c r="D65" i="4" s="1"/>
  <c r="C64" i="4"/>
  <c r="D64" i="4" s="1"/>
  <c r="C67" i="4"/>
  <c r="D67" i="4" s="1"/>
  <c r="C63" i="4"/>
  <c r="D63" i="4" s="1"/>
  <c r="C66" i="4"/>
  <c r="D66" i="4" s="1"/>
  <c r="C40" i="3"/>
  <c r="C41" i="3" s="1"/>
  <c r="C45" i="3" s="1"/>
  <c r="C47" i="3" l="1"/>
  <c r="G13" i="5"/>
  <c r="G15" i="5"/>
  <c r="G16" i="5" s="1"/>
  <c r="E40" i="3"/>
  <c r="E41" i="3" s="1"/>
  <c r="E45" i="3" s="1"/>
  <c r="G14" i="5"/>
  <c r="G18" i="5" s="1"/>
  <c r="G19" i="5" s="1"/>
  <c r="F44" i="3" s="1"/>
  <c r="D40" i="3"/>
  <c r="D41" i="3" s="1"/>
  <c r="D45" i="3" s="1"/>
  <c r="D47" i="3" s="1"/>
  <c r="G37" i="3"/>
  <c r="H9" i="5"/>
  <c r="H12" i="5" s="1"/>
  <c r="C16" i="4"/>
  <c r="C28" i="4" s="1"/>
  <c r="G42" i="3"/>
  <c r="G34" i="3"/>
  <c r="H10" i="5" s="1"/>
  <c r="F35" i="3"/>
  <c r="E47" i="3" l="1"/>
  <c r="G35" i="3"/>
  <c r="C72" i="4"/>
  <c r="C73" i="4"/>
  <c r="H13" i="5"/>
  <c r="H14" i="5" s="1"/>
  <c r="H15" i="5"/>
  <c r="H16" i="5" s="1"/>
  <c r="F36" i="3"/>
  <c r="F38" i="3"/>
  <c r="F39" i="3"/>
  <c r="H18" i="5" l="1"/>
  <c r="H19" i="5" s="1"/>
  <c r="G44" i="3" s="1"/>
  <c r="F40" i="3"/>
  <c r="F41" i="3"/>
  <c r="F45" i="3" s="1"/>
  <c r="G38" i="3"/>
  <c r="G39" i="3"/>
  <c r="G36" i="3"/>
  <c r="G40" i="3" l="1"/>
  <c r="C59" i="3"/>
  <c r="C60" i="3" s="1"/>
  <c r="C61" i="3" s="1"/>
  <c r="G41" i="3"/>
  <c r="G45" i="3" s="1"/>
  <c r="G21" i="7" s="1"/>
  <c r="F47" i="3"/>
  <c r="I13" i="7"/>
  <c r="C7" i="7"/>
  <c r="G12" i="7"/>
  <c r="F10" i="7"/>
  <c r="H19" i="7"/>
  <c r="H20" i="7"/>
  <c r="E24" i="7"/>
  <c r="C11" i="7"/>
  <c r="I12" i="7"/>
  <c r="F21" i="7"/>
  <c r="C12" i="7"/>
  <c r="E9" i="7"/>
  <c r="C9" i="7"/>
  <c r="H18" i="7"/>
  <c r="I24" i="7"/>
  <c r="E7" i="7"/>
  <c r="D22" i="7"/>
  <c r="E23" i="7"/>
  <c r="G22" i="7"/>
  <c r="E19" i="7"/>
  <c r="H13" i="7"/>
  <c r="H24" i="7"/>
  <c r="G13" i="7"/>
  <c r="E11" i="7"/>
  <c r="H9" i="7"/>
  <c r="H10" i="7"/>
  <c r="D12" i="7"/>
  <c r="G10" i="7"/>
  <c r="D24" i="7"/>
  <c r="G9" i="7"/>
  <c r="H12" i="7"/>
  <c r="F19" i="7"/>
  <c r="E8" i="7"/>
  <c r="I9" i="7"/>
  <c r="C8" i="7"/>
  <c r="C24" i="7"/>
  <c r="E10" i="7"/>
  <c r="D10" i="7"/>
  <c r="C10" i="7"/>
  <c r="C18" i="7"/>
  <c r="E18" i="7"/>
  <c r="I10" i="7"/>
  <c r="F24" i="7"/>
  <c r="G23" i="7"/>
  <c r="C13" i="7"/>
  <c r="I21" i="7"/>
  <c r="I22" i="7"/>
  <c r="G19" i="7"/>
  <c r="H22" i="7"/>
  <c r="F7" i="7"/>
  <c r="F11" i="7"/>
  <c r="G11" i="7"/>
  <c r="H21" i="7"/>
  <c r="F18" i="7"/>
  <c r="F23" i="7"/>
  <c r="D9" i="7"/>
  <c r="E22" i="7"/>
  <c r="F9" i="7"/>
  <c r="C20" i="7"/>
  <c r="H8" i="7"/>
  <c r="C23" i="7"/>
  <c r="I8" i="7"/>
  <c r="I20" i="7"/>
  <c r="D13" i="7"/>
  <c r="D11" i="7"/>
  <c r="E20" i="7"/>
  <c r="H11" i="7"/>
  <c r="D8" i="7"/>
  <c r="G24" i="7"/>
  <c r="I18" i="7"/>
  <c r="I23" i="7"/>
  <c r="D7" i="7"/>
  <c r="D20" i="7"/>
  <c r="C21" i="7"/>
  <c r="D21" i="7"/>
  <c r="F12" i="7"/>
  <c r="C19" i="7"/>
  <c r="E12" i="7"/>
  <c r="F13" i="7"/>
  <c r="G18" i="7"/>
  <c r="I7" i="7"/>
  <c r="F22" i="7"/>
  <c r="H23" i="7"/>
  <c r="E13" i="7"/>
  <c r="D19" i="7"/>
  <c r="C22" i="7"/>
  <c r="I11" i="7"/>
  <c r="I19" i="7"/>
  <c r="D18" i="7"/>
  <c r="G7" i="7"/>
  <c r="G8" i="7"/>
  <c r="D23" i="7"/>
  <c r="F8" i="7"/>
  <c r="C51" i="3" l="1"/>
  <c r="C52" i="3" s="1"/>
  <c r="G47" i="3"/>
  <c r="C50" i="3" s="1"/>
  <c r="H7" i="7"/>
  <c r="F20" i="7"/>
  <c r="G20" i="7"/>
  <c r="E21" i="7"/>
  <c r="C58" i="3" l="1"/>
  <c r="C62" i="3" s="1"/>
  <c r="C53" i="3"/>
  <c r="C17" i="4" l="1"/>
  <c r="C54" i="3"/>
  <c r="C55" i="3" s="1"/>
  <c r="C16" i="1" s="1"/>
  <c r="C63" i="3"/>
  <c r="C64" i="3" s="1"/>
  <c r="C17" i="1" s="1"/>
  <c r="D17" i="1" s="1"/>
  <c r="C19" i="4" l="1"/>
  <c r="C20" i="4" s="1"/>
  <c r="B79" i="4"/>
  <c r="D16" i="1"/>
  <c r="C10" i="1"/>
  <c r="C21" i="1"/>
  <c r="C12" i="1" l="1"/>
  <c r="C11" i="1" s="1"/>
  <c r="B26" i="1"/>
</calcChain>
</file>

<file path=xl/sharedStrings.xml><?xml version="1.0" encoding="utf-8"?>
<sst xmlns="http://schemas.openxmlformats.org/spreadsheetml/2006/main" count="508" uniqueCount="392">
  <si>
    <t>DISCLAIMER: This is a sample analysis for demonstration purposes only. It does not constitute investment advice.</t>
  </si>
  <si>
    <t>アサヒグループホールディングス (2502.T)</t>
  </si>
  <si>
    <t>Equity Research Report</t>
  </si>
  <si>
    <t>Company</t>
  </si>
  <si>
    <t>アサヒグループホールディングス</t>
  </si>
  <si>
    <t>Ticker</t>
  </si>
  <si>
    <t>2502.T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</si>
  <si>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</si>
  <si>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</si>
  <si>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</si>
  <si>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</si>
  <si>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</si>
  <si>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</si>
  <si>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</si>
  <si>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</si>
  <si>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</si>
  <si>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</si>
  <si>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</si>
  <si>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</si>
  <si>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</si>
  <si>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</si>
  <si>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</si>
  <si>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</si>
  <si>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</si>
  <si>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</si>
  <si>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Beer volumes in the domestic market decline structurally, so the modelled growth depends on overseas premiumisation and price increases holding.</t>
  </si>
  <si>
    <t>アサヒグループホールディングス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</si>
  <si>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</si>
  <si>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</si>
  <si>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</si>
  <si>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</si>
  <si>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</si>
  <si>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</si>
  <si>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</si>
  <si>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</si>
  <si>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</si>
  <si>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</si>
  <si>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</si>
  <si>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</si>
  <si>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</si>
  <si>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</si>
  <si>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</si>
  <si>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</si>
  <si>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</si>
  <si>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</si>
  <si>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</si>
  <si>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</si>
  <si>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</si>
  <si>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</si>
  <si>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</si>
  <si>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</si>
  <si>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</si>
  <si>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</si>
  <si>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</si>
  <si>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3/4, Cash 3/4, Debt 3/4 — blank cells are years with no year-key match in the source data (verify against 決算短信 or set hist_ocf / hist_cash / hist_debt in overrides).</t>
  </si>
  <si>
    <t>DCF Valuation Model - アサヒグループホールディングス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</si>
  <si>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</si>
  <si>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</si>
  <si>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</si>
  <si>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</si>
  <si>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</si>
  <si>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</si>
  <si>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</si>
  <si>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</si>
  <si>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</si>
  <si>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</si>
  <si>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</si>
  <si>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</si>
  <si>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</si>
  <si>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</si>
  <si>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</si>
  <si>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</si>
  <si>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</si>
  <si>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</si>
  <si>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</si>
  <si>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</si>
  <si>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</si>
  <si>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</si>
  <si>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</si>
  <si>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</si>
  <si>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</si>
  <si>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</si>
  <si>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</si>
  <si>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</si>
  <si>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</si>
  <si>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</si>
  <si>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</si>
  <si>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</si>
  <si>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</si>
  <si>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</si>
  <si>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</si>
  <si>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</si>
  <si>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</si>
  <si>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</si>
  <si>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</si>
  <si>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</si>
  <si>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</si>
  <si>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</si>
  <si>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</si>
  <si>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</si>
  <si>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</si>
  <si>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</si>
  <si>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</si>
  <si>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</si>
  <si>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</si>
  <si>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</si>
  <si>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</si>
  <si>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</si>
  <si>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</si>
  <si>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</si>
  <si>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</si>
  <si>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</si>
  <si>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</si>
  <si>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</si>
  <si>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</si>
  <si>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</si>
  <si>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</si>
  <si>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</si>
  <si>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</si>
  <si>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</si>
  <si>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アサヒグループホールディングス (2502.T)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</si>
  <si>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</si>
  <si>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</si>
  <si>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</si>
  <si>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</si>
  <si>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</si>
  <si>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</si>
  <si>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</si>
  <si>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</si>
  <si>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</si>
  <si>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(FY2024 actual)</t>
  </si>
  <si>
    <t>Terminal-year Revenue, active scenario (JPY mn)</t>
  </si>
  <si>
    <t>Base-case DCF Enterprise Value, PGM (JPY mn)</t>
  </si>
  <si>
    <t>Cycle-peak Operating Margin (FY2024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</si>
  <si>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</si>
  <si>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</si>
  <si>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</si>
  <si>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</si>
  <si>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</si>
  <si>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</si>
  <si>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FY2024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</si>
  <si>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</si>
  <si>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</si>
  <si>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</si>
  <si>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</si>
  <si>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</si>
  <si>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</si>
  <si>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</si>
  <si>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</si>
  <si>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</si>
  <si>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</si>
  <si>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</si>
  <si>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</si>
  <si>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</si>
  <si>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</si>
  <si>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</si>
  <si>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FY2024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</si>
  <si>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</si>
  <si>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</si>
  <si>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</si>
  <si>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</si>
  <si>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</si>
  <si>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</si>
  <si>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(FY2024)</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</si>
  <si>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</si>
  <si>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</si>
  <si>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</si>
  <si>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</si>
  <si>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</si>
  <si>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</si>
  <si>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</si>
  <si>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</si>
  <si>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アサヒグループホールディングス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</si>
  <si>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</si>
  <si>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</si>
  <si>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</si>
  <si>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</si>
  <si>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</si>
  <si>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</si>
  <si>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</si>
  <si>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</si>
  <si>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</si>
  <si>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</si>
  <si>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</si>
  <si>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</si>
  <si>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</si>
  <si>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</si>
  <si>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</si>
  <si>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</si>
  <si>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</si>
  <si>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</si>
  <si>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</si>
  <si>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</si>
  <si>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</si>
  <si>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</si>
  <si>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</si>
  <si>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</si>
  <si>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</si>
  <si>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</si>
  <si>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</si>
  <si>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</si>
  <si>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</si>
  <si>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</si>
  <si>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</si>
  <si>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</si>
  <si>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</si>
  <si>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</si>
  <si>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Asahi Group Holdings, Ltd.</t>
  </si>
  <si>
    <t>2502.T</t>
  </si>
  <si>
    <t>Kirin Holdings Company, Limited</t>
  </si>
  <si>
    <t>2503.T</t>
  </si>
  <si>
    <t>Ajinomoto Co., Inc.</t>
  </si>
  <si>
    <t>2802.T</t>
  </si>
  <si>
    <t>Kikkoman Corporation</t>
  </si>
  <si>
    <t>2801.T</t>
  </si>
  <si>
    <t>Meiji Holdings Co., Ltd.</t>
  </si>
  <si>
    <t>2269.T</t>
  </si>
  <si>
    <t>Nissin Foods Holdings Co.,Ltd.</t>
  </si>
  <si>
    <t>2897.T</t>
  </si>
  <si>
    <t>Statistics</t>
  </si>
  <si>
    <t>25th Percentile</t>
  </si>
  <si>
    <t>Median (50th)</t>
  </si>
  <si>
    <t>75th Percentile</t>
  </si>
  <si>
    <t>Implied Valuation for アサヒグループホールディングス</t>
  </si>
  <si>
    <t>アサヒグループホールディングス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</si>
  <si>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</si>
  <si>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</si>
  <si>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</si>
  <si>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</si>
  <si>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</si>
  <si>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</si>
  <si>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</si>
  <si>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</si>
  <si>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</si>
  <si>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</si>
  <si>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</si>
  <si>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</si>
  <si>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</si>
  <si>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</si>
  <si>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</si>
  <si>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アサヒグループホールディングス</t>
  </si>
  <si>
    <t>日付</t>
  </si>
  <si>
    <t>セル</t>
  </si>
  <si>
    <t>変更内容</t>
  </si>
  <si>
    <t>理由</t>
  </si>
  <si>
    <t>元の値</t>
  </si>
  <si>
    <t>状態</t>
  </si>
  <si>
    <t>2026-09-05</t>
  </si>
  <si>
    <t>-</t>
  </si>
  <si>
    <t>Generated by pipeline on 2026-09-05 12:53, template rev c9b5dd9</t>
  </si>
  <si>
    <t>初期生成（手修正なし）</t>
  </si>
  <si>
    <t>generated</t>
  </si>
  <si>
    <t>DCF Model!C7</t>
  </si>
  <si>
    <t>Risk-Free Rate = 2.97%</t>
  </si>
  <si>
    <t>財務省 国債金利情報 jgbcm.csv 10年物 R8.9.3(2026-09-03) 2.966% を四捨五入。バッチ全銘柄共通の一次ソース。</t>
  </si>
  <si>
    <t>テンプレ既定 2.2%</t>
  </si>
  <si>
    <t>確定</t>
  </si>
  <si>
    <t>DCF Model!C9</t>
  </si>
  <si>
    <t>Equity Risk Premium = 6.5%</t>
  </si>
  <si>
    <t>バッチ共通の固定前提(§1-3)。</t>
  </si>
  <si>
    <t>テンプレ既定 6.5%(同値)</t>
  </si>
  <si>
    <t>設計判断</t>
  </si>
  <si>
    <t>DCF Model!C10</t>
  </si>
  <si>
    <t>Size Premium = 1.0%</t>
  </si>
  <si>
    <t>時価総額バンドの機械決定(&gt;3,000億円 -&gt; 1.0%)。当社時価総額 2,397,300百万円。テンプレの自動規則(&gt;=1兆円 -&gt; 0.0%、&gt;=1,000億円 -&gt; 1.5%)とは異なる値であり、明示指定で上書きしている。当社は12月期のため、比較対象の3月期各社とは約3か月の期ズレがある。</t>
  </si>
  <si>
    <t>テンプレ自動値</t>
  </si>
  <si>
    <t>DCF Model!C8</t>
  </si>
  <si>
    <t>Beta = 0.60</t>
  </si>
  <si>
    <t>yfinance実測は 0.158。テンプレは beta を [0.6, 1.75] にクランプし範囲外は【無言で 1.0 に置換】する(templates/dcf_comps_template.py:1819、生成ログでも確認)。サイレントフォールバック禁止の原則により許容域の下限 0.60 を明示指定し、当社の低ベータ性を保持した。0.60 は実測値ではなく『テンプレが受け付ける最小値』であることに注意。</t>
  </si>
  <si>
    <t>yfinance実測 0.158 / テンプレ置換値 1.0</t>
  </si>
  <si>
    <t>DCF Model!C6</t>
  </si>
  <si>
    <t>Effective Tax Rate = 25%</t>
  </si>
  <si>
    <t>バッチ共通の既定値(§1-3)。当社の実績税負担率を個別検証したものではない。</t>
  </si>
  <si>
    <t>テンプレ既定 30%</t>
  </si>
  <si>
    <t>推定</t>
  </si>
  <si>
    <t>DCF Model!C11</t>
  </si>
  <si>
    <t>After-tax Cost of Debt = 1.46%(実績ベース)</t>
  </si>
  <si>
    <t>支払利息 28,522百万円 ÷ 平均有利子負債 ((1,279,176 + 1,644,177)/2 = 1,461,677) = 1.95%(税引前)、× (1 − 25%) = 1.46%。schema の interest_expense / debt_beginning / debt_ending 経路で実績値に切替(validate チェック17 PASS)。■当社は D/E 0.6206 と本バッチで最も負債比率が高く、WACC 5.42% は Ke 7.87% を Kd が大きく押し下げた結果である。■マージナルコスト注記: 既存借入の平均コストであり新規調達の限界コストではない。■出所は yfinance の Interest Expense で EDINET 有報の支払利息と未突合。</t>
  </si>
  <si>
    <t>テンプレ既定(推定値)</t>
  </si>
  <si>
    <t>推定(出所が二次ソース・要確認)</t>
  </si>
  <si>
    <t>DCF Model!C13</t>
  </si>
  <si>
    <t>Terminal Growth = 1.0%</t>
  </si>
  <si>
    <t>テンプレ既定 2.0%</t>
  </si>
  <si>
    <t>DCF Model!C14</t>
  </si>
  <si>
    <t>Exit Multiple (EV/EBITDA) = 10.9x</t>
  </si>
  <si>
    <t>Peer 5社の実測EV/EBITDA中央値 10.92x(2503 10.21 / 2802 18.89 / 2801 15.63 / 2269 8.35 / 2897 10.92)。 自社の現在倍率 11.13x は算式に入れていない(市場価格への循環参照回避)。■当初は Peer中央値にマージン優位分を上乗せする調整式を検討したが、EV/EBITDA は既に資本集約度を織り込んでおり営業利益率による上方調整は資本集約型銘柄で逆方向に働くため(9022 で実測 7.4x に対し調整式が 16.3x を返した)、バッチ全銘柄で素の Peer 中央値に統一した。</t>
  </si>
  <si>
    <t>テンプレ既定 10.0x</t>
  </si>
  <si>
    <t>DCF Model シナリオ5本</t>
  </si>
  <si>
    <t>実績OPM分布からの導出(min 6.42 / p25 8.09 / med 8.75 / p75 8.92 / max 9.15%)</t>
  </si>
  <si>
    <t>直近FY2025/12 の 6.42% は観測窓の最低で中央値を下回るため、バッチ共通ルールに従い Base は実績中央値 8.75% へ収束させた(Y1 7.8% → Y5 8.75%)。Upside は max(p75 8.92, 直近+1.0pt=7.42) = 8.92%。Downside 1 は min(p25 8.09, 直近 6.42) = 6.42%。Downside 2 は実績トラフ(6.42%)が直近実績そのものでトラフとして機能しないため §4-3 の代替アーム(売上−8% + OPM半減 3.5-4.0%)を採用。SGA% は実績27.0→28.7%の直近水準28.5%を基準にシナリオ別に調整し COGS% = 100% − OPM − SGA% で逆算。既存銘柄からの流用なし。■重要な留保: FY2025/12 のマージン低下(営業利益 269,053 → 185,870、−30.9%)の原因を会社開示で確認していない。Base は『一時的な混乱であり構造的なマージン低下ではない』と仮定している。この仮定が誤りなら Base は楽観的である。</t>
  </si>
  <si>
    <t>テンプレ自動生成シナリオ</t>
  </si>
  <si>
    <t>Financial Statements / hist_* 系列</t>
  </si>
  <si>
    <t>hist_years を FY2022-FY2025 の4期に置換し P/L 5系列(revenue / operating_income / net_income / cogs / sga)を yfinance連結財務諸表から供給</t>
  </si>
  <si>
    <t>【リトライ1回目・§3-2 の補完】初回生成は FAIL 1(Financial Statements!D16:F16 = #DIV/0!)。原因は EDINET が hist_years を FY2016-FY2024 の9期で構築し、うち FY2017-FY2019 の営業利益を 0 で抽出していたため『営業利益YoY成長率 = 0/0』となったこと。配列長は全て4で hist_years と一致(契約遵守)。■hist_ocf / hist_cash / hist_debt / hist_capex / hist_depreciation は【供給していない】 — パイプラインの Step 4.6 が最終 hist_years に対し会計年度キーで再マッピングするため、EDINET を一次ソースのまま使える(位置コピーによる年度ズレ事故も起きない)。■hist_sga = 売上 − COGS − 営業利益 で逆算(yfinance の SG&amp;A 単独値はその他営業損益を含まず恒等式が成立しないため)。</t>
  </si>
  <si>
    <t>EDINET自動抽出値(FY2016-FY2024、うち3期の営業利益が破損)</t>
  </si>
  <si>
    <t>fundamentals_fy2025 / net_debt</t>
  </si>
  <si>
    <t>FY2025/12 実績を EDINET より優先注入し、net_debt = 1,487,797百万円 を明示指定</t>
  </si>
  <si>
    <t>EDINET の最新本決算は FY2024/12(docID S100VHC1)止まりで、FY2025/12 有報が探索窓から漏れている(半期報告書 S100WYNP は取得できている)。schema の fundamentals_fy&lt;YYYY&gt; 経路で FY2025/12 実績(売上 2,894,676 / 営業利益 185,870 / 純利益 121,574 / EBITDA 348,957 / 総資産 6,028,414 / 負債 3,019,871 / 純資産 3,008,543)を注入した。EBITDA 348,957 = 営業利益 185,870 + D&amp;A 163,087(yfinance CF実績、推定ではない)。■net_debt は型A定義で 有利子負債 1,644,177 − 現金及び現金同等物 156,380 = 1,487,797(FY2025/12期末)。EDINET 自動値は FY2024/12 基準になるため明示指定した。■生成ログは OCF/Cash/Debt coverage 3/4 を報告している(FY2025 が EDINET 側に無いため)。§7-2 に従い空欄+警告を受け入れる。</t>
  </si>
  <si>
    <t>EDINET自動値(FY2024/12ベース)</t>
  </si>
  <si>
    <t>DCF Model NWC(dso/dih/dpo)</t>
  </si>
  <si>
    <t>Base: DSO 60日 / DIH 56日 / DPO 142日</t>
  </si>
  <si>
    <t>実績4期平均。■DPO 142日は本バッチで突出して長い(酒税の納付サイクルと仕入条件による)。運転資本がFCFに与える影響が大きい銘柄であることに注意。</t>
  </si>
  <si>
    <t>全体(未解決)</t>
  </si>
  <si>
    <t>WACC 5.42% が本バッチで最も低く、バリュエーションを支配している</t>
  </si>
  <si>
    <t>D/E 0.6206・実績Kd(税引後)1.46% が Ke 7.87% を大きく押し下げている。有利子負債 1.64兆円 の借換が現在の長期金利(10年 2.97%)水準で進めば Kd は上昇し、WACC は上振れ Target は下振れる。感応度の実測は行っていない(要確認)。</t>
  </si>
  <si>
    <t>未解決</t>
  </si>
  <si>
    <t>FY2025/12 の営業利益 30.9% 減少の原因が未確認</t>
  </si>
  <si>
    <t>Base は一時的要因と仮定して実績中央値へのマージン回復を織り込んでいる。会社開示(決算短信・有報の状況分析)で原因を確認し、構造的要因であれば Base を Downside 1 側に寄せる必要がある。判定(BUY +35.6%)を反転させうる論点。</t>
  </si>
  <si>
    <t>DCF Model Management シナリオ</t>
  </si>
  <si>
    <t>Management = Base と同一</t>
  </si>
  <si>
    <t>EDINET XBRL・TDnet短信のいずれからも会社業績予想を取得できなかった(生成ログ Step 3: 'No guidance data found')。§7-2 に従い Management=Base で続行。■本バッチではここまで生成した全銘柄で同じ結果になっており、銘柄固有ではなくパイプラインの構造的な取得失敗である。</t>
  </si>
  <si>
    <t>フォールバック使用(会社予想未取得)</t>
  </si>
  <si>
    <t>Comps Analysis</t>
  </si>
  <si>
    <t>Peer 5社 = 2503 キリンHD / 2802 味の素 / 2801 キッコーマン / 2269 明治HD / 2897 日清食品HD</t>
  </si>
  <si>
    <t>■選定理由: TSE33業種『食料品』。■時価総額バンド: §5 の 0.3〜3倍は 0.72〜7.19兆円で、採用5社すべてがバンド内に収まる(本バッチで唯一バンド緩和が不要だった銘柄)。■除外: 2914 JT(12.08兆円でバンド外。たばこ事業は OPM 24.6% と食品の economics と根本的に異なる)、2267 ヤクルト(0.81兆円、バンド内だが単品依存で事業構造が異なる)。海外Peerは §5 により不使用。■EBITDA = 営業利益 + 減価償却費(CF計算書)で全6社統一、D&amp;A欠損による除外はゼロ(validate チェック12 PASS)。■年度混在の開示: 2503 キリンの D&amp;A は FY2024/12 の値(yfinance が FY2025/12 の CF計算書を未収録)、2802 味の素の D&amp;A は FY2025/3 の値。いずれも営業利益は最新期のため EBITDA が年度混在になっている。D&amp;A は年次変動が小さいため近似として許容したが、厳密には同一年度ではない。■Market_Cap は全行記入(2026-09-04終値ベース静的値)で再現性を確保。</t>
  </si>
  <si>
    <t>Executive Summary!C10 / Target</t>
  </si>
  <si>
    <t>Target Price = 2,222円 = PGM 2,105円 と Exit 2,339円 の2本平均。Comps 2本(EV/EBITDA 1,588円 / PER 2,233円)は [参考・Target不算入]</t>
  </si>
  <si>
    <t>メモ§2 の規約どおり。validate チェック14 PASS(C10 が C16:C17 のみを平均)。EV&lt;net_debt による INVALID 化は発生していない(チェック10・15 とも PASS)。</t>
  </si>
  <si>
    <t>全体(納品状態)</t>
  </si>
  <si>
    <t>本ファイルは DRAFT。_FINAL は付けない</t>
  </si>
  <si>
    <t>バッチモードでの機械生成物であり人間の検証を経ていない。FINAL化は手順書v2 §6 に従い検証後に行う。</t>
  </si>
  <si>
    <t>DRAFT</t>
  </si>
  <si>
    <t>Pipeline Metadata (do not edit — read by scripts/validate_output.py)</t>
  </si>
  <si>
    <t>key</t>
  </si>
  <si>
    <t>value</t>
  </si>
  <si>
    <t>auto_log_entries</t>
  </si>
  <si>
    <t>1</t>
  </si>
  <si>
    <t>capex_pct_basis</t>
  </si>
  <si>
    <t>assumption</t>
  </si>
  <si>
    <t>capex_pct_c5</t>
  </si>
  <si>
    <t>0.0586</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</si>
  <si>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</si>
  <si>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</si>
  <si>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</si>
  <si>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</si>
  <si>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</si>
  <si>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</si>
  <si>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</si>
  <si>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</si>
  <si>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</si>
  <si>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</si>
  <si>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</si>
  <si>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</si>
  <si>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</si>
  <si>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</si>
  <si>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</si>
  <si>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</si>
  <si>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</si>
  <si>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</si>
  <si>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</si>
  <si>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</si>
  <si>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28,522 (expense 28,522 + fees 0) / avg debt 1,461,676 (debt_beginning/debt_ending) = 0.019513 pre-tax -&gt; 0.014600 after-tax</t>
  </si>
  <si>
    <t>cost_of_debt_at_c11</t>
  </si>
  <si>
    <t>0.0146</t>
  </si>
  <si>
    <t>cost_of_debt_avg_debt</t>
  </si>
  <si>
    <t>1461676.5</t>
  </si>
  <si>
    <t>cost_of_debt_basis</t>
  </si>
  <si>
    <t>actual</t>
  </si>
  <si>
    <t>cost_of_debt_interest</t>
  </si>
  <si>
    <t>28522.0</t>
  </si>
  <si>
    <t>cost_of_debt_pretax</t>
  </si>
  <si>
    <t>0.019513209660277087</t>
  </si>
  <si>
    <t>da_pct_basis</t>
  </si>
  <si>
    <t>da_pct_c18</t>
  </si>
  <si>
    <t>0.056</t>
  </si>
  <si>
    <t>da_pct_hist3yr</t>
  </si>
  <si>
    <t>0.054505</t>
  </si>
  <si>
    <t>fs_year_coverage</t>
  </si>
  <si>
    <t>OCF 3/4, Cash 3/4, Debt 3/4</t>
  </si>
  <si>
    <t>fs_year_map</t>
  </si>
  <si>
    <t>FY2022&lt;-FY2022[ocf+cash+debt]; FY2023&lt;-FY2023[ocf+cash+debt]; FY2024&lt;-FY2024[ocf+cash+debt]; FY2025&lt;-FY2025[]</t>
  </si>
  <si>
    <t>fs_year_sources</t>
  </si>
  <si>
    <t>overrides: none | EDINET year-key match: hist_ocf, hist_cash, hist_debt, hist_capex, hist_depreciation</t>
  </si>
  <si>
    <t>fx_sensitivity</t>
  </si>
  <si>
    <t>not enabled</t>
  </si>
  <si>
    <t>generated_at</t>
  </si>
  <si>
    <t>2026-09-05 12:53:20</t>
  </si>
  <si>
    <t>ltm_revenue_c20</t>
  </si>
  <si>
    <t>2894676</t>
  </si>
  <si>
    <t>ltm_revenue_source</t>
  </si>
  <si>
    <t>latest FY (no LTM)</t>
  </si>
  <si>
    <t>narrative_tokens_used</t>
  </si>
  <si>
    <t>pb,per,price,target_price,upside_pct,wacc</t>
  </si>
  <si>
    <t>reverse_dcf_sheet</t>
  </si>
  <si>
    <t>op0=185,870(FY2025) peak=269,053(FY2024) peak_opm=0.0915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</si>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</sst>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1639</v>
      </c>
    </row>
    <row r="10" spans="2:5" ht="14" customHeight="1" x14ac:dyDescent="0.3">
      <c r="B10" s="4" t="s">
        <v>10</v>
      </c>
      <c r="C10" s="5">
        <f>IF(COUNT(C16:C17)=0,"N/A",ROUND(AVERAGE(C16:C17),0))</f>
        <v>2222</v>
      </c>
    </row>
    <row r="11" spans="2:5" ht="14" customHeight="1" x14ac:dyDescent="0.3">
      <c r="B11" s="4" t="s">
        <v>11</v>
      </c>
      <c r="C11" s="6" t="str">
        <f>IF(NOT(ISNUMBER(C12)),"N/A",IF(C12&gt;0.15,"BUY",IF(C12&gt;0.05,"HOLD","SELL")))</f>
        <v>BUY</v>
      </c>
    </row>
    <row r="12" spans="2:5" ht="14" customHeight="1" x14ac:dyDescent="0.3">
      <c r="B12" s="4" t="s">
        <v>12</v>
      </c>
      <c r="C12" s="7">
        <f>IF(ISNUMBER(C10),(C10-C9)/C9,"N/A")</f>
        <v>0.35570469798657717</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2105</v>
      </c>
      <c r="D16" s="7">
        <f>IF(ISNUMBER(C16),(C16-C9)/C9,"N/A")</f>
        <v>0.28431970713849908</v>
      </c>
    </row>
    <row r="17" spans="2:5" ht="13.5" customHeight="1" x14ac:dyDescent="0.25">
      <c r="B17" t="s">
        <v>18</v>
      </c>
      <c r="C17" s="11">
        <f>IF('DCF Model'!C62&lt;'DCF Model'!C16,"INVALID (EV &lt; net debt)",'DCF Model'!C64)</f>
        <v>2339</v>
      </c>
      <c r="D17" s="7">
        <f>IF(ISNUMBER(C17),(C17-C9)/C9,"N/A")</f>
        <v>0.42708968883465526</v>
      </c>
    </row>
    <row r="18" spans="2:5" ht="13.5" customHeight="1" x14ac:dyDescent="0.25">
      <c r="B18" t="s">
        <v>19</v>
      </c>
      <c r="C18" s="11">
        <f>'Comps Analysis'!C27</f>
        <v>1588</v>
      </c>
      <c r="D18" s="7">
        <f>IF(ISNUMBER(C18),(C18-C9)/C9,"N/A")</f>
        <v>-3.1116534472239169E-2</v>
      </c>
    </row>
    <row r="19" spans="2:5" ht="13.5" customHeight="1" x14ac:dyDescent="0.25">
      <c r="B19" t="s">
        <v>20</v>
      </c>
      <c r="C19" s="11">
        <f>'Comps Analysis'!C28</f>
        <v>2233</v>
      </c>
      <c r="D19" s="7">
        <f>IF(ISNUMBER(C19),(C19-C9)/C9,"N/A")</f>
        <v>0.36241610738255031</v>
      </c>
    </row>
    <row r="20" spans="2:5" ht="14" customHeight="1" x14ac:dyDescent="0.3">
      <c r="B20" s="46" t="s">
        <v>21</v>
      </c>
      <c r="C20" s="45"/>
      <c r="D20" s="45"/>
      <c r="E20" s="45"/>
    </row>
    <row r="21" spans="2:5" ht="14" customHeight="1" x14ac:dyDescent="0.3">
      <c r="B21" s="4" t="s">
        <v>22</v>
      </c>
      <c r="C21" s="6" t="str">
        <f>IF(COUNT(C16:C17)=0,"N/A",MIN(C16:C17)&amp;" - "&amp;MAX(C16:C17))</f>
        <v>2105 - 2339</v>
      </c>
    </row>
    <row r="23" spans="2:5" ht="14" customHeight="1" x14ac:dyDescent="0.3">
      <c r="B23" s="8" t="s">
        <v>23</v>
      </c>
      <c r="C23" s="9"/>
      <c r="D23" s="9"/>
    </row>
    <row r="24" spans="2:5" x14ac:dyDescent="0.2">
      <c r="B24" t="str">
        <f>"Asahi is a scale beer and beverage group whose margin fell to a four-year low in the latest year on an operational disruption rather than on structural pricing pressure; the shares trade at "&amp;TEXT('Comps Analysis'!L5,"0.0""x""")&amp;" earnings and "&amp;TEXT('Comps Analysis'!M5,"0.00""x""")&amp;" book."</f>
        <v>Asahi is a scale beer and beverage group whose margin fell to a four-year low in the latest year on an operational disruption rather than on structural pricing pressure; the shares trade at 19.7x earnings and 0.80x book.</v>
      </c>
    </row>
    <row r="25" spans="2:5" x14ac:dyDescent="0.2">
      <c r="B25" t="str">
        <f>"Interest-bearing debt is large relative to the equity value, so the "&amp;TEXT('DCF Model'!C26,"0.00%")&amp;" discount rate leans heavily on an actual, filing-derived cost of debt rather than on an assumed spread."</f>
        <v>Interest-bearing debt is large relative to the equity value, so the 5.42% discount rate leans heavily on an actual, filing-derived cost of debt rather than on an assumed spread.</v>
      </c>
    </row>
    <row r="26" spans="2:5" x14ac:dyDescent="0.2">
      <c r="B26" t="str">
        <f>"At "&amp;TEXT(C9,"#,##0")&amp;" the market has not restored the pre-disruption margin; a base case that normalises back to the four-year median supports "&amp;TEXT(C10,"#,##0")&amp;", or "&amp;TEXT(C12,"+0.0%;-0.0%")&amp;" from here."</f>
        <v>At 1,639 the market has not restored the pre-disruption margin; a base case that normalises back to the four-year median supports 2,222, or +35.6% from here.</v>
      </c>
    </row>
    <row r="28" spans="2:5" ht="14" customHeight="1" x14ac:dyDescent="0.3">
      <c r="B28" s="8" t="s">
        <v>24</v>
      </c>
      <c r="C28" s="9"/>
      <c r="D28" s="9"/>
    </row>
    <row r="29" spans="2:5" x14ac:dyDescent="0.2">
      <c r="B29" t="str">
        <f>"The margin recovery in the base case assumes the latest-year disruption does not repeat or leave a lasting cost; if it does, earnings stay near the trough the second downside case describes rather than at the "&amp;TEXT('Comps Analysis'!L5,"0.0""x""")&amp;" implied by "&amp;TEXT(C9,"#,##0")&amp;"."</f>
        <v>The margin recovery in the base case assumes the latest-year disruption does not repeat or leave a lasting cost; if it does, earnings stay near the trough the second downside case describes rather than at the 19.7x implied by 1,639.</v>
      </c>
    </row>
    <row r="30" spans="2:5" x14ac:dyDescent="0.2">
      <c r="B30" t="str">
        <f>"Leverage magnifies any shortfall: with debt of this size, a refinancing at higher long-dated yields raises the cost of debt inside the "&amp;TEXT('DCF Model'!C26,"0.00%")&amp;" used here."</f>
        <v>Leverage magnifies any shortfall: with debt of this size, a refinancing at higher long-dated yields raises the cost of debt inside the 5.42% used here.</v>
      </c>
    </row>
    <row r="31" spans="2:5" x14ac:dyDescent="0.2">
      <c r="B31" t="s">
        <v>25</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2511108</v>
      </c>
      <c r="D6" s="5">
        <v>2769091</v>
      </c>
      <c r="E6" s="5">
        <v>2939422</v>
      </c>
      <c r="F6" s="5">
        <v>2894676</v>
      </c>
    </row>
    <row r="7" spans="2:6" ht="14" customHeight="1" x14ac:dyDescent="0.3">
      <c r="B7" s="4" t="s">
        <v>33</v>
      </c>
      <c r="C7" s="5">
        <v>1589272</v>
      </c>
      <c r="D7" s="5">
        <v>1770157</v>
      </c>
      <c r="E7" s="5">
        <v>1841741</v>
      </c>
      <c r="F7" s="5">
        <v>1801835</v>
      </c>
    </row>
    <row r="8" spans="2:6" ht="14" customHeight="1" x14ac:dyDescent="0.3">
      <c r="B8" s="4" t="s">
        <v>34</v>
      </c>
      <c r="C8" s="5">
        <f>C6-C7</f>
        <v>921836</v>
      </c>
      <c r="D8" s="5">
        <f>D6-D7</f>
        <v>998934</v>
      </c>
      <c r="E8" s="5">
        <f>E6-E7</f>
        <v>1097681</v>
      </c>
      <c r="F8" s="5">
        <f>F6-F7</f>
        <v>1092841</v>
      </c>
    </row>
    <row r="9" spans="2:6" ht="13.5" customHeight="1" x14ac:dyDescent="0.25">
      <c r="B9" t="s">
        <v>35</v>
      </c>
      <c r="C9" s="7">
        <f>C8/C6</f>
        <v>0.36710328667663839</v>
      </c>
      <c r="D9" s="7">
        <f>D8/D6</f>
        <v>0.36074437423688854</v>
      </c>
      <c r="E9" s="7">
        <f>E8/E6</f>
        <v>0.37343430102924996</v>
      </c>
      <c r="F9" s="7">
        <f>F8/F6</f>
        <v>0.37753482600470656</v>
      </c>
    </row>
    <row r="10" spans="2:6" ht="14" customHeight="1" x14ac:dyDescent="0.3">
      <c r="B10" s="4" t="s">
        <v>36</v>
      </c>
      <c r="C10" s="5">
        <v>704788</v>
      </c>
      <c r="D10" s="5">
        <v>753934</v>
      </c>
      <c r="E10" s="5">
        <v>828628</v>
      </c>
      <c r="F10" s="5">
        <v>906971</v>
      </c>
    </row>
    <row r="11" spans="2:6" ht="14" customHeight="1" x14ac:dyDescent="0.3">
      <c r="B11" s="4" t="s">
        <v>37</v>
      </c>
      <c r="C11" s="5">
        <v>217048</v>
      </c>
      <c r="D11" s="5">
        <v>245000</v>
      </c>
      <c r="E11" s="5">
        <v>269053</v>
      </c>
      <c r="F11" s="5">
        <v>185870</v>
      </c>
    </row>
    <row r="12" spans="2:6" ht="14" customHeight="1" x14ac:dyDescent="0.3">
      <c r="B12" s="4" t="s">
        <v>38</v>
      </c>
      <c r="C12" s="5">
        <v>151555</v>
      </c>
      <c r="D12" s="5">
        <v>164073</v>
      </c>
      <c r="E12" s="5">
        <v>192080</v>
      </c>
      <c r="F12" s="5">
        <v>121574</v>
      </c>
    </row>
    <row r="13" spans="2:6" ht="13.5" customHeight="1" x14ac:dyDescent="0.25">
      <c r="B13" t="s">
        <v>39</v>
      </c>
      <c r="C13" s="7">
        <f>C11/C6</f>
        <v>8.6435151335585728E-2</v>
      </c>
      <c r="D13" s="7">
        <f>D11/D6</f>
        <v>8.8476687837272236E-2</v>
      </c>
      <c r="E13" s="7">
        <f>E11/E6</f>
        <v>9.1532621039102244E-2</v>
      </c>
      <c r="F13" s="7">
        <f>F11/F6</f>
        <v>6.4210985961814029E-2</v>
      </c>
    </row>
    <row r="14" spans="2:6" ht="13.5" customHeight="1" x14ac:dyDescent="0.25">
      <c r="B14" t="s">
        <v>40</v>
      </c>
      <c r="C14" s="7">
        <f>C12/C6</f>
        <v>6.0353835836610768E-2</v>
      </c>
      <c r="D14" s="7">
        <f>D12/D6</f>
        <v>5.9251573891937824E-2</v>
      </c>
      <c r="E14" s="7">
        <f>E12/E6</f>
        <v>6.5346180303474624E-2</v>
      </c>
      <c r="F14" s="7">
        <f>F12/F6</f>
        <v>4.1999173655359011E-2</v>
      </c>
    </row>
    <row r="15" spans="2:6" ht="13.5" customHeight="1" x14ac:dyDescent="0.25">
      <c r="B15" t="s">
        <v>41</v>
      </c>
      <c r="C15" t="s">
        <v>42</v>
      </c>
      <c r="D15" s="7">
        <f>(D6-C6)/C6</f>
        <v>0.10273672020478609</v>
      </c>
      <c r="E15" s="7">
        <f>(E6-D6)/D6</f>
        <v>6.1511521289838438E-2</v>
      </c>
      <c r="F15" s="7">
        <f>(F6-E6)/E6</f>
        <v>-1.5222720657326508E-2</v>
      </c>
    </row>
    <row r="16" spans="2:6" ht="13.5" customHeight="1" x14ac:dyDescent="0.25">
      <c r="B16" t="s">
        <v>43</v>
      </c>
      <c r="C16" t="s">
        <v>42</v>
      </c>
      <c r="D16" s="7">
        <f>(D11-C11)/C11</f>
        <v>0.1287825734399764</v>
      </c>
      <c r="E16" s="7">
        <f>(E11-D11)/D11</f>
        <v>9.8175510204081634E-2</v>
      </c>
      <c r="F16" s="7">
        <f>(F11-E11)/E11</f>
        <v>-0.30916956882101299</v>
      </c>
    </row>
    <row r="18" spans="2:6" ht="14" customHeight="1" x14ac:dyDescent="0.3">
      <c r="B18" s="3" t="s">
        <v>44</v>
      </c>
    </row>
    <row r="19" spans="2:6" ht="14" customHeight="1" x14ac:dyDescent="0.3">
      <c r="B19" s="4" t="s">
        <v>45</v>
      </c>
      <c r="C19" s="5">
        <v>265991</v>
      </c>
      <c r="D19" s="5">
        <v>347547</v>
      </c>
      <c r="E19" s="5">
        <v>403723</v>
      </c>
      <c r="F19" s="5"/>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37438</v>
      </c>
      <c r="D26" s="5">
        <v>59945</v>
      </c>
      <c r="E26" s="5">
        <v>83961</v>
      </c>
      <c r="F26" s="5"/>
    </row>
    <row r="27" spans="2:6" ht="14" customHeight="1" x14ac:dyDescent="0.3">
      <c r="B27" s="4" t="s">
        <v>52</v>
      </c>
      <c r="C27" s="5">
        <v>1497309</v>
      </c>
      <c r="D27" s="5">
        <v>1410798</v>
      </c>
      <c r="E27" s="5">
        <v>1279176</v>
      </c>
      <c r="F27" s="5"/>
    </row>
    <row r="28" spans="2:6" ht="14" customHeight="1" x14ac:dyDescent="0.3">
      <c r="B28" s="4" t="s">
        <v>53</v>
      </c>
      <c r="C28" s="5">
        <f>C27-C26</f>
        <v>1459871</v>
      </c>
      <c r="D28" s="5">
        <f>D27-D26</f>
        <v>1350853</v>
      </c>
      <c r="E28" s="5">
        <f>E27-E26</f>
        <v>1195215</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57</v>
      </c>
      <c r="C5" s="7">
        <v>5.8599999999999999E-2</v>
      </c>
    </row>
    <row r="6" spans="2:7" ht="14" customHeight="1" x14ac:dyDescent="0.3">
      <c r="B6" s="4" t="s">
        <v>58</v>
      </c>
      <c r="C6" s="7">
        <v>0.25</v>
      </c>
    </row>
    <row r="7" spans="2:7" ht="14" customHeight="1" x14ac:dyDescent="0.3">
      <c r="B7" s="4" t="s">
        <v>59</v>
      </c>
      <c r="C7" s="7">
        <v>2.9700000000000001E-2</v>
      </c>
    </row>
    <row r="8" spans="2:7" ht="14" customHeight="1" x14ac:dyDescent="0.3">
      <c r="B8" s="4" t="s">
        <v>60</v>
      </c>
      <c r="C8" s="12">
        <v>0.6</v>
      </c>
    </row>
    <row r="9" spans="2:7" ht="14" customHeight="1" x14ac:dyDescent="0.3">
      <c r="B9" s="4" t="s">
        <v>61</v>
      </c>
      <c r="C9" s="7">
        <v>6.5000000000000002E-2</v>
      </c>
    </row>
    <row r="10" spans="2:7" ht="14" customHeight="1" x14ac:dyDescent="0.3">
      <c r="B10" s="4" t="s">
        <v>62</v>
      </c>
      <c r="C10" s="7">
        <v>0.01</v>
      </c>
    </row>
    <row r="11" spans="2:7" ht="14" customHeight="1" x14ac:dyDescent="0.3">
      <c r="B11" s="4" t="s">
        <v>63</v>
      </c>
      <c r="C11" s="7">
        <v>1.46E-2</v>
      </c>
    </row>
    <row r="12" spans="2:7" ht="14" customHeight="1" x14ac:dyDescent="0.3">
      <c r="B12" s="4" t="s">
        <v>64</v>
      </c>
      <c r="C12" s="13">
        <v>0.62060000000000004</v>
      </c>
    </row>
    <row r="13" spans="2:7" ht="14" customHeight="1" x14ac:dyDescent="0.3">
      <c r="B13" s="4" t="s">
        <v>65</v>
      </c>
      <c r="C13" s="7">
        <v>0.01</v>
      </c>
    </row>
    <row r="14" spans="2:7" ht="14" customHeight="1" x14ac:dyDescent="0.3">
      <c r="B14" s="4" t="s">
        <v>66</v>
      </c>
      <c r="C14" s="14">
        <v>10.9</v>
      </c>
    </row>
    <row r="15" spans="2:7" ht="14" customHeight="1" x14ac:dyDescent="0.3">
      <c r="B15" s="4" t="s">
        <v>67</v>
      </c>
      <c r="C15" s="15">
        <v>1462662258</v>
      </c>
    </row>
    <row r="16" spans="2:7" ht="14" customHeight="1" x14ac:dyDescent="0.3">
      <c r="B16" s="4" t="s">
        <v>68</v>
      </c>
      <c r="C16" s="5">
        <v>1487797</v>
      </c>
    </row>
    <row r="17" spans="2:7" ht="14" customHeight="1" x14ac:dyDescent="0.3">
      <c r="B17" s="4" t="s">
        <v>69</v>
      </c>
      <c r="C17" s="5">
        <v>2894676</v>
      </c>
    </row>
    <row r="18" spans="2:7" ht="14" customHeight="1" x14ac:dyDescent="0.3">
      <c r="B18" s="4" t="s">
        <v>70</v>
      </c>
      <c r="C18" s="7">
        <v>5.6000000000000001E-2</v>
      </c>
    </row>
    <row r="19" spans="2:7" ht="14" customHeight="1" x14ac:dyDescent="0.3">
      <c r="B19" s="4" t="s">
        <v>71</v>
      </c>
      <c r="C19" s="12">
        <v>1</v>
      </c>
    </row>
    <row r="20" spans="2:7" ht="14" customHeight="1" x14ac:dyDescent="0.3">
      <c r="B20" s="4" t="s">
        <v>72</v>
      </c>
      <c r="C20" s="5">
        <v>2894676</v>
      </c>
    </row>
    <row r="22" spans="2:7" ht="14" customHeight="1" x14ac:dyDescent="0.3">
      <c r="B22" s="8" t="s">
        <v>73</v>
      </c>
      <c r="C22" s="9"/>
      <c r="D22" s="9"/>
      <c r="E22" s="9"/>
      <c r="F22" s="9"/>
      <c r="G22" s="9"/>
    </row>
    <row r="23" spans="2:7" ht="14" customHeight="1" x14ac:dyDescent="0.3">
      <c r="B23" s="4" t="s">
        <v>74</v>
      </c>
      <c r="C23" s="16">
        <f>C7+C8*C9+C10</f>
        <v>7.8699999999999992E-2</v>
      </c>
    </row>
    <row r="24" spans="2:7" ht="14" customHeight="1" x14ac:dyDescent="0.3">
      <c r="B24" s="4" t="s">
        <v>75</v>
      </c>
      <c r="C24" s="16">
        <f>1/(1+C12)</f>
        <v>0.61705541157595956</v>
      </c>
    </row>
    <row r="25" spans="2:7" ht="14" customHeight="1" x14ac:dyDescent="0.3">
      <c r="B25" s="4" t="s">
        <v>76</v>
      </c>
      <c r="C25" s="16">
        <f>C12/(1+C12)</f>
        <v>0.3829445884240405</v>
      </c>
    </row>
    <row r="26" spans="2:7" ht="14" customHeight="1" x14ac:dyDescent="0.3">
      <c r="B26" s="4" t="s">
        <v>77</v>
      </c>
      <c r="C26" s="16">
        <f>C23*C24+C11*C25</f>
        <v>5.4153251882018999E-2</v>
      </c>
    </row>
    <row r="27" spans="2:7" ht="14" customHeight="1" x14ac:dyDescent="0.3">
      <c r="B27" s="4" t="s">
        <v>78</v>
      </c>
      <c r="C27" s="17" t="s">
        <v>79</v>
      </c>
      <c r="D27" s="6">
        <f>MATCH(C27,B69:B73,0)</f>
        <v>1</v>
      </c>
    </row>
    <row r="28" spans="2:7" ht="14" customHeight="1" x14ac:dyDescent="0.3">
      <c r="B28" s="8" t="s">
        <v>80</v>
      </c>
      <c r="C28" s="9"/>
      <c r="D28" s="9"/>
      <c r="E28" s="9"/>
      <c r="F28" s="9"/>
      <c r="G28" s="9"/>
    </row>
    <row r="29" spans="2:7" ht="14" customHeight="1" x14ac:dyDescent="0.3">
      <c r="C29" s="10" t="s">
        <v>81</v>
      </c>
      <c r="D29" s="10" t="s">
        <v>82</v>
      </c>
      <c r="E29" s="10" t="s">
        <v>83</v>
      </c>
      <c r="F29" s="10" t="s">
        <v>84</v>
      </c>
      <c r="G29" s="10" t="s">
        <v>85</v>
      </c>
    </row>
    <row r="30" spans="2:7" ht="14" customHeight="1" x14ac:dyDescent="0.3">
      <c r="B30" s="4" t="s">
        <v>41</v>
      </c>
      <c r="C30" s="18">
        <f>CHOOSE($D$27,C69,C70,C71,C72,C73)</f>
        <v>0.04</v>
      </c>
      <c r="D30" s="18">
        <f>CHOOSE($D$27,D69,D70,D71,D72,D73)</f>
        <v>0.03</v>
      </c>
      <c r="E30" s="18">
        <f>CHOOSE($D$27,E69,E70,E71,E72,E73)</f>
        <v>2.5000000000000001E-2</v>
      </c>
      <c r="F30" s="18">
        <f>CHOOSE($D$27,F69,F70,F71,F72,F73)</f>
        <v>2.5000000000000001E-2</v>
      </c>
      <c r="G30" s="18">
        <f>CHOOSE($D$27,G69,G70,G71,G72,G73)</f>
        <v>2.5000000000000001E-2</v>
      </c>
    </row>
    <row r="31" spans="2:7" ht="14" customHeight="1" x14ac:dyDescent="0.3">
      <c r="B31" s="4" t="s">
        <v>86</v>
      </c>
      <c r="C31" s="18">
        <f>CHOOSE($D$27,C76,C77,C78,C79,C80)</f>
        <v>0.63700000000000001</v>
      </c>
      <c r="D31" s="18">
        <f>CHOOSE($D$27,D76,D77,D78,D79,D80)</f>
        <v>0.63200000000000001</v>
      </c>
      <c r="E31" s="18">
        <f>CHOOSE($D$27,E76,E77,E78,E79,E80)</f>
        <v>0.629</v>
      </c>
      <c r="F31" s="18">
        <f>CHOOSE($D$27,F76,F77,F78,F79,F80)</f>
        <v>0.62749999999999995</v>
      </c>
      <c r="G31" s="18">
        <f>CHOOSE($D$27,G76,G77,G78,G79,G80)</f>
        <v>0.62749999999999995</v>
      </c>
    </row>
    <row r="32" spans="2:7" ht="14" customHeight="1" x14ac:dyDescent="0.3">
      <c r="B32" s="4" t="s">
        <v>87</v>
      </c>
      <c r="C32" s="18">
        <f>CHOOSE($D$27,C83,C84,C85,C86,C87)</f>
        <v>0.28499999999999998</v>
      </c>
      <c r="D32" s="18">
        <f>CHOOSE($D$27,D83,D84,D85,D86,D87)</f>
        <v>0.28499999999999998</v>
      </c>
      <c r="E32" s="18">
        <f>CHOOSE($D$27,E83,E84,E85,E86,E87)</f>
        <v>0.28499999999999998</v>
      </c>
      <c r="F32" s="18">
        <f>CHOOSE($D$27,F83,F84,F85,F86,F87)</f>
        <v>0.28499999999999998</v>
      </c>
      <c r="G32" s="18">
        <f>CHOOSE($D$27,G83,G84,G85,G86,G87)</f>
        <v>0.28499999999999998</v>
      </c>
    </row>
    <row r="33" spans="2:7" ht="14" customHeight="1" x14ac:dyDescent="0.3">
      <c r="B33" s="4" t="s">
        <v>32</v>
      </c>
      <c r="C33" s="5">
        <f>C17*(1+C30)</f>
        <v>3010463.04</v>
      </c>
      <c r="D33" s="5">
        <f>C33*(1+D30)</f>
        <v>3100776.9312</v>
      </c>
      <c r="E33" s="5">
        <f>D33*(1+E30)</f>
        <v>3178296.3544799997</v>
      </c>
      <c r="F33" s="5">
        <f>E33*(1+F30)</f>
        <v>3257753.7633419996</v>
      </c>
      <c r="G33" s="5">
        <f>F33*(1+G30)</f>
        <v>3339197.6074255495</v>
      </c>
    </row>
    <row r="34" spans="2:7" ht="14" customHeight="1" x14ac:dyDescent="0.3">
      <c r="B34" s="4" t="s">
        <v>33</v>
      </c>
      <c r="C34" s="5">
        <f>C33*C31</f>
        <v>1917664.9564800002</v>
      </c>
      <c r="D34" s="5">
        <f>D33*D31</f>
        <v>1959691.0205184</v>
      </c>
      <c r="E34" s="5">
        <f>E33*E31</f>
        <v>1999148.4069679198</v>
      </c>
      <c r="F34" s="5">
        <f>F33*F31</f>
        <v>2044240.4864971046</v>
      </c>
      <c r="G34" s="5">
        <f>G33*G31</f>
        <v>2095346.4986595321</v>
      </c>
    </row>
    <row r="35" spans="2:7" ht="14" customHeight="1" x14ac:dyDescent="0.3">
      <c r="B35" s="4" t="s">
        <v>34</v>
      </c>
      <c r="C35" s="19">
        <f>C33-C34</f>
        <v>1092798.0835199999</v>
      </c>
      <c r="D35" s="19">
        <f>D33-D34</f>
        <v>1141085.9106816</v>
      </c>
      <c r="E35" s="19">
        <f>E33-E34</f>
        <v>1179147.94751208</v>
      </c>
      <c r="F35" s="19">
        <f>F33-F34</f>
        <v>1213513.276844895</v>
      </c>
      <c r="G35" s="19">
        <f>G33-G34</f>
        <v>1243851.1087660175</v>
      </c>
    </row>
    <row r="36" spans="2:7" ht="14" customHeight="1" x14ac:dyDescent="0.3">
      <c r="B36" s="4" t="s">
        <v>35</v>
      </c>
      <c r="C36" s="7">
        <f>C35/C33</f>
        <v>0.36299999999999993</v>
      </c>
      <c r="D36" s="7">
        <f>D35/D33</f>
        <v>0.36799999999999999</v>
      </c>
      <c r="E36" s="7">
        <f>E35/E33</f>
        <v>0.371</v>
      </c>
      <c r="F36" s="7">
        <f>F35/F33</f>
        <v>0.37250000000000005</v>
      </c>
      <c r="G36" s="7">
        <f>G35/G33</f>
        <v>0.37250000000000011</v>
      </c>
    </row>
    <row r="37" spans="2:7" ht="14" customHeight="1" x14ac:dyDescent="0.3">
      <c r="B37" s="4" t="s">
        <v>88</v>
      </c>
      <c r="C37" s="5">
        <f>C33*C32</f>
        <v>857981.96639999992</v>
      </c>
      <c r="D37" s="5">
        <f>D33*D32</f>
        <v>883721.42539199989</v>
      </c>
      <c r="E37" s="5">
        <f>E33*E32</f>
        <v>905814.46102679987</v>
      </c>
      <c r="F37" s="5">
        <f>F33*F32</f>
        <v>928459.82255246979</v>
      </c>
      <c r="G37" s="5">
        <f>G33*G32</f>
        <v>951671.31811628153</v>
      </c>
    </row>
    <row r="38" spans="2:7" ht="14" customHeight="1" x14ac:dyDescent="0.3">
      <c r="B38" s="4" t="s">
        <v>89</v>
      </c>
      <c r="C38" s="7">
        <f>(C35-C37)/C33</f>
        <v>7.7999999999999986E-2</v>
      </c>
      <c r="D38" s="7">
        <f>(D35-D37)/D33</f>
        <v>8.3000000000000032E-2</v>
      </c>
      <c r="E38" s="7">
        <f>(E35-E37)/E33</f>
        <v>8.6000000000000035E-2</v>
      </c>
      <c r="F38" s="7">
        <f>(F35-F37)/F33</f>
        <v>8.7500000000000064E-2</v>
      </c>
      <c r="G38" s="7">
        <f>(G35-G37)/G33</f>
        <v>8.7500000000000105E-2</v>
      </c>
    </row>
    <row r="39" spans="2:7" ht="14" customHeight="1" x14ac:dyDescent="0.3">
      <c r="B39" s="4" t="s">
        <v>90</v>
      </c>
      <c r="C39" s="19">
        <f>C35-C37</f>
        <v>234816.11711999995</v>
      </c>
      <c r="D39" s="19">
        <f>D35-D37</f>
        <v>257364.4852896001</v>
      </c>
      <c r="E39" s="19">
        <f>E35-E37</f>
        <v>273333.4864852801</v>
      </c>
      <c r="F39" s="19">
        <f>F35-F37</f>
        <v>285053.45429242519</v>
      </c>
      <c r="G39" s="19">
        <f>G35-G37</f>
        <v>292179.79064973595</v>
      </c>
    </row>
    <row r="40" spans="2:7" ht="14" customHeight="1" x14ac:dyDescent="0.3">
      <c r="B40" s="4" t="s">
        <v>91</v>
      </c>
      <c r="C40" s="5">
        <f>MAX(0,C39*C6)</f>
        <v>58704.029279999988</v>
      </c>
      <c r="D40" s="5">
        <f>MAX(0,D39*C6)</f>
        <v>64341.121322400024</v>
      </c>
      <c r="E40" s="5">
        <f>MAX(0,E39*C6)</f>
        <v>68333.371621320024</v>
      </c>
      <c r="F40" s="5">
        <f>MAX(0,F39*C6)</f>
        <v>71263.363573106297</v>
      </c>
      <c r="G40" s="5">
        <f>MAX(0,G39*C6)</f>
        <v>73044.947662433988</v>
      </c>
    </row>
    <row r="41" spans="2:7" ht="14" customHeight="1" x14ac:dyDescent="0.3">
      <c r="B41" s="4" t="s">
        <v>92</v>
      </c>
      <c r="C41" s="19">
        <f>C39-C40</f>
        <v>176112.08783999996</v>
      </c>
      <c r="D41" s="19">
        <f>D39-D40</f>
        <v>193023.36396720007</v>
      </c>
      <c r="E41" s="19">
        <f>E39-E40</f>
        <v>205000.11486396007</v>
      </c>
      <c r="F41" s="19">
        <f>F39-F40</f>
        <v>213790.09071931889</v>
      </c>
      <c r="G41" s="19">
        <f>G39-G40</f>
        <v>219134.84298730196</v>
      </c>
    </row>
    <row r="42" spans="2:7" ht="14" customHeight="1" x14ac:dyDescent="0.3">
      <c r="B42" s="4" t="s">
        <v>93</v>
      </c>
      <c r="C42" s="5">
        <f>C33*C18</f>
        <v>168585.93024000002</v>
      </c>
      <c r="D42" s="5">
        <f>D33*C18</f>
        <v>173643.50814720002</v>
      </c>
      <c r="E42" s="5">
        <f>E33*C18</f>
        <v>177984.59585088</v>
      </c>
      <c r="F42" s="5">
        <f>F33*C18</f>
        <v>182434.21074715198</v>
      </c>
      <c r="G42" s="5">
        <f>G33*C18</f>
        <v>186995.06601583079</v>
      </c>
    </row>
    <row r="43" spans="2:7" ht="14" customHeight="1" x14ac:dyDescent="0.3">
      <c r="B43" s="4" t="s">
        <v>94</v>
      </c>
      <c r="C43" s="5">
        <v>160000</v>
      </c>
      <c r="D43" s="5">
        <v>170000</v>
      </c>
      <c r="E43" s="5">
        <v>180000</v>
      </c>
      <c r="F43" s="5">
        <v>190000</v>
      </c>
      <c r="G43" s="5">
        <v>196000</v>
      </c>
    </row>
    <row r="44" spans="2:7" ht="14" customHeight="1" x14ac:dyDescent="0.3">
      <c r="B44" s="4" t="s">
        <v>95</v>
      </c>
      <c r="C44" s="5">
        <f>'NWC Schedule'!D19</f>
        <v>-56515.750293917838</v>
      </c>
      <c r="D44" s="5">
        <f>'NWC Schedule'!E19</f>
        <v>4944.0875745140947</v>
      </c>
      <c r="E44" s="5">
        <f>'NWC Schedule'!F19</f>
        <v>3446.1100332636852</v>
      </c>
      <c r="F44" s="5">
        <f>'NWC Schedule'!G19</f>
        <v>2437.0566909866175</v>
      </c>
      <c r="G44" s="5">
        <f>'NWC Schedule'!H19</f>
        <v>1346.612600121065</v>
      </c>
    </row>
    <row r="45" spans="2:7" ht="14" customHeight="1" x14ac:dyDescent="0.3">
      <c r="B45" s="4" t="s">
        <v>96</v>
      </c>
      <c r="C45" s="20">
        <f>C41+C42-C43-C44</f>
        <v>241213.76837391779</v>
      </c>
      <c r="D45" s="20">
        <f>D41+D42-D43-D44</f>
        <v>191722.78453988599</v>
      </c>
      <c r="E45" s="20">
        <f>E41+E42-E43-E44</f>
        <v>199538.60068157641</v>
      </c>
      <c r="F45" s="20">
        <f>F41+F42-F43-F44</f>
        <v>203787.24477548426</v>
      </c>
      <c r="G45" s="20">
        <f>G41+G42-G43-G44</f>
        <v>208783.29640301166</v>
      </c>
    </row>
    <row r="46" spans="2:7" ht="14" customHeight="1" x14ac:dyDescent="0.3">
      <c r="B46" s="4" t="s">
        <v>97</v>
      </c>
      <c r="C46" s="21">
        <f>1/(1+C26)^(C19+0)</f>
        <v>0.94862867255274586</v>
      </c>
      <c r="D46" s="21">
        <f>1/(1+C26)^(C19+1)</f>
        <v>0.8998963583891848</v>
      </c>
      <c r="E46" s="21">
        <f>1/(1+C26)^(C19+2)</f>
        <v>0.85366748789378244</v>
      </c>
      <c r="F46" s="21">
        <f>1/(1+C26)^(C19+3)</f>
        <v>0.80981345584211628</v>
      </c>
      <c r="G46" s="21">
        <f>1/(1+C26)^(C19+4)</f>
        <v>0.76821226363085848</v>
      </c>
    </row>
    <row r="47" spans="2:7" ht="14" customHeight="1" x14ac:dyDescent="0.3">
      <c r="B47" s="4" t="s">
        <v>98</v>
      </c>
      <c r="C47" s="19">
        <f>C45*C46</f>
        <v>228822.29689399514</v>
      </c>
      <c r="D47" s="19">
        <f>D45*D46</f>
        <v>172530.63562767769</v>
      </c>
      <c r="E47" s="19">
        <f>E45*E46</f>
        <v>170339.61598168191</v>
      </c>
      <c r="F47" s="19">
        <f>F45*F46</f>
        <v>165029.65294817818</v>
      </c>
      <c r="G47" s="19">
        <f>G45*G46</f>
        <v>160389.88873807006</v>
      </c>
    </row>
    <row r="49" spans="2:7" ht="14" customHeight="1" x14ac:dyDescent="0.3">
      <c r="B49" s="22" t="s">
        <v>99</v>
      </c>
      <c r="C49" s="23"/>
      <c r="D49" s="23"/>
      <c r="E49" s="23"/>
      <c r="F49" s="23"/>
      <c r="G49" s="23"/>
    </row>
    <row r="50" spans="2:7" ht="14" customHeight="1" x14ac:dyDescent="0.3">
      <c r="B50" s="4" t="s">
        <v>100</v>
      </c>
      <c r="C50" s="5">
        <f>SUM(C47:G47)</f>
        <v>897112.09018960281</v>
      </c>
    </row>
    <row r="51" spans="2:7" ht="14" customHeight="1" x14ac:dyDescent="0.3">
      <c r="B51" s="4" t="s">
        <v>101</v>
      </c>
      <c r="C51" s="5">
        <f>G45*(1+C13)/(C26-C13)</f>
        <v>4775891.2510115048</v>
      </c>
    </row>
    <row r="52" spans="2:7" ht="14" customHeight="1" x14ac:dyDescent="0.3">
      <c r="B52" s="4" t="s">
        <v>102</v>
      </c>
      <c r="C52" s="5">
        <f>C51*G46</f>
        <v>3668898.2287943605</v>
      </c>
    </row>
    <row r="53" spans="2:7" ht="14" customHeight="1" x14ac:dyDescent="0.3">
      <c r="B53" s="4" t="s">
        <v>103</v>
      </c>
      <c r="C53" s="5">
        <f>C50+C52</f>
        <v>4566010.3189839637</v>
      </c>
    </row>
    <row r="54" spans="2:7" ht="14" customHeight="1" x14ac:dyDescent="0.3">
      <c r="B54" s="4" t="s">
        <v>104</v>
      </c>
      <c r="C54" s="5">
        <f>C53-C16</f>
        <v>3078213.3189839637</v>
      </c>
    </row>
    <row r="55" spans="2:7" ht="14" customHeight="1" x14ac:dyDescent="0.3">
      <c r="B55" s="4" t="s">
        <v>105</v>
      </c>
      <c r="C55" s="24">
        <f>ROUND(C54*1000000/C15,0)</f>
        <v>2105</v>
      </c>
    </row>
    <row r="57" spans="2:7" ht="14" customHeight="1" x14ac:dyDescent="0.3">
      <c r="B57" s="22" t="s">
        <v>106</v>
      </c>
      <c r="C57" s="23"/>
      <c r="D57" s="23"/>
      <c r="E57" s="23"/>
      <c r="F57" s="23"/>
      <c r="G57" s="23"/>
    </row>
    <row r="58" spans="2:7" ht="14" customHeight="1" x14ac:dyDescent="0.3">
      <c r="B58" s="4" t="s">
        <v>100</v>
      </c>
      <c r="C58" s="5">
        <f>C50</f>
        <v>897112.09018960281</v>
      </c>
    </row>
    <row r="59" spans="2:7" ht="14" customHeight="1" x14ac:dyDescent="0.3">
      <c r="B59" s="4" t="s">
        <v>107</v>
      </c>
      <c r="C59" s="5">
        <f>G39+G42</f>
        <v>479174.85666556674</v>
      </c>
    </row>
    <row r="60" spans="2:7" ht="14" customHeight="1" x14ac:dyDescent="0.3">
      <c r="B60" s="4" t="s">
        <v>108</v>
      </c>
      <c r="C60" s="5">
        <f>C59*C14</f>
        <v>5223005.9376546778</v>
      </c>
    </row>
    <row r="61" spans="2:7" ht="14" customHeight="1" x14ac:dyDescent="0.3">
      <c r="B61" s="4" t="s">
        <v>102</v>
      </c>
      <c r="C61" s="5">
        <f>C60*G46</f>
        <v>4012377.2143231146</v>
      </c>
    </row>
    <row r="62" spans="2:7" ht="14" customHeight="1" x14ac:dyDescent="0.3">
      <c r="B62" s="4" t="s">
        <v>103</v>
      </c>
      <c r="C62" s="5">
        <f>C58+C61</f>
        <v>4909489.3045127178</v>
      </c>
    </row>
    <row r="63" spans="2:7" ht="14" customHeight="1" x14ac:dyDescent="0.3">
      <c r="B63" s="4" t="s">
        <v>104</v>
      </c>
      <c r="C63" s="5">
        <f>C62-C16</f>
        <v>3421692.3045127178</v>
      </c>
    </row>
    <row r="64" spans="2:7" ht="14" customHeight="1" x14ac:dyDescent="0.3">
      <c r="B64" s="4" t="s">
        <v>109</v>
      </c>
      <c r="C64" s="24">
        <f>ROUND(C63*1000000/C15,0)</f>
        <v>2339</v>
      </c>
    </row>
    <row r="66" spans="2:7" ht="14" customHeight="1" x14ac:dyDescent="0.3">
      <c r="B66" s="22" t="s">
        <v>110</v>
      </c>
      <c r="C66" s="23"/>
      <c r="D66" s="23"/>
      <c r="E66" s="23"/>
      <c r="F66" s="23"/>
      <c r="G66" s="23"/>
    </row>
    <row r="67" spans="2:7" ht="14" customHeight="1" x14ac:dyDescent="0.3">
      <c r="C67" s="25" t="s">
        <v>111</v>
      </c>
      <c r="D67" s="25" t="s">
        <v>112</v>
      </c>
      <c r="E67" s="25" t="s">
        <v>113</v>
      </c>
      <c r="F67" s="25" t="s">
        <v>114</v>
      </c>
      <c r="G67" s="25" t="s">
        <v>115</v>
      </c>
    </row>
    <row r="68" spans="2:7" ht="14" customHeight="1" x14ac:dyDescent="0.3">
      <c r="B68" s="3" t="s">
        <v>41</v>
      </c>
    </row>
    <row r="69" spans="2:7" ht="14" customHeight="1" x14ac:dyDescent="0.3">
      <c r="B69" s="4" t="s">
        <v>79</v>
      </c>
      <c r="C69" s="26">
        <v>0.04</v>
      </c>
      <c r="D69" s="26">
        <v>0.03</v>
      </c>
      <c r="E69" s="26">
        <v>2.5000000000000001E-2</v>
      </c>
      <c r="F69" s="26">
        <v>2.5000000000000001E-2</v>
      </c>
      <c r="G69" s="26">
        <v>2.5000000000000001E-2</v>
      </c>
    </row>
    <row r="70" spans="2:7" ht="14" customHeight="1" x14ac:dyDescent="0.3">
      <c r="B70" s="4" t="s">
        <v>116</v>
      </c>
      <c r="C70" s="26">
        <v>5.5E-2</v>
      </c>
      <c r="D70" s="26">
        <v>4.4999999999999998E-2</v>
      </c>
      <c r="E70" s="26">
        <v>3.5000000000000003E-2</v>
      </c>
      <c r="F70" s="26">
        <v>3.5000000000000003E-2</v>
      </c>
      <c r="G70" s="26">
        <v>3.5000000000000003E-2</v>
      </c>
    </row>
    <row r="71" spans="2:7" ht="14" customHeight="1" x14ac:dyDescent="0.3">
      <c r="B71" s="4" t="s">
        <v>117</v>
      </c>
      <c r="C71" s="26">
        <v>0.04</v>
      </c>
      <c r="D71" s="26">
        <v>0.03</v>
      </c>
      <c r="E71" s="26">
        <v>2.5000000000000001E-2</v>
      </c>
      <c r="F71" s="26">
        <v>2.5000000000000001E-2</v>
      </c>
      <c r="G71" s="26">
        <v>2.5000000000000001E-2</v>
      </c>
    </row>
    <row r="72" spans="2:7" ht="14" customHeight="1" x14ac:dyDescent="0.3">
      <c r="B72" s="4" t="s">
        <v>118</v>
      </c>
      <c r="C72" s="26">
        <v>5.0000000000000001E-3</v>
      </c>
      <c r="D72" s="26">
        <v>5.0000000000000001E-3</v>
      </c>
      <c r="E72" s="26">
        <v>5.0000000000000001E-3</v>
      </c>
      <c r="F72" s="26">
        <v>5.0000000000000001E-3</v>
      </c>
      <c r="G72" s="26">
        <v>5.0000000000000001E-3</v>
      </c>
    </row>
    <row r="73" spans="2:7" ht="14" customHeight="1" x14ac:dyDescent="0.3">
      <c r="B73" s="4" t="s">
        <v>119</v>
      </c>
      <c r="C73" s="26">
        <v>-0.08</v>
      </c>
      <c r="D73" s="26">
        <v>-0.01</v>
      </c>
      <c r="E73" s="26">
        <v>5.0000000000000001E-3</v>
      </c>
      <c r="F73" s="26">
        <v>0.01</v>
      </c>
      <c r="G73" s="26">
        <v>1.4999999999999999E-2</v>
      </c>
    </row>
    <row r="75" spans="2:7" ht="14" customHeight="1" x14ac:dyDescent="0.3">
      <c r="B75" s="3" t="s">
        <v>86</v>
      </c>
    </row>
    <row r="76" spans="2:7" ht="14" customHeight="1" x14ac:dyDescent="0.3">
      <c r="B76" s="4" t="s">
        <v>79</v>
      </c>
      <c r="C76" s="26">
        <v>0.63700000000000001</v>
      </c>
      <c r="D76" s="26">
        <v>0.63200000000000001</v>
      </c>
      <c r="E76" s="26">
        <v>0.629</v>
      </c>
      <c r="F76" s="26">
        <v>0.62749999999999995</v>
      </c>
      <c r="G76" s="26">
        <v>0.62749999999999995</v>
      </c>
    </row>
    <row r="77" spans="2:7" ht="14" customHeight="1" x14ac:dyDescent="0.3">
      <c r="B77" s="4" t="s">
        <v>116</v>
      </c>
      <c r="C77" s="26">
        <v>0.63600000000000001</v>
      </c>
      <c r="D77" s="26">
        <v>0.63200000000000001</v>
      </c>
      <c r="E77" s="26">
        <v>0.63</v>
      </c>
      <c r="F77" s="26">
        <v>0.62880000000000003</v>
      </c>
      <c r="G77" s="26">
        <v>0.62880000000000003</v>
      </c>
    </row>
    <row r="78" spans="2:7" ht="14" customHeight="1" x14ac:dyDescent="0.3">
      <c r="B78" s="4" t="s">
        <v>117</v>
      </c>
      <c r="C78" s="26">
        <v>0.63700000000000001</v>
      </c>
      <c r="D78" s="26">
        <v>0.63200000000000001</v>
      </c>
      <c r="E78" s="26">
        <v>0.629</v>
      </c>
      <c r="F78" s="26">
        <v>0.62749999999999995</v>
      </c>
      <c r="G78" s="26">
        <v>0.62749999999999995</v>
      </c>
    </row>
    <row r="79" spans="2:7" ht="14" customHeight="1" x14ac:dyDescent="0.3">
      <c r="B79" s="4" t="s">
        <v>118</v>
      </c>
      <c r="C79" s="26">
        <v>0.64200000000000002</v>
      </c>
      <c r="D79" s="26">
        <v>0.64300000000000002</v>
      </c>
      <c r="E79" s="26">
        <v>0.64400000000000002</v>
      </c>
      <c r="F79" s="26">
        <v>0.64400000000000002</v>
      </c>
      <c r="G79" s="26">
        <v>0.64400000000000002</v>
      </c>
    </row>
    <row r="80" spans="2:7" ht="14" customHeight="1" x14ac:dyDescent="0.3">
      <c r="B80" s="4" t="s">
        <v>119</v>
      </c>
      <c r="C80" s="26">
        <v>0.66</v>
      </c>
      <c r="D80" s="26">
        <v>0.66500000000000004</v>
      </c>
      <c r="E80" s="26">
        <v>0.66500000000000004</v>
      </c>
      <c r="F80" s="26">
        <v>0.66200000000000003</v>
      </c>
      <c r="G80" s="26">
        <v>0.66</v>
      </c>
    </row>
    <row r="82" spans="2:7" ht="14" customHeight="1" x14ac:dyDescent="0.3">
      <c r="B82" s="3" t="s">
        <v>87</v>
      </c>
    </row>
    <row r="83" spans="2:7" ht="14" customHeight="1" x14ac:dyDescent="0.3">
      <c r="B83" s="4" t="s">
        <v>79</v>
      </c>
      <c r="C83" s="26">
        <v>0.28499999999999998</v>
      </c>
      <c r="D83" s="26">
        <v>0.28499999999999998</v>
      </c>
      <c r="E83" s="26">
        <v>0.28499999999999998</v>
      </c>
      <c r="F83" s="26">
        <v>0.28499999999999998</v>
      </c>
      <c r="G83" s="26">
        <v>0.28499999999999998</v>
      </c>
    </row>
    <row r="84" spans="2:7" ht="14" customHeight="1" x14ac:dyDescent="0.3">
      <c r="B84" s="4" t="s">
        <v>116</v>
      </c>
      <c r="C84" s="26">
        <v>0.28199999999999997</v>
      </c>
      <c r="D84" s="26">
        <v>0.28199999999999997</v>
      </c>
      <c r="E84" s="26">
        <v>0.28199999999999997</v>
      </c>
      <c r="F84" s="26">
        <v>0.28199999999999997</v>
      </c>
      <c r="G84" s="26">
        <v>0.28199999999999997</v>
      </c>
    </row>
    <row r="85" spans="2:7" ht="14" customHeight="1" x14ac:dyDescent="0.3">
      <c r="B85" s="4" t="s">
        <v>117</v>
      </c>
      <c r="C85" s="26">
        <v>0.28499999999999998</v>
      </c>
      <c r="D85" s="26">
        <v>0.28499999999999998</v>
      </c>
      <c r="E85" s="26">
        <v>0.28499999999999998</v>
      </c>
      <c r="F85" s="26">
        <v>0.28499999999999998</v>
      </c>
      <c r="G85" s="26">
        <v>0.28499999999999998</v>
      </c>
    </row>
    <row r="86" spans="2:7" ht="14" customHeight="1" x14ac:dyDescent="0.3">
      <c r="B86" s="4" t="s">
        <v>118</v>
      </c>
      <c r="C86" s="26">
        <v>0.29199999999999998</v>
      </c>
      <c r="D86" s="26">
        <v>0.29199999999999998</v>
      </c>
      <c r="E86" s="26">
        <v>0.29199999999999998</v>
      </c>
      <c r="F86" s="26">
        <v>0.29199999999999998</v>
      </c>
      <c r="G86" s="26">
        <v>0.29199999999999998</v>
      </c>
    </row>
    <row r="87" spans="2:7" ht="14" customHeight="1" x14ac:dyDescent="0.3">
      <c r="B87" s="4" t="s">
        <v>119</v>
      </c>
      <c r="C87" s="26">
        <v>0.3</v>
      </c>
      <c r="D87" s="26">
        <v>0.3</v>
      </c>
      <c r="E87" s="26">
        <v>0.3</v>
      </c>
      <c r="F87" s="26">
        <v>0.3</v>
      </c>
      <c r="G87" s="26">
        <v>0.3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120</v>
      </c>
    </row>
    <row r="3" spans="2:9" ht="14" customHeight="1" x14ac:dyDescent="0.3">
      <c r="B3" s="1" t="s">
        <v>121</v>
      </c>
    </row>
    <row r="5" spans="2:9" ht="14" customHeight="1" x14ac:dyDescent="0.3">
      <c r="B5" s="8" t="s">
        <v>122</v>
      </c>
      <c r="C5" s="9"/>
      <c r="D5" s="9"/>
      <c r="E5" s="9"/>
      <c r="F5" s="9"/>
      <c r="G5" s="9"/>
      <c r="H5" s="9"/>
      <c r="I5" s="9"/>
    </row>
    <row r="6" spans="2:9" ht="14" customHeight="1" x14ac:dyDescent="0.3">
      <c r="B6" s="4" t="s">
        <v>123</v>
      </c>
      <c r="C6" s="15">
        <f>'Executive Summary'!C9</f>
        <v>1639</v>
      </c>
    </row>
    <row r="7" spans="2:9" ht="14" customHeight="1" x14ac:dyDescent="0.3">
      <c r="B7" s="4" t="s">
        <v>67</v>
      </c>
      <c r="C7" s="15">
        <f>'DCF Model'!C15</f>
        <v>1462662258</v>
      </c>
    </row>
    <row r="8" spans="2:9" ht="14" customHeight="1" x14ac:dyDescent="0.3">
      <c r="B8" s="4" t="s">
        <v>124</v>
      </c>
      <c r="C8" s="5">
        <f>C6*C7/1000000</f>
        <v>2397303.440862</v>
      </c>
    </row>
    <row r="9" spans="2:9" ht="14" customHeight="1" x14ac:dyDescent="0.3">
      <c r="B9" s="4" t="s">
        <v>68</v>
      </c>
      <c r="C9" s="5">
        <f>'DCF Model'!C16</f>
        <v>1487797</v>
      </c>
    </row>
    <row r="10" spans="2:9" ht="14" customHeight="1" x14ac:dyDescent="0.3">
      <c r="B10" s="4" t="s">
        <v>125</v>
      </c>
      <c r="C10" s="5">
        <f>C8+C9</f>
        <v>3885100.440862</v>
      </c>
    </row>
    <row r="11" spans="2:9" ht="14" customHeight="1" x14ac:dyDescent="0.3">
      <c r="B11" s="4" t="s">
        <v>126</v>
      </c>
      <c r="C11" s="16">
        <f>'DCF Model'!C26</f>
        <v>5.4153251882018999E-2</v>
      </c>
    </row>
    <row r="12" spans="2:9" ht="14" customHeight="1" x14ac:dyDescent="0.3">
      <c r="B12" s="4" t="s">
        <v>127</v>
      </c>
      <c r="C12" s="16">
        <f>'DCF Model'!C13</f>
        <v>0.01</v>
      </c>
    </row>
    <row r="13" spans="2:9" ht="14" customHeight="1" x14ac:dyDescent="0.3">
      <c r="B13" s="4" t="s">
        <v>128</v>
      </c>
      <c r="C13" s="16">
        <f>'DCF Model'!C6</f>
        <v>0.25</v>
      </c>
    </row>
    <row r="14" spans="2:9" ht="14" customHeight="1" x14ac:dyDescent="0.3">
      <c r="B14" s="4" t="s">
        <v>129</v>
      </c>
      <c r="C14" s="27">
        <v>185870</v>
      </c>
    </row>
    <row r="15" spans="2:9" ht="14" customHeight="1" x14ac:dyDescent="0.3">
      <c r="B15" s="4" t="s">
        <v>130</v>
      </c>
      <c r="C15" s="27">
        <v>269053</v>
      </c>
    </row>
    <row r="16" spans="2:9" ht="14" customHeight="1" x14ac:dyDescent="0.3">
      <c r="B16" s="4" t="s">
        <v>131</v>
      </c>
      <c r="C16" s="5">
        <f>'DCF Model'!G33</f>
        <v>3339197.6074255495</v>
      </c>
    </row>
    <row r="17" spans="2:9" ht="14" customHeight="1" x14ac:dyDescent="0.3">
      <c r="B17" s="4" t="s">
        <v>132</v>
      </c>
      <c r="C17" s="5">
        <f>'DCF Model'!C53</f>
        <v>4566010.3189839637</v>
      </c>
    </row>
    <row r="18" spans="2:9" ht="14" customHeight="1" x14ac:dyDescent="0.3">
      <c r="B18" s="4" t="s">
        <v>133</v>
      </c>
      <c r="C18" s="26">
        <v>9.1532621039102244E-2</v>
      </c>
    </row>
    <row r="19" spans="2:9" ht="14" customHeight="1" x14ac:dyDescent="0.3">
      <c r="B19" s="4" t="s">
        <v>134</v>
      </c>
      <c r="C19" s="5">
        <f>C10-C17</f>
        <v>-680909.8781219637</v>
      </c>
    </row>
    <row r="20" spans="2:9" ht="14" customHeight="1" x14ac:dyDescent="0.3">
      <c r="B20" s="4" t="s">
        <v>135</v>
      </c>
      <c r="C20" s="15">
        <f>IFERROR(ROUND(C19*1000000/C7,0),"N/A")</f>
        <v>-466</v>
      </c>
    </row>
    <row r="22" spans="2:9" ht="14" customHeight="1" x14ac:dyDescent="0.3">
      <c r="B22" s="8" t="s">
        <v>136</v>
      </c>
      <c r="C22" s="9"/>
      <c r="D22" s="9"/>
      <c r="E22" s="9"/>
      <c r="F22" s="9"/>
      <c r="G22" s="9"/>
      <c r="H22" s="9"/>
      <c r="I22" s="9"/>
    </row>
    <row r="23" spans="2:9" ht="14" customHeight="1" x14ac:dyDescent="0.3">
      <c r="B23" s="1" t="s">
        <v>137</v>
      </c>
    </row>
    <row r="24" spans="2:9" ht="14" customHeight="1" x14ac:dyDescent="0.3">
      <c r="B24" s="4" t="s">
        <v>138</v>
      </c>
      <c r="C24" s="5">
        <f>C10*(C11-C12)</f>
        <v>171539.81835232294</v>
      </c>
    </row>
    <row r="25" spans="2:9" ht="14" customHeight="1" x14ac:dyDescent="0.3">
      <c r="B25" s="4" t="s">
        <v>139</v>
      </c>
      <c r="C25" s="5">
        <f>IFERROR(C24/(1-C13),"N/A")</f>
        <v>228719.75780309725</v>
      </c>
    </row>
    <row r="26" spans="2:9" ht="13.5" customHeight="1" x14ac:dyDescent="0.25">
      <c r="B26" s="6" t="s">
        <v>140</v>
      </c>
      <c r="C26" s="14">
        <f>IFERROR(C25/C15,"N/A")</f>
        <v>0.85009183247574738</v>
      </c>
    </row>
    <row r="27" spans="2:9" ht="13.5" customHeight="1" x14ac:dyDescent="0.25">
      <c r="B27" s="6" t="s">
        <v>141</v>
      </c>
      <c r="C27" s="14">
        <f>IFERROR(C25/C14,"N/A")</f>
        <v>1.2305361693823493</v>
      </c>
    </row>
    <row r="28" spans="2:9" ht="13.5" customHeight="1" x14ac:dyDescent="0.25">
      <c r="B28" s="6" t="s">
        <v>142</v>
      </c>
      <c r="C28" s="7">
        <f>IFERROR(C25/C16,"N/A")</f>
        <v>6.8495424557828227E-2</v>
      </c>
    </row>
    <row r="29" spans="2:9" ht="13.5" customHeight="1" x14ac:dyDescent="0.25">
      <c r="B29" s="6" t="s">
        <v>143</v>
      </c>
      <c r="C29" s="5">
        <f>IFERROR(C25/C18,"N/A")</f>
        <v>2498778.6343995263</v>
      </c>
    </row>
    <row r="32" spans="2:9" ht="14" customHeight="1" x14ac:dyDescent="0.3">
      <c r="B32" s="8" t="s">
        <v>144</v>
      </c>
      <c r="C32" s="9"/>
      <c r="D32" s="9"/>
      <c r="E32" s="9"/>
      <c r="F32" s="9"/>
      <c r="G32" s="9"/>
      <c r="H32" s="9"/>
      <c r="I32" s="9"/>
    </row>
    <row r="33" spans="2:9" ht="14" customHeight="1" x14ac:dyDescent="0.3">
      <c r="B33" s="1" t="s">
        <v>145</v>
      </c>
    </row>
    <row r="34" spans="2:9" ht="14" customHeight="1" x14ac:dyDescent="0.3">
      <c r="B34" s="1" t="s">
        <v>146</v>
      </c>
    </row>
    <row r="36" spans="2:9" ht="14" customHeight="1" x14ac:dyDescent="0.3">
      <c r="B36" s="28" t="s">
        <v>147</v>
      </c>
      <c r="C36" s="28" t="s">
        <v>148</v>
      </c>
      <c r="D36" s="29">
        <f>'DCF Model'!C26-0.02</f>
        <v>3.4153251882018995E-2</v>
      </c>
      <c r="E36" s="29">
        <f>'DCF Model'!C26-0.01</f>
        <v>4.4153251882018997E-2</v>
      </c>
      <c r="F36" s="29">
        <f>'DCF Model'!C26</f>
        <v>5.4153251882018999E-2</v>
      </c>
      <c r="G36" s="29">
        <f>'DCF Model'!C26+0.01</f>
        <v>6.4153251882018994E-2</v>
      </c>
      <c r="H36" s="29">
        <f>'DCF Model'!C26+0.02</f>
        <v>7.4153251882019003E-2</v>
      </c>
    </row>
    <row r="37" spans="2:9" ht="14" customHeight="1" x14ac:dyDescent="0.3">
      <c r="B37" s="3" t="s">
        <v>149</v>
      </c>
    </row>
    <row r="38" spans="2:9" ht="14" customHeight="1" x14ac:dyDescent="0.3">
      <c r="B38" s="4" t="s">
        <v>150</v>
      </c>
      <c r="C38" s="30">
        <v>3</v>
      </c>
      <c r="D38" s="13">
        <f t="shared" ref="D38:H41" si="0">IFERROR((1-(1+D$36)^(-$C38))/D$36-(1+D$36)/(D$36^2*$C38)*(1-($C38+1)/(1+D$36)^$C38+$C38/(1+D$36)^($C38+1)),"N/A")</f>
        <v>0.95632978481503628</v>
      </c>
      <c r="E38" s="13">
        <f t="shared" si="0"/>
        <v>0.9442144675995443</v>
      </c>
      <c r="F38" s="13">
        <f t="shared" si="0"/>
        <v>0.93238456783148504</v>
      </c>
      <c r="G38" s="13">
        <f t="shared" si="0"/>
        <v>0.92083048762478081</v>
      </c>
      <c r="H38" s="13">
        <f t="shared" si="0"/>
        <v>0.90954304374557582</v>
      </c>
    </row>
    <row r="39" spans="2:9" ht="14" customHeight="1" x14ac:dyDescent="0.3">
      <c r="B39" s="4" t="s">
        <v>151</v>
      </c>
      <c r="C39" s="30">
        <v>5</v>
      </c>
      <c r="D39" s="13">
        <f t="shared" si="0"/>
        <v>1.8711277133557873</v>
      </c>
      <c r="E39" s="13">
        <f t="shared" si="0"/>
        <v>1.8361295488694691</v>
      </c>
      <c r="F39" s="13">
        <f t="shared" si="0"/>
        <v>1.8022704394016134</v>
      </c>
      <c r="G39" s="13">
        <f t="shared" si="0"/>
        <v>1.7694999215602096</v>
      </c>
      <c r="H39" s="13">
        <f t="shared" si="0"/>
        <v>1.7377703038017436</v>
      </c>
    </row>
    <row r="40" spans="2:9" ht="14" customHeight="1" x14ac:dyDescent="0.3">
      <c r="B40" s="4" t="s">
        <v>152</v>
      </c>
      <c r="C40" s="30">
        <v>7</v>
      </c>
      <c r="D40" s="13">
        <f t="shared" si="0"/>
        <v>2.7464206430239533</v>
      </c>
      <c r="E40" s="13">
        <f t="shared" si="0"/>
        <v>2.6789995068069334</v>
      </c>
      <c r="F40" s="13">
        <f t="shared" si="0"/>
        <v>2.614362407644609</v>
      </c>
      <c r="G40" s="13">
        <f t="shared" si="0"/>
        <v>2.5523570031325704</v>
      </c>
      <c r="H40" s="13">
        <f t="shared" si="0"/>
        <v>2.4928410645644195</v>
      </c>
    </row>
    <row r="41" spans="2:9" ht="14" customHeight="1" x14ac:dyDescent="0.3">
      <c r="B41" s="4" t="s">
        <v>153</v>
      </c>
      <c r="C41" s="30">
        <v>10</v>
      </c>
      <c r="D41" s="13">
        <f t="shared" si="0"/>
        <v>3.9894638195306484</v>
      </c>
      <c r="E41" s="13">
        <f t="shared" si="0"/>
        <v>3.8579360683332435</v>
      </c>
      <c r="F41" s="13">
        <f t="shared" si="0"/>
        <v>3.7335074658190259</v>
      </c>
      <c r="G41" s="13">
        <f t="shared" si="0"/>
        <v>3.6156819756228873</v>
      </c>
      <c r="H41" s="13">
        <f t="shared" si="0"/>
        <v>3.50400477759792</v>
      </c>
    </row>
    <row r="42" spans="2:9" ht="14" customHeight="1" x14ac:dyDescent="0.3">
      <c r="B42" s="3" t="s">
        <v>154</v>
      </c>
    </row>
    <row r="43" spans="2:9" ht="14" customHeight="1" x14ac:dyDescent="0.3">
      <c r="B43" s="4" t="s">
        <v>150</v>
      </c>
      <c r="C43" s="30">
        <v>3</v>
      </c>
      <c r="D43" s="13">
        <f t="shared" ref="D43:H46" si="1">IFERROR((1+D$36)/(D$36^2*$C43)*(1-($C43+1)/(1+D$36)^$C43+$C43/(1+D$36)^($C43+1))+(1+$C$12)/((D$36-$C$12)*(1+D$36)^$C43),"N/A")</f>
        <v>39.658485062993819</v>
      </c>
      <c r="E43" s="13">
        <f t="shared" si="1"/>
        <v>27.786598854840364</v>
      </c>
      <c r="F43" s="13">
        <f t="shared" si="1"/>
        <v>21.297342753573204</v>
      </c>
      <c r="G43" s="13">
        <f t="shared" si="1"/>
        <v>17.208685173693873</v>
      </c>
      <c r="H43" s="13">
        <f t="shared" si="1"/>
        <v>14.397917426669881</v>
      </c>
    </row>
    <row r="44" spans="2:9" ht="14" customHeight="1" x14ac:dyDescent="0.3">
      <c r="B44" s="4" t="s">
        <v>151</v>
      </c>
      <c r="C44" s="30">
        <v>5</v>
      </c>
      <c r="D44" s="13">
        <f t="shared" si="1"/>
        <v>38.007363990775318</v>
      </c>
      <c r="E44" s="13">
        <f t="shared" si="1"/>
        <v>26.391154864727401</v>
      </c>
      <c r="F44" s="13">
        <f t="shared" si="1"/>
        <v>20.050705256056965</v>
      </c>
      <c r="G44" s="13">
        <f t="shared" si="1"/>
        <v>16.06278023056295</v>
      </c>
      <c r="H44" s="13">
        <f t="shared" si="1"/>
        <v>13.326829503701102</v>
      </c>
    </row>
    <row r="45" spans="2:9" ht="14" customHeight="1" x14ac:dyDescent="0.3">
      <c r="B45" s="4" t="s">
        <v>152</v>
      </c>
      <c r="C45" s="30">
        <v>7</v>
      </c>
      <c r="D45" s="13">
        <f t="shared" si="1"/>
        <v>36.443579458963896</v>
      </c>
      <c r="E45" s="13">
        <f t="shared" si="1"/>
        <v>25.086440255031977</v>
      </c>
      <c r="F45" s="13">
        <f t="shared" si="1"/>
        <v>18.899575871607855</v>
      </c>
      <c r="G45" s="13">
        <f t="shared" si="1"/>
        <v>15.017445493547392</v>
      </c>
      <c r="H45" s="13">
        <f t="shared" si="1"/>
        <v>12.361272032428339</v>
      </c>
    </row>
    <row r="46" spans="2:9" ht="14" customHeight="1" x14ac:dyDescent="0.3">
      <c r="B46" s="4" t="s">
        <v>153</v>
      </c>
      <c r="C46" s="30">
        <v>10</v>
      </c>
      <c r="D46" s="13">
        <f t="shared" si="1"/>
        <v>34.250741713947043</v>
      </c>
      <c r="E46" s="13">
        <f t="shared" si="1"/>
        <v>23.28542484790939</v>
      </c>
      <c r="F46" s="13">
        <f t="shared" si="1"/>
        <v>17.334434698568021</v>
      </c>
      <c r="G46" s="13">
        <f t="shared" si="1"/>
        <v>13.616815487019771</v>
      </c>
      <c r="H46" s="13">
        <f t="shared" si="1"/>
        <v>11.085798660709795</v>
      </c>
    </row>
    <row r="47" spans="2:9" ht="14" customHeight="1" x14ac:dyDescent="0.3">
      <c r="B47" s="22" t="s">
        <v>155</v>
      </c>
      <c r="C47" s="23"/>
      <c r="D47" s="23"/>
      <c r="E47" s="23"/>
      <c r="F47" s="23"/>
      <c r="G47" s="23"/>
      <c r="H47" s="23"/>
      <c r="I47" s="23"/>
    </row>
    <row r="48" spans="2:9" ht="14" customHeight="1" x14ac:dyDescent="0.3">
      <c r="B48" s="4" t="s">
        <v>150</v>
      </c>
      <c r="C48" s="30">
        <v>3</v>
      </c>
      <c r="D48" s="5">
        <f t="shared" ref="D48:H51" si="2">IFERROR(($C$10/(1-$C$13)-$C$14*D38)/D43,"N/A")</f>
        <v>126136.45972860398</v>
      </c>
      <c r="E48" s="5">
        <f t="shared" si="2"/>
        <v>180109.58463111112</v>
      </c>
      <c r="F48" s="5">
        <f t="shared" si="2"/>
        <v>235091.84499960512</v>
      </c>
      <c r="G48" s="5">
        <f t="shared" si="2"/>
        <v>291072.74076182832</v>
      </c>
      <c r="H48" s="5">
        <f t="shared" si="2"/>
        <v>348041.80404077808</v>
      </c>
    </row>
    <row r="49" spans="2:9" ht="14" customHeight="1" x14ac:dyDescent="0.3">
      <c r="B49" s="4" t="s">
        <v>151</v>
      </c>
      <c r="C49" s="30">
        <v>5</v>
      </c>
      <c r="D49" s="5">
        <f t="shared" si="2"/>
        <v>127142.39835840079</v>
      </c>
      <c r="E49" s="5">
        <f t="shared" si="2"/>
        <v>183351.29882354036</v>
      </c>
      <c r="F49" s="5">
        <f t="shared" si="2"/>
        <v>241644.66300326877</v>
      </c>
      <c r="G49" s="5">
        <f t="shared" si="2"/>
        <v>302017.26607068919</v>
      </c>
      <c r="H49" s="5">
        <f t="shared" si="2"/>
        <v>364462.87194060592</v>
      </c>
    </row>
    <row r="50" spans="2:9" ht="14" customHeight="1" x14ac:dyDescent="0.3">
      <c r="B50" s="4" t="s">
        <v>152</v>
      </c>
      <c r="C50" s="30">
        <v>7</v>
      </c>
      <c r="D50" s="5">
        <f t="shared" si="2"/>
        <v>128133.86570571602</v>
      </c>
      <c r="E50" s="5">
        <f t="shared" si="2"/>
        <v>186642.19535411961</v>
      </c>
      <c r="F50" s="5">
        <f t="shared" si="2"/>
        <v>248376.07004146368</v>
      </c>
      <c r="G50" s="5">
        <f t="shared" si="2"/>
        <v>313350.71780343814</v>
      </c>
      <c r="H50" s="5">
        <f t="shared" si="2"/>
        <v>381578.00751450204</v>
      </c>
    </row>
    <row r="51" spans="2:9" ht="14" customHeight="1" x14ac:dyDescent="0.3">
      <c r="B51" s="4" t="s">
        <v>153</v>
      </c>
      <c r="C51" s="30">
        <v>10</v>
      </c>
      <c r="D51" s="5">
        <f t="shared" si="2"/>
        <v>129591.71273087351</v>
      </c>
      <c r="E51" s="5">
        <f t="shared" si="2"/>
        <v>191667.50760525357</v>
      </c>
      <c r="F51" s="5">
        <f t="shared" si="2"/>
        <v>258802.02997610011</v>
      </c>
      <c r="G51" s="5">
        <f t="shared" si="2"/>
        <v>331067.65062930027</v>
      </c>
      <c r="H51" s="5">
        <f t="shared" si="2"/>
        <v>408526.68280800595</v>
      </c>
    </row>
    <row r="52" spans="2:9" ht="14" customHeight="1" x14ac:dyDescent="0.3">
      <c r="B52" s="22" t="s">
        <v>156</v>
      </c>
      <c r="C52" s="23"/>
      <c r="D52" s="23"/>
      <c r="E52" s="23"/>
      <c r="F52" s="23"/>
      <c r="G52" s="23"/>
      <c r="H52" s="23"/>
      <c r="I52" s="23"/>
    </row>
    <row r="53" spans="2:9" ht="14" customHeight="1" x14ac:dyDescent="0.3">
      <c r="B53" s="4" t="s">
        <v>150</v>
      </c>
      <c r="C53" s="30">
        <v>3</v>
      </c>
      <c r="D53" s="14">
        <f t="shared" ref="D53:H56" si="3">IFERROR(D48/$C$15,"N/A")</f>
        <v>0.468816403194181</v>
      </c>
      <c r="E53" s="14">
        <f t="shared" si="3"/>
        <v>0.6694204659718016</v>
      </c>
      <c r="F53" s="14">
        <f t="shared" si="3"/>
        <v>0.8737752227241663</v>
      </c>
      <c r="G53" s="14">
        <f t="shared" si="3"/>
        <v>1.0818416474145551</v>
      </c>
      <c r="H53" s="14">
        <f t="shared" si="3"/>
        <v>1.2935808336676347</v>
      </c>
    </row>
    <row r="54" spans="2:9" ht="14" customHeight="1" x14ac:dyDescent="0.3">
      <c r="B54" s="4" t="s">
        <v>151</v>
      </c>
      <c r="C54" s="30">
        <v>5</v>
      </c>
      <c r="D54" s="14">
        <f t="shared" si="3"/>
        <v>0.47255521536054529</v>
      </c>
      <c r="E54" s="14">
        <f t="shared" si="3"/>
        <v>0.68146907421043568</v>
      </c>
      <c r="F54" s="14">
        <f t="shared" si="3"/>
        <v>0.89813034236105438</v>
      </c>
      <c r="G54" s="14">
        <f t="shared" si="3"/>
        <v>1.1225196004901978</v>
      </c>
      <c r="H54" s="14">
        <f t="shared" si="3"/>
        <v>1.35461367069167</v>
      </c>
    </row>
    <row r="55" spans="2:9" ht="14" customHeight="1" x14ac:dyDescent="0.3">
      <c r="B55" s="4" t="s">
        <v>152</v>
      </c>
      <c r="C55" s="30">
        <v>7</v>
      </c>
      <c r="D55" s="14">
        <f t="shared" si="3"/>
        <v>0.47624024153499872</v>
      </c>
      <c r="E55" s="14">
        <f t="shared" si="3"/>
        <v>0.69370048040393384</v>
      </c>
      <c r="F55" s="14">
        <f t="shared" si="3"/>
        <v>0.92314923097480306</v>
      </c>
      <c r="G55" s="14">
        <f t="shared" si="3"/>
        <v>1.1646430918943038</v>
      </c>
      <c r="H55" s="14">
        <f t="shared" si="3"/>
        <v>1.4182261766808102</v>
      </c>
    </row>
    <row r="56" spans="2:9" ht="14" customHeight="1" x14ac:dyDescent="0.3">
      <c r="B56" s="4" t="s">
        <v>153</v>
      </c>
      <c r="C56" s="30">
        <v>10</v>
      </c>
      <c r="D56" s="14">
        <f t="shared" si="3"/>
        <v>0.48165867963142395</v>
      </c>
      <c r="E56" s="14">
        <f t="shared" si="3"/>
        <v>0.71237825857824877</v>
      </c>
      <c r="F56" s="14">
        <f t="shared" si="3"/>
        <v>0.96189981147246117</v>
      </c>
      <c r="G56" s="14">
        <f t="shared" si="3"/>
        <v>1.2304923216960981</v>
      </c>
      <c r="H56" s="14">
        <f t="shared" si="3"/>
        <v>1.5183873913615755</v>
      </c>
    </row>
    <row r="58" spans="2:9" ht="14" customHeight="1" x14ac:dyDescent="0.3">
      <c r="B58" s="8" t="s">
        <v>157</v>
      </c>
      <c r="C58" s="9"/>
      <c r="D58" s="9"/>
      <c r="E58" s="9"/>
      <c r="F58" s="9"/>
      <c r="G58" s="9"/>
      <c r="H58" s="9"/>
      <c r="I58" s="9"/>
    </row>
    <row r="59" spans="2:9" ht="14" customHeight="1" x14ac:dyDescent="0.3">
      <c r="B59" s="1" t="s">
        <v>158</v>
      </c>
    </row>
    <row r="60" spans="2:9" ht="14" customHeight="1" x14ac:dyDescent="0.3">
      <c r="B60" s="4" t="s">
        <v>159</v>
      </c>
      <c r="C60" s="5">
        <f>F49</f>
        <v>241644.66300326877</v>
      </c>
    </row>
    <row r="62" spans="2:9" ht="14" customHeight="1" x14ac:dyDescent="0.3">
      <c r="B62" s="28" t="s">
        <v>160</v>
      </c>
      <c r="C62" s="28" t="s">
        <v>161</v>
      </c>
      <c r="D62" s="28" t="s">
        <v>162</v>
      </c>
    </row>
    <row r="63" spans="2:9" ht="14" customHeight="1" x14ac:dyDescent="0.3">
      <c r="B63" s="31">
        <v>4.58E-2</v>
      </c>
      <c r="C63" s="5">
        <f>IFERROR($C$60/B63,"N/A")</f>
        <v>5276084.3450495368</v>
      </c>
      <c r="D63" s="14">
        <f>IFERROR(C63/'DCF Model'!C17,"N/A")</f>
        <v>1.8226856287368731</v>
      </c>
    </row>
    <row r="64" spans="2:9" ht="14" customHeight="1" x14ac:dyDescent="0.3">
      <c r="B64" s="31">
        <v>6.8599999999999994E-2</v>
      </c>
      <c r="C64" s="5">
        <f>IFERROR($C$60/B64,"N/A")</f>
        <v>3522516.9534004196</v>
      </c>
      <c r="D64" s="14">
        <f>IFERROR(C64/'DCF Model'!C17,"N/A")</f>
        <v>1.2168950699147054</v>
      </c>
    </row>
    <row r="65" spans="2:9" ht="14" customHeight="1" x14ac:dyDescent="0.3">
      <c r="B65" s="4" t="s">
        <v>163</v>
      </c>
      <c r="C65" s="5">
        <f>IFERROR($C$60/$C$18,"N/A")</f>
        <v>2639984.0872036153</v>
      </c>
      <c r="D65" s="14">
        <f>IFERROR(C65/'DCF Model'!C17,"N/A")</f>
        <v>0.91201367172133097</v>
      </c>
    </row>
    <row r="66" spans="2:9" ht="14" customHeight="1" x14ac:dyDescent="0.3">
      <c r="B66" s="31">
        <v>0.1144</v>
      </c>
      <c r="C66" s="5">
        <f>IFERROR($C$60/B66,"N/A")</f>
        <v>2112278.5227558459</v>
      </c>
      <c r="D66" s="14">
        <f>IFERROR(C66/'DCF Model'!C17,"N/A")</f>
        <v>0.72971155416213973</v>
      </c>
    </row>
    <row r="67" spans="2:9" ht="14" customHeight="1" x14ac:dyDescent="0.3">
      <c r="B67" s="31">
        <v>0.13730000000000001</v>
      </c>
      <c r="C67" s="5">
        <f>IFERROR($C$60/B67,"N/A")</f>
        <v>1759975.6955809814</v>
      </c>
      <c r="D67" s="14">
        <f>IFERROR(C67/'DCF Model'!C17,"N/A")</f>
        <v>0.60800438307464511</v>
      </c>
    </row>
    <row r="69" spans="2:9" ht="14" customHeight="1" x14ac:dyDescent="0.3">
      <c r="B69" s="8" t="s">
        <v>164</v>
      </c>
      <c r="C69" s="9"/>
      <c r="D69" s="9"/>
      <c r="E69" s="9"/>
      <c r="F69" s="9"/>
      <c r="G69" s="9"/>
      <c r="H69" s="9"/>
      <c r="I69" s="9"/>
    </row>
    <row r="70" spans="2:9" ht="13.5" customHeight="1" x14ac:dyDescent="0.25">
      <c r="B70" s="6" t="s">
        <v>165</v>
      </c>
      <c r="C70" s="14">
        <f>IFERROR(C10/'Comps Analysis'!G5,"N/A")</f>
        <v>11.133464698693535</v>
      </c>
    </row>
    <row r="71" spans="2:9" ht="13.5" customHeight="1" x14ac:dyDescent="0.25">
      <c r="B71" s="6" t="s">
        <v>166</v>
      </c>
      <c r="C71" s="14">
        <f>IFERROR(C10/'Comps Analysis'!F5,"N/A")</f>
        <v>1.342153816476179</v>
      </c>
    </row>
    <row r="72" spans="2:9" ht="14" customHeight="1" x14ac:dyDescent="0.3">
      <c r="B72" s="4" t="s">
        <v>167</v>
      </c>
      <c r="C72" s="14">
        <f>IFERROR(C10/(C25+'DCF Model'!G42),"N/A")</f>
        <v>9.3455903380395799</v>
      </c>
    </row>
    <row r="73" spans="2:9" ht="14" customHeight="1" x14ac:dyDescent="0.3">
      <c r="B73" s="4" t="s">
        <v>168</v>
      </c>
      <c r="C73" s="14">
        <f>IFERROR(C10/(C60+'DCF Model'!G42),"N/A")</f>
        <v>9.0637898865620219</v>
      </c>
    </row>
    <row r="74" spans="2:9" ht="14" customHeight="1" x14ac:dyDescent="0.3">
      <c r="B74" s="4" t="s">
        <v>169</v>
      </c>
      <c r="C74" s="14">
        <f>IFERROR('Comps Analysis'!D16,"N/A")</f>
        <v>10.92142078168791</v>
      </c>
    </row>
    <row r="75" spans="2:9" ht="14" customHeight="1" x14ac:dyDescent="0.3">
      <c r="B75" s="1" t="s">
        <v>170</v>
      </c>
    </row>
    <row r="77" spans="2:9" ht="14" customHeight="1" x14ac:dyDescent="0.3">
      <c r="B77" s="22" t="s">
        <v>171</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FY2024 cycle peak of "&amp;TEXT(C15,"#,##0")&amp;" mn - reached in 5 years and sustained for ever, against "&amp;TEXT(C14,"#,##0")&amp;" mn actually earned in FY2025."</f>
        <v>At 1,639 yen the market is paying for a steady-state operating profit of 241,645 mn JPY - 0.90x the FY2024 cycle peak of 269,053 mn - reached in 5 years and sustained for ever, against 185,870 mn actually earned in FY2025.</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228,720 mn, or 0.85x the peak. The base case supports an EV of only 4,566,010 mn, leaving -466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172</v>
      </c>
    </row>
    <row r="4" spans="2:8" ht="14" customHeight="1" x14ac:dyDescent="0.3">
      <c r="B4" s="8" t="s">
        <v>173</v>
      </c>
      <c r="C4" s="32" t="s">
        <v>174</v>
      </c>
      <c r="D4" s="32" t="s">
        <v>81</v>
      </c>
      <c r="E4" s="32" t="s">
        <v>82</v>
      </c>
      <c r="F4" s="32" t="s">
        <v>83</v>
      </c>
      <c r="G4" s="32" t="s">
        <v>84</v>
      </c>
      <c r="H4" s="32" t="s">
        <v>85</v>
      </c>
    </row>
    <row r="5" spans="2:8" ht="14" customHeight="1" x14ac:dyDescent="0.3">
      <c r="B5" s="33" t="s">
        <v>175</v>
      </c>
      <c r="C5" s="34">
        <f>C12/C9*365</f>
        <v>63.30199303825367</v>
      </c>
      <c r="D5" s="34">
        <f>CHOOSE('DCF Model'!$D$27,D25,D26,D27,D28,D29)</f>
        <v>60</v>
      </c>
      <c r="E5" s="34">
        <f>CHOOSE('DCF Model'!$D$27,E25,E26,E27,E28,E29)</f>
        <v>60</v>
      </c>
      <c r="F5" s="34">
        <f>CHOOSE('DCF Model'!$D$27,F25,F26,F27,F28,F29)</f>
        <v>60</v>
      </c>
      <c r="G5" s="34">
        <f>CHOOSE('DCF Model'!$D$27,G25,G26,G27,G28,G29)</f>
        <v>60</v>
      </c>
      <c r="H5" s="34">
        <f>CHOOSE('DCF Model'!$D$27,H25,H26,H27,H28,H29)</f>
        <v>60</v>
      </c>
    </row>
    <row r="6" spans="2:8" ht="14" customHeight="1" x14ac:dyDescent="0.3">
      <c r="B6" s="33" t="s">
        <v>176</v>
      </c>
      <c r="C6" s="34">
        <f>C13/C10*365</f>
        <v>61.429129193294614</v>
      </c>
      <c r="D6" s="34">
        <f>CHOOSE('DCF Model'!$D$27,D32,D33,D34,D35,D36)</f>
        <v>56</v>
      </c>
      <c r="E6" s="34">
        <f>CHOOSE('DCF Model'!$D$27,E32,E33,E34,E35,E36)</f>
        <v>56</v>
      </c>
      <c r="F6" s="34">
        <f>CHOOSE('DCF Model'!$D$27,F32,F33,F34,F35,F36)</f>
        <v>56</v>
      </c>
      <c r="G6" s="34">
        <f>CHOOSE('DCF Model'!$D$27,G32,G33,G34,G35,G36)</f>
        <v>56</v>
      </c>
      <c r="H6" s="34">
        <f>CHOOSE('DCF Model'!$D$27,H32,H33,H34,H35,H36)</f>
        <v>56</v>
      </c>
    </row>
    <row r="7" spans="2:8" ht="14" customHeight="1" x14ac:dyDescent="0.3">
      <c r="B7" s="33" t="s">
        <v>177</v>
      </c>
      <c r="C7" s="34">
        <f>C15/C10*365</f>
        <v>142.95818984535211</v>
      </c>
      <c r="D7" s="34">
        <f>CHOOSE('DCF Model'!$D$27,D39,D40,D41,D42,D43)</f>
        <v>142</v>
      </c>
      <c r="E7" s="34">
        <f>CHOOSE('DCF Model'!$D$27,E39,E40,E41,E42,E43)</f>
        <v>142</v>
      </c>
      <c r="F7" s="34">
        <f>CHOOSE('DCF Model'!$D$27,F39,F40,F41,F42,F43)</f>
        <v>142</v>
      </c>
      <c r="G7" s="34">
        <f>CHOOSE('DCF Model'!$D$27,G39,G40,G41,G42,G43)</f>
        <v>142</v>
      </c>
      <c r="H7" s="34">
        <f>CHOOSE('DCF Model'!$D$27,H39,H40,H41,H42,H43)</f>
        <v>142</v>
      </c>
    </row>
    <row r="8" spans="2:8" ht="14" customHeight="1" x14ac:dyDescent="0.3">
      <c r="B8" s="8" t="s">
        <v>178</v>
      </c>
      <c r="C8" s="9"/>
      <c r="D8" s="9"/>
      <c r="E8" s="9"/>
      <c r="F8" s="9"/>
      <c r="G8" s="9"/>
      <c r="H8" s="9"/>
    </row>
    <row r="9" spans="2:8" ht="14" customHeight="1" x14ac:dyDescent="0.3">
      <c r="B9" s="33" t="s">
        <v>32</v>
      </c>
      <c r="C9" s="35">
        <v>2894676</v>
      </c>
      <c r="D9" s="35">
        <f>'DCF Model'!C33</f>
        <v>3010463.04</v>
      </c>
      <c r="E9" s="35">
        <f>'DCF Model'!D33</f>
        <v>3100776.9312</v>
      </c>
      <c r="F9" s="35">
        <f>'DCF Model'!E33</f>
        <v>3178296.3544799997</v>
      </c>
      <c r="G9" s="35">
        <f>'DCF Model'!F33</f>
        <v>3257753.7633419996</v>
      </c>
      <c r="H9" s="35">
        <f>'DCF Model'!G33</f>
        <v>3339197.6074255495</v>
      </c>
    </row>
    <row r="10" spans="2:8" ht="14" customHeight="1" x14ac:dyDescent="0.3">
      <c r="B10" s="33" t="s">
        <v>33</v>
      </c>
      <c r="C10" s="35">
        <v>1801835</v>
      </c>
      <c r="D10" s="35">
        <f>'DCF Model'!C34</f>
        <v>1917664.9564800002</v>
      </c>
      <c r="E10" s="35">
        <f>'DCF Model'!D34</f>
        <v>1959691.0205184</v>
      </c>
      <c r="F10" s="35">
        <f>'DCF Model'!E34</f>
        <v>1999148.4069679198</v>
      </c>
      <c r="G10" s="35">
        <f>'DCF Model'!F34</f>
        <v>2044240.4864971046</v>
      </c>
      <c r="H10" s="35">
        <f>'DCF Model'!G34</f>
        <v>2095346.4986595321</v>
      </c>
    </row>
    <row r="11" spans="2:8" ht="14" customHeight="1" x14ac:dyDescent="0.3">
      <c r="B11" s="8" t="s">
        <v>179</v>
      </c>
      <c r="C11" s="9"/>
      <c r="D11" s="9"/>
      <c r="E11" s="9"/>
      <c r="F11" s="9"/>
      <c r="G11" s="9"/>
      <c r="H11" s="9"/>
    </row>
    <row r="12" spans="2:8" ht="14" customHeight="1" x14ac:dyDescent="0.3">
      <c r="B12" s="33" t="s">
        <v>180</v>
      </c>
      <c r="C12" s="35">
        <v>502024</v>
      </c>
      <c r="D12" s="35">
        <f t="shared" ref="D12:H13" si="0">D9*D5/365</f>
        <v>494870.63671232876</v>
      </c>
      <c r="E12" s="35">
        <f t="shared" si="0"/>
        <v>509716.75581369863</v>
      </c>
      <c r="F12" s="35">
        <f t="shared" si="0"/>
        <v>522459.67470904108</v>
      </c>
      <c r="G12" s="35">
        <f t="shared" si="0"/>
        <v>535521.16657676711</v>
      </c>
      <c r="H12" s="35">
        <f t="shared" si="0"/>
        <v>548909.19574118627</v>
      </c>
    </row>
    <row r="13" spans="2:8" ht="14" customHeight="1" x14ac:dyDescent="0.3">
      <c r="B13" s="33" t="s">
        <v>181</v>
      </c>
      <c r="C13" s="35">
        <v>303247</v>
      </c>
      <c r="D13" s="35">
        <f t="shared" si="0"/>
        <v>294217.08921336988</v>
      </c>
      <c r="E13" s="35">
        <f t="shared" si="0"/>
        <v>300664.9236959737</v>
      </c>
      <c r="F13" s="35">
        <f t="shared" si="0"/>
        <v>306718.65969918773</v>
      </c>
      <c r="G13" s="35">
        <f t="shared" si="0"/>
        <v>313636.89655845991</v>
      </c>
      <c r="H13" s="35">
        <f t="shared" si="0"/>
        <v>321477.81897242134</v>
      </c>
    </row>
    <row r="14" spans="2:8" ht="14" customHeight="1" x14ac:dyDescent="0.3">
      <c r="B14" s="33" t="s">
        <v>182</v>
      </c>
      <c r="C14" s="35">
        <f t="shared" ref="C14:H14" si="1">C12+C13</f>
        <v>805271</v>
      </c>
      <c r="D14" s="35">
        <f t="shared" si="1"/>
        <v>789087.72592569864</v>
      </c>
      <c r="E14" s="35">
        <f t="shared" si="1"/>
        <v>810381.67950967234</v>
      </c>
      <c r="F14" s="35">
        <f t="shared" si="1"/>
        <v>829178.33440822875</v>
      </c>
      <c r="G14" s="35">
        <f t="shared" si="1"/>
        <v>849158.06313522696</v>
      </c>
      <c r="H14" s="35">
        <f t="shared" si="1"/>
        <v>870387.01471360761</v>
      </c>
    </row>
    <row r="15" spans="2:8" ht="14" customHeight="1" x14ac:dyDescent="0.3">
      <c r="B15" s="33" t="s">
        <v>183</v>
      </c>
      <c r="C15" s="35">
        <v>705718</v>
      </c>
      <c r="D15" s="35">
        <f>D10*D7/365</f>
        <v>746050.47621961648</v>
      </c>
      <c r="E15" s="35">
        <f>E10*E7/365</f>
        <v>762400.34222907608</v>
      </c>
      <c r="F15" s="35">
        <f>F10*F7/365</f>
        <v>777750.88709436881</v>
      </c>
      <c r="G15" s="35">
        <f>G10*G7/365</f>
        <v>795293.5591303804</v>
      </c>
      <c r="H15" s="35">
        <f>H10*H7/365</f>
        <v>815175.89810863999</v>
      </c>
    </row>
    <row r="16" spans="2:8" ht="14" customHeight="1" x14ac:dyDescent="0.3">
      <c r="B16" s="33" t="s">
        <v>184</v>
      </c>
      <c r="C16" s="35">
        <f t="shared" ref="C16:H16" si="2">C15</f>
        <v>705718</v>
      </c>
      <c r="D16" s="35">
        <f t="shared" si="2"/>
        <v>746050.47621961648</v>
      </c>
      <c r="E16" s="35">
        <f t="shared" si="2"/>
        <v>762400.34222907608</v>
      </c>
      <c r="F16" s="35">
        <f t="shared" si="2"/>
        <v>777750.88709436881</v>
      </c>
      <c r="G16" s="35">
        <f t="shared" si="2"/>
        <v>795293.5591303804</v>
      </c>
      <c r="H16" s="35">
        <f t="shared" si="2"/>
        <v>815175.89810863999</v>
      </c>
    </row>
    <row r="17" spans="2:8" ht="14" customHeight="1" x14ac:dyDescent="0.3">
      <c r="B17" s="22" t="s">
        <v>185</v>
      </c>
      <c r="C17" s="23"/>
      <c r="D17" s="23"/>
      <c r="E17" s="23"/>
      <c r="F17" s="23"/>
      <c r="G17" s="23"/>
      <c r="H17" s="23"/>
    </row>
    <row r="18" spans="2:8" ht="14" customHeight="1" x14ac:dyDescent="0.3">
      <c r="B18" s="33" t="s">
        <v>186</v>
      </c>
      <c r="C18" s="20">
        <f t="shared" ref="C18:H18" si="3">C14-C16</f>
        <v>99553</v>
      </c>
      <c r="D18" s="20">
        <f t="shared" si="3"/>
        <v>43037.249706082162</v>
      </c>
      <c r="E18" s="20">
        <f t="shared" si="3"/>
        <v>47981.337280596257</v>
      </c>
      <c r="F18" s="20">
        <f t="shared" si="3"/>
        <v>51427.447313859942</v>
      </c>
      <c r="G18" s="20">
        <f t="shared" si="3"/>
        <v>53864.50400484656</v>
      </c>
      <c r="H18" s="20">
        <f t="shared" si="3"/>
        <v>55211.116604967625</v>
      </c>
    </row>
    <row r="19" spans="2:8" ht="14" customHeight="1" x14ac:dyDescent="0.3">
      <c r="B19" s="33" t="s">
        <v>95</v>
      </c>
      <c r="C19" s="36" t="s">
        <v>42</v>
      </c>
      <c r="D19" s="24">
        <f>D18-C18</f>
        <v>-56515.750293917838</v>
      </c>
      <c r="E19" s="24">
        <f>E18-D18</f>
        <v>4944.0875745140947</v>
      </c>
      <c r="F19" s="24">
        <f>F18-E18</f>
        <v>3446.1100332636852</v>
      </c>
      <c r="G19" s="24">
        <f>G18-F18</f>
        <v>2437.0566909866175</v>
      </c>
      <c r="H19" s="24">
        <f>H18-G18</f>
        <v>1346.612600121065</v>
      </c>
    </row>
    <row r="22" spans="2:8" ht="14" customHeight="1" x14ac:dyDescent="0.3">
      <c r="B22" s="22" t="s">
        <v>187</v>
      </c>
      <c r="C22" s="23"/>
      <c r="D22" s="23"/>
      <c r="E22" s="23"/>
      <c r="F22" s="23"/>
      <c r="G22" s="23"/>
      <c r="H22" s="23"/>
    </row>
    <row r="23" spans="2:8" ht="14" customHeight="1" x14ac:dyDescent="0.3">
      <c r="D23" s="25" t="s">
        <v>81</v>
      </c>
      <c r="E23" s="25" t="s">
        <v>82</v>
      </c>
      <c r="F23" s="25" t="s">
        <v>83</v>
      </c>
      <c r="G23" s="25" t="s">
        <v>84</v>
      </c>
      <c r="H23" s="25" t="s">
        <v>85</v>
      </c>
    </row>
    <row r="24" spans="2:8" ht="14" customHeight="1" x14ac:dyDescent="0.3">
      <c r="B24" s="3" t="s">
        <v>188</v>
      </c>
    </row>
    <row r="25" spans="2:8" ht="14" customHeight="1" x14ac:dyDescent="0.3">
      <c r="B25" s="4" t="s">
        <v>79</v>
      </c>
      <c r="D25" s="30">
        <v>60</v>
      </c>
      <c r="E25" s="30">
        <v>60</v>
      </c>
      <c r="F25" s="30">
        <v>60</v>
      </c>
      <c r="G25" s="30">
        <v>60</v>
      </c>
      <c r="H25" s="30">
        <v>60</v>
      </c>
    </row>
    <row r="26" spans="2:8" ht="14" customHeight="1" x14ac:dyDescent="0.3">
      <c r="B26" s="4" t="s">
        <v>116</v>
      </c>
      <c r="D26" s="30">
        <v>58</v>
      </c>
      <c r="E26" s="30">
        <v>58</v>
      </c>
      <c r="F26" s="30">
        <v>58</v>
      </c>
      <c r="G26" s="30">
        <v>58</v>
      </c>
      <c r="H26" s="30">
        <v>58</v>
      </c>
    </row>
    <row r="27" spans="2:8" ht="14" customHeight="1" x14ac:dyDescent="0.3">
      <c r="B27" s="4" t="s">
        <v>117</v>
      </c>
      <c r="D27" s="30">
        <v>60</v>
      </c>
      <c r="E27" s="30">
        <v>60</v>
      </c>
      <c r="F27" s="30">
        <v>60</v>
      </c>
      <c r="G27" s="30">
        <v>60</v>
      </c>
      <c r="H27" s="30">
        <v>60</v>
      </c>
    </row>
    <row r="28" spans="2:8" ht="14" customHeight="1" x14ac:dyDescent="0.3">
      <c r="B28" s="4" t="s">
        <v>118</v>
      </c>
      <c r="D28" s="30">
        <v>63</v>
      </c>
      <c r="E28" s="30">
        <v>63</v>
      </c>
      <c r="F28" s="30">
        <v>63</v>
      </c>
      <c r="G28" s="30">
        <v>63</v>
      </c>
      <c r="H28" s="30">
        <v>63</v>
      </c>
    </row>
    <row r="29" spans="2:8" ht="14" customHeight="1" x14ac:dyDescent="0.3">
      <c r="B29" s="4" t="s">
        <v>119</v>
      </c>
      <c r="D29" s="30">
        <v>66</v>
      </c>
      <c r="E29" s="30">
        <v>66</v>
      </c>
      <c r="F29" s="30">
        <v>66</v>
      </c>
      <c r="G29" s="30">
        <v>66</v>
      </c>
      <c r="H29" s="30">
        <v>66</v>
      </c>
    </row>
    <row r="31" spans="2:8" ht="14" customHeight="1" x14ac:dyDescent="0.3">
      <c r="B31" s="3" t="s">
        <v>189</v>
      </c>
    </row>
    <row r="32" spans="2:8" ht="14" customHeight="1" x14ac:dyDescent="0.3">
      <c r="B32" s="4" t="s">
        <v>79</v>
      </c>
      <c r="D32" s="30">
        <v>56</v>
      </c>
      <c r="E32" s="30">
        <v>56</v>
      </c>
      <c r="F32" s="30">
        <v>56</v>
      </c>
      <c r="G32" s="30">
        <v>56</v>
      </c>
      <c r="H32" s="30">
        <v>56</v>
      </c>
    </row>
    <row r="33" spans="2:8" ht="14" customHeight="1" x14ac:dyDescent="0.3">
      <c r="B33" s="4" t="s">
        <v>116</v>
      </c>
      <c r="D33" s="30">
        <v>53</v>
      </c>
      <c r="E33" s="30">
        <v>53</v>
      </c>
      <c r="F33" s="30">
        <v>53</v>
      </c>
      <c r="G33" s="30">
        <v>53</v>
      </c>
      <c r="H33" s="30">
        <v>53</v>
      </c>
    </row>
    <row r="34" spans="2:8" ht="14" customHeight="1" x14ac:dyDescent="0.3">
      <c r="B34" s="4" t="s">
        <v>117</v>
      </c>
      <c r="D34" s="30">
        <v>56</v>
      </c>
      <c r="E34" s="30">
        <v>56</v>
      </c>
      <c r="F34" s="30">
        <v>56</v>
      </c>
      <c r="G34" s="30">
        <v>56</v>
      </c>
      <c r="H34" s="30">
        <v>56</v>
      </c>
    </row>
    <row r="35" spans="2:8" ht="14" customHeight="1" x14ac:dyDescent="0.3">
      <c r="B35" s="4" t="s">
        <v>118</v>
      </c>
      <c r="D35" s="30">
        <v>60</v>
      </c>
      <c r="E35" s="30">
        <v>60</v>
      </c>
      <c r="F35" s="30">
        <v>60</v>
      </c>
      <c r="G35" s="30">
        <v>60</v>
      </c>
      <c r="H35" s="30">
        <v>60</v>
      </c>
    </row>
    <row r="36" spans="2:8" ht="14" customHeight="1" x14ac:dyDescent="0.3">
      <c r="B36" s="4" t="s">
        <v>119</v>
      </c>
      <c r="D36" s="30">
        <v>66</v>
      </c>
      <c r="E36" s="30">
        <v>66</v>
      </c>
      <c r="F36" s="30">
        <v>66</v>
      </c>
      <c r="G36" s="30">
        <v>66</v>
      </c>
      <c r="H36" s="30">
        <v>66</v>
      </c>
    </row>
    <row r="38" spans="2:8" ht="14" customHeight="1" x14ac:dyDescent="0.3">
      <c r="B38" s="3" t="s">
        <v>190</v>
      </c>
    </row>
    <row r="39" spans="2:8" ht="14" customHeight="1" x14ac:dyDescent="0.3">
      <c r="B39" s="4" t="s">
        <v>79</v>
      </c>
      <c r="D39" s="30">
        <v>142</v>
      </c>
      <c r="E39" s="30">
        <v>142</v>
      </c>
      <c r="F39" s="30">
        <v>142</v>
      </c>
      <c r="G39" s="30">
        <v>142</v>
      </c>
      <c r="H39" s="30">
        <v>142</v>
      </c>
    </row>
    <row r="40" spans="2:8" ht="14" customHeight="1" x14ac:dyDescent="0.3">
      <c r="B40" s="4" t="s">
        <v>116</v>
      </c>
      <c r="D40" s="30">
        <v>145</v>
      </c>
      <c r="E40" s="30">
        <v>145</v>
      </c>
      <c r="F40" s="30">
        <v>145</v>
      </c>
      <c r="G40" s="30">
        <v>145</v>
      </c>
      <c r="H40" s="30">
        <v>145</v>
      </c>
    </row>
    <row r="41" spans="2:8" ht="14" customHeight="1" x14ac:dyDescent="0.3">
      <c r="B41" s="4" t="s">
        <v>117</v>
      </c>
      <c r="D41" s="30">
        <v>142</v>
      </c>
      <c r="E41" s="30">
        <v>142</v>
      </c>
      <c r="F41" s="30">
        <v>142</v>
      </c>
      <c r="G41" s="30">
        <v>142</v>
      </c>
      <c r="H41" s="30">
        <v>142</v>
      </c>
    </row>
    <row r="42" spans="2:8" ht="14" customHeight="1" x14ac:dyDescent="0.3">
      <c r="B42" s="4" t="s">
        <v>118</v>
      </c>
      <c r="D42" s="30">
        <v>138</v>
      </c>
      <c r="E42" s="30">
        <v>138</v>
      </c>
      <c r="F42" s="30">
        <v>138</v>
      </c>
      <c r="G42" s="30">
        <v>138</v>
      </c>
      <c r="H42" s="30">
        <v>138</v>
      </c>
    </row>
    <row r="43" spans="2:8" ht="14" customHeight="1" x14ac:dyDescent="0.3">
      <c r="B43" s="4" t="s">
        <v>119</v>
      </c>
      <c r="D43" s="30">
        <v>132</v>
      </c>
      <c r="E43" s="30">
        <v>132</v>
      </c>
      <c r="F43" s="30">
        <v>132</v>
      </c>
      <c r="G43" s="30">
        <v>132</v>
      </c>
      <c r="H43" s="30">
        <v>132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191</v>
      </c>
    </row>
    <row r="3" spans="2:17" ht="14" customHeight="1" x14ac:dyDescent="0.3">
      <c r="B3" s="1" t="s">
        <v>192</v>
      </c>
    </row>
    <row r="4" spans="2:17" ht="28" customHeight="1"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customHeight="1" x14ac:dyDescent="0.3">
      <c r="B5" s="4" t="s">
        <v>207</v>
      </c>
      <c r="C5" t="s">
        <v>208</v>
      </c>
      <c r="D5" s="37">
        <f>'Executive Summary'!C9*C23/1000000</f>
        <v>2397303.440862</v>
      </c>
      <c r="E5" s="37">
        <f>D5+C24</f>
        <v>3885100.440862</v>
      </c>
      <c r="F5" s="37">
        <v>2894676</v>
      </c>
      <c r="G5" s="37">
        <v>348957</v>
      </c>
      <c r="H5" s="37">
        <v>185870</v>
      </c>
      <c r="I5" s="37">
        <v>121574</v>
      </c>
      <c r="J5" s="38">
        <f t="shared" ref="J5:J10" si="0">IFERROR(E5/G5,"")</f>
        <v>11.133464698693535</v>
      </c>
      <c r="K5" s="38">
        <f t="shared" ref="K5:K10" si="1">IFERROR(E5/F5,"")</f>
        <v>1.342153816476179</v>
      </c>
      <c r="L5" s="38">
        <f t="shared" ref="L5:L10" si="2">IFERROR(D5/I5,"")</f>
        <v>19.718882662921349</v>
      </c>
      <c r="M5" s="38">
        <f t="shared" ref="M5:M10" si="3">IFERROR(D5/P5,"")</f>
        <v>0.79828902092338061</v>
      </c>
      <c r="N5" s="39">
        <f t="shared" ref="N5:N10" si="4">IFERROR(H5/F5,"")</f>
        <v>6.4210985961814029E-2</v>
      </c>
      <c r="O5" s="39">
        <f t="shared" ref="O5:O10" si="5">IFERROR(I5/P5,"")</f>
        <v>4.0483481471516314E-2</v>
      </c>
      <c r="P5" s="37">
        <v>3003052</v>
      </c>
    </row>
    <row r="6" spans="2:17" ht="14" customHeight="1" x14ac:dyDescent="0.3">
      <c r="B6" s="4" t="s">
        <v>209</v>
      </c>
      <c r="C6" t="s">
        <v>210</v>
      </c>
      <c r="D6" s="37">
        <v>2320547</v>
      </c>
      <c r="E6" s="37">
        <v>3118689</v>
      </c>
      <c r="F6" s="37">
        <v>2433363</v>
      </c>
      <c r="G6" s="37">
        <v>305379</v>
      </c>
      <c r="H6" s="37">
        <v>209677</v>
      </c>
      <c r="I6" s="37">
        <v>147542</v>
      </c>
      <c r="J6" s="38">
        <f t="shared" si="0"/>
        <v>10.212519524918216</v>
      </c>
      <c r="K6" s="38">
        <f t="shared" si="1"/>
        <v>1.2816373882564993</v>
      </c>
      <c r="L6" s="38">
        <f t="shared" si="2"/>
        <v>15.728043540144501</v>
      </c>
      <c r="M6" s="38">
        <f t="shared" si="3"/>
        <v>1.803079431013892</v>
      </c>
      <c r="N6" s="39">
        <f t="shared" si="4"/>
        <v>8.6167579600741853E-2</v>
      </c>
      <c r="O6" s="39">
        <f t="shared" si="5"/>
        <v>0.11464105032591526</v>
      </c>
      <c r="P6" s="37">
        <v>1286991</v>
      </c>
    </row>
    <row r="7" spans="2:17" ht="14" customHeight="1" x14ac:dyDescent="0.3">
      <c r="B7" s="4" t="s">
        <v>211</v>
      </c>
      <c r="C7" t="s">
        <v>212</v>
      </c>
      <c r="D7" s="37">
        <v>4932560</v>
      </c>
      <c r="E7" s="37">
        <v>5247222</v>
      </c>
      <c r="F7" s="37">
        <v>1583719</v>
      </c>
      <c r="G7" s="37">
        <v>277762</v>
      </c>
      <c r="H7" s="37">
        <v>191301</v>
      </c>
      <c r="I7" s="37">
        <v>134675</v>
      </c>
      <c r="J7" s="38">
        <f t="shared" si="0"/>
        <v>18.891072212901694</v>
      </c>
      <c r="K7" s="38">
        <f t="shared" si="1"/>
        <v>3.3132279148005424</v>
      </c>
      <c r="L7" s="38">
        <f t="shared" si="2"/>
        <v>36.625654353072214</v>
      </c>
      <c r="M7" s="38">
        <f t="shared" si="3"/>
        <v>6.3991157457198122</v>
      </c>
      <c r="N7" s="39">
        <f t="shared" si="4"/>
        <v>0.12079226175855691</v>
      </c>
      <c r="O7" s="39">
        <f t="shared" si="5"/>
        <v>0.17471676230087738</v>
      </c>
      <c r="P7" s="37">
        <v>770819</v>
      </c>
    </row>
    <row r="8" spans="2:17" ht="14" customHeight="1" x14ac:dyDescent="0.3">
      <c r="B8" s="4" t="s">
        <v>213</v>
      </c>
      <c r="C8" t="s">
        <v>214</v>
      </c>
      <c r="D8" s="37">
        <v>1655551</v>
      </c>
      <c r="E8" s="37">
        <v>1605210</v>
      </c>
      <c r="F8" s="37">
        <v>745539</v>
      </c>
      <c r="G8" s="37">
        <v>102686</v>
      </c>
      <c r="H8" s="37">
        <v>75940</v>
      </c>
      <c r="I8" s="37">
        <v>61615</v>
      </c>
      <c r="J8" s="38">
        <f t="shared" si="0"/>
        <v>15.632218608184173</v>
      </c>
      <c r="K8" s="38">
        <f t="shared" si="1"/>
        <v>2.1530865588520518</v>
      </c>
      <c r="L8" s="38">
        <f t="shared" si="2"/>
        <v>26.869285076685873</v>
      </c>
      <c r="M8" s="38">
        <f t="shared" si="3"/>
        <v>2.9514711440409038</v>
      </c>
      <c r="N8" s="39">
        <f t="shared" si="4"/>
        <v>0.1018591918061966</v>
      </c>
      <c r="O8" s="39">
        <f t="shared" si="5"/>
        <v>0.10984554057234135</v>
      </c>
      <c r="P8" s="37">
        <v>560924</v>
      </c>
    </row>
    <row r="9" spans="2:17" ht="14" customHeight="1" x14ac:dyDescent="0.3">
      <c r="B9" s="4" t="s">
        <v>215</v>
      </c>
      <c r="C9" t="s">
        <v>216</v>
      </c>
      <c r="D9" s="37">
        <v>1195303</v>
      </c>
      <c r="E9" s="37">
        <v>1238638</v>
      </c>
      <c r="F9" s="37">
        <v>1173688</v>
      </c>
      <c r="G9" s="37">
        <v>148261</v>
      </c>
      <c r="H9" s="37">
        <v>93307</v>
      </c>
      <c r="I9" s="37">
        <v>35076</v>
      </c>
      <c r="J9" s="38">
        <f t="shared" si="0"/>
        <v>8.3544425034230176</v>
      </c>
      <c r="K9" s="38">
        <f t="shared" si="1"/>
        <v>1.0553383863513983</v>
      </c>
      <c r="L9" s="38">
        <f t="shared" si="2"/>
        <v>34.077517390808531</v>
      </c>
      <c r="M9" s="38">
        <f t="shared" si="3"/>
        <v>1.5471475630513147</v>
      </c>
      <c r="N9" s="39">
        <f t="shared" si="4"/>
        <v>7.9498980989837167E-2</v>
      </c>
      <c r="O9" s="39">
        <f t="shared" si="5"/>
        <v>4.5400829682170893E-2</v>
      </c>
      <c r="P9" s="37">
        <v>772585</v>
      </c>
    </row>
    <row r="10" spans="2:17" ht="14" customHeight="1" x14ac:dyDescent="0.3">
      <c r="B10" s="4" t="s">
        <v>217</v>
      </c>
      <c r="C10" t="s">
        <v>218</v>
      </c>
      <c r="D10" s="37">
        <v>854146</v>
      </c>
      <c r="E10" s="37">
        <v>931346</v>
      </c>
      <c r="F10" s="37">
        <v>788131</v>
      </c>
      <c r="G10" s="37">
        <v>85277</v>
      </c>
      <c r="H10" s="37">
        <v>49380</v>
      </c>
      <c r="I10" s="37">
        <v>45380</v>
      </c>
      <c r="J10" s="38">
        <f t="shared" si="0"/>
        <v>10.92142078168791</v>
      </c>
      <c r="K10" s="38">
        <f t="shared" si="1"/>
        <v>1.1817147149395215</v>
      </c>
      <c r="L10" s="38">
        <f t="shared" si="2"/>
        <v>18.822080211546936</v>
      </c>
      <c r="M10" s="38">
        <f t="shared" si="3"/>
        <v>1.6515832379420228</v>
      </c>
      <c r="N10" s="39">
        <f t="shared" si="4"/>
        <v>6.2654558696460361E-2</v>
      </c>
      <c r="O10" s="39">
        <f t="shared" si="5"/>
        <v>8.7747115057389469E-2</v>
      </c>
      <c r="P10" s="37">
        <v>517168</v>
      </c>
    </row>
    <row r="14" spans="2:17" ht="14" customHeight="1" x14ac:dyDescent="0.3">
      <c r="B14" s="3" t="s">
        <v>219</v>
      </c>
    </row>
    <row r="15" spans="2:17" ht="14" customHeight="1" x14ac:dyDescent="0.3">
      <c r="B15" s="4" t="s">
        <v>220</v>
      </c>
      <c r="D15" s="38">
        <f t="shared" ref="D15:I15" si="6">PERCENTILE(J6:J10,0.25)</f>
        <v>10.212519524918216</v>
      </c>
      <c r="E15" s="38">
        <f t="shared" si="6"/>
        <v>1.1817147149395215</v>
      </c>
      <c r="F15" s="38">
        <f t="shared" si="6"/>
        <v>18.822080211546936</v>
      </c>
      <c r="G15" s="38">
        <f t="shared" si="6"/>
        <v>1.6515832379420228</v>
      </c>
      <c r="H15" s="39">
        <f t="shared" si="6"/>
        <v>7.9498980989837167E-2</v>
      </c>
      <c r="I15" s="39">
        <f t="shared" si="6"/>
        <v>8.7747115057389469E-2</v>
      </c>
    </row>
    <row r="16" spans="2:17" ht="14" customHeight="1" x14ac:dyDescent="0.3">
      <c r="B16" s="4" t="s">
        <v>221</v>
      </c>
      <c r="D16" s="38">
        <f t="shared" ref="D16:I16" si="7">MEDIAN(J6:J10)</f>
        <v>10.92142078168791</v>
      </c>
      <c r="E16" s="38">
        <f t="shared" si="7"/>
        <v>1.2816373882564993</v>
      </c>
      <c r="F16" s="38">
        <f t="shared" si="7"/>
        <v>26.869285076685873</v>
      </c>
      <c r="G16" s="38">
        <f t="shared" si="7"/>
        <v>1.803079431013892</v>
      </c>
      <c r="H16" s="39">
        <f t="shared" si="7"/>
        <v>8.6167579600741853E-2</v>
      </c>
      <c r="I16" s="39">
        <f t="shared" si="7"/>
        <v>0.10984554057234135</v>
      </c>
    </row>
    <row r="17" spans="2:9" ht="14" customHeight="1" x14ac:dyDescent="0.3">
      <c r="B17" s="4" t="s">
        <v>222</v>
      </c>
      <c r="D17" s="38">
        <f t="shared" ref="D17:I17" si="8">PERCENTILE(J6:J10,0.75)</f>
        <v>15.632218608184173</v>
      </c>
      <c r="E17" s="38">
        <f t="shared" si="8"/>
        <v>2.1530865588520518</v>
      </c>
      <c r="F17" s="38">
        <f t="shared" si="8"/>
        <v>34.077517390808531</v>
      </c>
      <c r="G17" s="38">
        <f t="shared" si="8"/>
        <v>2.9514711440409038</v>
      </c>
      <c r="H17" s="39">
        <f t="shared" si="8"/>
        <v>0.1018591918061966</v>
      </c>
      <c r="I17" s="39">
        <f t="shared" si="8"/>
        <v>0.11464105032591526</v>
      </c>
    </row>
    <row r="19" spans="2:9" ht="14" customHeight="1" x14ac:dyDescent="0.3">
      <c r="B19" s="22" t="s">
        <v>223</v>
      </c>
      <c r="C19" s="23"/>
      <c r="D19" s="23"/>
      <c r="E19" s="23"/>
      <c r="F19" s="23"/>
      <c r="G19" s="23"/>
      <c r="H19" s="23"/>
      <c r="I19" s="23"/>
    </row>
    <row r="20" spans="2:9" ht="14" customHeight="1" x14ac:dyDescent="0.3">
      <c r="B20" s="3" t="s">
        <v>224</v>
      </c>
    </row>
    <row r="21" spans="2:9" ht="14" customHeight="1" x14ac:dyDescent="0.3">
      <c r="B21" s="4" t="s">
        <v>225</v>
      </c>
      <c r="C21" s="5">
        <v>348957</v>
      </c>
    </row>
    <row r="22" spans="2:9" ht="14" customHeight="1" x14ac:dyDescent="0.3">
      <c r="B22" s="4" t="s">
        <v>226</v>
      </c>
      <c r="C22" s="5">
        <v>121574</v>
      </c>
    </row>
    <row r="23" spans="2:9" ht="14" customHeight="1" x14ac:dyDescent="0.3">
      <c r="B23" s="4" t="s">
        <v>227</v>
      </c>
      <c r="C23" s="15">
        <v>1462662258</v>
      </c>
    </row>
    <row r="24" spans="2:9" ht="14" customHeight="1" x14ac:dyDescent="0.3">
      <c r="B24" s="4" t="s">
        <v>68</v>
      </c>
      <c r="C24" s="5">
        <v>1487797</v>
      </c>
    </row>
    <row r="26" spans="2:9" ht="14" customHeight="1" x14ac:dyDescent="0.3">
      <c r="B26" s="3" t="s">
        <v>228</v>
      </c>
    </row>
    <row r="27" spans="2:9" ht="14" customHeight="1" x14ac:dyDescent="0.3">
      <c r="B27" s="4" t="s">
        <v>229</v>
      </c>
      <c r="C27" s="24">
        <f>ROUND((C21*D16-C24)*1000000/C23,0)</f>
        <v>1588</v>
      </c>
    </row>
    <row r="28" spans="2:9" ht="14" customHeight="1" x14ac:dyDescent="0.3">
      <c r="B28" s="4" t="s">
        <v>230</v>
      </c>
      <c r="C28" s="24">
        <f>ROUND(C22*F16*1000000/C23,0)</f>
        <v>2233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231</v>
      </c>
    </row>
    <row r="3" spans="2:9" ht="14" customHeight="1" x14ac:dyDescent="0.3">
      <c r="B3" s="4" t="s">
        <v>232</v>
      </c>
      <c r="C3" s="16">
        <f>'DCF Model'!C26</f>
        <v>5.4153251882018999E-2</v>
      </c>
      <c r="E3" s="4" t="s">
        <v>233</v>
      </c>
      <c r="F3" s="16">
        <f>'DCF Model'!C13</f>
        <v>0.01</v>
      </c>
      <c r="H3" s="4" t="s">
        <v>234</v>
      </c>
      <c r="I3" s="14">
        <f>'DCF Model'!C14</f>
        <v>10.9</v>
      </c>
    </row>
    <row r="5" spans="2:9" ht="14" customHeight="1" x14ac:dyDescent="0.3">
      <c r="B5" s="3" t="s">
        <v>235</v>
      </c>
    </row>
    <row r="6" spans="2:9" ht="14" customHeight="1" x14ac:dyDescent="0.3">
      <c r="B6" s="40" t="s">
        <v>236</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3.9153251882019E-2</v>
      </c>
      <c r="C7" s="37">
        <f>IFERROR(ROUND(('DCF Model'!C45/(1+$B7)^('DCF Model'!C19+0)+'DCF Model'!D45/(1+$B7)^('DCF Model'!C19+1)+'DCF Model'!E45/(1+$B7)^('DCF Model'!C19+2)+'DCF Model'!F45/(1+$B7)^('DCF Model'!C19+3)+'DCF Model'!G45/(1+$B7)^('DCF Model'!C19+4)+'DCF Model'!G45*(1+C$6)/($B7-C$6)/(1+$B7)^('DCF Model'!C19+4)-'DCF Model'!C16)*1000000/'DCF Model'!C15,0),"")</f>
        <v>2844</v>
      </c>
      <c r="D7" s="37">
        <f>IFERROR(ROUND(('DCF Model'!C45/(1+$B7)^('DCF Model'!C19+0)+'DCF Model'!D45/(1+$B7)^('DCF Model'!C19+1)+'DCF Model'!E45/(1+$B7)^('DCF Model'!C19+2)+'DCF Model'!F45/(1+$B7)^('DCF Model'!C19+3)+'DCF Model'!G45/(1+$B7)^('DCF Model'!C19+4)+'DCF Model'!G45*(1+D$6)/($B7-D$6)/(1+$B7)^('DCF Model'!C19+4)-'DCF Model'!C16)*1000000/'DCF Model'!C15,0),"")</f>
        <v>3088</v>
      </c>
      <c r="E7" s="37">
        <f>IFERROR(ROUND(('DCF Model'!C45/(1+$B7)^('DCF Model'!C19+0)+'DCF Model'!D45/(1+$B7)^('DCF Model'!C19+1)+'DCF Model'!E45/(1+$B7)^('DCF Model'!C19+2)+'DCF Model'!F45/(1+$B7)^('DCF Model'!C19+3)+'DCF Model'!G45/(1+$B7)^('DCF Model'!C19+4)+'DCF Model'!G45*(1+E$6)/($B7-E$6)/(1+$B7)^('DCF Model'!C19+4)-'DCF Model'!C16)*1000000/'DCF Model'!C15,0),"")</f>
        <v>3371</v>
      </c>
      <c r="F7" s="37">
        <f>IFERROR(ROUND(('DCF Model'!C45/(1+$B7)^('DCF Model'!C19+0)+'DCF Model'!D45/(1+$B7)^('DCF Model'!C19+1)+'DCF Model'!E45/(1+$B7)^('DCF Model'!C19+2)+'DCF Model'!F45/(1+$B7)^('DCF Model'!C19+3)+'DCF Model'!G45/(1+$B7)^('DCF Model'!C19+4)+'DCF Model'!G45*(1+F$6)/($B7-F$6)/(1+$B7)^('DCF Model'!C19+4)-'DCF Model'!C16)*1000000/'DCF Model'!C15,0),"")</f>
        <v>3703</v>
      </c>
      <c r="G7" s="37">
        <f>IFERROR(ROUND(('DCF Model'!C45/(1+$B7)^('DCF Model'!C19+0)+'DCF Model'!D45/(1+$B7)^('DCF Model'!C19+1)+'DCF Model'!E45/(1+$B7)^('DCF Model'!C19+2)+'DCF Model'!F45/(1+$B7)^('DCF Model'!C19+3)+'DCF Model'!G45/(1+$B7)^('DCF Model'!C19+4)+'DCF Model'!G45*(1+G$6)/($B7-G$6)/(1+$B7)^('DCF Model'!C19+4)-'DCF Model'!C16)*1000000/'DCF Model'!C15,0),"")</f>
        <v>4097</v>
      </c>
      <c r="H7" s="37">
        <f>IFERROR(ROUND(('DCF Model'!C45/(1+$B7)^('DCF Model'!C19+0)+'DCF Model'!D45/(1+$B7)^('DCF Model'!C19+1)+'DCF Model'!E45/(1+$B7)^('DCF Model'!C19+2)+'DCF Model'!F45/(1+$B7)^('DCF Model'!C19+3)+'DCF Model'!G45/(1+$B7)^('DCF Model'!C19+4)+'DCF Model'!G45*(1+H$6)/($B7-H$6)/(1+$B7)^('DCF Model'!C19+4)-'DCF Model'!C16)*1000000/'DCF Model'!C15,0),"")</f>
        <v>4572</v>
      </c>
      <c r="I7" s="37">
        <f>IFERROR(ROUND(('DCF Model'!C45/(1+$B7)^('DCF Model'!C19+0)+'DCF Model'!D45/(1+$B7)^('DCF Model'!C19+1)+'DCF Model'!E45/(1+$B7)^('DCF Model'!C19+2)+'DCF Model'!F45/(1+$B7)^('DCF Model'!C19+3)+'DCF Model'!G45/(1+$B7)^('DCF Model'!C19+4)+'DCF Model'!G45*(1+I$6)/($B7-I$6)/(1+$B7)^('DCF Model'!C19+4)-'DCF Model'!C16)*1000000/'DCF Model'!C15,0),"")</f>
        <v>5157</v>
      </c>
    </row>
    <row r="8" spans="2:9" ht="13.5" customHeight="1" x14ac:dyDescent="0.25">
      <c r="B8" s="39">
        <f>$C$3-0.01</f>
        <v>4.4153251882018997E-2</v>
      </c>
      <c r="C8" s="37">
        <f>IFERROR(ROUND(('DCF Model'!C45/(1+$B8)^('DCF Model'!C19+0)+'DCF Model'!D45/(1+$B8)^('DCF Model'!C19+1)+'DCF Model'!E45/(1+$B8)^('DCF Model'!C19+2)+'DCF Model'!F45/(1+$B8)^('DCF Model'!C19+3)+'DCF Model'!G45/(1+$B8)^('DCF Model'!C19+4)+'DCF Model'!G45*(1+C$6)/($B8-C$6)/(1+$B8)^('DCF Model'!C19+4)-'DCF Model'!C16)*1000000/'DCF Model'!C15,0),"")</f>
        <v>2381</v>
      </c>
      <c r="D8" s="37">
        <f>IFERROR(ROUND(('DCF Model'!C45/(1+$B8)^('DCF Model'!C19+0)+'DCF Model'!D45/(1+$B8)^('DCF Model'!C19+1)+'DCF Model'!E45/(1+$B8)^('DCF Model'!C19+2)+'DCF Model'!F45/(1+$B8)^('DCF Model'!C19+3)+'DCF Model'!G45/(1+$B8)^('DCF Model'!C19+4)+'DCF Model'!G45*(1+D$6)/($B8-D$6)/(1+$B8)^('DCF Model'!C19+4)-'DCF Model'!C16)*1000000/'DCF Model'!C15,0),"")</f>
        <v>2565</v>
      </c>
      <c r="E8" s="37">
        <f>IFERROR(ROUND(('DCF Model'!C45/(1+$B8)^('DCF Model'!C19+0)+'DCF Model'!D45/(1+$B8)^('DCF Model'!C19+1)+'DCF Model'!E45/(1+$B8)^('DCF Model'!C19+2)+'DCF Model'!F45/(1+$B8)^('DCF Model'!C19+3)+'DCF Model'!G45/(1+$B8)^('DCF Model'!C19+4)+'DCF Model'!G45*(1+E$6)/($B8-E$6)/(1+$B8)^('DCF Model'!C19+4)-'DCF Model'!C16)*1000000/'DCF Model'!C15,0),"")</f>
        <v>2774</v>
      </c>
      <c r="F8" s="37">
        <f>IFERROR(ROUND(('DCF Model'!C45/(1+$B8)^('DCF Model'!C19+0)+'DCF Model'!D45/(1+$B8)^('DCF Model'!C19+1)+'DCF Model'!E45/(1+$B8)^('DCF Model'!C19+2)+'DCF Model'!F45/(1+$B8)^('DCF Model'!C19+3)+'DCF Model'!G45/(1+$B8)^('DCF Model'!C19+4)+'DCF Model'!G45*(1+F$6)/($B8-F$6)/(1+$B8)^('DCF Model'!C19+4)-'DCF Model'!C16)*1000000/'DCF Model'!C15,0),"")</f>
        <v>3014</v>
      </c>
      <c r="G8" s="37">
        <f>IFERROR(ROUND(('DCF Model'!C45/(1+$B8)^('DCF Model'!C19+0)+'DCF Model'!D45/(1+$B8)^('DCF Model'!C19+1)+'DCF Model'!E45/(1+$B8)^('DCF Model'!C19+2)+'DCF Model'!F45/(1+$B8)^('DCF Model'!C19+3)+'DCF Model'!G45/(1+$B8)^('DCF Model'!C19+4)+'DCF Model'!G45*(1+G$6)/($B8-G$6)/(1+$B8)^('DCF Model'!C19+4)-'DCF Model'!C16)*1000000/'DCF Model'!C15,0),"")</f>
        <v>3292</v>
      </c>
      <c r="H8" s="37">
        <f>IFERROR(ROUND(('DCF Model'!C45/(1+$B8)^('DCF Model'!C19+0)+'DCF Model'!D45/(1+$B8)^('DCF Model'!C19+1)+'DCF Model'!E45/(1+$B8)^('DCF Model'!C19+2)+'DCF Model'!F45/(1+$B8)^('DCF Model'!C19+3)+'DCF Model'!G45/(1+$B8)^('DCF Model'!C19+4)+'DCF Model'!G45*(1+H$6)/($B8-H$6)/(1+$B8)^('DCF Model'!C19+4)-'DCF Model'!C16)*1000000/'DCF Model'!C15,0),"")</f>
        <v>3617</v>
      </c>
      <c r="I8" s="37">
        <f>IFERROR(ROUND(('DCF Model'!C45/(1+$B8)^('DCF Model'!C19+0)+'DCF Model'!D45/(1+$B8)^('DCF Model'!C19+1)+'DCF Model'!E45/(1+$B8)^('DCF Model'!C19+2)+'DCF Model'!F45/(1+$B8)^('DCF Model'!C19+3)+'DCF Model'!G45/(1+$B8)^('DCF Model'!C19+4)+'DCF Model'!G45*(1+I$6)/($B8-I$6)/(1+$B8)^('DCF Model'!C19+4)-'DCF Model'!C16)*1000000/'DCF Model'!C15,0),"")</f>
        <v>4004</v>
      </c>
    </row>
    <row r="9" spans="2:9" ht="13.5" customHeight="1" x14ac:dyDescent="0.25">
      <c r="B9" s="39">
        <f>$C$3-0.005</f>
        <v>4.9153251882019001E-2</v>
      </c>
      <c r="C9" s="37">
        <f>IFERROR(ROUND(('DCF Model'!C45/(1+$B9)^('DCF Model'!C19+0)+'DCF Model'!D45/(1+$B9)^('DCF Model'!C19+1)+'DCF Model'!E45/(1+$B9)^('DCF Model'!C19+2)+'DCF Model'!F45/(1+$B9)^('DCF Model'!C19+3)+'DCF Model'!G45/(1+$B9)^('DCF Model'!C19+4)+'DCF Model'!G45*(1+C$6)/($B9-C$6)/(1+$B9)^('DCF Model'!C19+4)-'DCF Model'!C16)*1000000/'DCF Model'!C15,0),"")</f>
        <v>2018</v>
      </c>
      <c r="D9" s="37">
        <f>IFERROR(ROUND(('DCF Model'!C45/(1+$B9)^('DCF Model'!C19+0)+'DCF Model'!D45/(1+$B9)^('DCF Model'!C19+1)+'DCF Model'!E45/(1+$B9)^('DCF Model'!C19+2)+'DCF Model'!F45/(1+$B9)^('DCF Model'!C19+3)+'DCF Model'!G45/(1+$B9)^('DCF Model'!C19+4)+'DCF Model'!G45*(1+D$6)/($B9-D$6)/(1+$B9)^('DCF Model'!C19+4)-'DCF Model'!C16)*1000000/'DCF Model'!C15,0),"")</f>
        <v>2161</v>
      </c>
      <c r="E9" s="37">
        <f>IFERROR(ROUND(('DCF Model'!C45/(1+$B9)^('DCF Model'!C19+0)+'DCF Model'!D45/(1+$B9)^('DCF Model'!C19+1)+'DCF Model'!E45/(1+$B9)^('DCF Model'!C19+2)+'DCF Model'!F45/(1+$B9)^('DCF Model'!C19+3)+'DCF Model'!G45/(1+$B9)^('DCF Model'!C19+4)+'DCF Model'!G45*(1+E$6)/($B9-E$6)/(1+$B9)^('DCF Model'!C19+4)-'DCF Model'!C16)*1000000/'DCF Model'!C15,0),"")</f>
        <v>2321</v>
      </c>
      <c r="F9" s="37">
        <f>IFERROR(ROUND(('DCF Model'!C45/(1+$B9)^('DCF Model'!C19+0)+'DCF Model'!D45/(1+$B9)^('DCF Model'!C19+1)+'DCF Model'!E45/(1+$B9)^('DCF Model'!C19+2)+'DCF Model'!F45/(1+$B9)^('DCF Model'!C19+3)+'DCF Model'!G45/(1+$B9)^('DCF Model'!C19+4)+'DCF Model'!G45*(1+F$6)/($B9-F$6)/(1+$B9)^('DCF Model'!C19+4)-'DCF Model'!C16)*1000000/'DCF Model'!C15,0),"")</f>
        <v>2501</v>
      </c>
      <c r="G9" s="37">
        <f>IFERROR(ROUND(('DCF Model'!C45/(1+$B9)^('DCF Model'!C19+0)+'DCF Model'!D45/(1+$B9)^('DCF Model'!C19+1)+'DCF Model'!E45/(1+$B9)^('DCF Model'!C19+2)+'DCF Model'!F45/(1+$B9)^('DCF Model'!C19+3)+'DCF Model'!G45/(1+$B9)^('DCF Model'!C19+4)+'DCF Model'!G45*(1+G$6)/($B9-G$6)/(1+$B9)^('DCF Model'!C19+4)-'DCF Model'!C16)*1000000/'DCF Model'!C15,0),"")</f>
        <v>2706</v>
      </c>
      <c r="H9" s="37">
        <f>IFERROR(ROUND(('DCF Model'!C45/(1+$B9)^('DCF Model'!C19+0)+'DCF Model'!D45/(1+$B9)^('DCF Model'!C19+1)+'DCF Model'!E45/(1+$B9)^('DCF Model'!C19+2)+'DCF Model'!F45/(1+$B9)^('DCF Model'!C19+3)+'DCF Model'!G45/(1+$B9)^('DCF Model'!C19+4)+'DCF Model'!G45*(1+H$6)/($B9-H$6)/(1+$B9)^('DCF Model'!C19+4)-'DCF Model'!C16)*1000000/'DCF Model'!C15,0),"")</f>
        <v>2942</v>
      </c>
      <c r="I9" s="37">
        <f>IFERROR(ROUND(('DCF Model'!C45/(1+$B9)^('DCF Model'!C19+0)+'DCF Model'!D45/(1+$B9)^('DCF Model'!C19+1)+'DCF Model'!E45/(1+$B9)^('DCF Model'!C19+2)+'DCF Model'!F45/(1+$B9)^('DCF Model'!C19+3)+'DCF Model'!G45/(1+$B9)^('DCF Model'!C19+4)+'DCF Model'!G45*(1+I$6)/($B9-I$6)/(1+$B9)^('DCF Model'!C19+4)-'DCF Model'!C16)*1000000/'DCF Model'!C15,0),"")</f>
        <v>3214</v>
      </c>
    </row>
    <row r="10" spans="2:9" ht="13.5" customHeight="1" x14ac:dyDescent="0.25">
      <c r="B10" s="39">
        <f>$C$3</f>
        <v>5.4153251882018999E-2</v>
      </c>
      <c r="C10" s="37">
        <f>IFERROR(ROUND(('DCF Model'!C45/(1+$B10)^('DCF Model'!C19+0)+'DCF Model'!D45/(1+$B10)^('DCF Model'!C19+1)+'DCF Model'!E45/(1+$B10)^('DCF Model'!C19+2)+'DCF Model'!F45/(1+$B10)^('DCF Model'!C19+3)+'DCF Model'!G45/(1+$B10)^('DCF Model'!C19+4)+'DCF Model'!G45*(1+C$6)/($B10-C$6)/(1+$B10)^('DCF Model'!C19+4)-'DCF Model'!C16)*1000000/'DCF Model'!C15,0),"")</f>
        <v>1724</v>
      </c>
      <c r="D10" s="37">
        <f>IFERROR(ROUND(('DCF Model'!C45/(1+$B10)^('DCF Model'!C19+0)+'DCF Model'!D45/(1+$B10)^('DCF Model'!C19+1)+'DCF Model'!E45/(1+$B10)^('DCF Model'!C19+2)+'DCF Model'!F45/(1+$B10)^('DCF Model'!C19+3)+'DCF Model'!G45/(1+$B10)^('DCF Model'!C19+4)+'DCF Model'!G45*(1+D$6)/($B10-D$6)/(1+$B10)^('DCF Model'!C19+4)-'DCF Model'!C16)*1000000/'DCF Model'!C15,0),"")</f>
        <v>1838</v>
      </c>
      <c r="E10" s="37">
        <f>IFERROR(ROUND(('DCF Model'!C45/(1+$B10)^('DCF Model'!C19+0)+'DCF Model'!D45/(1+$B10)^('DCF Model'!C19+1)+'DCF Model'!E45/(1+$B10)^('DCF Model'!C19+2)+'DCF Model'!F45/(1+$B10)^('DCF Model'!C19+3)+'DCF Model'!G45/(1+$B10)^('DCF Model'!C19+4)+'DCF Model'!G45*(1+E$6)/($B10-E$6)/(1+$B10)^('DCF Model'!C19+4)-'DCF Model'!C16)*1000000/'DCF Model'!C15,0),"")</f>
        <v>1964</v>
      </c>
      <c r="F10" s="37">
        <f>IFERROR(ROUND(('DCF Model'!C45/(1+$B10)^('DCF Model'!C19+0)+'DCF Model'!D45/(1+$B10)^('DCF Model'!C19+1)+'DCF Model'!E45/(1+$B10)^('DCF Model'!C19+2)+'DCF Model'!F45/(1+$B10)^('DCF Model'!C19+3)+'DCF Model'!G45/(1+$B10)^('DCF Model'!C19+4)+'DCF Model'!G45*(1+F$6)/($B10-F$6)/(1+$B10)^('DCF Model'!C19+4)-'DCF Model'!C16)*1000000/'DCF Model'!C15,0),"")</f>
        <v>2105</v>
      </c>
      <c r="G10" s="37">
        <f>IFERROR(ROUND(('DCF Model'!C45/(1+$B10)^('DCF Model'!C19+0)+'DCF Model'!D45/(1+$B10)^('DCF Model'!C19+1)+'DCF Model'!E45/(1+$B10)^('DCF Model'!C19+2)+'DCF Model'!F45/(1+$B10)^('DCF Model'!C19+3)+'DCF Model'!G45/(1+$B10)^('DCF Model'!C19+4)+'DCF Model'!G45*(1+G$6)/($B10-G$6)/(1+$B10)^('DCF Model'!C19+4)-'DCF Model'!C16)*1000000/'DCF Model'!C15,0),"")</f>
        <v>2262</v>
      </c>
      <c r="H10" s="37">
        <f>IFERROR(ROUND(('DCF Model'!C45/(1+$B10)^('DCF Model'!C19+0)+'DCF Model'!D45/(1+$B10)^('DCF Model'!C19+1)+'DCF Model'!E45/(1+$B10)^('DCF Model'!C19+2)+'DCF Model'!F45/(1+$B10)^('DCF Model'!C19+3)+'DCF Model'!G45/(1+$B10)^('DCF Model'!C19+4)+'DCF Model'!G45*(1+H$6)/($B10-H$6)/(1+$B10)^('DCF Model'!C19+4)-'DCF Model'!C16)*1000000/'DCF Model'!C15,0),"")</f>
        <v>2439</v>
      </c>
      <c r="I10" s="37">
        <f>IFERROR(ROUND(('DCF Model'!C45/(1+$B10)^('DCF Model'!C19+0)+'DCF Model'!D45/(1+$B10)^('DCF Model'!C19+1)+'DCF Model'!E45/(1+$B10)^('DCF Model'!C19+2)+'DCF Model'!F45/(1+$B10)^('DCF Model'!C19+3)+'DCF Model'!G45/(1+$B10)^('DCF Model'!C19+4)+'DCF Model'!G45*(1+I$6)/($B10-I$6)/(1+$B10)^('DCF Model'!C19+4)-'DCF Model'!C16)*1000000/'DCF Model'!C15,0),"")</f>
        <v>2640</v>
      </c>
    </row>
    <row r="11" spans="2:9" ht="13.5" customHeight="1" x14ac:dyDescent="0.25">
      <c r="B11" s="39">
        <f>$C$3+0.005</f>
        <v>5.9153251882018996E-2</v>
      </c>
      <c r="C11" s="37">
        <f>IFERROR(ROUND(('DCF Model'!C45/(1+$B11)^('DCF Model'!C19+0)+'DCF Model'!D45/(1+$B11)^('DCF Model'!C19+1)+'DCF Model'!E45/(1+$B11)^('DCF Model'!C19+2)+'DCF Model'!F45/(1+$B11)^('DCF Model'!C19+3)+'DCF Model'!G45/(1+$B11)^('DCF Model'!C19+4)+'DCF Model'!G45*(1+C$6)/($B11-C$6)/(1+$B11)^('DCF Model'!C19+4)-'DCF Model'!C16)*1000000/'DCF Model'!C15,0),"")</f>
        <v>1483</v>
      </c>
      <c r="D11" s="37">
        <f>IFERROR(ROUND(('DCF Model'!C45/(1+$B11)^('DCF Model'!C19+0)+'DCF Model'!D45/(1+$B11)^('DCF Model'!C19+1)+'DCF Model'!E45/(1+$B11)^('DCF Model'!C19+2)+'DCF Model'!F45/(1+$B11)^('DCF Model'!C19+3)+'DCF Model'!G45/(1+$B11)^('DCF Model'!C19+4)+'DCF Model'!G45*(1+D$6)/($B11-D$6)/(1+$B11)^('DCF Model'!C19+4)-'DCF Model'!C16)*1000000/'DCF Model'!C15,0),"")</f>
        <v>1575</v>
      </c>
      <c r="E11" s="37">
        <f>IFERROR(ROUND(('DCF Model'!C45/(1+$B11)^('DCF Model'!C19+0)+'DCF Model'!D45/(1+$B11)^('DCF Model'!C19+1)+'DCF Model'!E45/(1+$B11)^('DCF Model'!C19+2)+'DCF Model'!F45/(1+$B11)^('DCF Model'!C19+3)+'DCF Model'!G45/(1+$B11)^('DCF Model'!C19+4)+'DCF Model'!G45*(1+E$6)/($B11-E$6)/(1+$B11)^('DCF Model'!C19+4)-'DCF Model'!C16)*1000000/'DCF Model'!C15,0),"")</f>
        <v>1677</v>
      </c>
      <c r="F11" s="37">
        <f>IFERROR(ROUND(('DCF Model'!C45/(1+$B11)^('DCF Model'!C19+0)+'DCF Model'!D45/(1+$B11)^('DCF Model'!C19+1)+'DCF Model'!E45/(1+$B11)^('DCF Model'!C19+2)+'DCF Model'!F45/(1+$B11)^('DCF Model'!C19+3)+'DCF Model'!G45/(1+$B11)^('DCF Model'!C19+4)+'DCF Model'!G45*(1+F$6)/($B11-F$6)/(1+$B11)^('DCF Model'!C19+4)-'DCF Model'!C16)*1000000/'DCF Model'!C15,0),"")</f>
        <v>1789</v>
      </c>
      <c r="G11" s="37">
        <f>IFERROR(ROUND(('DCF Model'!C45/(1+$B11)^('DCF Model'!C19+0)+'DCF Model'!D45/(1+$B11)^('DCF Model'!C19+1)+'DCF Model'!E45/(1+$B11)^('DCF Model'!C19+2)+'DCF Model'!F45/(1+$B11)^('DCF Model'!C19+3)+'DCF Model'!G45/(1+$B11)^('DCF Model'!C19+4)+'DCF Model'!G45*(1+G$6)/($B11-G$6)/(1+$B11)^('DCF Model'!C19+4)-'DCF Model'!C16)*1000000/'DCF Model'!C15,0),"")</f>
        <v>1912</v>
      </c>
      <c r="H11" s="37">
        <f>IFERROR(ROUND(('DCF Model'!C45/(1+$B11)^('DCF Model'!C19+0)+'DCF Model'!D45/(1+$B11)^('DCF Model'!C19+1)+'DCF Model'!E45/(1+$B11)^('DCF Model'!C19+2)+'DCF Model'!F45/(1+$B11)^('DCF Model'!C19+3)+'DCF Model'!G45/(1+$B11)^('DCF Model'!C19+4)+'DCF Model'!G45*(1+H$6)/($B11-H$6)/(1+$B11)^('DCF Model'!C19+4)-'DCF Model'!C16)*1000000/'DCF Model'!C15,0),"")</f>
        <v>2050</v>
      </c>
      <c r="I11" s="37">
        <f>IFERROR(ROUND(('DCF Model'!C45/(1+$B11)^('DCF Model'!C19+0)+'DCF Model'!D45/(1+$B11)^('DCF Model'!C19+1)+'DCF Model'!E45/(1+$B11)^('DCF Model'!C19+2)+'DCF Model'!F45/(1+$B11)^('DCF Model'!C19+3)+'DCF Model'!G45/(1+$B11)^('DCF Model'!C19+4)+'DCF Model'!G45*(1+I$6)/($B11-I$6)/(1+$B11)^('DCF Model'!C19+4)-'DCF Model'!C16)*1000000/'DCF Model'!C15,0),"")</f>
        <v>2204</v>
      </c>
    </row>
    <row r="12" spans="2:9" ht="13.5" customHeight="1" x14ac:dyDescent="0.25">
      <c r="B12" s="39">
        <f>$C$3+0.01</f>
        <v>6.4153251882018994E-2</v>
      </c>
      <c r="C12" s="37">
        <f>IFERROR(ROUND(('DCF Model'!C45/(1+$B12)^('DCF Model'!C19+0)+'DCF Model'!D45/(1+$B12)^('DCF Model'!C19+1)+'DCF Model'!E45/(1+$B12)^('DCF Model'!C19+2)+'DCF Model'!F45/(1+$B12)^('DCF Model'!C19+3)+'DCF Model'!G45/(1+$B12)^('DCF Model'!C19+4)+'DCF Model'!G45*(1+C$6)/($B12-C$6)/(1+$B12)^('DCF Model'!C19+4)-'DCF Model'!C16)*1000000/'DCF Model'!C15,0),"")</f>
        <v>1281</v>
      </c>
      <c r="D12" s="37">
        <f>IFERROR(ROUND(('DCF Model'!C45/(1+$B12)^('DCF Model'!C19+0)+'DCF Model'!D45/(1+$B12)^('DCF Model'!C19+1)+'DCF Model'!E45/(1+$B12)^('DCF Model'!C19+2)+'DCF Model'!F45/(1+$B12)^('DCF Model'!C19+3)+'DCF Model'!G45/(1+$B12)^('DCF Model'!C19+4)+'DCF Model'!G45*(1+D$6)/($B12-D$6)/(1+$B12)^('DCF Model'!C19+4)-'DCF Model'!C16)*1000000/'DCF Model'!C15,0),"")</f>
        <v>1357</v>
      </c>
      <c r="E12" s="37">
        <f>IFERROR(ROUND(('DCF Model'!C45/(1+$B12)^('DCF Model'!C19+0)+'DCF Model'!D45/(1+$B12)^('DCF Model'!C19+1)+'DCF Model'!E45/(1+$B12)^('DCF Model'!C19+2)+'DCF Model'!F45/(1+$B12)^('DCF Model'!C19+3)+'DCF Model'!G45/(1+$B12)^('DCF Model'!C19+4)+'DCF Model'!G45*(1+E$6)/($B12-E$6)/(1+$B12)^('DCF Model'!C19+4)-'DCF Model'!C16)*1000000/'DCF Model'!C15,0),"")</f>
        <v>1440</v>
      </c>
      <c r="F12" s="37">
        <f>IFERROR(ROUND(('DCF Model'!C45/(1+$B12)^('DCF Model'!C19+0)+'DCF Model'!D45/(1+$B12)^('DCF Model'!C19+1)+'DCF Model'!E45/(1+$B12)^('DCF Model'!C19+2)+'DCF Model'!F45/(1+$B12)^('DCF Model'!C19+3)+'DCF Model'!G45/(1+$B12)^('DCF Model'!C19+4)+'DCF Model'!G45*(1+F$6)/($B12-F$6)/(1+$B12)^('DCF Model'!C19+4)-'DCF Model'!C16)*1000000/'DCF Model'!C15,0),"")</f>
        <v>1531</v>
      </c>
      <c r="G12" s="37">
        <f>IFERROR(ROUND(('DCF Model'!C45/(1+$B12)^('DCF Model'!C19+0)+'DCF Model'!D45/(1+$B12)^('DCF Model'!C19+1)+'DCF Model'!E45/(1+$B12)^('DCF Model'!C19+2)+'DCF Model'!F45/(1+$B12)^('DCF Model'!C19+3)+'DCF Model'!G45/(1+$B12)^('DCF Model'!C19+4)+'DCF Model'!G45*(1+G$6)/($B12-G$6)/(1+$B12)^('DCF Model'!C19+4)-'DCF Model'!C16)*1000000/'DCF Model'!C15,0),"")</f>
        <v>1630</v>
      </c>
      <c r="H12" s="37">
        <f>IFERROR(ROUND(('DCF Model'!C45/(1+$B12)^('DCF Model'!C19+0)+'DCF Model'!D45/(1+$B12)^('DCF Model'!C19+1)+'DCF Model'!E45/(1+$B12)^('DCF Model'!C19+2)+'DCF Model'!F45/(1+$B12)^('DCF Model'!C19+3)+'DCF Model'!G45/(1+$B12)^('DCF Model'!C19+4)+'DCF Model'!G45*(1+H$6)/($B12-H$6)/(1+$B12)^('DCF Model'!C19+4)-'DCF Model'!C16)*1000000/'DCF Model'!C15,0),"")</f>
        <v>1740</v>
      </c>
      <c r="I12" s="37">
        <f>IFERROR(ROUND(('DCF Model'!C45/(1+$B12)^('DCF Model'!C19+0)+'DCF Model'!D45/(1+$B12)^('DCF Model'!C19+1)+'DCF Model'!E45/(1+$B12)^('DCF Model'!C19+2)+'DCF Model'!F45/(1+$B12)^('DCF Model'!C19+3)+'DCF Model'!G45/(1+$B12)^('DCF Model'!C19+4)+'DCF Model'!G45*(1+I$6)/($B12-I$6)/(1+$B12)^('DCF Model'!C19+4)-'DCF Model'!C16)*1000000/'DCF Model'!C15,0),"")</f>
        <v>1861</v>
      </c>
    </row>
    <row r="13" spans="2:9" ht="13.5" customHeight="1" x14ac:dyDescent="0.25">
      <c r="B13" s="39">
        <f>$C$3+0.015</f>
        <v>6.9153251882018998E-2</v>
      </c>
      <c r="C13" s="37">
        <f>IFERROR(ROUND(('DCF Model'!C45/(1+$B13)^('DCF Model'!C19+0)+'DCF Model'!D45/(1+$B13)^('DCF Model'!C19+1)+'DCF Model'!E45/(1+$B13)^('DCF Model'!C19+2)+'DCF Model'!F45/(1+$B13)^('DCF Model'!C19+3)+'DCF Model'!G45/(1+$B13)^('DCF Model'!C19+4)+'DCF Model'!G45*(1+C$6)/($B13-C$6)/(1+$B13)^('DCF Model'!C19+4)-'DCF Model'!C16)*1000000/'DCF Model'!C15,0),"")</f>
        <v>1109</v>
      </c>
      <c r="D13" s="37">
        <f>IFERROR(ROUND(('DCF Model'!C45/(1+$B13)^('DCF Model'!C19+0)+'DCF Model'!D45/(1+$B13)^('DCF Model'!C19+1)+'DCF Model'!E45/(1+$B13)^('DCF Model'!C19+2)+'DCF Model'!F45/(1+$B13)^('DCF Model'!C19+3)+'DCF Model'!G45/(1+$B13)^('DCF Model'!C19+4)+'DCF Model'!G45*(1+D$6)/($B13-D$6)/(1+$B13)^('DCF Model'!C19+4)-'DCF Model'!C16)*1000000/'DCF Model'!C15,0),"")</f>
        <v>1173</v>
      </c>
      <c r="E13" s="37">
        <f>IFERROR(ROUND(('DCF Model'!C45/(1+$B13)^('DCF Model'!C19+0)+'DCF Model'!D45/(1+$B13)^('DCF Model'!C19+1)+'DCF Model'!E45/(1+$B13)^('DCF Model'!C19+2)+'DCF Model'!F45/(1+$B13)^('DCF Model'!C19+3)+'DCF Model'!G45/(1+$B13)^('DCF Model'!C19+4)+'DCF Model'!G45*(1+E$6)/($B13-E$6)/(1+$B13)^('DCF Model'!C19+4)-'DCF Model'!C16)*1000000/'DCF Model'!C15,0),"")</f>
        <v>1242</v>
      </c>
      <c r="F13" s="37">
        <f>IFERROR(ROUND(('DCF Model'!C45/(1+$B13)^('DCF Model'!C19+0)+'DCF Model'!D45/(1+$B13)^('DCF Model'!C19+1)+'DCF Model'!E45/(1+$B13)^('DCF Model'!C19+2)+'DCF Model'!F45/(1+$B13)^('DCF Model'!C19+3)+'DCF Model'!G45/(1+$B13)^('DCF Model'!C19+4)+'DCF Model'!G45*(1+F$6)/($B13-F$6)/(1+$B13)^('DCF Model'!C19+4)-'DCF Model'!C16)*1000000/'DCF Model'!C15,0),"")</f>
        <v>1317</v>
      </c>
      <c r="G13" s="37">
        <f>IFERROR(ROUND(('DCF Model'!C45/(1+$B13)^('DCF Model'!C19+0)+'DCF Model'!D45/(1+$B13)^('DCF Model'!C19+1)+'DCF Model'!E45/(1+$B13)^('DCF Model'!C19+2)+'DCF Model'!F45/(1+$B13)^('DCF Model'!C19+3)+'DCF Model'!G45/(1+$B13)^('DCF Model'!C19+4)+'DCF Model'!G45*(1+G$6)/($B13-G$6)/(1+$B13)^('DCF Model'!C19+4)-'DCF Model'!C16)*1000000/'DCF Model'!C15,0),"")</f>
        <v>1398</v>
      </c>
      <c r="H13" s="37">
        <f>IFERROR(ROUND(('DCF Model'!C45/(1+$B13)^('DCF Model'!C19+0)+'DCF Model'!D45/(1+$B13)^('DCF Model'!C19+1)+'DCF Model'!E45/(1+$B13)^('DCF Model'!C19+2)+'DCF Model'!F45/(1+$B13)^('DCF Model'!C19+3)+'DCF Model'!G45/(1+$B13)^('DCF Model'!C19+4)+'DCF Model'!G45*(1+H$6)/($B13-H$6)/(1+$B13)^('DCF Model'!C19+4)-'DCF Model'!C16)*1000000/'DCF Model'!C15,0),"")</f>
        <v>1487</v>
      </c>
      <c r="I13" s="37">
        <f>IFERROR(ROUND(('DCF Model'!C45/(1+$B13)^('DCF Model'!C19+0)+'DCF Model'!D45/(1+$B13)^('DCF Model'!C19+1)+'DCF Model'!E45/(1+$B13)^('DCF Model'!C19+2)+'DCF Model'!F45/(1+$B13)^('DCF Model'!C19+3)+'DCF Model'!G45/(1+$B13)^('DCF Model'!C19+4)+'DCF Model'!G45*(1+I$6)/($B13-I$6)/(1+$B13)^('DCF Model'!C19+4)-'DCF Model'!C16)*1000000/'DCF Model'!C15,0),"")</f>
        <v>1585</v>
      </c>
    </row>
    <row r="16" spans="2:9" ht="14" customHeight="1" x14ac:dyDescent="0.3">
      <c r="B16" s="3" t="s">
        <v>237</v>
      </c>
    </row>
    <row r="17" spans="2:9" ht="14" customHeight="1" x14ac:dyDescent="0.3">
      <c r="B17" s="40" t="s">
        <v>238</v>
      </c>
      <c r="C17" s="42">
        <f>$I$3-3</f>
        <v>7.9</v>
      </c>
      <c r="D17" s="42">
        <f>$I$3-2</f>
        <v>8.9</v>
      </c>
      <c r="E17" s="42">
        <f>$I$3-1</f>
        <v>9.9</v>
      </c>
      <c r="F17" s="42">
        <f>$I$3</f>
        <v>10.9</v>
      </c>
      <c r="G17" s="42">
        <f>$I$3+1</f>
        <v>11.9</v>
      </c>
      <c r="H17" s="42">
        <f>$I$3+2</f>
        <v>12.9</v>
      </c>
      <c r="I17" s="42">
        <f>$I$3+3</f>
        <v>13.9</v>
      </c>
    </row>
    <row r="18" spans="2:9" ht="13.5" customHeight="1" x14ac:dyDescent="0.25">
      <c r="B18" s="39">
        <f>$C$3-0.015</f>
        <v>3.9153251882019E-2</v>
      </c>
      <c r="C18" s="37">
        <f>IFERROR(ROUND(('DCF Model'!C45/(1+$B18)^('DCF Model'!C19+0)+'DCF Model'!D45/(1+$B18)^('DCF Model'!C19+1)+'DCF Model'!E45/(1+$B18)^('DCF Model'!C19+2)+'DCF Model'!F45/(1+$B18)^('DCF Model'!C19+3)+'DCF Model'!G45/(1+$B18)^('DCF Model'!C19+4)+('DCF Model'!G39+'DCF Model'!G42)*C$17/(1+$B18)^('DCF Model'!C19+4)-'DCF Model'!C16)*1000000/'DCF Model'!C15,0),"")</f>
        <v>1758</v>
      </c>
      <c r="D18" s="37">
        <f>IFERROR(ROUND(('DCF Model'!C45/(1+$B18)^('DCF Model'!C19+0)+'DCF Model'!D45/(1+$B18)^('DCF Model'!C19+1)+'DCF Model'!E45/(1+$B18)^('DCF Model'!C19+2)+'DCF Model'!F45/(1+$B18)^('DCF Model'!C19+3)+'DCF Model'!G45/(1+$B18)^('DCF Model'!C19+4)+('DCF Model'!G39+'DCF Model'!G42)*D$17/(1+$B18)^('DCF Model'!C19+4)-'DCF Model'!C16)*1000000/'DCF Model'!C15,0),"")</f>
        <v>2028</v>
      </c>
      <c r="E18" s="37">
        <f>IFERROR(ROUND(('DCF Model'!C45/(1+$B18)^('DCF Model'!C19+0)+'DCF Model'!D45/(1+$B18)^('DCF Model'!C19+1)+'DCF Model'!E45/(1+$B18)^('DCF Model'!C19+2)+'DCF Model'!F45/(1+$B18)^('DCF Model'!C19+3)+'DCF Model'!G45/(1+$B18)^('DCF Model'!C19+4)+('DCF Model'!G39+'DCF Model'!G42)*E$17/(1+$B18)^('DCF Model'!C19+4)-'DCF Model'!C16)*1000000/'DCF Model'!C15,0),"")</f>
        <v>2298</v>
      </c>
      <c r="F18" s="37">
        <f>IFERROR(ROUND(('DCF Model'!C45/(1+$B18)^('DCF Model'!C19+0)+'DCF Model'!D45/(1+$B18)^('DCF Model'!C19+1)+'DCF Model'!E45/(1+$B18)^('DCF Model'!C19+2)+'DCF Model'!F45/(1+$B18)^('DCF Model'!C19+3)+'DCF Model'!G45/(1+$B18)^('DCF Model'!C19+4)+('DCF Model'!G39+'DCF Model'!G42)*F$17/(1+$B18)^('DCF Model'!C19+4)-'DCF Model'!C16)*1000000/'DCF Model'!C15,0),"")</f>
        <v>2569</v>
      </c>
      <c r="G18" s="37">
        <f>IFERROR(ROUND(('DCF Model'!C45/(1+$B18)^('DCF Model'!C19+0)+'DCF Model'!D45/(1+$B18)^('DCF Model'!C19+1)+'DCF Model'!E45/(1+$B18)^('DCF Model'!C19+2)+'DCF Model'!F45/(1+$B18)^('DCF Model'!C19+3)+'DCF Model'!G45/(1+$B18)^('DCF Model'!C19+4)+('DCF Model'!G39+'DCF Model'!G42)*G$17/(1+$B18)^('DCF Model'!C19+4)-'DCF Model'!C16)*1000000/'DCF Model'!C15,0),"")</f>
        <v>2839</v>
      </c>
      <c r="H18" s="37">
        <f>IFERROR(ROUND(('DCF Model'!C45/(1+$B18)^('DCF Model'!C19+0)+'DCF Model'!D45/(1+$B18)^('DCF Model'!C19+1)+'DCF Model'!E45/(1+$B18)^('DCF Model'!C19+2)+'DCF Model'!F45/(1+$B18)^('DCF Model'!C19+3)+'DCF Model'!G45/(1+$B18)^('DCF Model'!C19+4)+('DCF Model'!G39+'DCF Model'!G42)*H$17/(1+$B18)^('DCF Model'!C19+4)-'DCF Model'!C16)*1000000/'DCF Model'!C15,0),"")</f>
        <v>3109</v>
      </c>
      <c r="I18" s="37">
        <f>IFERROR(ROUND(('DCF Model'!C45/(1+$B18)^('DCF Model'!C19+0)+'DCF Model'!D45/(1+$B18)^('DCF Model'!C19+1)+'DCF Model'!E45/(1+$B18)^('DCF Model'!C19+2)+'DCF Model'!F45/(1+$B18)^('DCF Model'!C19+3)+'DCF Model'!G45/(1+$B18)^('DCF Model'!C19+4)+('DCF Model'!G39+'DCF Model'!G42)*I$17/(1+$B18)^('DCF Model'!C19+4)-'DCF Model'!C16)*1000000/'DCF Model'!C15,0),"")</f>
        <v>3380</v>
      </c>
    </row>
    <row r="19" spans="2:9" ht="13.5" customHeight="1" x14ac:dyDescent="0.25">
      <c r="B19" s="39">
        <f>$C$3-0.01</f>
        <v>4.4153251882018997E-2</v>
      </c>
      <c r="C19" s="37">
        <f>IFERROR(ROUND(('DCF Model'!C45/(1+$B19)^('DCF Model'!C19+0)+'DCF Model'!D45/(1+$B19)^('DCF Model'!C19+1)+'DCF Model'!E45/(1+$B19)^('DCF Model'!C19+2)+'DCF Model'!F45/(1+$B19)^('DCF Model'!C19+3)+'DCF Model'!G45/(1+$B19)^('DCF Model'!C19+4)+('DCF Model'!G39+'DCF Model'!G42)*C$17/(1+$B19)^('DCF Model'!C19+4)-'DCF Model'!C16)*1000000/'DCF Model'!C15,0),"")</f>
        <v>1698</v>
      </c>
      <c r="D19" s="37">
        <f>IFERROR(ROUND(('DCF Model'!C45/(1+$B19)^('DCF Model'!C19+0)+'DCF Model'!D45/(1+$B19)^('DCF Model'!C19+1)+'DCF Model'!E45/(1+$B19)^('DCF Model'!C19+2)+'DCF Model'!F45/(1+$B19)^('DCF Model'!C19+3)+'DCF Model'!G45/(1+$B19)^('DCF Model'!C19+4)+('DCF Model'!G39+'DCF Model'!G42)*D$17/(1+$B19)^('DCF Model'!C19+4)-'DCF Model'!C16)*1000000/'DCF Model'!C15,0),"")</f>
        <v>1962</v>
      </c>
      <c r="E19" s="37">
        <f>IFERROR(ROUND(('DCF Model'!C45/(1+$B19)^('DCF Model'!C19+0)+'DCF Model'!D45/(1+$B19)^('DCF Model'!C19+1)+'DCF Model'!E45/(1+$B19)^('DCF Model'!C19+2)+'DCF Model'!F45/(1+$B19)^('DCF Model'!C19+3)+'DCF Model'!G45/(1+$B19)^('DCF Model'!C19+4)+('DCF Model'!G39+'DCF Model'!G42)*E$17/(1+$B19)^('DCF Model'!C19+4)-'DCF Model'!C16)*1000000/'DCF Model'!C15,0),"")</f>
        <v>2226</v>
      </c>
      <c r="F19" s="37">
        <f>IFERROR(ROUND(('DCF Model'!C45/(1+$B19)^('DCF Model'!C19+0)+'DCF Model'!D45/(1+$B19)^('DCF Model'!C19+1)+'DCF Model'!E45/(1+$B19)^('DCF Model'!C19+2)+'DCF Model'!F45/(1+$B19)^('DCF Model'!C19+3)+'DCF Model'!G45/(1+$B19)^('DCF Model'!C19+4)+('DCF Model'!G39+'DCF Model'!G42)*F$17/(1+$B19)^('DCF Model'!C19+4)-'DCF Model'!C16)*1000000/'DCF Model'!C15,0),"")</f>
        <v>2490</v>
      </c>
      <c r="G19" s="37">
        <f>IFERROR(ROUND(('DCF Model'!C45/(1+$B19)^('DCF Model'!C19+0)+'DCF Model'!D45/(1+$B19)^('DCF Model'!C19+1)+'DCF Model'!E45/(1+$B19)^('DCF Model'!C19+2)+'DCF Model'!F45/(1+$B19)^('DCF Model'!C19+3)+'DCF Model'!G45/(1+$B19)^('DCF Model'!C19+4)+('DCF Model'!G39+'DCF Model'!G42)*G$17/(1+$B19)^('DCF Model'!C19+4)-'DCF Model'!C16)*1000000/'DCF Model'!C15,0),"")</f>
        <v>2754</v>
      </c>
      <c r="H19" s="37">
        <f>IFERROR(ROUND(('DCF Model'!C45/(1+$B19)^('DCF Model'!C19+0)+'DCF Model'!D45/(1+$B19)^('DCF Model'!C19+1)+'DCF Model'!E45/(1+$B19)^('DCF Model'!C19+2)+'DCF Model'!F45/(1+$B19)^('DCF Model'!C19+3)+'DCF Model'!G45/(1+$B19)^('DCF Model'!C19+4)+('DCF Model'!G39+'DCF Model'!G42)*H$17/(1+$B19)^('DCF Model'!C19+4)-'DCF Model'!C16)*1000000/'DCF Model'!C15,0),"")</f>
        <v>3018</v>
      </c>
      <c r="I19" s="37">
        <f>IFERROR(ROUND(('DCF Model'!C45/(1+$B19)^('DCF Model'!C19+0)+'DCF Model'!D45/(1+$B19)^('DCF Model'!C19+1)+'DCF Model'!E45/(1+$B19)^('DCF Model'!C19+2)+'DCF Model'!F45/(1+$B19)^('DCF Model'!C19+3)+'DCF Model'!G45/(1+$B19)^('DCF Model'!C19+4)+('DCF Model'!G39+'DCF Model'!G42)*I$17/(1+$B19)^('DCF Model'!C19+4)-'DCF Model'!C16)*1000000/'DCF Model'!C15,0),"")</f>
        <v>3282</v>
      </c>
    </row>
    <row r="20" spans="2:9" ht="13.5" customHeight="1" x14ac:dyDescent="0.25">
      <c r="B20" s="39">
        <f>$C$3-0.005</f>
        <v>4.9153251882019001E-2</v>
      </c>
      <c r="C20" s="37">
        <f>IFERROR(ROUND(('DCF Model'!C45/(1+$B20)^('DCF Model'!C19+0)+'DCF Model'!D45/(1+$B20)^('DCF Model'!C19+1)+'DCF Model'!E45/(1+$B20)^('DCF Model'!C19+2)+'DCF Model'!F45/(1+$B20)^('DCF Model'!C19+3)+'DCF Model'!G45/(1+$B20)^('DCF Model'!C19+4)+('DCF Model'!G39+'DCF Model'!G42)*C$17/(1+$B20)^('DCF Model'!C19+4)-'DCF Model'!C16)*1000000/'DCF Model'!C15,0),"")</f>
        <v>1641</v>
      </c>
      <c r="D20" s="37">
        <f>IFERROR(ROUND(('DCF Model'!C45/(1+$B20)^('DCF Model'!C19+0)+'DCF Model'!D45/(1+$B20)^('DCF Model'!C19+1)+'DCF Model'!E45/(1+$B20)^('DCF Model'!C19+2)+'DCF Model'!F45/(1+$B20)^('DCF Model'!C19+3)+'DCF Model'!G45/(1+$B20)^('DCF Model'!C19+4)+('DCF Model'!G39+'DCF Model'!G42)*D$17/(1+$B20)^('DCF Model'!C19+4)-'DCF Model'!C16)*1000000/'DCF Model'!C15,0),"")</f>
        <v>1898</v>
      </c>
      <c r="E20" s="37">
        <f>IFERROR(ROUND(('DCF Model'!C45/(1+$B20)^('DCF Model'!C19+0)+'DCF Model'!D45/(1+$B20)^('DCF Model'!C19+1)+'DCF Model'!E45/(1+$B20)^('DCF Model'!C19+2)+'DCF Model'!F45/(1+$B20)^('DCF Model'!C19+3)+'DCF Model'!G45/(1+$B20)^('DCF Model'!C19+4)+('DCF Model'!G39+'DCF Model'!G42)*E$17/(1+$B20)^('DCF Model'!C19+4)-'DCF Model'!C16)*1000000/'DCF Model'!C15,0),"")</f>
        <v>2156</v>
      </c>
      <c r="F20" s="37">
        <f>IFERROR(ROUND(('DCF Model'!C45/(1+$B20)^('DCF Model'!C19+0)+'DCF Model'!D45/(1+$B20)^('DCF Model'!C19+1)+'DCF Model'!E45/(1+$B20)^('DCF Model'!C19+2)+'DCF Model'!F45/(1+$B20)^('DCF Model'!C19+3)+'DCF Model'!G45/(1+$B20)^('DCF Model'!C19+4)+('DCF Model'!G39+'DCF Model'!G42)*F$17/(1+$B20)^('DCF Model'!C19+4)-'DCF Model'!C16)*1000000/'DCF Model'!C15,0),"")</f>
        <v>2414</v>
      </c>
      <c r="G20" s="37">
        <f>IFERROR(ROUND(('DCF Model'!C45/(1+$B20)^('DCF Model'!C19+0)+'DCF Model'!D45/(1+$B20)^('DCF Model'!C19+1)+'DCF Model'!E45/(1+$B20)^('DCF Model'!C19+2)+'DCF Model'!F45/(1+$B20)^('DCF Model'!C19+3)+'DCF Model'!G45/(1+$B20)^('DCF Model'!C19+4)+('DCF Model'!G39+'DCF Model'!G42)*G$17/(1+$B20)^('DCF Model'!C19+4)-'DCF Model'!C16)*1000000/'DCF Model'!C15,0),"")</f>
        <v>2671</v>
      </c>
      <c r="H20" s="37">
        <f>IFERROR(ROUND(('DCF Model'!C45/(1+$B20)^('DCF Model'!C19+0)+'DCF Model'!D45/(1+$B20)^('DCF Model'!C19+1)+'DCF Model'!E45/(1+$B20)^('DCF Model'!C19+2)+'DCF Model'!F45/(1+$B20)^('DCF Model'!C19+3)+'DCF Model'!G45/(1+$B20)^('DCF Model'!C19+4)+('DCF Model'!G39+'DCF Model'!G42)*H$17/(1+$B20)^('DCF Model'!C19+4)-'DCF Model'!C16)*1000000/'DCF Model'!C15,0),"")</f>
        <v>2929</v>
      </c>
      <c r="I20" s="37">
        <f>IFERROR(ROUND(('DCF Model'!C45/(1+$B20)^('DCF Model'!C19+0)+'DCF Model'!D45/(1+$B20)^('DCF Model'!C19+1)+'DCF Model'!E45/(1+$B20)^('DCF Model'!C19+2)+'DCF Model'!F45/(1+$B20)^('DCF Model'!C19+3)+'DCF Model'!G45/(1+$B20)^('DCF Model'!C19+4)+('DCF Model'!G39+'DCF Model'!G42)*I$17/(1+$B20)^('DCF Model'!C19+4)-'DCF Model'!C16)*1000000/'DCF Model'!C15,0),"")</f>
        <v>3187</v>
      </c>
    </row>
    <row r="21" spans="2:9" ht="13.5" customHeight="1" x14ac:dyDescent="0.25">
      <c r="B21" s="39">
        <f>$C$3</f>
        <v>5.4153251882018999E-2</v>
      </c>
      <c r="C21" s="37">
        <f>IFERROR(ROUND(('DCF Model'!C45/(1+$B21)^('DCF Model'!C19+0)+'DCF Model'!D45/(1+$B21)^('DCF Model'!C19+1)+'DCF Model'!E45/(1+$B21)^('DCF Model'!C19+2)+'DCF Model'!F45/(1+$B21)^('DCF Model'!C19+3)+'DCF Model'!G45/(1+$B21)^('DCF Model'!C19+4)+('DCF Model'!G39+'DCF Model'!G42)*C$17/(1+$B21)^('DCF Model'!C19+4)-'DCF Model'!C16)*1000000/'DCF Model'!C15,0),"")</f>
        <v>1584</v>
      </c>
      <c r="D21" s="37">
        <f>IFERROR(ROUND(('DCF Model'!C45/(1+$B21)^('DCF Model'!C19+0)+'DCF Model'!D45/(1+$B21)^('DCF Model'!C19+1)+'DCF Model'!E45/(1+$B21)^('DCF Model'!C19+2)+'DCF Model'!F45/(1+$B21)^('DCF Model'!C19+3)+'DCF Model'!G45/(1+$B21)^('DCF Model'!C19+4)+('DCF Model'!G39+'DCF Model'!G42)*D$17/(1+$B21)^('DCF Model'!C19+4)-'DCF Model'!C16)*1000000/'DCF Model'!C15,0),"")</f>
        <v>1836</v>
      </c>
      <c r="E21" s="37">
        <f>IFERROR(ROUND(('DCF Model'!C45/(1+$B21)^('DCF Model'!C19+0)+'DCF Model'!D45/(1+$B21)^('DCF Model'!C19+1)+'DCF Model'!E45/(1+$B21)^('DCF Model'!C19+2)+'DCF Model'!F45/(1+$B21)^('DCF Model'!C19+3)+'DCF Model'!G45/(1+$B21)^('DCF Model'!C19+4)+('DCF Model'!G39+'DCF Model'!G42)*E$17/(1+$B21)^('DCF Model'!C19+4)-'DCF Model'!C16)*1000000/'DCF Model'!C15,0),"")</f>
        <v>2088</v>
      </c>
      <c r="F21" s="37">
        <f>IFERROR(ROUND(('DCF Model'!C45/(1+$B21)^('DCF Model'!C19+0)+'DCF Model'!D45/(1+$B21)^('DCF Model'!C19+1)+'DCF Model'!E45/(1+$B21)^('DCF Model'!C19+2)+'DCF Model'!F45/(1+$B21)^('DCF Model'!C19+3)+'DCF Model'!G45/(1+$B21)^('DCF Model'!C19+4)+('DCF Model'!G39+'DCF Model'!G42)*F$17/(1+$B21)^('DCF Model'!C19+4)-'DCF Model'!C16)*1000000/'DCF Model'!C15,0),"")</f>
        <v>2339</v>
      </c>
      <c r="G21" s="37">
        <f>IFERROR(ROUND(('DCF Model'!C45/(1+$B21)^('DCF Model'!C19+0)+'DCF Model'!D45/(1+$B21)^('DCF Model'!C19+1)+'DCF Model'!E45/(1+$B21)^('DCF Model'!C19+2)+'DCF Model'!F45/(1+$B21)^('DCF Model'!C19+3)+'DCF Model'!G45/(1+$B21)^('DCF Model'!C19+4)+('DCF Model'!G39+'DCF Model'!G42)*G$17/(1+$B21)^('DCF Model'!C19+4)-'DCF Model'!C16)*1000000/'DCF Model'!C15,0),"")</f>
        <v>2591</v>
      </c>
      <c r="H21" s="37">
        <f>IFERROR(ROUND(('DCF Model'!C45/(1+$B21)^('DCF Model'!C19+0)+'DCF Model'!D45/(1+$B21)^('DCF Model'!C19+1)+'DCF Model'!E45/(1+$B21)^('DCF Model'!C19+2)+'DCF Model'!F45/(1+$B21)^('DCF Model'!C19+3)+'DCF Model'!G45/(1+$B21)^('DCF Model'!C19+4)+('DCF Model'!G39+'DCF Model'!G42)*H$17/(1+$B21)^('DCF Model'!C19+4)-'DCF Model'!C16)*1000000/'DCF Model'!C15,0),"")</f>
        <v>2843</v>
      </c>
      <c r="I21" s="37">
        <f>IFERROR(ROUND(('DCF Model'!C45/(1+$B21)^('DCF Model'!C19+0)+'DCF Model'!D45/(1+$B21)^('DCF Model'!C19+1)+'DCF Model'!E45/(1+$B21)^('DCF Model'!C19+2)+'DCF Model'!F45/(1+$B21)^('DCF Model'!C19+3)+'DCF Model'!G45/(1+$B21)^('DCF Model'!C19+4)+('DCF Model'!G39+'DCF Model'!G42)*I$17/(1+$B21)^('DCF Model'!C19+4)-'DCF Model'!C16)*1000000/'DCF Model'!C15,0),"")</f>
        <v>3094</v>
      </c>
    </row>
    <row r="22" spans="2:9" ht="13.5" customHeight="1" x14ac:dyDescent="0.25">
      <c r="B22" s="39">
        <f>$C$3+0.005</f>
        <v>5.9153251882018996E-2</v>
      </c>
      <c r="C22" s="37">
        <f>IFERROR(ROUND(('DCF Model'!C45/(1+$B22)^('DCF Model'!C19+0)+'DCF Model'!D45/(1+$B22)^('DCF Model'!C19+1)+'DCF Model'!E45/(1+$B22)^('DCF Model'!C19+2)+'DCF Model'!F45/(1+$B22)^('DCF Model'!C19+3)+'DCF Model'!G45/(1+$B22)^('DCF Model'!C19+4)+('DCF Model'!G39+'DCF Model'!G42)*C$17/(1+$B22)^('DCF Model'!C19+4)-'DCF Model'!C16)*1000000/'DCF Model'!C15,0),"")</f>
        <v>1530</v>
      </c>
      <c r="D22" s="37">
        <f>IFERROR(ROUND(('DCF Model'!C45/(1+$B22)^('DCF Model'!C19+0)+'DCF Model'!D45/(1+$B22)^('DCF Model'!C19+1)+'DCF Model'!E45/(1+$B22)^('DCF Model'!C19+2)+'DCF Model'!F45/(1+$B22)^('DCF Model'!C19+3)+'DCF Model'!G45/(1+$B22)^('DCF Model'!C19+4)+('DCF Model'!G39+'DCF Model'!G42)*D$17/(1+$B22)^('DCF Model'!C19+4)-'DCF Model'!C16)*1000000/'DCF Model'!C15,0),"")</f>
        <v>1775</v>
      </c>
      <c r="E22" s="37">
        <f>IFERROR(ROUND(('DCF Model'!C45/(1+$B22)^('DCF Model'!C19+0)+'DCF Model'!D45/(1+$B22)^('DCF Model'!C19+1)+'DCF Model'!E45/(1+$B22)^('DCF Model'!C19+2)+'DCF Model'!F45/(1+$B22)^('DCF Model'!C19+3)+'DCF Model'!G45/(1+$B22)^('DCF Model'!C19+4)+('DCF Model'!G39+'DCF Model'!G42)*E$17/(1+$B22)^('DCF Model'!C19+4)-'DCF Model'!C16)*1000000/'DCF Model'!C15,0),"")</f>
        <v>2021</v>
      </c>
      <c r="F22" s="37">
        <f>IFERROR(ROUND(('DCF Model'!C45/(1+$B22)^('DCF Model'!C19+0)+'DCF Model'!D45/(1+$B22)^('DCF Model'!C19+1)+'DCF Model'!E45/(1+$B22)^('DCF Model'!C19+2)+'DCF Model'!F45/(1+$B22)^('DCF Model'!C19+3)+'DCF Model'!G45/(1+$B22)^('DCF Model'!C19+4)+('DCF Model'!G39+'DCF Model'!G42)*F$17/(1+$B22)^('DCF Model'!C19+4)-'DCF Model'!C16)*1000000/'DCF Model'!C15,0),"")</f>
        <v>2267</v>
      </c>
      <c r="G22" s="37">
        <f>IFERROR(ROUND(('DCF Model'!C45/(1+$B22)^('DCF Model'!C19+0)+'DCF Model'!D45/(1+$B22)^('DCF Model'!C19+1)+'DCF Model'!E45/(1+$B22)^('DCF Model'!C19+2)+'DCF Model'!F45/(1+$B22)^('DCF Model'!C19+3)+'DCF Model'!G45/(1+$B22)^('DCF Model'!C19+4)+('DCF Model'!G39+'DCF Model'!G42)*G$17/(1+$B22)^('DCF Model'!C19+4)-'DCF Model'!C16)*1000000/'DCF Model'!C15,0),"")</f>
        <v>2513</v>
      </c>
      <c r="H22" s="37">
        <f>IFERROR(ROUND(('DCF Model'!C45/(1+$B22)^('DCF Model'!C19+0)+'DCF Model'!D45/(1+$B22)^('DCF Model'!C19+1)+'DCF Model'!E45/(1+$B22)^('DCF Model'!C19+2)+'DCF Model'!F45/(1+$B22)^('DCF Model'!C19+3)+'DCF Model'!G45/(1+$B22)^('DCF Model'!C19+4)+('DCF Model'!G39+'DCF Model'!G42)*H$17/(1+$B22)^('DCF Model'!C19+4)-'DCF Model'!C16)*1000000/'DCF Model'!C15,0),"")</f>
        <v>2759</v>
      </c>
      <c r="I22" s="37">
        <f>IFERROR(ROUND(('DCF Model'!C45/(1+$B22)^('DCF Model'!C19+0)+'DCF Model'!D45/(1+$B22)^('DCF Model'!C19+1)+'DCF Model'!E45/(1+$B22)^('DCF Model'!C19+2)+'DCF Model'!F45/(1+$B22)^('DCF Model'!C19+3)+'DCF Model'!G45/(1+$B22)^('DCF Model'!C19+4)+('DCF Model'!G39+'DCF Model'!G42)*I$17/(1+$B22)^('DCF Model'!C19+4)-'DCF Model'!C16)*1000000/'DCF Model'!C15,0),"")</f>
        <v>3004</v>
      </c>
    </row>
    <row r="23" spans="2:9" ht="13.5" customHeight="1" x14ac:dyDescent="0.25">
      <c r="B23" s="39">
        <f>$C$3+0.01</f>
        <v>6.4153251882018994E-2</v>
      </c>
      <c r="C23" s="37">
        <f>IFERROR(ROUND(('DCF Model'!C45/(1+$B23)^('DCF Model'!C19+0)+'DCF Model'!D45/(1+$B23)^('DCF Model'!C19+1)+'DCF Model'!E45/(1+$B23)^('DCF Model'!C19+2)+'DCF Model'!F45/(1+$B23)^('DCF Model'!C19+3)+'DCF Model'!G45/(1+$B23)^('DCF Model'!C19+4)+('DCF Model'!G39+'DCF Model'!G42)*C$17/(1+$B23)^('DCF Model'!C19+4)-'DCF Model'!C16)*1000000/'DCF Model'!C15,0),"")</f>
        <v>1477</v>
      </c>
      <c r="D23" s="37">
        <f>IFERROR(ROUND(('DCF Model'!C45/(1+$B23)^('DCF Model'!C19+0)+'DCF Model'!D45/(1+$B23)^('DCF Model'!C19+1)+'DCF Model'!E45/(1+$B23)^('DCF Model'!C19+2)+'DCF Model'!F45/(1+$B23)^('DCF Model'!C19+3)+'DCF Model'!G45/(1+$B23)^('DCF Model'!C19+4)+('DCF Model'!G39+'DCF Model'!G42)*D$17/(1+$B23)^('DCF Model'!C19+4)-'DCF Model'!C16)*1000000/'DCF Model'!C15,0),"")</f>
        <v>1717</v>
      </c>
      <c r="E23" s="37">
        <f>IFERROR(ROUND(('DCF Model'!C45/(1+$B23)^('DCF Model'!C19+0)+'DCF Model'!D45/(1+$B23)^('DCF Model'!C19+1)+'DCF Model'!E45/(1+$B23)^('DCF Model'!C19+2)+'DCF Model'!F45/(1+$B23)^('DCF Model'!C19+3)+'DCF Model'!G45/(1+$B23)^('DCF Model'!C19+4)+('DCF Model'!G39+'DCF Model'!G42)*E$17/(1+$B23)^('DCF Model'!C19+4)-'DCF Model'!C16)*1000000/'DCF Model'!C15,0),"")</f>
        <v>1957</v>
      </c>
      <c r="F23" s="37">
        <f>IFERROR(ROUND(('DCF Model'!C45/(1+$B23)^('DCF Model'!C19+0)+'DCF Model'!D45/(1+$B23)^('DCF Model'!C19+1)+'DCF Model'!E45/(1+$B23)^('DCF Model'!C19+2)+'DCF Model'!F45/(1+$B23)^('DCF Model'!C19+3)+'DCF Model'!G45/(1+$B23)^('DCF Model'!C19+4)+('DCF Model'!G39+'DCF Model'!G42)*F$17/(1+$B23)^('DCF Model'!C19+4)-'DCF Model'!C16)*1000000/'DCF Model'!C15,0),"")</f>
        <v>2197</v>
      </c>
      <c r="G23" s="37">
        <f>IFERROR(ROUND(('DCF Model'!C45/(1+$B23)^('DCF Model'!C19+0)+'DCF Model'!D45/(1+$B23)^('DCF Model'!C19+1)+'DCF Model'!E45/(1+$B23)^('DCF Model'!C19+2)+'DCF Model'!F45/(1+$B23)^('DCF Model'!C19+3)+'DCF Model'!G45/(1+$B23)^('DCF Model'!C19+4)+('DCF Model'!G39+'DCF Model'!G42)*G$17/(1+$B23)^('DCF Model'!C19+4)-'DCF Model'!C16)*1000000/'DCF Model'!C15,0),"")</f>
        <v>2437</v>
      </c>
      <c r="H23" s="37">
        <f>IFERROR(ROUND(('DCF Model'!C45/(1+$B23)^('DCF Model'!C19+0)+'DCF Model'!D45/(1+$B23)^('DCF Model'!C19+1)+'DCF Model'!E45/(1+$B23)^('DCF Model'!C19+2)+'DCF Model'!F45/(1+$B23)^('DCF Model'!C19+3)+'DCF Model'!G45/(1+$B23)^('DCF Model'!C19+4)+('DCF Model'!G39+'DCF Model'!G42)*H$17/(1+$B23)^('DCF Model'!C19+4)-'DCF Model'!C16)*1000000/'DCF Model'!C15,0),"")</f>
        <v>2677</v>
      </c>
      <c r="I23" s="37">
        <f>IFERROR(ROUND(('DCF Model'!C45/(1+$B23)^('DCF Model'!C19+0)+'DCF Model'!D45/(1+$B23)^('DCF Model'!C19+1)+'DCF Model'!E45/(1+$B23)^('DCF Model'!C19+2)+'DCF Model'!F45/(1+$B23)^('DCF Model'!C19+3)+'DCF Model'!G45/(1+$B23)^('DCF Model'!C19+4)+('DCF Model'!G39+'DCF Model'!G42)*I$17/(1+$B23)^('DCF Model'!C19+4)-'DCF Model'!C16)*1000000/'DCF Model'!C15,0),"")</f>
        <v>2917</v>
      </c>
    </row>
    <row r="24" spans="2:9" ht="13.5" customHeight="1" x14ac:dyDescent="0.25">
      <c r="B24" s="39">
        <f>$C$3+0.015</f>
        <v>6.9153251882018998E-2</v>
      </c>
      <c r="C24" s="37">
        <f>IFERROR(ROUND(('DCF Model'!C45/(1+$B24)^('DCF Model'!C19+0)+'DCF Model'!D45/(1+$B24)^('DCF Model'!C19+1)+'DCF Model'!E45/(1+$B24)^('DCF Model'!C19+2)+'DCF Model'!F45/(1+$B24)^('DCF Model'!C19+3)+'DCF Model'!G45/(1+$B24)^('DCF Model'!C19+4)+('DCF Model'!G39+'DCF Model'!G42)*C$17/(1+$B24)^('DCF Model'!C19+4)-'DCF Model'!C16)*1000000/'DCF Model'!C15,0),"")</f>
        <v>1425</v>
      </c>
      <c r="D24" s="37">
        <f>IFERROR(ROUND(('DCF Model'!C45/(1+$B24)^('DCF Model'!C19+0)+'DCF Model'!D45/(1+$B24)^('DCF Model'!C19+1)+'DCF Model'!E45/(1+$B24)^('DCF Model'!C19+2)+'DCF Model'!F45/(1+$B24)^('DCF Model'!C19+3)+'DCF Model'!G45/(1+$B24)^('DCF Model'!C19+4)+('DCF Model'!G39+'DCF Model'!G42)*D$17/(1+$B24)^('DCF Model'!C19+4)-'DCF Model'!C16)*1000000/'DCF Model'!C15,0),"")</f>
        <v>1659</v>
      </c>
      <c r="E24" s="37">
        <f>IFERROR(ROUND(('DCF Model'!C45/(1+$B24)^('DCF Model'!C19+0)+'DCF Model'!D45/(1+$B24)^('DCF Model'!C19+1)+'DCF Model'!E45/(1+$B24)^('DCF Model'!C19+2)+'DCF Model'!F45/(1+$B24)^('DCF Model'!C19+3)+'DCF Model'!G45/(1+$B24)^('DCF Model'!C19+4)+('DCF Model'!G39+'DCF Model'!G42)*E$17/(1+$B24)^('DCF Model'!C19+4)-'DCF Model'!C16)*1000000/'DCF Model'!C15,0),"")</f>
        <v>1894</v>
      </c>
      <c r="F24" s="37">
        <f>IFERROR(ROUND(('DCF Model'!C45/(1+$B24)^('DCF Model'!C19+0)+'DCF Model'!D45/(1+$B24)^('DCF Model'!C19+1)+'DCF Model'!E45/(1+$B24)^('DCF Model'!C19+2)+'DCF Model'!F45/(1+$B24)^('DCF Model'!C19+3)+'DCF Model'!G45/(1+$B24)^('DCF Model'!C19+4)+('DCF Model'!G39+'DCF Model'!G42)*F$17/(1+$B24)^('DCF Model'!C19+4)-'DCF Model'!C16)*1000000/'DCF Model'!C15,0),"")</f>
        <v>2128</v>
      </c>
      <c r="G24" s="37">
        <f>IFERROR(ROUND(('DCF Model'!C45/(1+$B24)^('DCF Model'!C19+0)+'DCF Model'!D45/(1+$B24)^('DCF Model'!C19+1)+'DCF Model'!E45/(1+$B24)^('DCF Model'!C19+2)+'DCF Model'!F45/(1+$B24)^('DCF Model'!C19+3)+'DCF Model'!G45/(1+$B24)^('DCF Model'!C19+4)+('DCF Model'!G39+'DCF Model'!G42)*G$17/(1+$B24)^('DCF Model'!C19+4)-'DCF Model'!C16)*1000000/'DCF Model'!C15,0),"")</f>
        <v>2363</v>
      </c>
      <c r="H24" s="37">
        <f>IFERROR(ROUND(('DCF Model'!C45/(1+$B24)^('DCF Model'!C19+0)+'DCF Model'!D45/(1+$B24)^('DCF Model'!C19+1)+'DCF Model'!E45/(1+$B24)^('DCF Model'!C19+2)+'DCF Model'!F45/(1+$B24)^('DCF Model'!C19+3)+'DCF Model'!G45/(1+$B24)^('DCF Model'!C19+4)+('DCF Model'!G39+'DCF Model'!G42)*H$17/(1+$B24)^('DCF Model'!C19+4)-'DCF Model'!C16)*1000000/'DCF Model'!C15,0),"")</f>
        <v>2597</v>
      </c>
      <c r="I24" s="37">
        <f>IFERROR(ROUND(('DCF Model'!C45/(1+$B24)^('DCF Model'!C19+0)+'DCF Model'!D45/(1+$B24)^('DCF Model'!C19+1)+'DCF Model'!E45/(1+$B24)^('DCF Model'!C19+2)+'DCF Model'!F45/(1+$B24)^('DCF Model'!C19+3)+'DCF Model'!G45/(1+$B24)^('DCF Model'!C19+4)+('DCF Model'!G39+'DCF Model'!G42)*I$17/(1+$B24)^('DCF Model'!C19+4)-'DCF Model'!C16)*1000000/'DCF Model'!C15,0),"")</f>
        <v>2832</v>
      </c>
    </row>
    <row r="26" spans="2:9" ht="14" customHeight="1" x14ac:dyDescent="0.3">
      <c r="B26" s="46" t="s">
        <v>239</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240</v>
      </c>
    </row>
    <row r="4" spans="2:7" ht="14" customHeight="1" x14ac:dyDescent="0.3">
      <c r="B4" s="10" t="s">
        <v>241</v>
      </c>
      <c r="C4" s="10" t="s">
        <v>242</v>
      </c>
      <c r="D4" s="10" t="s">
        <v>243</v>
      </c>
      <c r="E4" s="10" t="s">
        <v>244</v>
      </c>
      <c r="F4" s="10" t="s">
        <v>245</v>
      </c>
      <c r="G4" s="10" t="s">
        <v>246</v>
      </c>
    </row>
    <row r="5" spans="2:7" x14ac:dyDescent="0.2">
      <c r="B5" t="s">
        <v>247</v>
      </c>
      <c r="C5" t="s">
        <v>248</v>
      </c>
      <c r="D5" t="s">
        <v>249</v>
      </c>
      <c r="E5" t="s">
        <v>250</v>
      </c>
      <c r="F5" t="s">
        <v>248</v>
      </c>
      <c r="G5" t="s">
        <v>251</v>
      </c>
    </row>
    <row r="6" spans="2:7" ht="30" customHeight="1" x14ac:dyDescent="0.3">
      <c r="B6" s="43" t="s">
        <v>247</v>
      </c>
      <c r="C6" s="4" t="s">
        <v>252</v>
      </c>
      <c r="D6" s="43" t="s">
        <v>253</v>
      </c>
      <c r="E6" s="43" t="s">
        <v>254</v>
      </c>
      <c r="F6" s="43" t="s">
        <v>255</v>
      </c>
      <c r="G6" s="43" t="s">
        <v>256</v>
      </c>
    </row>
    <row r="7" spans="2:7" ht="30" customHeight="1" x14ac:dyDescent="0.3">
      <c r="B7" s="43" t="s">
        <v>247</v>
      </c>
      <c r="C7" s="4" t="s">
        <v>257</v>
      </c>
      <c r="D7" s="43" t="s">
        <v>258</v>
      </c>
      <c r="E7" s="43" t="s">
        <v>259</v>
      </c>
      <c r="F7" s="43" t="s">
        <v>260</v>
      </c>
      <c r="G7" s="43" t="s">
        <v>261</v>
      </c>
    </row>
    <row r="8" spans="2:7" ht="30" customHeight="1" x14ac:dyDescent="0.3">
      <c r="B8" s="43" t="s">
        <v>247</v>
      </c>
      <c r="C8" s="4" t="s">
        <v>262</v>
      </c>
      <c r="D8" s="43" t="s">
        <v>263</v>
      </c>
      <c r="E8" s="43" t="s">
        <v>264</v>
      </c>
      <c r="F8" s="43" t="s">
        <v>265</v>
      </c>
      <c r="G8" s="43" t="s">
        <v>261</v>
      </c>
    </row>
    <row r="9" spans="2:7" ht="30" customHeight="1" x14ac:dyDescent="0.3">
      <c r="B9" s="43" t="s">
        <v>247</v>
      </c>
      <c r="C9" s="4" t="s">
        <v>266</v>
      </c>
      <c r="D9" s="43" t="s">
        <v>267</v>
      </c>
      <c r="E9" s="43" t="s">
        <v>268</v>
      </c>
      <c r="F9" s="43" t="s">
        <v>269</v>
      </c>
      <c r="G9" s="43" t="s">
        <v>261</v>
      </c>
    </row>
    <row r="10" spans="2:7" ht="30" customHeight="1" x14ac:dyDescent="0.3">
      <c r="B10" s="43" t="s">
        <v>247</v>
      </c>
      <c r="C10" s="4" t="s">
        <v>270</v>
      </c>
      <c r="D10" s="43" t="s">
        <v>271</v>
      </c>
      <c r="E10" s="43" t="s">
        <v>272</v>
      </c>
      <c r="F10" s="43" t="s">
        <v>273</v>
      </c>
      <c r="G10" s="43" t="s">
        <v>274</v>
      </c>
    </row>
    <row r="11" spans="2:7" ht="30" customHeight="1" x14ac:dyDescent="0.3">
      <c r="B11" s="43" t="s">
        <v>247</v>
      </c>
      <c r="C11" s="4" t="s">
        <v>275</v>
      </c>
      <c r="D11" s="43" t="s">
        <v>276</v>
      </c>
      <c r="E11" s="43" t="s">
        <v>277</v>
      </c>
      <c r="F11" s="43" t="s">
        <v>278</v>
      </c>
      <c r="G11" s="43" t="s">
        <v>279</v>
      </c>
    </row>
    <row r="12" spans="2:7" ht="30" customHeight="1" x14ac:dyDescent="0.3">
      <c r="B12" s="43" t="s">
        <v>247</v>
      </c>
      <c r="C12" s="4" t="s">
        <v>280</v>
      </c>
      <c r="D12" s="43" t="s">
        <v>281</v>
      </c>
      <c r="E12" s="43" t="s">
        <v>259</v>
      </c>
      <c r="F12" s="43" t="s">
        <v>282</v>
      </c>
      <c r="G12" s="43" t="s">
        <v>261</v>
      </c>
    </row>
    <row r="13" spans="2:7" ht="30" customHeight="1" x14ac:dyDescent="0.3">
      <c r="B13" s="43" t="s">
        <v>247</v>
      </c>
      <c r="C13" s="4" t="s">
        <v>283</v>
      </c>
      <c r="D13" s="43" t="s">
        <v>284</v>
      </c>
      <c r="E13" s="43" t="s">
        <v>285</v>
      </c>
      <c r="F13" s="43" t="s">
        <v>286</v>
      </c>
      <c r="G13" s="43" t="s">
        <v>261</v>
      </c>
    </row>
    <row r="14" spans="2:7" ht="30" customHeight="1" x14ac:dyDescent="0.3">
      <c r="B14" s="43" t="s">
        <v>247</v>
      </c>
      <c r="C14" s="4" t="s">
        <v>287</v>
      </c>
      <c r="D14" s="43" t="s">
        <v>288</v>
      </c>
      <c r="E14" s="43" t="s">
        <v>289</v>
      </c>
      <c r="F14" s="43" t="s">
        <v>290</v>
      </c>
      <c r="G14" s="43" t="s">
        <v>261</v>
      </c>
    </row>
    <row r="15" spans="2:7" ht="30" customHeight="1" x14ac:dyDescent="0.3">
      <c r="B15" s="43" t="s">
        <v>247</v>
      </c>
      <c r="C15" s="4" t="s">
        <v>291</v>
      </c>
      <c r="D15" s="43" t="s">
        <v>292</v>
      </c>
      <c r="E15" s="43" t="s">
        <v>293</v>
      </c>
      <c r="F15" s="43" t="s">
        <v>294</v>
      </c>
      <c r="G15" s="43" t="s">
        <v>261</v>
      </c>
    </row>
    <row r="16" spans="2:7" ht="30" customHeight="1" x14ac:dyDescent="0.3">
      <c r="B16" s="43" t="s">
        <v>247</v>
      </c>
      <c r="C16" s="4" t="s">
        <v>295</v>
      </c>
      <c r="D16" s="43" t="s">
        <v>296</v>
      </c>
      <c r="E16" s="43" t="s">
        <v>297</v>
      </c>
      <c r="F16" s="43" t="s">
        <v>298</v>
      </c>
      <c r="G16" s="43" t="s">
        <v>261</v>
      </c>
    </row>
    <row r="17" spans="2:7" ht="30" customHeight="1" x14ac:dyDescent="0.3">
      <c r="B17" s="43" t="s">
        <v>247</v>
      </c>
      <c r="C17" s="4" t="s">
        <v>299</v>
      </c>
      <c r="D17" s="43" t="s">
        <v>300</v>
      </c>
      <c r="E17" s="43" t="s">
        <v>301</v>
      </c>
      <c r="F17" s="43" t="s">
        <v>265</v>
      </c>
      <c r="G17" s="43" t="s">
        <v>261</v>
      </c>
    </row>
    <row r="18" spans="2:7" ht="30" customHeight="1" x14ac:dyDescent="0.3">
      <c r="B18" s="43" t="s">
        <v>247</v>
      </c>
      <c r="C18" s="4" t="s">
        <v>302</v>
      </c>
      <c r="D18" s="43" t="s">
        <v>303</v>
      </c>
      <c r="E18" s="43" t="s">
        <v>304</v>
      </c>
      <c r="F18" s="43" t="s">
        <v>248</v>
      </c>
      <c r="G18" s="43" t="s">
        <v>305</v>
      </c>
    </row>
    <row r="19" spans="2:7" ht="30" customHeight="1" x14ac:dyDescent="0.3">
      <c r="B19" s="43" t="s">
        <v>247</v>
      </c>
      <c r="C19" s="4" t="s">
        <v>302</v>
      </c>
      <c r="D19" s="43" t="s">
        <v>306</v>
      </c>
      <c r="E19" s="43" t="s">
        <v>307</v>
      </c>
      <c r="F19" s="43" t="s">
        <v>248</v>
      </c>
      <c r="G19" s="43" t="s">
        <v>305</v>
      </c>
    </row>
    <row r="20" spans="2:7" ht="30" customHeight="1" x14ac:dyDescent="0.3">
      <c r="B20" s="43" t="s">
        <v>247</v>
      </c>
      <c r="C20" s="4" t="s">
        <v>308</v>
      </c>
      <c r="D20" s="43" t="s">
        <v>309</v>
      </c>
      <c r="E20" s="43" t="s">
        <v>310</v>
      </c>
      <c r="F20" s="43" t="s">
        <v>248</v>
      </c>
      <c r="G20" s="43" t="s">
        <v>311</v>
      </c>
    </row>
    <row r="21" spans="2:7" ht="30" customHeight="1" x14ac:dyDescent="0.3">
      <c r="B21" s="43" t="s">
        <v>247</v>
      </c>
      <c r="C21" s="4" t="s">
        <v>312</v>
      </c>
      <c r="D21" s="43" t="s">
        <v>313</v>
      </c>
      <c r="E21" s="43" t="s">
        <v>314</v>
      </c>
      <c r="F21" s="43" t="s">
        <v>248</v>
      </c>
      <c r="G21" s="43" t="s">
        <v>261</v>
      </c>
    </row>
    <row r="22" spans="2:7" ht="30" customHeight="1" x14ac:dyDescent="0.3">
      <c r="B22" s="43" t="s">
        <v>247</v>
      </c>
      <c r="C22" s="4" t="s">
        <v>315</v>
      </c>
      <c r="D22" s="43" t="s">
        <v>316</v>
      </c>
      <c r="E22" s="43" t="s">
        <v>317</v>
      </c>
      <c r="F22" s="43" t="s">
        <v>248</v>
      </c>
      <c r="G22" s="43" t="s">
        <v>256</v>
      </c>
    </row>
    <row r="23" spans="2:7" ht="30" customHeight="1" x14ac:dyDescent="0.3">
      <c r="B23" s="43" t="s">
        <v>247</v>
      </c>
      <c r="C23" s="4" t="s">
        <v>318</v>
      </c>
      <c r="D23" s="43" t="s">
        <v>319</v>
      </c>
      <c r="E23" s="43" t="s">
        <v>320</v>
      </c>
      <c r="F23" s="43" t="s">
        <v>248</v>
      </c>
      <c r="G23" s="43" t="s">
        <v>321</v>
      </c>
    </row>
    <row r="24" spans="2:7" ht="14" customHeight="1" x14ac:dyDescent="0.2"/>
    <row r="25" spans="2:7" ht="14" customHeight="1" x14ac:dyDescent="0.3">
      <c r="B25" s="8" t="s">
        <v>322</v>
      </c>
    </row>
    <row r="26" spans="2:7" ht="14" customHeight="1" x14ac:dyDescent="0.3">
      <c r="B26" s="10" t="s">
        <v>323</v>
      </c>
      <c r="C26" s="10" t="s">
        <v>324</v>
      </c>
    </row>
    <row r="27" spans="2:7" ht="14" customHeight="1" x14ac:dyDescent="0.3">
      <c r="B27" s="4" t="s">
        <v>325</v>
      </c>
      <c r="C27" t="s">
        <v>326</v>
      </c>
    </row>
    <row r="28" spans="2:7" ht="14" customHeight="1" x14ac:dyDescent="0.3">
      <c r="B28" s="4" t="s">
        <v>327</v>
      </c>
      <c r="C28" t="s">
        <v>328</v>
      </c>
    </row>
    <row r="29" spans="2:7" ht="14" customHeight="1" x14ac:dyDescent="0.3">
      <c r="B29" s="4" t="s">
        <v>329</v>
      </c>
      <c r="C29" t="s">
        <v>330</v>
      </c>
    </row>
    <row r="30" spans="2:7" ht="14" customHeight="1" x14ac:dyDescent="0.3">
      <c r="B30" s="4" t="s">
        <v>331</v>
      </c>
      <c r="C30" t="s">
        <v>42</v>
      </c>
    </row>
    <row r="31" spans="2:7" ht="14" customHeight="1" x14ac:dyDescent="0.3">
      <c r="B31" s="4" t="s">
        <v>332</v>
      </c>
      <c r="C31" t="s">
        <v>4</v>
      </c>
    </row>
    <row r="32" spans="2:7" ht="14" customHeight="1" x14ac:dyDescent="0.3">
      <c r="B32" s="4" t="s">
        <v>333</v>
      </c>
      <c r="C32" t="s">
        <v>247</v>
      </c>
    </row>
    <row r="33" spans="2:3" ht="14" customHeight="1" x14ac:dyDescent="0.3">
      <c r="B33" s="4" t="s">
        <v>334</v>
      </c>
      <c r="C33" t="s">
        <v>335</v>
      </c>
    </row>
    <row r="34" spans="2:3" ht="14" customHeight="1" x14ac:dyDescent="0.3">
      <c r="B34" s="4" t="s">
        <v>336</v>
      </c>
      <c r="C34" t="s">
        <v>337</v>
      </c>
    </row>
    <row r="35" spans="2:3" ht="14" customHeight="1" x14ac:dyDescent="0.3">
      <c r="B35" s="4" t="s">
        <v>338</v>
      </c>
      <c r="C35" t="s">
        <v>339</v>
      </c>
    </row>
    <row r="36" spans="2:3" ht="14" customHeight="1" x14ac:dyDescent="0.3">
      <c r="B36" s="4" t="s">
        <v>340</v>
      </c>
      <c r="C36" t="s">
        <v>341</v>
      </c>
    </row>
    <row r="37" spans="2:3" ht="14" customHeight="1" x14ac:dyDescent="0.3">
      <c r="B37" s="4" t="s">
        <v>342</v>
      </c>
      <c r="C37" t="s">
        <v>343</v>
      </c>
    </row>
    <row r="38" spans="2:3" ht="14" customHeight="1" x14ac:dyDescent="0.3">
      <c r="B38" s="4" t="s">
        <v>344</v>
      </c>
      <c r="C38" t="s">
        <v>339</v>
      </c>
    </row>
    <row r="39" spans="2:3" ht="14" customHeight="1" x14ac:dyDescent="0.3">
      <c r="B39" s="4" t="s">
        <v>345</v>
      </c>
      <c r="C39" t="s">
        <v>335</v>
      </c>
    </row>
    <row r="40" spans="2:3" ht="14" customHeight="1" x14ac:dyDescent="0.3">
      <c r="B40" s="4" t="s">
        <v>346</v>
      </c>
      <c r="C40" t="s">
        <v>347</v>
      </c>
    </row>
    <row r="41" spans="2:3" ht="14" customHeight="1" x14ac:dyDescent="0.3">
      <c r="B41" s="4" t="s">
        <v>348</v>
      </c>
      <c r="C41" t="s">
        <v>349</v>
      </c>
    </row>
    <row r="42" spans="2:3" ht="14" customHeight="1" x14ac:dyDescent="0.3">
      <c r="B42" s="4" t="s">
        <v>350</v>
      </c>
      <c r="C42" t="s">
        <v>351</v>
      </c>
    </row>
    <row r="43" spans="2:3" ht="14" customHeight="1" x14ac:dyDescent="0.3">
      <c r="B43" s="4" t="s">
        <v>352</v>
      </c>
      <c r="C43" t="s">
        <v>353</v>
      </c>
    </row>
    <row r="44" spans="2:3" ht="14" customHeight="1" x14ac:dyDescent="0.3">
      <c r="B44" s="4" t="s">
        <v>354</v>
      </c>
      <c r="C44" t="s">
        <v>355</v>
      </c>
    </row>
    <row r="45" spans="2:3" ht="14" customHeight="1" x14ac:dyDescent="0.3">
      <c r="B45" s="4" t="s">
        <v>356</v>
      </c>
      <c r="C45" t="s">
        <v>357</v>
      </c>
    </row>
    <row r="46" spans="2:3" ht="14" customHeight="1" x14ac:dyDescent="0.3">
      <c r="B46" s="4" t="s">
        <v>358</v>
      </c>
      <c r="C46" t="s">
        <v>359</v>
      </c>
    </row>
    <row r="47" spans="2:3" ht="14" customHeight="1" x14ac:dyDescent="0.3">
      <c r="B47" s="4" t="s">
        <v>360</v>
      </c>
      <c r="C47" t="s">
        <v>361</v>
      </c>
    </row>
    <row r="48" spans="2:3" ht="14" customHeight="1" x14ac:dyDescent="0.3">
      <c r="B48" s="4" t="s">
        <v>362</v>
      </c>
      <c r="C48" t="s">
        <v>328</v>
      </c>
    </row>
    <row r="49" spans="2:3" ht="14" customHeight="1" x14ac:dyDescent="0.3">
      <c r="B49" s="4" t="s">
        <v>363</v>
      </c>
      <c r="C49" t="s">
        <v>364</v>
      </c>
    </row>
    <row r="50" spans="2:3" ht="14" customHeight="1" x14ac:dyDescent="0.3">
      <c r="B50" s="4" t="s">
        <v>365</v>
      </c>
      <c r="C50" t="s">
        <v>366</v>
      </c>
    </row>
    <row r="51" spans="2:3" ht="14" x14ac:dyDescent="0.3">
      <c r="B51" s="4" t="s">
        <v>367</v>
      </c>
      <c r="C51" t="s">
        <v>368</v>
      </c>
    </row>
    <row r="52" spans="2:3" ht="14" x14ac:dyDescent="0.3">
      <c r="B52" s="4" t="s">
        <v>369</v>
      </c>
      <c r="C52" t="s">
        <v>370</v>
      </c>
    </row>
    <row r="53" spans="2:3" ht="14" x14ac:dyDescent="0.3">
      <c r="B53" s="4" t="s">
        <v>371</v>
      </c>
      <c r="C53" t="s">
        <v>372</v>
      </c>
    </row>
    <row r="54" spans="2:3" ht="14" x14ac:dyDescent="0.3">
      <c r="B54" s="4" t="s">
        <v>373</v>
      </c>
      <c r="C54" t="s">
        <v>374</v>
      </c>
    </row>
    <row r="55" spans="2:3" ht="14" x14ac:dyDescent="0.3">
      <c r="B55" s="4" t="s">
        <v>375</v>
      </c>
      <c r="C55" t="s">
        <v>376</v>
      </c>
    </row>
    <row r="56" spans="2:3" ht="14" x14ac:dyDescent="0.3">
      <c r="B56" s="4" t="s">
        <v>377</v>
      </c>
      <c r="C56" t="s">
        <v>378</v>
      </c>
    </row>
    <row r="57" spans="2:3" ht="14" x14ac:dyDescent="0.3">
      <c r="B57" s="4" t="s">
        <v>379</v>
      </c>
      <c r="C57" t="s">
        <v>380</v>
      </c>
    </row>
    <row r="58" spans="2:3" ht="14" x14ac:dyDescent="0.3">
      <c r="B58" s="4" t="s">
        <v>381</v>
      </c>
      <c r="C58" t="s">
        <v>382</v>
      </c>
    </row>
    <row r="59" spans="2:3" ht="14" x14ac:dyDescent="0.3">
      <c r="B59" s="4" t="s">
        <v>383</v>
      </c>
      <c r="C59" t="s">
        <v>384</v>
      </c>
    </row>
    <row r="60" spans="2:3" ht="14" x14ac:dyDescent="0.3">
      <c r="B60" s="4" t="s">
        <v>385</v>
      </c>
      <c r="C60" t="s">
        <v>386</v>
      </c>
    </row>
    <row r="61" spans="2:3" ht="14" x14ac:dyDescent="0.3">
      <c r="B61" s="4" t="s">
        <v>387</v>
      </c>
      <c r="C61" t="s">
        <v>388</v>
      </c>
    </row>
    <row r="62" spans="2:3" ht="14" x14ac:dyDescent="0.3">
      <c r="B62" s="4" t="s">
        <v>389</v>
      </c>
      <c r="C62" t="s">
        <v>390</v>
      </c>
    </row>
    <row r="63" spans="2:3" ht="14" x14ac:dyDescent="0.3">
      <c r="B63" s="4" t="s">
        <v>391</v>
      </c>
      <c r="C63"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2026-09-05T03:53:20Z</dcterms:created>
  <dcterms:modified xsi:type="dcterms:W3CDTF">2026-09-05T04:04:01Z</dcterms:modified>
</cp:coreProperties>
</file>