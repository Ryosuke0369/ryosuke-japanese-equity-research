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B322B785-FBFC-4935-8E7A-98B6070E6A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K24" i="8" l="1"/>
  <c r="J24" i="8"/>
  <c r="I24" i="8"/>
  <c r="H24" i="8"/>
  <c r="G24" i="8"/>
  <c r="F24" i="8"/>
  <c r="E24" i="8"/>
  <c r="D24" i="8"/>
  <c r="C24" i="8"/>
  <c r="G23" i="8"/>
  <c r="H20" i="8"/>
  <c r="H23" i="8" s="1"/>
  <c r="I20" i="8" s="1"/>
  <c r="I23" i="8" s="1"/>
  <c r="J20" i="8" s="1"/>
  <c r="J23" i="8" s="1"/>
  <c r="K20" i="8" s="1"/>
  <c r="K23" i="8" s="1"/>
  <c r="K17" i="8"/>
  <c r="J17" i="8"/>
  <c r="I17" i="8"/>
  <c r="H17" i="8"/>
  <c r="G17" i="8"/>
  <c r="F17" i="8"/>
  <c r="E17" i="8"/>
  <c r="D17" i="8"/>
  <c r="C17" i="8"/>
  <c r="G16" i="8"/>
  <c r="H13" i="8" s="1"/>
  <c r="H16" i="8" s="1"/>
  <c r="I13" i="8"/>
  <c r="I16" i="8" s="1"/>
  <c r="J13" i="8" s="1"/>
  <c r="J16" i="8" s="1"/>
  <c r="K13" i="8" s="1"/>
  <c r="K16" i="8" s="1"/>
  <c r="K10" i="8"/>
  <c r="J10" i="8"/>
  <c r="I10" i="8"/>
  <c r="H10" i="8"/>
  <c r="G10" i="8"/>
  <c r="F10" i="8"/>
  <c r="E10" i="8"/>
  <c r="D10" i="8"/>
  <c r="C10" i="8"/>
  <c r="H9" i="8"/>
  <c r="I6" i="8" s="1"/>
  <c r="I9" i="8" s="1"/>
  <c r="J6" i="8" s="1"/>
  <c r="J9" i="8" s="1"/>
  <c r="K6" i="8" s="1"/>
  <c r="K9" i="8" s="1"/>
  <c r="G9" i="8"/>
  <c r="H6" i="8" s="1"/>
  <c r="F23" i="7"/>
  <c r="F22" i="7"/>
  <c r="E22" i="7"/>
  <c r="E23" i="7" s="1"/>
  <c r="D22" i="7"/>
  <c r="C22" i="7"/>
  <c r="C23" i="7" s="1"/>
  <c r="F21" i="7"/>
  <c r="E21" i="7"/>
  <c r="D21" i="7"/>
  <c r="D23" i="7" s="1"/>
  <c r="C21" i="7"/>
  <c r="F18" i="7"/>
  <c r="E18" i="7"/>
  <c r="D18" i="7"/>
  <c r="F13" i="7"/>
  <c r="E13" i="7"/>
  <c r="D13" i="7"/>
  <c r="F8" i="7"/>
  <c r="E8" i="7"/>
  <c r="D8" i="7"/>
  <c r="H6" i="6"/>
  <c r="G6" i="6"/>
  <c r="F6" i="6"/>
  <c r="E6" i="6"/>
  <c r="D6" i="6"/>
  <c r="I3" i="6"/>
  <c r="E17" i="6" s="1"/>
  <c r="F3" i="6"/>
  <c r="C6" i="6" s="1"/>
  <c r="I17" i="5"/>
  <c r="G17" i="5"/>
  <c r="I16" i="5"/>
  <c r="H16" i="5"/>
  <c r="G16" i="5"/>
  <c r="I15" i="5"/>
  <c r="G15" i="5"/>
  <c r="F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H17" i="5" s="1"/>
  <c r="L6" i="5"/>
  <c r="K6" i="5"/>
  <c r="E15" i="5" s="1"/>
  <c r="J6" i="5"/>
  <c r="D16" i="5" s="1"/>
  <c r="C27" i="5" s="1"/>
  <c r="C18" i="1" s="1"/>
  <c r="D18" i="1" s="1"/>
  <c r="N5" i="5"/>
  <c r="L5" i="5"/>
  <c r="F16" i="5" s="1"/>
  <c r="C28" i="5" s="1"/>
  <c r="C19" i="1" s="1"/>
  <c r="D19" i="1" s="1"/>
  <c r="K5" i="5"/>
  <c r="E16" i="5" s="1"/>
  <c r="J5" i="5"/>
  <c r="C26" i="4"/>
  <c r="C22" i="4"/>
  <c r="C11" i="4"/>
  <c r="C10" i="4"/>
  <c r="C9" i="4"/>
  <c r="C8" i="4"/>
  <c r="C7" i="4"/>
  <c r="C6" i="4"/>
  <c r="C5" i="4"/>
  <c r="D27" i="3"/>
  <c r="D11" i="4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F22" i="2"/>
  <c r="C22" i="2"/>
  <c r="H21" i="2"/>
  <c r="G21" i="2"/>
  <c r="G22" i="2" s="1"/>
  <c r="F21" i="2"/>
  <c r="E21" i="2"/>
  <c r="E22" i="2" s="1"/>
  <c r="D21" i="2"/>
  <c r="D22" i="2" s="1"/>
  <c r="C21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H9" i="2"/>
  <c r="F9" i="2"/>
  <c r="H8" i="2"/>
  <c r="G8" i="2"/>
  <c r="G9" i="2" s="1"/>
  <c r="F8" i="2"/>
  <c r="E8" i="2"/>
  <c r="E9" i="2" s="1"/>
  <c r="D8" i="2"/>
  <c r="D9" i="2" s="1"/>
  <c r="C8" i="2"/>
  <c r="C9" i="2" s="1"/>
  <c r="D32" i="3" l="1"/>
  <c r="G5" i="4"/>
  <c r="G11" i="4"/>
  <c r="D15" i="5"/>
  <c r="E32" i="3"/>
  <c r="H5" i="4"/>
  <c r="G7" i="4"/>
  <c r="H9" i="4"/>
  <c r="H8" i="7"/>
  <c r="K13" i="7"/>
  <c r="I18" i="7"/>
  <c r="F32" i="3"/>
  <c r="D17" i="5"/>
  <c r="K18" i="7"/>
  <c r="E6" i="4"/>
  <c r="E8" i="4"/>
  <c r="E10" i="4"/>
  <c r="H15" i="5"/>
  <c r="F17" i="5"/>
  <c r="F17" i="6"/>
  <c r="D17" i="6"/>
  <c r="C17" i="6"/>
  <c r="I17" i="6"/>
  <c r="G17" i="6"/>
  <c r="C26" i="3"/>
  <c r="G6" i="4"/>
  <c r="F8" i="4"/>
  <c r="G10" i="4"/>
  <c r="C29" i="4"/>
  <c r="H17" i="6"/>
  <c r="G9" i="4"/>
  <c r="H6" i="4"/>
  <c r="G8" i="4"/>
  <c r="E5" i="4"/>
  <c r="J18" i="7"/>
  <c r="G16" i="7"/>
  <c r="H10" i="4"/>
  <c r="F9" i="4"/>
  <c r="D8" i="4"/>
  <c r="H18" i="7"/>
  <c r="J13" i="7"/>
  <c r="G11" i="7"/>
  <c r="H11" i="4"/>
  <c r="F10" i="4"/>
  <c r="D9" i="4"/>
  <c r="H7" i="4"/>
  <c r="F6" i="4"/>
  <c r="D5" i="4"/>
  <c r="G18" i="7"/>
  <c r="I13" i="7"/>
  <c r="K8" i="7"/>
  <c r="H13" i="7"/>
  <c r="J8" i="7"/>
  <c r="G6" i="7"/>
  <c r="F11" i="4"/>
  <c r="D10" i="4"/>
  <c r="H8" i="4"/>
  <c r="F7" i="4"/>
  <c r="D6" i="4"/>
  <c r="G32" i="3"/>
  <c r="G13" i="7"/>
  <c r="I8" i="7"/>
  <c r="C32" i="3"/>
  <c r="F5" i="4"/>
  <c r="D7" i="4"/>
  <c r="E9" i="4"/>
  <c r="E11" i="4"/>
  <c r="E7" i="4"/>
  <c r="G8" i="7"/>
  <c r="E17" i="5"/>
  <c r="I6" i="6"/>
  <c r="G21" i="7" l="1"/>
  <c r="H6" i="7"/>
  <c r="G7" i="7"/>
  <c r="G17" i="7"/>
  <c r="H16" i="7"/>
  <c r="G12" i="7"/>
  <c r="H11" i="7"/>
  <c r="C46" i="3"/>
  <c r="G46" i="3"/>
  <c r="F46" i="3"/>
  <c r="E46" i="3"/>
  <c r="D46" i="3"/>
  <c r="C3" i="6"/>
  <c r="G22" i="7" l="1"/>
  <c r="I11" i="7"/>
  <c r="H12" i="7"/>
  <c r="B13" i="6"/>
  <c r="B12" i="6"/>
  <c r="B11" i="6"/>
  <c r="B10" i="6"/>
  <c r="B9" i="6"/>
  <c r="B24" i="6"/>
  <c r="B23" i="6"/>
  <c r="B22" i="6"/>
  <c r="B21" i="6"/>
  <c r="B20" i="6"/>
  <c r="B19" i="6"/>
  <c r="B18" i="6"/>
  <c r="B8" i="6"/>
  <c r="B7" i="6"/>
  <c r="H17" i="7"/>
  <c r="I16" i="7"/>
  <c r="I6" i="7"/>
  <c r="H21" i="7"/>
  <c r="H7" i="7"/>
  <c r="H22" i="7" s="1"/>
  <c r="G27" i="7"/>
  <c r="C33" i="3"/>
  <c r="C30" i="3" l="1"/>
  <c r="G26" i="7"/>
  <c r="C43" i="3"/>
  <c r="C42" i="3"/>
  <c r="C37" i="3"/>
  <c r="C34" i="3" s="1"/>
  <c r="D14" i="4"/>
  <c r="I21" i="7"/>
  <c r="I7" i="7"/>
  <c r="J6" i="7"/>
  <c r="D39" i="3"/>
  <c r="H23" i="7"/>
  <c r="G28" i="7"/>
  <c r="D33" i="3"/>
  <c r="H27" i="7"/>
  <c r="J16" i="7"/>
  <c r="I17" i="7"/>
  <c r="I12" i="7"/>
  <c r="J11" i="7"/>
  <c r="G23" i="7"/>
  <c r="C39" i="3"/>
  <c r="D15" i="4" l="1"/>
  <c r="C31" i="3"/>
  <c r="C35" i="3"/>
  <c r="C36" i="3" s="1"/>
  <c r="I27" i="7"/>
  <c r="E33" i="3"/>
  <c r="E14" i="4"/>
  <c r="H26" i="7"/>
  <c r="H28" i="7" s="1"/>
  <c r="D30" i="3"/>
  <c r="D42" i="3"/>
  <c r="D37" i="3"/>
  <c r="D43" i="3"/>
  <c r="D34" i="3"/>
  <c r="D35" i="3" s="1"/>
  <c r="D36" i="3" s="1"/>
  <c r="J17" i="7"/>
  <c r="K16" i="7"/>
  <c r="K17" i="7" s="1"/>
  <c r="D24" i="4"/>
  <c r="D21" i="4"/>
  <c r="D19" i="4"/>
  <c r="D18" i="4"/>
  <c r="D25" i="4"/>
  <c r="C38" i="3"/>
  <c r="C40" i="3"/>
  <c r="C41" i="3" s="1"/>
  <c r="K6" i="7"/>
  <c r="J7" i="7"/>
  <c r="J21" i="7"/>
  <c r="J12" i="7"/>
  <c r="K11" i="7"/>
  <c r="K12" i="7" s="1"/>
  <c r="D40" i="3"/>
  <c r="D41" i="3" s="1"/>
  <c r="D38" i="3"/>
  <c r="I22" i="7"/>
  <c r="I23" i="7" l="1"/>
  <c r="E39" i="3"/>
  <c r="E25" i="4"/>
  <c r="E18" i="4"/>
  <c r="E24" i="4"/>
  <c r="E19" i="4"/>
  <c r="E21" i="4"/>
  <c r="E42" i="3"/>
  <c r="E34" i="3"/>
  <c r="E37" i="3"/>
  <c r="E35" i="3"/>
  <c r="E36" i="3" s="1"/>
  <c r="F14" i="4"/>
  <c r="E43" i="3"/>
  <c r="I26" i="7"/>
  <c r="E30" i="3"/>
  <c r="I28" i="7"/>
  <c r="D22" i="4"/>
  <c r="D31" i="3"/>
  <c r="E15" i="4"/>
  <c r="J27" i="7"/>
  <c r="F33" i="3"/>
  <c r="J22" i="7"/>
  <c r="K7" i="7"/>
  <c r="K22" i="7" s="1"/>
  <c r="K21" i="7"/>
  <c r="D23" i="4"/>
  <c r="D26" i="4" s="1"/>
  <c r="D20" i="4"/>
  <c r="K27" i="7" l="1"/>
  <c r="G33" i="3"/>
  <c r="K23" i="7"/>
  <c r="G39" i="3"/>
  <c r="F39" i="3"/>
  <c r="J23" i="7"/>
  <c r="F19" i="4"/>
  <c r="F25" i="4"/>
  <c r="F24" i="4"/>
  <c r="F21" i="4"/>
  <c r="F18" i="4"/>
  <c r="E22" i="4"/>
  <c r="E29" i="4" s="1"/>
  <c r="E30" i="4" s="1"/>
  <c r="D44" i="3" s="1"/>
  <c r="D45" i="3" s="1"/>
  <c r="D47" i="3" s="1"/>
  <c r="E23" i="4"/>
  <c r="E26" i="4" s="1"/>
  <c r="E20" i="4"/>
  <c r="E40" i="3"/>
  <c r="E38" i="3"/>
  <c r="E41" i="3"/>
  <c r="J26" i="7"/>
  <c r="F37" i="3"/>
  <c r="F42" i="3"/>
  <c r="G14" i="4"/>
  <c r="F43" i="3"/>
  <c r="F30" i="3"/>
  <c r="F34" i="3"/>
  <c r="J28" i="7"/>
  <c r="D29" i="4"/>
  <c r="D30" i="4" s="1"/>
  <c r="C44" i="3" s="1"/>
  <c r="C45" i="3" s="1"/>
  <c r="F15" i="4"/>
  <c r="E31" i="3"/>
  <c r="F31" i="3" l="1"/>
  <c r="G15" i="4"/>
  <c r="G25" i="4"/>
  <c r="G18" i="4"/>
  <c r="G24" i="4"/>
  <c r="G19" i="4"/>
  <c r="G21" i="4"/>
  <c r="F35" i="3"/>
  <c r="F36" i="3" s="1"/>
  <c r="F38" i="3"/>
  <c r="F40" i="3"/>
  <c r="F41" i="3" s="1"/>
  <c r="G40" i="3"/>
  <c r="G41" i="3" s="1"/>
  <c r="G38" i="3"/>
  <c r="G42" i="3"/>
  <c r="C59" i="3" s="1"/>
  <c r="C60" i="3" s="1"/>
  <c r="C61" i="3" s="1"/>
  <c r="G34" i="3"/>
  <c r="G35" i="3"/>
  <c r="G36" i="3" s="1"/>
  <c r="G37" i="3"/>
  <c r="H14" i="4"/>
  <c r="G43" i="3"/>
  <c r="G30" i="3"/>
  <c r="K26" i="7"/>
  <c r="K28" i="7"/>
  <c r="F20" i="4"/>
  <c r="F22" i="4" s="1"/>
  <c r="F29" i="4" s="1"/>
  <c r="F30" i="4" s="1"/>
  <c r="E44" i="3" s="1"/>
  <c r="E45" i="3" s="1"/>
  <c r="F23" i="4"/>
  <c r="F26" i="4" s="1"/>
  <c r="C47" i="3"/>
  <c r="E47" i="3" l="1"/>
  <c r="H15" i="4"/>
  <c r="G31" i="3"/>
  <c r="H24" i="4"/>
  <c r="H21" i="4"/>
  <c r="H19" i="4"/>
  <c r="H18" i="4"/>
  <c r="H25" i="4"/>
  <c r="G23" i="4"/>
  <c r="G26" i="4" s="1"/>
  <c r="G20" i="4"/>
  <c r="G22" i="4" s="1"/>
  <c r="G29" i="4" s="1"/>
  <c r="G30" i="4" s="1"/>
  <c r="F44" i="3" s="1"/>
  <c r="F45" i="3" s="1"/>
  <c r="F47" i="3" l="1"/>
  <c r="E24" i="6"/>
  <c r="I23" i="6"/>
  <c r="G9" i="6"/>
  <c r="C10" i="6"/>
  <c r="E22" i="6"/>
  <c r="H12" i="6"/>
  <c r="G20" i="6"/>
  <c r="H23" i="6"/>
  <c r="E10" i="6"/>
  <c r="H20" i="4"/>
  <c r="H23" i="4"/>
  <c r="H26" i="4" s="1"/>
  <c r="H22" i="4"/>
  <c r="H29" i="4" s="1"/>
  <c r="H30" i="4" s="1"/>
  <c r="G44" i="3" s="1"/>
  <c r="G45" i="3" s="1"/>
  <c r="F24" i="6" s="1"/>
  <c r="H10" i="6" l="1"/>
  <c r="I18" i="6"/>
  <c r="G12" i="6"/>
  <c r="F19" i="6"/>
  <c r="I11" i="6"/>
  <c r="D22" i="6"/>
  <c r="G18" i="6"/>
  <c r="G21" i="6"/>
  <c r="I8" i="6"/>
  <c r="G8" i="6"/>
  <c r="F11" i="6"/>
  <c r="F8" i="6"/>
  <c r="G7" i="6"/>
  <c r="G11" i="6"/>
  <c r="F18" i="6"/>
  <c r="H13" i="6"/>
  <c r="F22" i="6"/>
  <c r="H20" i="6"/>
  <c r="I19" i="6"/>
  <c r="I24" i="6"/>
  <c r="H8" i="6"/>
  <c r="I9" i="6"/>
  <c r="C19" i="6"/>
  <c r="D21" i="6"/>
  <c r="E11" i="6"/>
  <c r="C12" i="6"/>
  <c r="C20" i="6"/>
  <c r="H9" i="6"/>
  <c r="C18" i="6"/>
  <c r="C7" i="6"/>
  <c r="E7" i="6"/>
  <c r="H24" i="6"/>
  <c r="C51" i="3"/>
  <c r="C52" i="3" s="1"/>
  <c r="G47" i="3"/>
  <c r="G13" i="6"/>
  <c r="I20" i="6"/>
  <c r="I21" i="6"/>
  <c r="F7" i="6"/>
  <c r="G10" i="6"/>
  <c r="E13" i="6"/>
  <c r="E23" i="6"/>
  <c r="C13" i="6"/>
  <c r="F10" i="6"/>
  <c r="C24" i="6"/>
  <c r="H11" i="6"/>
  <c r="C9" i="6"/>
  <c r="D8" i="6"/>
  <c r="I22" i="6"/>
  <c r="I13" i="6"/>
  <c r="D20" i="6"/>
  <c r="E18" i="6"/>
  <c r="D18" i="6"/>
  <c r="H21" i="6"/>
  <c r="C8" i="6"/>
  <c r="D11" i="6"/>
  <c r="G23" i="6"/>
  <c r="C22" i="6"/>
  <c r="I12" i="6"/>
  <c r="D10" i="6"/>
  <c r="F9" i="6"/>
  <c r="E8" i="6"/>
  <c r="F23" i="6"/>
  <c r="E20" i="6"/>
  <c r="F21" i="6"/>
  <c r="D23" i="6"/>
  <c r="C23" i="6"/>
  <c r="G19" i="6"/>
  <c r="C50" i="3"/>
  <c r="H19" i="6"/>
  <c r="H7" i="6"/>
  <c r="H18" i="6"/>
  <c r="E19" i="6"/>
  <c r="E21" i="6"/>
  <c r="F20" i="6"/>
  <c r="D19" i="6"/>
  <c r="G22" i="6"/>
  <c r="D7" i="6"/>
  <c r="I7" i="6"/>
  <c r="F12" i="6"/>
  <c r="C11" i="6"/>
  <c r="F13" i="6"/>
  <c r="I10" i="6"/>
  <c r="D13" i="6"/>
  <c r="D9" i="6"/>
  <c r="G24" i="6"/>
  <c r="D12" i="6"/>
  <c r="D24" i="6"/>
  <c r="E12" i="6"/>
  <c r="E9" i="6"/>
  <c r="H22" i="6"/>
  <c r="C21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D16" i="1"/>
  <c r="C10" i="1"/>
  <c r="C12" i="1" s="1"/>
  <c r="C11" i="1" s="1"/>
</calcChain>
</file>

<file path=xl/sharedStrings.xml><?xml version="1.0" encoding="utf-8"?>
<sst xmlns="http://schemas.openxmlformats.org/spreadsheetml/2006/main" count="385" uniqueCount="222">
  <si>
    <t>DISCLAIMER: This is a sample analysis for demonstration purposes only. It does not constitute investment advice.</t>
  </si>
  <si>
    <t>DMW Corporation (6365.T)</t>
  </si>
  <si>
    <t>Equity Research Report</t>
  </si>
  <si>
    <t>Company</t>
  </si>
  <si>
    <t>DMW Corporation</t>
  </si>
  <si>
    <t>Ticker</t>
  </si>
  <si>
    <t>6365.T (TSE Prime)</t>
  </si>
  <si>
    <t>Sector</t>
  </si>
  <si>
    <t>Machinery - Pumps &amp; Blowers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</si>
  <si>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</si>
  <si>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</si>
  <si>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</si>
  <si>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</si>
  <si>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</si>
  <si>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</si>
  <si>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</si>
  <si>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</si>
  <si>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</si>
  <si>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</si>
  <si>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</si>
  <si>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</si>
  <si>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</si>
  <si>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</si>
  <si>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DeROs energy recovery device achieves world-leading 99.7% efficiency, positioning DMW for Middle East/India desalination demand growth</t>
  </si>
  <si>
    <t>2. India plant expansion enables overseas shipment of large high-pressure pumps, lifting export revenue mix</t>
  </si>
  <si>
    <t>3. METI Energy Conservation Grand Prize win reinforces technology brand and strengthens public-sector competitive moat</t>
  </si>
  <si>
    <t>4. Stable domestic public-sector backlog (water/sewage/power) provides defensive base while overseas grows</t>
  </si>
  <si>
    <t>Key Risks</t>
  </si>
  <si>
    <t>1. Middle East geopolitical risk could freeze plant projects, delaying DeROs revenue recognition</t>
  </si>
  <si>
    <t>2. Q4-skewed revenue recognition creates large quarterly earnings volatility</t>
  </si>
  <si>
    <t>3. FX (yen appreciation) compresses overseas margins given JPY-denominated cost base</t>
  </si>
  <si>
    <t>4. Domestic public-investment cuts would directly hit ~46% of revenue from government tenders</t>
  </si>
  <si>
    <t>DMW Corporation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</si>
  <si>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</si>
  <si>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</si>
  <si>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</si>
  <si>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</si>
  <si>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</si>
  <si>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</si>
  <si>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</si>
  <si>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</si>
  <si>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</si>
  <si>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</si>
  <si>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</si>
  <si>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</si>
  <si>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</si>
  <si>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</si>
  <si>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</si>
  <si>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</si>
  <si>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</si>
  <si>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</si>
  <si>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</si>
  <si>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</si>
  <si>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</si>
  <si>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</si>
  <si>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</si>
  <si>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</si>
  <si>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</si>
  <si>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</si>
  <si>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</si>
  <si>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</si>
  <si>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</si>
  <si>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DMW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</si>
  <si>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</si>
  <si>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</si>
  <si>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</si>
  <si>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</si>
  <si>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</si>
  <si>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</si>
  <si>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</si>
  <si>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</si>
  <si>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</si>
  <si>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</si>
  <si>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</si>
  <si>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</si>
  <si>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</si>
  <si>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</si>
  <si>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</si>
  <si>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</si>
  <si>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</si>
  <si>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</si>
  <si>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</si>
  <si>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</si>
  <si>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</si>
  <si>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</si>
  <si>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</si>
  <si>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</si>
  <si>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</si>
  <si>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</si>
  <si>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</si>
  <si>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</si>
  <si>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</si>
  <si>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</si>
  <si>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</si>
  <si>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</si>
  <si>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</si>
  <si>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</si>
  <si>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</si>
  <si>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</si>
  <si>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</si>
  <si>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</si>
  <si>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</si>
  <si>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</si>
  <si>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</si>
  <si>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</si>
  <si>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</si>
  <si>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</si>
  <si>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</si>
  <si>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</si>
  <si>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</si>
  <si>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</si>
  <si>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</si>
  <si>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</si>
  <si>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</si>
  <si>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</si>
  <si>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</si>
  <si>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</si>
  <si>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DMW Corporation</t>
  </si>
  <si>
    <t>Working Capital Drivers (Days)</t>
  </si>
  <si>
    <t>Base Year</t>
  </si>
  <si>
    <t>Trade Receivables Days</t>
  </si>
  <si>
    <t>Contract Assets Days</t>
  </si>
  <si>
    <t>Inventory Days</t>
  </si>
  <si>
    <t>Other Current Assets Days</t>
  </si>
  <si>
    <t>Trade Payables Days</t>
  </si>
  <si>
    <t>Contract Liabilities Days</t>
  </si>
  <si>
    <t>Other Current Liabilities Days</t>
  </si>
  <si>
    <t>P&amp;L Reference (JPY mn)</t>
  </si>
  <si>
    <t>Working Capital Items (JPY mn)</t>
  </si>
  <si>
    <t>Trade Receivables</t>
  </si>
  <si>
    <t>Contract Assets</t>
  </si>
  <si>
    <t>Inventory</t>
  </si>
  <si>
    <t>Other Current Assets</t>
  </si>
  <si>
    <t>Total Current Assets</t>
  </si>
  <si>
    <t>Trade Payables</t>
  </si>
  <si>
    <t>Contract Liabilities</t>
  </si>
  <si>
    <t>Other Current Liabilities</t>
  </si>
  <si>
    <t>Total Current Liabilities</t>
  </si>
  <si>
    <t>Net Working Capital (JPY mn)</t>
  </si>
  <si>
    <t>Net Working Capital</t>
  </si>
  <si>
    <t>Scenario Input Matrix (Working Capital Days)</t>
  </si>
  <si>
    <t>Upside</t>
  </si>
  <si>
    <t>Management</t>
  </si>
  <si>
    <t>Downside 1</t>
  </si>
  <si>
    <t>Downside 2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</si>
  <si>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</si>
  <si>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</si>
  <si>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</si>
  <si>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</si>
  <si>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</si>
  <si>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</si>
  <si>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</si>
  <si>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</si>
  <si>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</si>
  <si>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</si>
  <si>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</si>
  <si>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</si>
  <si>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</si>
  <si>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Torishima Pump Mfg. Co., Ltd.</t>
  </si>
  <si>
    <t>6363.T</t>
  </si>
  <si>
    <t>Tsurumi Manufacturing Co., Ltd.</t>
  </si>
  <si>
    <t>6351.T</t>
  </si>
  <si>
    <t>Iwaki Co., Ltd.</t>
  </si>
  <si>
    <t>6237.T</t>
  </si>
  <si>
    <t>Maezawa Industries, Inc.</t>
  </si>
  <si>
    <t>6489.T</t>
  </si>
  <si>
    <t>Kaji Technology Corporation</t>
  </si>
  <si>
    <t>6391.T</t>
  </si>
  <si>
    <t>Statistics</t>
  </si>
  <si>
    <t>25th Percentile</t>
  </si>
  <si>
    <t>Median (50th)</t>
  </si>
  <si>
    <t>75th Percentile</t>
  </si>
  <si>
    <t>Implied Valuation for DMW Corporation</t>
  </si>
  <si>
    <t>DMW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</si>
  <si>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</si>
  <si>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</si>
  <si>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</si>
  <si>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</si>
  <si>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</si>
  <si>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</si>
  <si>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</si>
  <si>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</si>
  <si>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</si>
  <si>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</si>
  <si>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</si>
  <si>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</si>
  <si>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</si>
  <si>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</si>
  <si>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</si>
  <si>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DMW Corporation</t>
  </si>
  <si>
    <t>FY2026</t>
  </si>
  <si>
    <t>Public Sector (Pumps &amp; Blowers) (官需部門（ポンプ・送風機）)</t>
  </si>
  <si>
    <t>—</t>
  </si>
  <si>
    <t>Operating Profit</t>
  </si>
  <si>
    <t>OP Margin</t>
  </si>
  <si>
    <t>Private Sector (Industrial Pumps &amp; Blowers) (民需部門（産業用ポンプ・送風機）)</t>
  </si>
  <si>
    <t>Overseas &amp; Desalination (DeROs + Export) (海外・淡水化部門（DeROs・輸出）)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</si>
  <si>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</si>
  <si>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</si>
  <si>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</si>
  <si>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</si>
  <si>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</si>
  <si>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</si>
  <si>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</si>
  <si>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</si>
  <si>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</si>
  <si>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Public Sector (Pumps &amp; Blowers) - Revenue Growth (YoY)</t>
  </si>
  <si>
    <t>Public Sector (Pumps &amp; Blowers) - OP Margin</t>
  </si>
  <si>
    <t>Private Sector (Industrial Pumps &amp; Blowers) - Revenue Growth (YoY)</t>
  </si>
  <si>
    <t>Private Sector (Industrial Pumps &amp; Blowers) - OP Margin</t>
  </si>
  <si>
    <t>Overseas &amp; Desalination (DeROs + Export) - Revenue Growth (YoY)</t>
  </si>
  <si>
    <t>Overseas &amp; Desalination (DeROs + Export) - OP Margin</t>
  </si>
  <si>
    <t>Consolidated Inputs (連結レベル)</t>
  </si>
  <si>
    <t>Driver Analysis - DMW Corporation</t>
  </si>
  <si>
    <t>Public Sector (Pumps &amp; Blowers) (官需部門（ポンプ・送風機）) [backlog]</t>
  </si>
  <si>
    <t>Beginning Backlog</t>
  </si>
  <si>
    <t>+ New Orders</t>
  </si>
  <si>
    <t>- Revenue (Recognized)</t>
  </si>
  <si>
    <t>Ending Backlog</t>
  </si>
  <si>
    <t>Book-to-Bill</t>
  </si>
  <si>
    <t>Private Sector (Industrial Pumps &amp; Blowers) (民需部門（産業用ポンプ・送風機）) [backlog]</t>
  </si>
  <si>
    <t>Overseas &amp; Desalination (DeROs + Export) (海外・淡水化部門（DeROs・輸出）) [backlog]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</si>
</sst>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79" fontId="5" fillId="0" borderId="5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2"/>
  <sheetViews>
    <sheetView tabSelected="1" topLeftCell="A3" workbookViewId="0">
      <selection activeCell="E22" sqref="E22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5960</v>
      </c>
    </row>
    <row r="10" spans="2:5" ht="14" x14ac:dyDescent="0.3">
      <c r="B10" s="4" t="s">
        <v>10</v>
      </c>
      <c r="C10" s="5">
        <f>ROUND(AVERAGE(C16:C19),0)</f>
        <v>8203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0.37634228187919461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5882</v>
      </c>
      <c r="D16" s="7">
        <f>(C16-C9)/C9</f>
        <v>-1.3087248322147652E-2</v>
      </c>
    </row>
    <row r="17" spans="2:4" ht="13.5" x14ac:dyDescent="0.25">
      <c r="B17" t="s">
        <v>18</v>
      </c>
      <c r="C17" s="11">
        <f>'DCF Model'!C64</f>
        <v>9660</v>
      </c>
      <c r="D17" s="7">
        <f>(C17-C9)/C9</f>
        <v>0.62080536912751683</v>
      </c>
    </row>
    <row r="18" spans="2:4" ht="13.5" x14ac:dyDescent="0.25">
      <c r="B18" t="s">
        <v>19</v>
      </c>
      <c r="C18" s="11">
        <f>'Comps Analysis'!C27</f>
        <v>9772</v>
      </c>
      <c r="D18" s="7">
        <f>(C18-C9)/C9</f>
        <v>0.63959731543624165</v>
      </c>
    </row>
    <row r="19" spans="2:4" ht="13.5" x14ac:dyDescent="0.25">
      <c r="B19" t="s">
        <v>20</v>
      </c>
      <c r="C19" s="11">
        <f>'Comps Analysis'!C28</f>
        <v>7496</v>
      </c>
      <c r="D19" s="7">
        <f>(C19-C9)/C9</f>
        <v>0.25771812080536916</v>
      </c>
    </row>
    <row r="21" spans="2:4" ht="14" x14ac:dyDescent="0.3">
      <c r="B21" s="4" t="s">
        <v>21</v>
      </c>
      <c r="C21" s="6" t="str">
        <f>MIN(C16:C19)&amp;" - "&amp;MAX(C16:C19)</f>
        <v>5882 - 9772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7" spans="2:4" x14ac:dyDescent="0.2">
      <c r="B27" t="s">
        <v>26</v>
      </c>
    </row>
    <row r="28" spans="2:4" ht="14" x14ac:dyDescent="0.3">
      <c r="B28" s="8" t="s">
        <v>27</v>
      </c>
      <c r="C28" s="9"/>
      <c r="D28" s="9"/>
    </row>
    <row r="29" spans="2:4" x14ac:dyDescent="0.2">
      <c r="B29" t="s">
        <v>28</v>
      </c>
    </row>
    <row r="30" spans="2:4" x14ac:dyDescent="0.2">
      <c r="B30" t="s">
        <v>29</v>
      </c>
    </row>
    <row r="31" spans="2:4" x14ac:dyDescent="0.2">
      <c r="B31" t="s">
        <v>30</v>
      </c>
    </row>
    <row r="32" spans="2:4" x14ac:dyDescent="0.2">
      <c r="B32" t="s">
        <v>31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32</v>
      </c>
    </row>
    <row r="4" spans="2:8" ht="14" x14ac:dyDescent="0.3">
      <c r="C4" s="10" t="s">
        <v>33</v>
      </c>
      <c r="D4" s="10" t="s">
        <v>34</v>
      </c>
      <c r="E4" s="10" t="s">
        <v>35</v>
      </c>
      <c r="F4" s="10" t="s">
        <v>36</v>
      </c>
      <c r="G4" s="10" t="s">
        <v>37</v>
      </c>
      <c r="H4" s="10" t="s">
        <v>38</v>
      </c>
    </row>
    <row r="5" spans="2:8" ht="14" x14ac:dyDescent="0.3">
      <c r="B5" s="3" t="s">
        <v>39</v>
      </c>
    </row>
    <row r="6" spans="2:8" ht="14" x14ac:dyDescent="0.3">
      <c r="B6" s="4" t="s">
        <v>40</v>
      </c>
      <c r="C6" s="5">
        <v>19674</v>
      </c>
      <c r="D6" s="5">
        <v>21750</v>
      </c>
      <c r="E6" s="5">
        <v>22820</v>
      </c>
      <c r="F6" s="5">
        <v>23874</v>
      </c>
      <c r="G6" s="5">
        <v>24096</v>
      </c>
      <c r="H6" s="5">
        <v>28077</v>
      </c>
    </row>
    <row r="7" spans="2:8" ht="14" x14ac:dyDescent="0.3">
      <c r="B7" s="4" t="s">
        <v>41</v>
      </c>
      <c r="C7" s="5">
        <v>14934</v>
      </c>
      <c r="D7" s="5">
        <v>16112</v>
      </c>
      <c r="E7" s="5">
        <v>17099</v>
      </c>
      <c r="F7" s="5">
        <v>17950</v>
      </c>
      <c r="G7" s="5">
        <v>18111</v>
      </c>
      <c r="H7" s="5">
        <v>20750</v>
      </c>
    </row>
    <row r="8" spans="2:8" ht="14" x14ac:dyDescent="0.3">
      <c r="B8" s="4" t="s">
        <v>42</v>
      </c>
      <c r="C8" s="5">
        <f t="shared" ref="C8:H8" si="0">C6-C7</f>
        <v>4740</v>
      </c>
      <c r="D8" s="5">
        <f t="shared" si="0"/>
        <v>5638</v>
      </c>
      <c r="E8" s="5">
        <f t="shared" si="0"/>
        <v>5721</v>
      </c>
      <c r="F8" s="5">
        <f t="shared" si="0"/>
        <v>5924</v>
      </c>
      <c r="G8" s="5">
        <f t="shared" si="0"/>
        <v>5985</v>
      </c>
      <c r="H8" s="5">
        <f t="shared" si="0"/>
        <v>7327</v>
      </c>
    </row>
    <row r="9" spans="2:8" ht="13.5" x14ac:dyDescent="0.25">
      <c r="B9" t="s">
        <v>43</v>
      </c>
      <c r="C9" s="7">
        <f t="shared" ref="C9:H9" si="1">C8/C6</f>
        <v>0.24092711192436719</v>
      </c>
      <c r="D9" s="7">
        <f t="shared" si="1"/>
        <v>0.25921839080459769</v>
      </c>
      <c r="E9" s="7">
        <f t="shared" si="1"/>
        <v>0.25070113935144611</v>
      </c>
      <c r="F9" s="7">
        <f t="shared" si="1"/>
        <v>0.24813604758314484</v>
      </c>
      <c r="G9" s="7">
        <f t="shared" si="1"/>
        <v>0.24838147410358566</v>
      </c>
      <c r="H9" s="7">
        <f t="shared" si="1"/>
        <v>0.26096092887416744</v>
      </c>
    </row>
    <row r="10" spans="2:8" ht="14" x14ac:dyDescent="0.3">
      <c r="B10" s="4" t="s">
        <v>44</v>
      </c>
      <c r="C10" s="5">
        <v>3013</v>
      </c>
      <c r="D10" s="5">
        <v>3090</v>
      </c>
      <c r="E10" s="5">
        <v>3294</v>
      </c>
      <c r="F10" s="5">
        <v>3378</v>
      </c>
      <c r="G10" s="5">
        <v>3700</v>
      </c>
      <c r="H10" s="5">
        <v>4091</v>
      </c>
    </row>
    <row r="11" spans="2:8" ht="14" x14ac:dyDescent="0.3">
      <c r="B11" s="4" t="s">
        <v>45</v>
      </c>
      <c r="C11" s="5">
        <v>1725</v>
      </c>
      <c r="D11" s="5">
        <v>2547</v>
      </c>
      <c r="E11" s="5">
        <v>2425</v>
      </c>
      <c r="F11" s="5">
        <v>2545</v>
      </c>
      <c r="G11" s="5">
        <v>2283</v>
      </c>
      <c r="H11" s="5">
        <v>3235</v>
      </c>
    </row>
    <row r="12" spans="2:8" ht="14" x14ac:dyDescent="0.3">
      <c r="B12" s="4" t="s">
        <v>46</v>
      </c>
      <c r="C12" s="5">
        <v>1271</v>
      </c>
      <c r="D12" s="5">
        <v>2003</v>
      </c>
      <c r="E12" s="5">
        <v>1877</v>
      </c>
      <c r="F12" s="5">
        <v>1871</v>
      </c>
      <c r="G12" s="5">
        <v>1750</v>
      </c>
      <c r="H12" s="5">
        <v>2426</v>
      </c>
    </row>
    <row r="13" spans="2:8" ht="13.5" x14ac:dyDescent="0.25">
      <c r="B13" t="s">
        <v>47</v>
      </c>
      <c r="C13" s="7">
        <f t="shared" ref="C13:H13" si="2">C11/C6</f>
        <v>8.7679170478804511E-2</v>
      </c>
      <c r="D13" s="7">
        <f t="shared" si="2"/>
        <v>0.11710344827586207</v>
      </c>
      <c r="E13" s="7">
        <f t="shared" si="2"/>
        <v>0.10626643295354951</v>
      </c>
      <c r="F13" s="7">
        <f t="shared" si="2"/>
        <v>0.10660132361564882</v>
      </c>
      <c r="G13" s="7">
        <f t="shared" si="2"/>
        <v>9.4746015936254979E-2</v>
      </c>
      <c r="H13" s="7">
        <f t="shared" si="2"/>
        <v>0.11521886241407558</v>
      </c>
    </row>
    <row r="14" spans="2:8" ht="13.5" x14ac:dyDescent="0.25">
      <c r="B14" t="s">
        <v>48</v>
      </c>
      <c r="C14" s="7">
        <f t="shared" ref="C14:H14" si="3">C12/C6</f>
        <v>6.4603029378875673E-2</v>
      </c>
      <c r="D14" s="7">
        <f t="shared" si="3"/>
        <v>9.2091954022988504E-2</v>
      </c>
      <c r="E14" s="7">
        <f t="shared" si="3"/>
        <v>8.2252410166520601E-2</v>
      </c>
      <c r="F14" s="7">
        <f t="shared" si="3"/>
        <v>7.8369774650247137E-2</v>
      </c>
      <c r="G14" s="7">
        <f t="shared" si="3"/>
        <v>7.2626162018592302E-2</v>
      </c>
      <c r="H14" s="7">
        <f t="shared" si="3"/>
        <v>8.6405242725362402E-2</v>
      </c>
    </row>
    <row r="15" spans="2:8" ht="13.5" x14ac:dyDescent="0.25">
      <c r="B15" t="s">
        <v>49</v>
      </c>
      <c r="C15" t="s">
        <v>50</v>
      </c>
      <c r="D15" s="7">
        <f>(D6-C6)/C6</f>
        <v>0.10551997560231778</v>
      </c>
      <c r="E15" s="7">
        <f>(E6-D6)/D6</f>
        <v>4.9195402298850575E-2</v>
      </c>
      <c r="F15" s="7">
        <f>(F6-E6)/E6</f>
        <v>4.6187554776511833E-2</v>
      </c>
      <c r="G15" s="7">
        <f>(G6-F6)/F6</f>
        <v>9.2988187986931398E-3</v>
      </c>
      <c r="H15" s="7">
        <f>(H6-G6)/G6</f>
        <v>0.16521414342629481</v>
      </c>
    </row>
    <row r="16" spans="2:8" ht="13.5" x14ac:dyDescent="0.25">
      <c r="B16" t="s">
        <v>51</v>
      </c>
      <c r="C16" t="s">
        <v>50</v>
      </c>
      <c r="D16" s="7">
        <f>(D11-C11)/C11</f>
        <v>0.47652173913043477</v>
      </c>
      <c r="E16" s="7">
        <f>(E11-D11)/D11</f>
        <v>-4.7899489595602668E-2</v>
      </c>
      <c r="F16" s="7">
        <f>(F11-E11)/E11</f>
        <v>4.9484536082474224E-2</v>
      </c>
      <c r="G16" s="7">
        <f>(G11-F11)/F11</f>
        <v>-0.10294695481335953</v>
      </c>
      <c r="H16" s="7">
        <f>(H11-G11)/G11</f>
        <v>0.41699518177836181</v>
      </c>
    </row>
    <row r="18" spans="2:8" ht="14" x14ac:dyDescent="0.3">
      <c r="B18" s="3" t="s">
        <v>52</v>
      </c>
    </row>
    <row r="19" spans="2:8" ht="14" x14ac:dyDescent="0.3">
      <c r="B19" s="4" t="s">
        <v>53</v>
      </c>
      <c r="C19" s="5">
        <v>652</v>
      </c>
      <c r="D19" s="5">
        <v>1298</v>
      </c>
      <c r="E19" s="5">
        <v>162</v>
      </c>
      <c r="F19" s="5">
        <v>1573</v>
      </c>
      <c r="G19" s="5">
        <v>730</v>
      </c>
      <c r="H19" s="5">
        <v>2109</v>
      </c>
    </row>
    <row r="20" spans="2:8" ht="14" x14ac:dyDescent="0.3">
      <c r="B20" s="4" t="s">
        <v>54</v>
      </c>
      <c r="C20" s="5">
        <v>620</v>
      </c>
      <c r="D20" s="5">
        <v>648</v>
      </c>
      <c r="E20" s="5">
        <v>556</v>
      </c>
      <c r="F20" s="5">
        <v>848</v>
      </c>
      <c r="G20" s="5">
        <v>682</v>
      </c>
      <c r="H20" s="5">
        <v>560</v>
      </c>
    </row>
    <row r="21" spans="2:8" ht="14" x14ac:dyDescent="0.3">
      <c r="B21" s="4" t="s">
        <v>55</v>
      </c>
      <c r="C21" s="5">
        <f t="shared" ref="C21:H21" si="4">C19-C20</f>
        <v>32</v>
      </c>
      <c r="D21" s="5">
        <f t="shared" si="4"/>
        <v>650</v>
      </c>
      <c r="E21" s="5">
        <f t="shared" si="4"/>
        <v>-394</v>
      </c>
      <c r="F21" s="5">
        <f t="shared" si="4"/>
        <v>725</v>
      </c>
      <c r="G21" s="5">
        <f t="shared" si="4"/>
        <v>48</v>
      </c>
      <c r="H21" s="5">
        <f t="shared" si="4"/>
        <v>1549</v>
      </c>
    </row>
    <row r="22" spans="2:8" ht="13.5" x14ac:dyDescent="0.25">
      <c r="B22" t="s">
        <v>56</v>
      </c>
      <c r="C22" s="7">
        <f t="shared" ref="C22:H22" si="5">C21/C6</f>
        <v>1.6265121480126055E-3</v>
      </c>
      <c r="D22" s="7">
        <f t="shared" si="5"/>
        <v>2.9885057471264367E-2</v>
      </c>
      <c r="E22" s="7">
        <f t="shared" si="5"/>
        <v>-1.726555652936021E-2</v>
      </c>
      <c r="F22" s="7">
        <f t="shared" si="5"/>
        <v>3.0367764094831197E-2</v>
      </c>
      <c r="G22" s="7">
        <f t="shared" si="5"/>
        <v>1.9920318725099601E-3</v>
      </c>
      <c r="H22" s="7">
        <f t="shared" si="5"/>
        <v>5.5169711863803116E-2</v>
      </c>
    </row>
    <row r="23" spans="2:8" ht="13.5" x14ac:dyDescent="0.25">
      <c r="B23" t="s">
        <v>57</v>
      </c>
      <c r="C23" s="7">
        <f t="shared" ref="C23:H23" si="6">C20/C6</f>
        <v>3.151367286774423E-2</v>
      </c>
      <c r="D23" s="7">
        <f t="shared" si="6"/>
        <v>2.9793103448275862E-2</v>
      </c>
      <c r="E23" s="7">
        <f t="shared" si="6"/>
        <v>2.4364592462751973E-2</v>
      </c>
      <c r="F23" s="7">
        <f t="shared" si="6"/>
        <v>3.5519812348161178E-2</v>
      </c>
      <c r="G23" s="7">
        <f t="shared" si="6"/>
        <v>2.8303452855245683E-2</v>
      </c>
      <c r="H23" s="7">
        <f t="shared" si="6"/>
        <v>1.994515083520319E-2</v>
      </c>
    </row>
    <row r="25" spans="2:8" ht="14" x14ac:dyDescent="0.3">
      <c r="B25" s="3" t="s">
        <v>58</v>
      </c>
    </row>
    <row r="26" spans="2:8" ht="14" x14ac:dyDescent="0.3">
      <c r="B26" s="4" t="s">
        <v>59</v>
      </c>
      <c r="C26" s="5">
        <v>7326</v>
      </c>
      <c r="D26" s="5">
        <v>7005</v>
      </c>
      <c r="E26" s="5">
        <v>5885</v>
      </c>
      <c r="F26" s="5">
        <v>6036</v>
      </c>
      <c r="G26" s="5">
        <v>6099</v>
      </c>
      <c r="H26" s="5">
        <v>6515</v>
      </c>
    </row>
    <row r="27" spans="2:8" ht="14" x14ac:dyDescent="0.3">
      <c r="B27" s="4" t="s">
        <v>60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ht="14" x14ac:dyDescent="0.3">
      <c r="B28" s="4" t="s">
        <v>61</v>
      </c>
      <c r="C28" s="5">
        <f t="shared" ref="C28:H28" si="7">C27-C26</f>
        <v>-7326</v>
      </c>
      <c r="D28" s="5">
        <f t="shared" si="7"/>
        <v>-7005</v>
      </c>
      <c r="E28" s="5">
        <f t="shared" si="7"/>
        <v>-5885</v>
      </c>
      <c r="F28" s="5">
        <f t="shared" si="7"/>
        <v>-6036</v>
      </c>
      <c r="G28" s="5">
        <f t="shared" si="7"/>
        <v>-6099</v>
      </c>
      <c r="H28" s="5">
        <f t="shared" si="7"/>
        <v>-6515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opLeftCell="A2" workbookViewId="0">
      <selection activeCell="F16" sqref="F16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62</v>
      </c>
    </row>
    <row r="4" spans="2:7" ht="14" x14ac:dyDescent="0.3">
      <c r="B4" s="8" t="s">
        <v>63</v>
      </c>
      <c r="C4" s="9"/>
      <c r="D4" s="9"/>
      <c r="E4" s="9"/>
      <c r="F4" s="9"/>
      <c r="G4" s="9"/>
    </row>
    <row r="5" spans="2:7" ht="14" x14ac:dyDescent="0.3">
      <c r="B5" s="4" t="s">
        <v>57</v>
      </c>
      <c r="C5" s="7">
        <v>0.03</v>
      </c>
    </row>
    <row r="6" spans="2:7" ht="14" x14ac:dyDescent="0.3">
      <c r="B6" s="4" t="s">
        <v>64</v>
      </c>
      <c r="C6" s="7">
        <v>0.30620000000000003</v>
      </c>
    </row>
    <row r="7" spans="2:7" ht="14" x14ac:dyDescent="0.3">
      <c r="B7" s="4" t="s">
        <v>65</v>
      </c>
      <c r="C7" s="7">
        <v>2.3E-2</v>
      </c>
    </row>
    <row r="8" spans="2:7" ht="14" x14ac:dyDescent="0.3">
      <c r="B8" s="4" t="s">
        <v>66</v>
      </c>
      <c r="C8" s="12">
        <v>0.95</v>
      </c>
    </row>
    <row r="9" spans="2:7" ht="14" x14ac:dyDescent="0.3">
      <c r="B9" s="4" t="s">
        <v>67</v>
      </c>
      <c r="C9" s="7">
        <v>0.06</v>
      </c>
    </row>
    <row r="10" spans="2:7" ht="14" x14ac:dyDescent="0.3">
      <c r="B10" s="4" t="s">
        <v>68</v>
      </c>
      <c r="C10" s="7">
        <v>0.04</v>
      </c>
    </row>
    <row r="11" spans="2:7" ht="14" x14ac:dyDescent="0.3">
      <c r="B11" s="4" t="s">
        <v>69</v>
      </c>
      <c r="C11" s="7">
        <v>8.0000000000000002E-3</v>
      </c>
    </row>
    <row r="12" spans="2:7" ht="14" x14ac:dyDescent="0.3">
      <c r="B12" s="4" t="s">
        <v>70</v>
      </c>
      <c r="C12" s="13">
        <v>0</v>
      </c>
    </row>
    <row r="13" spans="2:7" ht="14" x14ac:dyDescent="0.3">
      <c r="B13" s="4" t="s">
        <v>71</v>
      </c>
      <c r="C13" s="7">
        <v>0.02</v>
      </c>
    </row>
    <row r="14" spans="2:7" ht="14" x14ac:dyDescent="0.3">
      <c r="B14" s="4" t="s">
        <v>72</v>
      </c>
      <c r="C14" s="14">
        <v>8.5</v>
      </c>
    </row>
    <row r="15" spans="2:7" ht="14" x14ac:dyDescent="0.3">
      <c r="B15" s="4" t="s">
        <v>73</v>
      </c>
      <c r="C15" s="15">
        <v>4144556</v>
      </c>
    </row>
    <row r="16" spans="2:7" ht="14" x14ac:dyDescent="0.3">
      <c r="B16" s="4" t="s">
        <v>74</v>
      </c>
      <c r="C16" s="5">
        <v>-6515</v>
      </c>
    </row>
    <row r="17" spans="2:7" ht="14" x14ac:dyDescent="0.3">
      <c r="B17" s="4" t="s">
        <v>75</v>
      </c>
      <c r="C17" s="5">
        <v>28077</v>
      </c>
    </row>
    <row r="18" spans="2:7" ht="14" x14ac:dyDescent="0.3">
      <c r="B18" s="4" t="s">
        <v>76</v>
      </c>
      <c r="C18" s="7">
        <v>2.5000000000000001E-2</v>
      </c>
    </row>
    <row r="19" spans="2:7" ht="14" x14ac:dyDescent="0.3">
      <c r="B19" s="4" t="s">
        <v>77</v>
      </c>
      <c r="C19" s="12">
        <v>0.5</v>
      </c>
    </row>
    <row r="20" spans="2:7" ht="14" x14ac:dyDescent="0.3">
      <c r="B20" s="4" t="s">
        <v>78</v>
      </c>
      <c r="C20" s="5">
        <v>30148</v>
      </c>
    </row>
    <row r="22" spans="2:7" ht="14" x14ac:dyDescent="0.3">
      <c r="B22" s="8" t="s">
        <v>79</v>
      </c>
      <c r="C22" s="9"/>
      <c r="D22" s="9"/>
      <c r="E22" s="9"/>
      <c r="F22" s="9"/>
      <c r="G22" s="9"/>
    </row>
    <row r="23" spans="2:7" ht="14" x14ac:dyDescent="0.3">
      <c r="B23" s="4" t="s">
        <v>80</v>
      </c>
      <c r="C23" s="16">
        <f>C7+C8*C9+C10</f>
        <v>0.12</v>
      </c>
    </row>
    <row r="24" spans="2:7" ht="14" x14ac:dyDescent="0.3">
      <c r="B24" s="4" t="s">
        <v>81</v>
      </c>
      <c r="C24" s="16">
        <f>1/(1+C12)</f>
        <v>1</v>
      </c>
    </row>
    <row r="25" spans="2:7" ht="14" x14ac:dyDescent="0.3">
      <c r="B25" s="4" t="s">
        <v>82</v>
      </c>
      <c r="C25" s="16">
        <f>C12/(1+C12)</f>
        <v>0</v>
      </c>
    </row>
    <row r="26" spans="2:7" ht="14" x14ac:dyDescent="0.3">
      <c r="B26" s="4" t="s">
        <v>83</v>
      </c>
      <c r="C26" s="16">
        <f>C23*C24+C11*C25</f>
        <v>0.12</v>
      </c>
    </row>
    <row r="27" spans="2:7" ht="14" x14ac:dyDescent="0.3">
      <c r="B27" s="4" t="s">
        <v>84</v>
      </c>
      <c r="C27" s="17" t="s">
        <v>85</v>
      </c>
      <c r="D27" s="6">
        <f>MATCH(C27,{"Base","Upside","Management","Downside 1","Downside 2"},0)</f>
        <v>1</v>
      </c>
    </row>
    <row r="28" spans="2:7" ht="14" x14ac:dyDescent="0.3">
      <c r="B28" s="8" t="s">
        <v>86</v>
      </c>
      <c r="C28" s="9"/>
      <c r="D28" s="9"/>
      <c r="E28" s="9"/>
      <c r="F28" s="9"/>
      <c r="G28" s="9"/>
    </row>
    <row r="29" spans="2:7" ht="14" x14ac:dyDescent="0.3">
      <c r="C29" s="10" t="s">
        <v>87</v>
      </c>
      <c r="D29" s="10" t="s">
        <v>88</v>
      </c>
      <c r="E29" s="10" t="s">
        <v>89</v>
      </c>
      <c r="F29" s="10" t="s">
        <v>90</v>
      </c>
      <c r="G29" s="10" t="s">
        <v>91</v>
      </c>
    </row>
    <row r="30" spans="2:7" ht="14" x14ac:dyDescent="0.3">
      <c r="B30" s="4" t="s">
        <v>49</v>
      </c>
      <c r="C30" s="18">
        <f>(C33/C17)-1</f>
        <v>3.6400256437653766E-2</v>
      </c>
      <c r="D30" s="18">
        <f>(D33/C33)-1</f>
        <v>4.6964845195764493E-2</v>
      </c>
      <c r="E30" s="18">
        <f>(E33/D33)-1</f>
        <v>5.578072558494207E-2</v>
      </c>
      <c r="F30" s="18">
        <f>(F33/E33)-1</f>
        <v>6.4795007650750414E-2</v>
      </c>
      <c r="G30" s="18">
        <f>(G33/F33)-1</f>
        <v>5.8962666374089645E-2</v>
      </c>
    </row>
    <row r="31" spans="2:7" ht="14" x14ac:dyDescent="0.3">
      <c r="B31" s="4" t="s">
        <v>92</v>
      </c>
      <c r="C31" s="18">
        <f>IFERROR(C34/C33,0)</f>
        <v>0.7322344883898112</v>
      </c>
      <c r="D31" s="18">
        <f>IFERROR(D34/D33,0)</f>
        <v>0.72765981827954684</v>
      </c>
      <c r="E31" s="18">
        <f>IFERROR(E34/E33,0)</f>
        <v>0.72389908729966224</v>
      </c>
      <c r="F31" s="18">
        <f>IFERROR(F34/F33,0)</f>
        <v>0.71897530031290613</v>
      </c>
      <c r="G31" s="18">
        <f>IFERROR(G34/G33,0)</f>
        <v>0.71710428525591918</v>
      </c>
    </row>
    <row r="32" spans="2:7" ht="14" x14ac:dyDescent="0.3">
      <c r="B32" s="4" t="s">
        <v>93</v>
      </c>
      <c r="C32" s="18">
        <f>CHOOSE($D$27,'Segment Analysis'!G79,'Segment Analysis'!G80,'Segment Analysis'!G81,'Segment Analysis'!G82,'Segment Analysis'!G83)</f>
        <v>0.16</v>
      </c>
      <c r="D32" s="18">
        <f>CHOOSE($D$27,'Segment Analysis'!H79,'Segment Analysis'!H80,'Segment Analysis'!H81,'Segment Analysis'!H82,'Segment Analysis'!H83)</f>
        <v>0.16</v>
      </c>
      <c r="E32" s="18">
        <f>CHOOSE($D$27,'Segment Analysis'!I79,'Segment Analysis'!I80,'Segment Analysis'!I81,'Segment Analysis'!I82,'Segment Analysis'!I83)</f>
        <v>0.16</v>
      </c>
      <c r="F32" s="18">
        <f>CHOOSE($D$27,'Segment Analysis'!J79,'Segment Analysis'!J80,'Segment Analysis'!J81,'Segment Analysis'!J82,'Segment Analysis'!J83)</f>
        <v>0.16</v>
      </c>
      <c r="G32" s="18">
        <f>CHOOSE($D$27,'Segment Analysis'!K79,'Segment Analysis'!K80,'Segment Analysis'!K81,'Segment Analysis'!K82,'Segment Analysis'!K83)</f>
        <v>0.16</v>
      </c>
    </row>
    <row r="33" spans="2:7" ht="14" x14ac:dyDescent="0.3">
      <c r="B33" s="4" t="s">
        <v>40</v>
      </c>
      <c r="C33" s="5">
        <f>'Segment Analysis'!G21</f>
        <v>29099.010000000002</v>
      </c>
      <c r="D33" s="5">
        <f>'Segment Analysis'!H21</f>
        <v>30465.640500000005</v>
      </c>
      <c r="E33" s="5">
        <f>'Segment Analysis'!I21</f>
        <v>32165.036032500004</v>
      </c>
      <c r="F33" s="5">
        <f>'Segment Analysis'!J21</f>
        <v>34249.169788312502</v>
      </c>
      <c r="G33" s="5">
        <f>'Segment Analysis'!K21</f>
        <v>36268.59216013032</v>
      </c>
    </row>
    <row r="34" spans="2:7" ht="14" x14ac:dyDescent="0.3">
      <c r="B34" s="4" t="s">
        <v>41</v>
      </c>
      <c r="C34" s="5">
        <f>C33-C37-C39</f>
        <v>21307.298700000003</v>
      </c>
      <c r="D34" s="5">
        <f>D33-D37-D39</f>
        <v>22168.622430000007</v>
      </c>
      <c r="E34" s="5">
        <f>E33-E37-E39</f>
        <v>23284.240226887501</v>
      </c>
      <c r="F34" s="5">
        <f>F33-F37-F39</f>
        <v>24624.307134019691</v>
      </c>
      <c r="G34" s="5">
        <f>G33-G37-G39</f>
        <v>26008.362858228687</v>
      </c>
    </row>
    <row r="35" spans="2:7" ht="14" x14ac:dyDescent="0.3">
      <c r="B35" s="4" t="s">
        <v>42</v>
      </c>
      <c r="C35" s="19">
        <f>C33-C34</f>
        <v>7791.711299999999</v>
      </c>
      <c r="D35" s="19">
        <f>D33-D34</f>
        <v>8297.0180699999983</v>
      </c>
      <c r="E35" s="19">
        <f>E33-E34</f>
        <v>8880.7958056125026</v>
      </c>
      <c r="F35" s="19">
        <f>F33-F34</f>
        <v>9624.8626542928105</v>
      </c>
      <c r="G35" s="19">
        <f>G33-G34</f>
        <v>10260.229301901632</v>
      </c>
    </row>
    <row r="36" spans="2:7" ht="14" x14ac:dyDescent="0.3">
      <c r="B36" s="4" t="s">
        <v>43</v>
      </c>
      <c r="C36" s="7">
        <f>C35/C33</f>
        <v>0.26776551161018874</v>
      </c>
      <c r="D36" s="7">
        <f>D35/D33</f>
        <v>0.27234018172045316</v>
      </c>
      <c r="E36" s="7">
        <f>E35/E33</f>
        <v>0.27610091270033776</v>
      </c>
      <c r="F36" s="7">
        <f>F35/F33</f>
        <v>0.28102469968709393</v>
      </c>
      <c r="G36" s="7">
        <f>G35/G33</f>
        <v>0.28289571474408082</v>
      </c>
    </row>
    <row r="37" spans="2:7" ht="14" x14ac:dyDescent="0.3">
      <c r="B37" s="4" t="s">
        <v>94</v>
      </c>
      <c r="C37" s="5">
        <f>C33*C32</f>
        <v>4655.8416000000007</v>
      </c>
      <c r="D37" s="5">
        <f>D33*D32</f>
        <v>4874.502480000001</v>
      </c>
      <c r="E37" s="5">
        <f>E33*E32</f>
        <v>5146.405765200001</v>
      </c>
      <c r="F37" s="5">
        <f>F33*F32</f>
        <v>5479.8671661300004</v>
      </c>
      <c r="G37" s="5">
        <f>G33*G32</f>
        <v>5802.9747456208515</v>
      </c>
    </row>
    <row r="38" spans="2:7" ht="14" x14ac:dyDescent="0.3">
      <c r="B38" s="4" t="s">
        <v>95</v>
      </c>
      <c r="C38" s="7">
        <f>C39/C33</f>
        <v>0.1077655116101888</v>
      </c>
      <c r="D38" s="7">
        <f>D39/D33</f>
        <v>0.11234018172045324</v>
      </c>
      <c r="E38" s="7">
        <f>E39/E33</f>
        <v>0.11610091270033772</v>
      </c>
      <c r="F38" s="7">
        <f>F39/F33</f>
        <v>0.12102469968709398</v>
      </c>
      <c r="G38" s="7">
        <f>G39/G33</f>
        <v>0.12289571474408087</v>
      </c>
    </row>
    <row r="39" spans="2:7" ht="14" x14ac:dyDescent="0.3">
      <c r="B39" s="4" t="s">
        <v>96</v>
      </c>
      <c r="C39" s="19">
        <f>'Segment Analysis'!G22</f>
        <v>3135.8697000000002</v>
      </c>
      <c r="D39" s="19">
        <f>'Segment Analysis'!H22</f>
        <v>3422.5155900000004</v>
      </c>
      <c r="E39" s="19">
        <f>'Segment Analysis'!I22</f>
        <v>3734.3900404125002</v>
      </c>
      <c r="F39" s="19">
        <f>'Segment Analysis'!J22</f>
        <v>4144.9954881628128</v>
      </c>
      <c r="G39" s="19">
        <f>'Segment Analysis'!K22</f>
        <v>4457.2545562807836</v>
      </c>
    </row>
    <row r="40" spans="2:7" ht="14" x14ac:dyDescent="0.3">
      <c r="B40" s="4" t="s">
        <v>97</v>
      </c>
      <c r="C40" s="5">
        <f>MAX(0,C39*C6)</f>
        <v>960.20330214000012</v>
      </c>
      <c r="D40" s="5">
        <f>MAX(0,D39*C6)</f>
        <v>1047.9742736580001</v>
      </c>
      <c r="E40" s="5">
        <f>MAX(0,E39*C6)</f>
        <v>1143.4702303743077</v>
      </c>
      <c r="F40" s="5">
        <f>MAX(0,F39*C6)</f>
        <v>1269.1976184754533</v>
      </c>
      <c r="G40" s="5">
        <f>MAX(0,G39*C6)</f>
        <v>1364.811345133176</v>
      </c>
    </row>
    <row r="41" spans="2:7" ht="14" x14ac:dyDescent="0.3">
      <c r="B41" s="4" t="s">
        <v>98</v>
      </c>
      <c r="C41" s="19">
        <f>C39-C40</f>
        <v>2175.66639786</v>
      </c>
      <c r="D41" s="19">
        <f>D39-D40</f>
        <v>2374.5413163420003</v>
      </c>
      <c r="E41" s="19">
        <f>E39-E40</f>
        <v>2590.9198100381927</v>
      </c>
      <c r="F41" s="19">
        <f>F39-F40</f>
        <v>2875.7978696873597</v>
      </c>
      <c r="G41" s="19">
        <f>G39-G40</f>
        <v>3092.4432111476076</v>
      </c>
    </row>
    <row r="42" spans="2:7" ht="14" x14ac:dyDescent="0.3">
      <c r="B42" s="4" t="s">
        <v>99</v>
      </c>
      <c r="C42" s="5">
        <f>C33*C18</f>
        <v>727.47525000000007</v>
      </c>
      <c r="D42" s="5">
        <f>D33*C18</f>
        <v>761.64101250000022</v>
      </c>
      <c r="E42" s="5">
        <f>E33*C18</f>
        <v>804.12590081250016</v>
      </c>
      <c r="F42" s="5">
        <f>F33*C18</f>
        <v>856.22924470781254</v>
      </c>
      <c r="G42" s="5">
        <f>G33*C18</f>
        <v>906.714804003258</v>
      </c>
    </row>
    <row r="43" spans="2:7" ht="14" x14ac:dyDescent="0.3">
      <c r="B43" s="4" t="s">
        <v>100</v>
      </c>
      <c r="C43" s="5">
        <f>C33*C5</f>
        <v>872.97030000000007</v>
      </c>
      <c r="D43" s="5">
        <f>D33*C5</f>
        <v>913.96921500000008</v>
      </c>
      <c r="E43" s="5">
        <f>E33*C5</f>
        <v>964.95108097500008</v>
      </c>
      <c r="F43" s="5">
        <f>F33*C5</f>
        <v>1027.4750936493749</v>
      </c>
      <c r="G43" s="5">
        <f>G33*C5</f>
        <v>1088.0577648039095</v>
      </c>
    </row>
    <row r="44" spans="2:7" ht="14" x14ac:dyDescent="0.3">
      <c r="B44" s="4" t="s">
        <v>101</v>
      </c>
      <c r="C44" s="5">
        <f>'NWC Schedule'!D30</f>
        <v>529.38170547945629</v>
      </c>
      <c r="D44" s="5">
        <f>'NWC Schedule'!E30</f>
        <v>700.98149794520214</v>
      </c>
      <c r="E44" s="5">
        <f>'NWC Schedule'!F30</f>
        <v>856.40270420291017</v>
      </c>
      <c r="F44" s="5">
        <f>'NWC Schedule'!G30</f>
        <v>1059.9211387797313</v>
      </c>
      <c r="G44" s="5">
        <f>'NWC Schedule'!H30</f>
        <v>997.69694623949181</v>
      </c>
    </row>
    <row r="45" spans="2:7" ht="14" x14ac:dyDescent="0.3">
      <c r="B45" s="4" t="s">
        <v>102</v>
      </c>
      <c r="C45" s="20">
        <f>C41+C42-C43-C44</f>
        <v>1500.7896423805437</v>
      </c>
      <c r="D45" s="20">
        <f>D41+D42-D43-D44</f>
        <v>1521.2316158967983</v>
      </c>
      <c r="E45" s="20">
        <f>E41+E42-E43-E44</f>
        <v>1573.6919256727829</v>
      </c>
      <c r="F45" s="20">
        <f>F41+F42-F43-F44</f>
        <v>1644.6308819660662</v>
      </c>
      <c r="G45" s="20">
        <f>G41+G42-G43-G44</f>
        <v>1913.4033041074645</v>
      </c>
    </row>
    <row r="46" spans="2:7" ht="14" x14ac:dyDescent="0.3">
      <c r="B46" s="4" t="s">
        <v>103</v>
      </c>
      <c r="C46" s="21">
        <f>1/(1+C26)^(C19+0)</f>
        <v>0.94491118252306794</v>
      </c>
      <c r="D46" s="21">
        <f>1/(1+C26)^(C19+1)</f>
        <v>0.84367069868131062</v>
      </c>
      <c r="E46" s="21">
        <f>1/(1+C26)^(C19+2)</f>
        <v>0.75327740953688449</v>
      </c>
      <c r="F46" s="21">
        <f>1/(1+C26)^(C19+3)</f>
        <v>0.67256911565793243</v>
      </c>
      <c r="G46" s="21">
        <f>1/(1+C26)^(C19+4)</f>
        <v>0.60050813898029676</v>
      </c>
    </row>
    <row r="47" spans="2:7" ht="14" x14ac:dyDescent="0.3">
      <c r="B47" s="4" t="s">
        <v>104</v>
      </c>
      <c r="C47" s="19">
        <f>C45*C46</f>
        <v>1418.1129157001717</v>
      </c>
      <c r="D47" s="19">
        <f>D45*D46</f>
        <v>1283.4185402397509</v>
      </c>
      <c r="E47" s="19">
        <f>E45*E46</f>
        <v>1185.4265771799053</v>
      </c>
      <c r="F47" s="19">
        <f>F45*F46</f>
        <v>1106.1279378676427</v>
      </c>
      <c r="G47" s="19">
        <f>G45*G46</f>
        <v>1149.0142572683244</v>
      </c>
    </row>
    <row r="49" spans="2:7" ht="14" x14ac:dyDescent="0.3">
      <c r="B49" s="22" t="s">
        <v>105</v>
      </c>
      <c r="C49" s="23"/>
      <c r="D49" s="23"/>
      <c r="E49" s="23"/>
      <c r="F49" s="23"/>
      <c r="G49" s="23"/>
    </row>
    <row r="50" spans="2:7" ht="14" x14ac:dyDescent="0.3">
      <c r="B50" s="4" t="s">
        <v>106</v>
      </c>
      <c r="C50" s="5">
        <f>SUM(C47:G47)</f>
        <v>6142.1002282557947</v>
      </c>
    </row>
    <row r="51" spans="2:7" ht="14" x14ac:dyDescent="0.3">
      <c r="B51" s="4" t="s">
        <v>107</v>
      </c>
      <c r="C51" s="5">
        <f>G45*(1+C13)/(C26-C13)</f>
        <v>19516.71370189614</v>
      </c>
    </row>
    <row r="52" spans="2:7" ht="14" x14ac:dyDescent="0.3">
      <c r="B52" s="4" t="s">
        <v>108</v>
      </c>
      <c r="C52" s="5">
        <f>C51*G46</f>
        <v>11719.945424136909</v>
      </c>
    </row>
    <row r="53" spans="2:7" ht="14" x14ac:dyDescent="0.3">
      <c r="B53" s="4" t="s">
        <v>109</v>
      </c>
      <c r="C53" s="5">
        <f>C50+C52</f>
        <v>17862.045652392706</v>
      </c>
    </row>
    <row r="54" spans="2:7" ht="14" x14ac:dyDescent="0.3">
      <c r="B54" s="4" t="s">
        <v>110</v>
      </c>
      <c r="C54" s="5">
        <f>C53-C16</f>
        <v>24377.045652392706</v>
      </c>
    </row>
    <row r="55" spans="2:7" ht="14" x14ac:dyDescent="0.3">
      <c r="B55" s="4" t="s">
        <v>111</v>
      </c>
      <c r="C55" s="24">
        <f>ROUND(C54*1000000/C15,0)</f>
        <v>5882</v>
      </c>
    </row>
    <row r="57" spans="2:7" ht="14" x14ac:dyDescent="0.3">
      <c r="B57" s="22" t="s">
        <v>112</v>
      </c>
      <c r="C57" s="23"/>
      <c r="D57" s="23"/>
      <c r="E57" s="23"/>
      <c r="F57" s="23"/>
      <c r="G57" s="23"/>
    </row>
    <row r="58" spans="2:7" ht="14" x14ac:dyDescent="0.3">
      <c r="B58" s="4" t="s">
        <v>106</v>
      </c>
      <c r="C58" s="5">
        <f>C50</f>
        <v>6142.1002282557947</v>
      </c>
    </row>
    <row r="59" spans="2:7" ht="14" x14ac:dyDescent="0.3">
      <c r="B59" s="4" t="s">
        <v>113</v>
      </c>
      <c r="C59" s="5">
        <f>G39+G42</f>
        <v>5363.9693602840416</v>
      </c>
    </row>
    <row r="60" spans="2:7" ht="14" x14ac:dyDescent="0.3">
      <c r="B60" s="4" t="s">
        <v>114</v>
      </c>
      <c r="C60" s="5">
        <f>C59*C14</f>
        <v>45593.739562414354</v>
      </c>
    </row>
    <row r="61" spans="2:7" ht="14" x14ac:dyDescent="0.3">
      <c r="B61" s="4" t="s">
        <v>108</v>
      </c>
      <c r="C61" s="5">
        <f>C60*G46</f>
        <v>27379.411693777773</v>
      </c>
    </row>
    <row r="62" spans="2:7" ht="14" x14ac:dyDescent="0.3">
      <c r="B62" s="4" t="s">
        <v>109</v>
      </c>
      <c r="C62" s="5">
        <f>C58+C61</f>
        <v>33521.511922033569</v>
      </c>
    </row>
    <row r="63" spans="2:7" ht="14" x14ac:dyDescent="0.3">
      <c r="B63" s="4" t="s">
        <v>110</v>
      </c>
      <c r="C63" s="5">
        <f>C62-C16</f>
        <v>40036.511922033569</v>
      </c>
    </row>
    <row r="64" spans="2:7" ht="14" x14ac:dyDescent="0.3">
      <c r="B64" s="4" t="s">
        <v>115</v>
      </c>
      <c r="C64" s="24">
        <f>ROUND(C63*1000000/C15,0)</f>
        <v>9660</v>
      </c>
    </row>
    <row r="66" spans="2:2" ht="14" x14ac:dyDescent="0.3">
      <c r="B66" s="1" t="s">
        <v>116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82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117</v>
      </c>
    </row>
    <row r="4" spans="2:8" ht="14" x14ac:dyDescent="0.3">
      <c r="B4" s="8" t="s">
        <v>118</v>
      </c>
      <c r="C4" s="25" t="s">
        <v>119</v>
      </c>
      <c r="D4" s="25" t="s">
        <v>87</v>
      </c>
      <c r="E4" s="25" t="s">
        <v>88</v>
      </c>
      <c r="F4" s="25" t="s">
        <v>89</v>
      </c>
      <c r="G4" s="25" t="s">
        <v>90</v>
      </c>
      <c r="H4" s="25" t="s">
        <v>91</v>
      </c>
    </row>
    <row r="5" spans="2:8" ht="14" x14ac:dyDescent="0.3">
      <c r="B5" s="26" t="s">
        <v>120</v>
      </c>
      <c r="C5" s="27">
        <f>C18/C14*365</f>
        <v>112.28069238166471</v>
      </c>
      <c r="D5" s="27">
        <f>CHOOSE('DCF Model'!$D$27,D36,D37,D38,D39,D40)</f>
        <v>112</v>
      </c>
      <c r="E5" s="27">
        <f>CHOOSE('DCF Model'!$D$27,E36,E37,E38,E39,E40)</f>
        <v>112</v>
      </c>
      <c r="F5" s="27">
        <f>CHOOSE('DCF Model'!$D$27,F36,F37,F38,F39,F40)</f>
        <v>112</v>
      </c>
      <c r="G5" s="27">
        <f>CHOOSE('DCF Model'!$D$27,G36,G37,G38,G39,G40)</f>
        <v>112</v>
      </c>
      <c r="H5" s="27">
        <f>CHOOSE('DCF Model'!$D$27,H36,H37,H38,H39,H40)</f>
        <v>112</v>
      </c>
    </row>
    <row r="6" spans="2:8" ht="14" x14ac:dyDescent="0.3">
      <c r="B6" s="26" t="s">
        <v>121</v>
      </c>
      <c r="C6" s="27">
        <f>C19/C14*365</f>
        <v>185.26249243152756</v>
      </c>
      <c r="D6" s="27">
        <f>CHOOSE('DCF Model'!$D$27,D43,D44,D45,D46,D47)</f>
        <v>185</v>
      </c>
      <c r="E6" s="27">
        <f>CHOOSE('DCF Model'!$D$27,E43,E44,E45,E46,E47)</f>
        <v>185</v>
      </c>
      <c r="F6" s="27">
        <f>CHOOSE('DCF Model'!$D$27,F43,F44,F45,F46,F47)</f>
        <v>185</v>
      </c>
      <c r="G6" s="27">
        <f>CHOOSE('DCF Model'!$D$27,G43,G44,G45,G46,G47)</f>
        <v>185</v>
      </c>
      <c r="H6" s="27">
        <f>CHOOSE('DCF Model'!$D$27,H43,H44,H45,H46,H47)</f>
        <v>185</v>
      </c>
    </row>
    <row r="7" spans="2:8" ht="14" x14ac:dyDescent="0.3">
      <c r="B7" s="26" t="s">
        <v>122</v>
      </c>
      <c r="C7" s="27">
        <f>C20/C15*365</f>
        <v>3.4477108433734935</v>
      </c>
      <c r="D7" s="27">
        <f>CHOOSE('DCF Model'!$D$27,D50,D51,D52,D53,D54)</f>
        <v>3</v>
      </c>
      <c r="E7" s="27">
        <f>CHOOSE('DCF Model'!$D$27,E50,E51,E52,E53,E54)</f>
        <v>3</v>
      </c>
      <c r="F7" s="27">
        <f>CHOOSE('DCF Model'!$D$27,F50,F51,F52,F53,F54)</f>
        <v>3</v>
      </c>
      <c r="G7" s="27">
        <f>CHOOSE('DCF Model'!$D$27,G50,G51,G52,G53,G54)</f>
        <v>3</v>
      </c>
      <c r="H7" s="27">
        <f>CHOOSE('DCF Model'!$D$27,H50,H51,H52,H53,H54)</f>
        <v>3</v>
      </c>
    </row>
    <row r="8" spans="2:8" ht="14" x14ac:dyDescent="0.3">
      <c r="B8" s="26" t="s">
        <v>123</v>
      </c>
      <c r="C8" s="27">
        <f>C21/C14*365</f>
        <v>9.6329736082914845</v>
      </c>
      <c r="D8" s="27">
        <f>CHOOSE('DCF Model'!$D$27,D57,D58,D59,D60,D61)</f>
        <v>10</v>
      </c>
      <c r="E8" s="27">
        <f>CHOOSE('DCF Model'!$D$27,E57,E58,E59,E60,E61)</f>
        <v>10</v>
      </c>
      <c r="F8" s="27">
        <f>CHOOSE('DCF Model'!$D$27,F57,F58,F59,F60,F61)</f>
        <v>10</v>
      </c>
      <c r="G8" s="27">
        <f>CHOOSE('DCF Model'!$D$27,G57,G58,G59,G60,G61)</f>
        <v>10</v>
      </c>
      <c r="H8" s="27">
        <f>CHOOSE('DCF Model'!$D$27,H57,H58,H59,H60,H61)</f>
        <v>10</v>
      </c>
    </row>
    <row r="9" spans="2:8" ht="14" x14ac:dyDescent="0.3">
      <c r="B9" s="26" t="s">
        <v>124</v>
      </c>
      <c r="C9" s="27">
        <f>C23/C15*365</f>
        <v>127.79397590361445</v>
      </c>
      <c r="D9" s="27">
        <f>CHOOSE('DCF Model'!$D$27,D64,D65,D66,D67,D68)</f>
        <v>128</v>
      </c>
      <c r="E9" s="27">
        <f>CHOOSE('DCF Model'!$D$27,E64,E65,E66,E67,E68)</f>
        <v>128</v>
      </c>
      <c r="F9" s="27">
        <f>CHOOSE('DCF Model'!$D$27,F64,F65,F66,F67,F68)</f>
        <v>128</v>
      </c>
      <c r="G9" s="27">
        <f>CHOOSE('DCF Model'!$D$27,G64,G65,G66,G67,G68)</f>
        <v>128</v>
      </c>
      <c r="H9" s="27">
        <f>CHOOSE('DCF Model'!$D$27,H64,H65,H66,H67,H68)</f>
        <v>128</v>
      </c>
    </row>
    <row r="10" spans="2:8" ht="14" x14ac:dyDescent="0.3">
      <c r="B10" s="26" t="s">
        <v>125</v>
      </c>
      <c r="C10" s="27">
        <f>C24/C14*365</f>
        <v>7.8519784877301708</v>
      </c>
      <c r="D10" s="27">
        <f>CHOOSE('DCF Model'!$D$27,D71,D72,D73,D74,D75)</f>
        <v>8</v>
      </c>
      <c r="E10" s="27">
        <f>CHOOSE('DCF Model'!$D$27,E71,E72,E73,E74,E75)</f>
        <v>8</v>
      </c>
      <c r="F10" s="27">
        <f>CHOOSE('DCF Model'!$D$27,F71,F72,F73,F74,F75)</f>
        <v>8</v>
      </c>
      <c r="G10" s="27">
        <f>CHOOSE('DCF Model'!$D$27,G71,G72,G73,G74,G75)</f>
        <v>8</v>
      </c>
      <c r="H10" s="27">
        <f>CHOOSE('DCF Model'!$D$27,H71,H72,H73,H74,H75)</f>
        <v>8</v>
      </c>
    </row>
    <row r="11" spans="2:8" ht="14" x14ac:dyDescent="0.3">
      <c r="B11" s="26" t="s">
        <v>126</v>
      </c>
      <c r="C11" s="27">
        <f>C25/C14*365</f>
        <v>33.487908252306156</v>
      </c>
      <c r="D11" s="27">
        <f>CHOOSE('DCF Model'!$D$27,D78,D79,D80,D81,D82)</f>
        <v>33</v>
      </c>
      <c r="E11" s="27">
        <f>CHOOSE('DCF Model'!$D$27,E78,E79,E80,E81,E82)</f>
        <v>33</v>
      </c>
      <c r="F11" s="27">
        <f>CHOOSE('DCF Model'!$D$27,F78,F79,F80,F81,F82)</f>
        <v>33</v>
      </c>
      <c r="G11" s="27">
        <f>CHOOSE('DCF Model'!$D$27,G78,G79,G80,G81,G82)</f>
        <v>33</v>
      </c>
      <c r="H11" s="27">
        <f>CHOOSE('DCF Model'!$D$27,H78,H79,H80,H81,H82)</f>
        <v>33</v>
      </c>
    </row>
    <row r="13" spans="2:8" ht="14" x14ac:dyDescent="0.3">
      <c r="B13" s="8" t="s">
        <v>127</v>
      </c>
      <c r="C13" s="9"/>
      <c r="D13" s="9"/>
      <c r="E13" s="9"/>
      <c r="F13" s="9"/>
      <c r="G13" s="9"/>
      <c r="H13" s="9"/>
    </row>
    <row r="14" spans="2:8" ht="14" x14ac:dyDescent="0.3">
      <c r="B14" s="26" t="s">
        <v>40</v>
      </c>
      <c r="C14" s="28">
        <v>28077</v>
      </c>
      <c r="D14" s="28">
        <f>'DCF Model'!C33</f>
        <v>29099.010000000002</v>
      </c>
      <c r="E14" s="28">
        <f>'DCF Model'!D33</f>
        <v>30465.640500000005</v>
      </c>
      <c r="F14" s="28">
        <f>'DCF Model'!E33</f>
        <v>32165.036032500004</v>
      </c>
      <c r="G14" s="28">
        <f>'DCF Model'!F33</f>
        <v>34249.169788312502</v>
      </c>
      <c r="H14" s="28">
        <f>'DCF Model'!G33</f>
        <v>36268.59216013032</v>
      </c>
    </row>
    <row r="15" spans="2:8" ht="14" x14ac:dyDescent="0.3">
      <c r="B15" s="26" t="s">
        <v>41</v>
      </c>
      <c r="C15" s="28">
        <v>20750</v>
      </c>
      <c r="D15" s="28">
        <f>'DCF Model'!C34</f>
        <v>21307.298700000003</v>
      </c>
      <c r="E15" s="28">
        <f>'DCF Model'!D34</f>
        <v>22168.622430000007</v>
      </c>
      <c r="F15" s="28">
        <f>'DCF Model'!E34</f>
        <v>23284.240226887501</v>
      </c>
      <c r="G15" s="28">
        <f>'DCF Model'!F34</f>
        <v>24624.307134019691</v>
      </c>
      <c r="H15" s="28">
        <f>'DCF Model'!G34</f>
        <v>26008.362858228687</v>
      </c>
    </row>
    <row r="17" spans="2:8" ht="14" x14ac:dyDescent="0.3">
      <c r="B17" s="8" t="s">
        <v>128</v>
      </c>
      <c r="C17" s="9"/>
      <c r="D17" s="9"/>
      <c r="E17" s="9"/>
      <c r="F17" s="9"/>
      <c r="G17" s="9"/>
      <c r="H17" s="9"/>
    </row>
    <row r="18" spans="2:8" ht="14" x14ac:dyDescent="0.3">
      <c r="B18" s="26" t="s">
        <v>129</v>
      </c>
      <c r="C18" s="28">
        <v>8637</v>
      </c>
      <c r="D18" s="28">
        <f>D14*D5/365</f>
        <v>8929.0112876712337</v>
      </c>
      <c r="E18" s="28">
        <f>E14*E5/365</f>
        <v>9348.3609205479461</v>
      </c>
      <c r="F18" s="28">
        <f>F14*F5/365</f>
        <v>9869.8192757260276</v>
      </c>
      <c r="G18" s="28">
        <f>G14*G5/365</f>
        <v>10509.334291208219</v>
      </c>
      <c r="H18" s="28">
        <f>H14*H5/365</f>
        <v>11128.992662834509</v>
      </c>
    </row>
    <row r="19" spans="2:8" ht="14" x14ac:dyDescent="0.3">
      <c r="B19" s="26" t="s">
        <v>130</v>
      </c>
      <c r="C19" s="28">
        <v>14251</v>
      </c>
      <c r="D19" s="28">
        <f t="shared" ref="D19:H20" si="0">D14*D6/365</f>
        <v>14748.813287671235</v>
      </c>
      <c r="E19" s="28">
        <f t="shared" si="0"/>
        <v>15441.489020547948</v>
      </c>
      <c r="F19" s="28">
        <f t="shared" si="0"/>
        <v>16302.826482226028</v>
      </c>
      <c r="G19" s="28">
        <f t="shared" si="0"/>
        <v>17359.168248870719</v>
      </c>
      <c r="H19" s="28">
        <f t="shared" si="0"/>
        <v>18382.711094860573</v>
      </c>
    </row>
    <row r="20" spans="2:8" ht="14" x14ac:dyDescent="0.3">
      <c r="B20" s="26" t="s">
        <v>131</v>
      </c>
      <c r="C20" s="28">
        <v>196</v>
      </c>
      <c r="D20" s="28">
        <f t="shared" si="0"/>
        <v>175.12848246575345</v>
      </c>
      <c r="E20" s="28">
        <f t="shared" si="0"/>
        <v>182.20785558904117</v>
      </c>
      <c r="F20" s="28">
        <f t="shared" si="0"/>
        <v>191.37731693332194</v>
      </c>
      <c r="G20" s="28">
        <f t="shared" si="0"/>
        <v>202.39156548509334</v>
      </c>
      <c r="H20" s="28">
        <f t="shared" si="0"/>
        <v>213.767365958044</v>
      </c>
    </row>
    <row r="21" spans="2:8" ht="14" x14ac:dyDescent="0.3">
      <c r="B21" s="26" t="s">
        <v>132</v>
      </c>
      <c r="C21" s="28">
        <v>741</v>
      </c>
      <c r="D21" s="28">
        <f>D14*D8/365</f>
        <v>797.23315068493162</v>
      </c>
      <c r="E21" s="28">
        <f>E14*E8/365</f>
        <v>834.67508219178092</v>
      </c>
      <c r="F21" s="28">
        <f>F14*F8/365</f>
        <v>881.23386390410963</v>
      </c>
      <c r="G21" s="28">
        <f>G14*G8/365</f>
        <v>938.33341885787684</v>
      </c>
      <c r="H21" s="28">
        <f>H14*H8/365</f>
        <v>993.66005918165263</v>
      </c>
    </row>
    <row r="22" spans="2:8" ht="14" x14ac:dyDescent="0.3">
      <c r="B22" s="26" t="s">
        <v>133</v>
      </c>
      <c r="C22" s="19">
        <f t="shared" ref="C22:H22" si="1">SUM(C18:C21)</f>
        <v>23825</v>
      </c>
      <c r="D22" s="19">
        <f t="shared" si="1"/>
        <v>24650.186208493156</v>
      </c>
      <c r="E22" s="19">
        <f t="shared" si="1"/>
        <v>25806.732878876715</v>
      </c>
      <c r="F22" s="19">
        <f t="shared" si="1"/>
        <v>27245.256938789487</v>
      </c>
      <c r="G22" s="19">
        <f t="shared" si="1"/>
        <v>29009.227524421909</v>
      </c>
      <c r="H22" s="19">
        <f t="shared" si="1"/>
        <v>30719.131182834779</v>
      </c>
    </row>
    <row r="23" spans="2:8" ht="14" x14ac:dyDescent="0.3">
      <c r="B23" s="26" t="s">
        <v>134</v>
      </c>
      <c r="C23" s="28">
        <v>7265</v>
      </c>
      <c r="D23" s="28">
        <f>D15*D9/365</f>
        <v>7472.1485852054802</v>
      </c>
      <c r="E23" s="28">
        <f>E15*E9/365</f>
        <v>7774.2018384657558</v>
      </c>
      <c r="F23" s="28">
        <f>F15*F9/365</f>
        <v>8165.432189155069</v>
      </c>
      <c r="G23" s="28">
        <f>G15*G9/365</f>
        <v>8635.3734606973157</v>
      </c>
      <c r="H23" s="28">
        <f>H15*H9/365</f>
        <v>9120.7409475432105</v>
      </c>
    </row>
    <row r="24" spans="2:8" ht="14" x14ac:dyDescent="0.3">
      <c r="B24" s="26" t="s">
        <v>135</v>
      </c>
      <c r="C24" s="28">
        <v>604</v>
      </c>
      <c r="D24" s="28">
        <f>D14*D10/365</f>
        <v>637.7865205479452</v>
      </c>
      <c r="E24" s="28">
        <f>E14*E10/365</f>
        <v>667.7400657534248</v>
      </c>
      <c r="F24" s="28">
        <f>F14*F10/365</f>
        <v>704.98709112328777</v>
      </c>
      <c r="G24" s="28">
        <f>G14*G10/365</f>
        <v>750.6667350863014</v>
      </c>
      <c r="H24" s="28">
        <f>H14*H10/365</f>
        <v>794.92804734532206</v>
      </c>
    </row>
    <row r="25" spans="2:8" ht="14" x14ac:dyDescent="0.3">
      <c r="B25" s="26" t="s">
        <v>136</v>
      </c>
      <c r="C25" s="28">
        <v>2576</v>
      </c>
      <c r="D25" s="28">
        <f>D14*D11/365</f>
        <v>2630.8693972602741</v>
      </c>
      <c r="E25" s="28">
        <f>E14*E11/365</f>
        <v>2754.4277712328771</v>
      </c>
      <c r="F25" s="28">
        <f>F14*F11/365</f>
        <v>2908.0717508835623</v>
      </c>
      <c r="G25" s="28">
        <f>G14*G11/365</f>
        <v>3096.500282230993</v>
      </c>
      <c r="H25" s="28">
        <f>H14*H11/365</f>
        <v>3279.0781952994539</v>
      </c>
    </row>
    <row r="26" spans="2:8" ht="14" x14ac:dyDescent="0.3">
      <c r="B26" s="26" t="s">
        <v>137</v>
      </c>
      <c r="C26" s="19">
        <f t="shared" ref="C26:H26" si="2">SUM(C23:C25)</f>
        <v>10445</v>
      </c>
      <c r="D26" s="19">
        <f t="shared" si="2"/>
        <v>10740.8045030137</v>
      </c>
      <c r="E26" s="19">
        <f t="shared" si="2"/>
        <v>11196.369675452057</v>
      </c>
      <c r="F26" s="19">
        <f t="shared" si="2"/>
        <v>11778.491031161919</v>
      </c>
      <c r="G26" s="19">
        <f t="shared" si="2"/>
        <v>12482.540478014609</v>
      </c>
      <c r="H26" s="19">
        <f t="shared" si="2"/>
        <v>13194.747190187987</v>
      </c>
    </row>
    <row r="28" spans="2:8" ht="14" x14ac:dyDescent="0.3">
      <c r="B28" s="22" t="s">
        <v>138</v>
      </c>
      <c r="C28" s="23"/>
      <c r="D28" s="23"/>
      <c r="E28" s="23"/>
      <c r="F28" s="23"/>
      <c r="G28" s="23"/>
      <c r="H28" s="23"/>
    </row>
    <row r="29" spans="2:8" ht="14" x14ac:dyDescent="0.3">
      <c r="B29" s="26" t="s">
        <v>139</v>
      </c>
      <c r="C29" s="20">
        <f t="shared" ref="C29:H29" si="3">C22-C26</f>
        <v>13380</v>
      </c>
      <c r="D29" s="20">
        <f t="shared" si="3"/>
        <v>13909.381705479456</v>
      </c>
      <c r="E29" s="20">
        <f t="shared" si="3"/>
        <v>14610.363203424658</v>
      </c>
      <c r="F29" s="20">
        <f t="shared" si="3"/>
        <v>15466.765907627569</v>
      </c>
      <c r="G29" s="20">
        <f t="shared" si="3"/>
        <v>16526.6870464073</v>
      </c>
      <c r="H29" s="20">
        <f t="shared" si="3"/>
        <v>17524.383992646792</v>
      </c>
    </row>
    <row r="30" spans="2:8" ht="14" x14ac:dyDescent="0.3">
      <c r="B30" s="26" t="s">
        <v>101</v>
      </c>
      <c r="C30" s="29" t="s">
        <v>50</v>
      </c>
      <c r="D30" s="24">
        <f>D29-C29</f>
        <v>529.38170547945629</v>
      </c>
      <c r="E30" s="24">
        <f>E29-D29</f>
        <v>700.98149794520214</v>
      </c>
      <c r="F30" s="24">
        <f>F29-E29</f>
        <v>856.40270420291017</v>
      </c>
      <c r="G30" s="24">
        <f>G29-F29</f>
        <v>1059.9211387797313</v>
      </c>
      <c r="H30" s="24">
        <f>H29-G29</f>
        <v>997.69694623949181</v>
      </c>
    </row>
    <row r="33" spans="2:8" ht="14" x14ac:dyDescent="0.3">
      <c r="B33" s="22" t="s">
        <v>140</v>
      </c>
      <c r="C33" s="23"/>
      <c r="D33" s="23"/>
      <c r="E33" s="23"/>
      <c r="F33" s="23"/>
      <c r="G33" s="23"/>
      <c r="H33" s="23"/>
    </row>
    <row r="34" spans="2:8" ht="14" x14ac:dyDescent="0.3">
      <c r="D34" s="30" t="s">
        <v>87</v>
      </c>
      <c r="E34" s="30" t="s">
        <v>88</v>
      </c>
      <c r="F34" s="30" t="s">
        <v>89</v>
      </c>
      <c r="G34" s="30" t="s">
        <v>90</v>
      </c>
      <c r="H34" s="30" t="s">
        <v>91</v>
      </c>
    </row>
    <row r="35" spans="2:8" ht="14" x14ac:dyDescent="0.3">
      <c r="B35" s="3" t="s">
        <v>120</v>
      </c>
    </row>
    <row r="36" spans="2:8" ht="14" x14ac:dyDescent="0.3">
      <c r="B36" s="4" t="s">
        <v>85</v>
      </c>
      <c r="D36" s="31">
        <v>112</v>
      </c>
      <c r="E36" s="31">
        <v>112</v>
      </c>
      <c r="F36" s="31">
        <v>112</v>
      </c>
      <c r="G36" s="31">
        <v>112</v>
      </c>
      <c r="H36" s="31">
        <v>112</v>
      </c>
    </row>
    <row r="37" spans="2:8" ht="14" x14ac:dyDescent="0.3">
      <c r="B37" s="4" t="s">
        <v>141</v>
      </c>
      <c r="D37" s="31">
        <v>108</v>
      </c>
      <c r="E37" s="31">
        <v>105</v>
      </c>
      <c r="F37" s="31">
        <v>105</v>
      </c>
      <c r="G37" s="31">
        <v>102</v>
      </c>
      <c r="H37" s="31">
        <v>100</v>
      </c>
    </row>
    <row r="38" spans="2:8" ht="14" x14ac:dyDescent="0.3">
      <c r="B38" s="4" t="s">
        <v>142</v>
      </c>
      <c r="D38" s="31">
        <v>112</v>
      </c>
      <c r="E38" s="31">
        <v>112</v>
      </c>
      <c r="F38" s="31">
        <v>112</v>
      </c>
      <c r="G38" s="31">
        <v>112</v>
      </c>
      <c r="H38" s="31">
        <v>112</v>
      </c>
    </row>
    <row r="39" spans="2:8" ht="14" x14ac:dyDescent="0.3">
      <c r="B39" s="4" t="s">
        <v>143</v>
      </c>
      <c r="D39" s="31">
        <v>115</v>
      </c>
      <c r="E39" s="31">
        <v>118</v>
      </c>
      <c r="F39" s="31">
        <v>120</v>
      </c>
      <c r="G39" s="31">
        <v>120</v>
      </c>
      <c r="H39" s="31">
        <v>120</v>
      </c>
    </row>
    <row r="40" spans="2:8" ht="14" x14ac:dyDescent="0.3">
      <c r="B40" s="4" t="s">
        <v>144</v>
      </c>
      <c r="D40" s="31">
        <v>120</v>
      </c>
      <c r="E40" s="31">
        <v>125</v>
      </c>
      <c r="F40" s="31">
        <v>130</v>
      </c>
      <c r="G40" s="31">
        <v>130</v>
      </c>
      <c r="H40" s="31">
        <v>130</v>
      </c>
    </row>
    <row r="42" spans="2:8" ht="14" x14ac:dyDescent="0.3">
      <c r="B42" s="3" t="s">
        <v>121</v>
      </c>
    </row>
    <row r="43" spans="2:8" ht="14" x14ac:dyDescent="0.3">
      <c r="B43" s="4" t="s">
        <v>85</v>
      </c>
      <c r="D43" s="31">
        <v>185</v>
      </c>
      <c r="E43" s="31">
        <v>185</v>
      </c>
      <c r="F43" s="31">
        <v>185</v>
      </c>
      <c r="G43" s="31">
        <v>185</v>
      </c>
      <c r="H43" s="31">
        <v>185</v>
      </c>
    </row>
    <row r="44" spans="2:8" ht="14" x14ac:dyDescent="0.3">
      <c r="B44" s="4" t="s">
        <v>141</v>
      </c>
      <c r="D44" s="31">
        <v>180</v>
      </c>
      <c r="E44" s="31">
        <v>175</v>
      </c>
      <c r="F44" s="31">
        <v>170</v>
      </c>
      <c r="G44" s="31">
        <v>165</v>
      </c>
      <c r="H44" s="31">
        <v>160</v>
      </c>
    </row>
    <row r="45" spans="2:8" ht="14" x14ac:dyDescent="0.3">
      <c r="B45" s="4" t="s">
        <v>142</v>
      </c>
      <c r="D45" s="31">
        <v>185</v>
      </c>
      <c r="E45" s="31">
        <v>185</v>
      </c>
      <c r="F45" s="31">
        <v>185</v>
      </c>
      <c r="G45" s="31">
        <v>185</v>
      </c>
      <c r="H45" s="31">
        <v>185</v>
      </c>
    </row>
    <row r="46" spans="2:8" ht="14" x14ac:dyDescent="0.3">
      <c r="B46" s="4" t="s">
        <v>143</v>
      </c>
      <c r="D46" s="31">
        <v>190</v>
      </c>
      <c r="E46" s="31">
        <v>195</v>
      </c>
      <c r="F46" s="31">
        <v>200</v>
      </c>
      <c r="G46" s="31">
        <v>200</v>
      </c>
      <c r="H46" s="31">
        <v>200</v>
      </c>
    </row>
    <row r="47" spans="2:8" ht="14" x14ac:dyDescent="0.3">
      <c r="B47" s="4" t="s">
        <v>144</v>
      </c>
      <c r="D47" s="31">
        <v>195</v>
      </c>
      <c r="E47" s="31">
        <v>205</v>
      </c>
      <c r="F47" s="31">
        <v>215</v>
      </c>
      <c r="G47" s="31">
        <v>215</v>
      </c>
      <c r="H47" s="31">
        <v>215</v>
      </c>
    </row>
    <row r="49" spans="2:8" ht="14" x14ac:dyDescent="0.3">
      <c r="B49" s="3" t="s">
        <v>122</v>
      </c>
    </row>
    <row r="50" spans="2:8" ht="14" x14ac:dyDescent="0.3">
      <c r="B50" s="4" t="s">
        <v>85</v>
      </c>
      <c r="D50" s="31">
        <v>3</v>
      </c>
      <c r="E50" s="31">
        <v>3</v>
      </c>
      <c r="F50" s="31">
        <v>3</v>
      </c>
      <c r="G50" s="31">
        <v>3</v>
      </c>
      <c r="H50" s="31">
        <v>3</v>
      </c>
    </row>
    <row r="51" spans="2:8" ht="14" x14ac:dyDescent="0.3">
      <c r="B51" s="4" t="s">
        <v>141</v>
      </c>
      <c r="D51" s="31">
        <v>3</v>
      </c>
      <c r="E51" s="31">
        <v>3</v>
      </c>
      <c r="F51" s="31">
        <v>3</v>
      </c>
      <c r="G51" s="31">
        <v>3</v>
      </c>
      <c r="H51" s="31">
        <v>3</v>
      </c>
    </row>
    <row r="52" spans="2:8" ht="14" x14ac:dyDescent="0.3">
      <c r="B52" s="4" t="s">
        <v>142</v>
      </c>
      <c r="D52" s="31">
        <v>3</v>
      </c>
      <c r="E52" s="31">
        <v>3</v>
      </c>
      <c r="F52" s="31">
        <v>3</v>
      </c>
      <c r="G52" s="31">
        <v>3</v>
      </c>
      <c r="H52" s="31">
        <v>3</v>
      </c>
    </row>
    <row r="53" spans="2:8" ht="14" x14ac:dyDescent="0.3">
      <c r="B53" s="4" t="s">
        <v>143</v>
      </c>
      <c r="D53" s="31">
        <v>4</v>
      </c>
      <c r="E53" s="31">
        <v>4</v>
      </c>
      <c r="F53" s="31">
        <v>4</v>
      </c>
      <c r="G53" s="31">
        <v>4</v>
      </c>
      <c r="H53" s="31">
        <v>4</v>
      </c>
    </row>
    <row r="54" spans="2:8" ht="14" x14ac:dyDescent="0.3">
      <c r="B54" s="4" t="s">
        <v>144</v>
      </c>
      <c r="D54" s="31">
        <v>5</v>
      </c>
      <c r="E54" s="31">
        <v>5</v>
      </c>
      <c r="F54" s="31">
        <v>5</v>
      </c>
      <c r="G54" s="31">
        <v>5</v>
      </c>
      <c r="H54" s="31">
        <v>5</v>
      </c>
    </row>
    <row r="56" spans="2:8" ht="14" x14ac:dyDescent="0.3">
      <c r="B56" s="3" t="s">
        <v>123</v>
      </c>
    </row>
    <row r="57" spans="2:8" ht="14" x14ac:dyDescent="0.3">
      <c r="B57" s="4" t="s">
        <v>85</v>
      </c>
      <c r="D57" s="31">
        <v>10</v>
      </c>
      <c r="E57" s="31">
        <v>10</v>
      </c>
      <c r="F57" s="31">
        <v>10</v>
      </c>
      <c r="G57" s="31">
        <v>10</v>
      </c>
      <c r="H57" s="31">
        <v>10</v>
      </c>
    </row>
    <row r="58" spans="2:8" ht="14" x14ac:dyDescent="0.3">
      <c r="B58" s="4" t="s">
        <v>141</v>
      </c>
      <c r="D58" s="31">
        <v>9</v>
      </c>
      <c r="E58" s="31">
        <v>9</v>
      </c>
      <c r="F58" s="31">
        <v>9</v>
      </c>
      <c r="G58" s="31">
        <v>9</v>
      </c>
      <c r="H58" s="31">
        <v>9</v>
      </c>
    </row>
    <row r="59" spans="2:8" ht="14" x14ac:dyDescent="0.3">
      <c r="B59" s="4" t="s">
        <v>142</v>
      </c>
      <c r="D59" s="31">
        <v>10</v>
      </c>
      <c r="E59" s="31">
        <v>10</v>
      </c>
      <c r="F59" s="31">
        <v>10</v>
      </c>
      <c r="G59" s="31">
        <v>10</v>
      </c>
      <c r="H59" s="31">
        <v>10</v>
      </c>
    </row>
    <row r="60" spans="2:8" ht="14" x14ac:dyDescent="0.3">
      <c r="B60" s="4" t="s">
        <v>143</v>
      </c>
      <c r="D60" s="31">
        <v>11</v>
      </c>
      <c r="E60" s="31">
        <v>11</v>
      </c>
      <c r="F60" s="31">
        <v>11</v>
      </c>
      <c r="G60" s="31">
        <v>11</v>
      </c>
      <c r="H60" s="31">
        <v>11</v>
      </c>
    </row>
    <row r="61" spans="2:8" ht="14" x14ac:dyDescent="0.3">
      <c r="B61" s="4" t="s">
        <v>144</v>
      </c>
      <c r="D61" s="31">
        <v>12</v>
      </c>
      <c r="E61" s="31">
        <v>12</v>
      </c>
      <c r="F61" s="31">
        <v>12</v>
      </c>
      <c r="G61" s="31">
        <v>12</v>
      </c>
      <c r="H61" s="31">
        <v>12</v>
      </c>
    </row>
    <row r="63" spans="2:8" ht="14" x14ac:dyDescent="0.3">
      <c r="B63" s="3" t="s">
        <v>124</v>
      </c>
    </row>
    <row r="64" spans="2:8" ht="14" x14ac:dyDescent="0.3">
      <c r="B64" s="4" t="s">
        <v>85</v>
      </c>
      <c r="D64" s="31">
        <v>128</v>
      </c>
      <c r="E64" s="31">
        <v>128</v>
      </c>
      <c r="F64" s="31">
        <v>128</v>
      </c>
      <c r="G64" s="31">
        <v>128</v>
      </c>
      <c r="H64" s="31">
        <v>128</v>
      </c>
    </row>
    <row r="65" spans="2:8" ht="14" x14ac:dyDescent="0.3">
      <c r="B65" s="4" t="s">
        <v>141</v>
      </c>
      <c r="D65" s="31">
        <v>128</v>
      </c>
      <c r="E65" s="31">
        <v>128</v>
      </c>
      <c r="F65" s="31">
        <v>128</v>
      </c>
      <c r="G65" s="31">
        <v>128</v>
      </c>
      <c r="H65" s="31">
        <v>128</v>
      </c>
    </row>
    <row r="66" spans="2:8" ht="14" x14ac:dyDescent="0.3">
      <c r="B66" s="4" t="s">
        <v>142</v>
      </c>
      <c r="D66" s="31">
        <v>128</v>
      </c>
      <c r="E66" s="31">
        <v>128</v>
      </c>
      <c r="F66" s="31">
        <v>128</v>
      </c>
      <c r="G66" s="31">
        <v>128</v>
      </c>
      <c r="H66" s="31">
        <v>128</v>
      </c>
    </row>
    <row r="67" spans="2:8" ht="14" x14ac:dyDescent="0.3">
      <c r="B67" s="4" t="s">
        <v>143</v>
      </c>
      <c r="D67" s="31">
        <v>125</v>
      </c>
      <c r="E67" s="31">
        <v>123</v>
      </c>
      <c r="F67" s="31">
        <v>120</v>
      </c>
      <c r="G67" s="31">
        <v>120</v>
      </c>
      <c r="H67" s="31">
        <v>120</v>
      </c>
    </row>
    <row r="68" spans="2:8" ht="14" x14ac:dyDescent="0.3">
      <c r="B68" s="4" t="s">
        <v>144</v>
      </c>
      <c r="D68" s="31">
        <v>122</v>
      </c>
      <c r="E68" s="31">
        <v>118</v>
      </c>
      <c r="F68" s="31">
        <v>115</v>
      </c>
      <c r="G68" s="31">
        <v>115</v>
      </c>
      <c r="H68" s="31">
        <v>115</v>
      </c>
    </row>
    <row r="70" spans="2:8" ht="14" x14ac:dyDescent="0.3">
      <c r="B70" s="3" t="s">
        <v>125</v>
      </c>
    </row>
    <row r="71" spans="2:8" ht="14" x14ac:dyDescent="0.3">
      <c r="B71" s="4" t="s">
        <v>85</v>
      </c>
      <c r="D71" s="31">
        <v>8</v>
      </c>
      <c r="E71" s="31">
        <v>8</v>
      </c>
      <c r="F71" s="31">
        <v>8</v>
      </c>
      <c r="G71" s="31">
        <v>8</v>
      </c>
      <c r="H71" s="31">
        <v>8</v>
      </c>
    </row>
    <row r="72" spans="2:8" ht="14" x14ac:dyDescent="0.3">
      <c r="B72" s="4" t="s">
        <v>141</v>
      </c>
      <c r="D72" s="31">
        <v>10</v>
      </c>
      <c r="E72" s="31">
        <v>10</v>
      </c>
      <c r="F72" s="31">
        <v>10</v>
      </c>
      <c r="G72" s="31">
        <v>10</v>
      </c>
      <c r="H72" s="31">
        <v>10</v>
      </c>
    </row>
    <row r="73" spans="2:8" ht="14" x14ac:dyDescent="0.3">
      <c r="B73" s="4" t="s">
        <v>142</v>
      </c>
      <c r="D73" s="31">
        <v>8</v>
      </c>
      <c r="E73" s="31">
        <v>8</v>
      </c>
      <c r="F73" s="31">
        <v>8</v>
      </c>
      <c r="G73" s="31">
        <v>8</v>
      </c>
      <c r="H73" s="31">
        <v>8</v>
      </c>
    </row>
    <row r="74" spans="2:8" ht="14" x14ac:dyDescent="0.3">
      <c r="B74" s="4" t="s">
        <v>143</v>
      </c>
      <c r="D74" s="31">
        <v>7</v>
      </c>
      <c r="E74" s="31">
        <v>6</v>
      </c>
      <c r="F74" s="31">
        <v>6</v>
      </c>
      <c r="G74" s="31">
        <v>6</v>
      </c>
      <c r="H74" s="31">
        <v>6</v>
      </c>
    </row>
    <row r="75" spans="2:8" ht="14" x14ac:dyDescent="0.3">
      <c r="B75" s="4" t="s">
        <v>144</v>
      </c>
      <c r="D75" s="31">
        <v>6</v>
      </c>
      <c r="E75" s="31">
        <v>5</v>
      </c>
      <c r="F75" s="31">
        <v>5</v>
      </c>
      <c r="G75" s="31">
        <v>5</v>
      </c>
      <c r="H75" s="31">
        <v>5</v>
      </c>
    </row>
    <row r="77" spans="2:8" ht="14" x14ac:dyDescent="0.3">
      <c r="B77" s="3" t="s">
        <v>126</v>
      </c>
    </row>
    <row r="78" spans="2:8" ht="14" x14ac:dyDescent="0.3">
      <c r="B78" s="4" t="s">
        <v>85</v>
      </c>
      <c r="D78" s="31">
        <v>33</v>
      </c>
      <c r="E78" s="31">
        <v>33</v>
      </c>
      <c r="F78" s="31">
        <v>33</v>
      </c>
      <c r="G78" s="31">
        <v>33</v>
      </c>
      <c r="H78" s="31">
        <v>33</v>
      </c>
    </row>
    <row r="79" spans="2:8" ht="14" x14ac:dyDescent="0.3">
      <c r="B79" s="4" t="s">
        <v>141</v>
      </c>
      <c r="D79" s="31">
        <v>33</v>
      </c>
      <c r="E79" s="31">
        <v>33</v>
      </c>
      <c r="F79" s="31">
        <v>33</v>
      </c>
      <c r="G79" s="31">
        <v>33</v>
      </c>
      <c r="H79" s="31">
        <v>33</v>
      </c>
    </row>
    <row r="80" spans="2:8" ht="14" x14ac:dyDescent="0.3">
      <c r="B80" s="4" t="s">
        <v>142</v>
      </c>
      <c r="D80" s="31">
        <v>33</v>
      </c>
      <c r="E80" s="31">
        <v>33</v>
      </c>
      <c r="F80" s="31">
        <v>33</v>
      </c>
      <c r="G80" s="31">
        <v>33</v>
      </c>
      <c r="H80" s="31">
        <v>33</v>
      </c>
    </row>
    <row r="81" spans="2:8" ht="14" x14ac:dyDescent="0.3">
      <c r="B81" s="4" t="s">
        <v>143</v>
      </c>
      <c r="D81" s="31">
        <v>31</v>
      </c>
      <c r="E81" s="31">
        <v>30</v>
      </c>
      <c r="F81" s="31">
        <v>30</v>
      </c>
      <c r="G81" s="31">
        <v>30</v>
      </c>
      <c r="H81" s="31">
        <v>30</v>
      </c>
    </row>
    <row r="82" spans="2:8" ht="14" x14ac:dyDescent="0.3">
      <c r="B82" s="4" t="s">
        <v>144</v>
      </c>
      <c r="D82" s="31">
        <v>29</v>
      </c>
      <c r="E82" s="31">
        <v>28</v>
      </c>
      <c r="F82" s="31">
        <v>28</v>
      </c>
      <c r="G82" s="31">
        <v>28</v>
      </c>
      <c r="H82" s="31">
        <v>28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topLeftCell="A5"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145</v>
      </c>
    </row>
    <row r="4" spans="2:15" ht="28" x14ac:dyDescent="0.3">
      <c r="B4" s="10" t="s">
        <v>3</v>
      </c>
      <c r="C4" s="10" t="s">
        <v>5</v>
      </c>
      <c r="D4" s="10" t="s">
        <v>146</v>
      </c>
      <c r="E4" s="10" t="s">
        <v>147</v>
      </c>
      <c r="F4" s="10" t="s">
        <v>148</v>
      </c>
      <c r="G4" s="10" t="s">
        <v>149</v>
      </c>
      <c r="H4" s="10" t="s">
        <v>150</v>
      </c>
      <c r="I4" s="10" t="s">
        <v>151</v>
      </c>
      <c r="J4" s="10" t="s">
        <v>152</v>
      </c>
      <c r="K4" s="10" t="s">
        <v>153</v>
      </c>
      <c r="L4" s="10" t="s">
        <v>154</v>
      </c>
      <c r="M4" s="10" t="s">
        <v>155</v>
      </c>
      <c r="N4" s="10" t="s">
        <v>156</v>
      </c>
      <c r="O4" s="10" t="s">
        <v>157</v>
      </c>
    </row>
    <row r="5" spans="2:15" ht="14" x14ac:dyDescent="0.3">
      <c r="B5" s="4" t="s">
        <v>158</v>
      </c>
      <c r="C5" t="s">
        <v>159</v>
      </c>
      <c r="D5" s="32">
        <v>86713.319424000001</v>
      </c>
      <c r="E5" s="32">
        <v>109441.319424</v>
      </c>
      <c r="F5" s="32">
        <v>89000</v>
      </c>
      <c r="G5" s="32">
        <v>8483</v>
      </c>
      <c r="H5" s="32">
        <v>5800</v>
      </c>
      <c r="I5" s="32">
        <v>5600</v>
      </c>
      <c r="J5" s="33">
        <f>E5/G5</f>
        <v>12.901251847695391</v>
      </c>
      <c r="K5" s="33">
        <f>E5/F5</f>
        <v>1.2296777463370787</v>
      </c>
      <c r="L5" s="33">
        <f>D5/I5</f>
        <v>15.484521325714287</v>
      </c>
      <c r="M5" s="33">
        <v>1.537006920325434</v>
      </c>
      <c r="N5" s="34">
        <f>H5/F5</f>
        <v>6.5168539325842698E-2</v>
      </c>
      <c r="O5" s="34">
        <v>9.9260861087969943E-2</v>
      </c>
    </row>
    <row r="6" spans="2:15" ht="14" x14ac:dyDescent="0.3">
      <c r="B6" s="4" t="s">
        <v>160</v>
      </c>
      <c r="C6" t="s">
        <v>161</v>
      </c>
      <c r="D6" s="32">
        <v>113249.746944</v>
      </c>
      <c r="E6" s="32">
        <v>128928.746944</v>
      </c>
      <c r="F6" s="32">
        <v>74000</v>
      </c>
      <c r="G6" s="32">
        <v>12694</v>
      </c>
      <c r="H6" s="32">
        <v>11000</v>
      </c>
      <c r="I6" s="32">
        <v>7800</v>
      </c>
      <c r="J6" s="33">
        <f>E6/G6</f>
        <v>10.156668264061761</v>
      </c>
      <c r="K6" s="33">
        <f>E6/F6</f>
        <v>1.7422803641081082</v>
      </c>
      <c r="L6" s="33">
        <f>D6/I6</f>
        <v>14.519198326153846</v>
      </c>
      <c r="M6" s="33">
        <v>1.181506352960815</v>
      </c>
      <c r="N6" s="34">
        <f>H6/F6</f>
        <v>0.14864864864864866</v>
      </c>
      <c r="O6" s="34">
        <v>8.1375453824646324E-2</v>
      </c>
    </row>
    <row r="7" spans="2:15" ht="14" x14ac:dyDescent="0.3">
      <c r="B7" s="4" t="s">
        <v>162</v>
      </c>
      <c r="C7" t="s">
        <v>163</v>
      </c>
      <c r="D7" s="32">
        <v>61315.502079999998</v>
      </c>
      <c r="E7" s="32">
        <v>64072.502079999998</v>
      </c>
      <c r="F7" s="32">
        <v>48439</v>
      </c>
      <c r="G7" s="32">
        <v>7407</v>
      </c>
      <c r="H7" s="32">
        <v>6159</v>
      </c>
      <c r="I7" s="32">
        <v>4788</v>
      </c>
      <c r="J7" s="33">
        <f>E7/G7</f>
        <v>8.6502635452949903</v>
      </c>
      <c r="K7" s="33">
        <f>E7/F7</f>
        <v>1.3227461772538656</v>
      </c>
      <c r="L7" s="33">
        <f>D7/I7</f>
        <v>12.806078128654971</v>
      </c>
      <c r="M7" s="33">
        <v>1.608908477564944</v>
      </c>
      <c r="N7" s="34">
        <f>H7/F7</f>
        <v>0.12714961085076076</v>
      </c>
      <c r="O7" s="34">
        <v>0.1256363159275781</v>
      </c>
    </row>
    <row r="8" spans="2:15" ht="14" x14ac:dyDescent="0.3">
      <c r="B8" s="4" t="s">
        <v>164</v>
      </c>
      <c r="C8" t="s">
        <v>165</v>
      </c>
      <c r="D8" s="32">
        <v>34561.175552000001</v>
      </c>
      <c r="E8" s="32">
        <v>36983.175552000001</v>
      </c>
      <c r="F8" s="32">
        <v>39000</v>
      </c>
      <c r="G8" s="32">
        <v>5579</v>
      </c>
      <c r="H8" s="32">
        <v>4900</v>
      </c>
      <c r="I8" s="32">
        <v>3200</v>
      </c>
      <c r="J8" s="33">
        <f>E8/G8</f>
        <v>6.6289972310449903</v>
      </c>
      <c r="K8" s="33">
        <f>E8/F8</f>
        <v>0.94828655261538464</v>
      </c>
      <c r="L8" s="33">
        <f>D8/I8</f>
        <v>10.800367360000001</v>
      </c>
      <c r="M8" s="33">
        <v>1.1551581119689831</v>
      </c>
      <c r="N8" s="34">
        <f>H8/F8</f>
        <v>0.12564102564102564</v>
      </c>
      <c r="O8" s="34">
        <v>0.1069554463718707</v>
      </c>
    </row>
    <row r="9" spans="2:15" ht="14" x14ac:dyDescent="0.3">
      <c r="B9" s="4" t="s">
        <v>166</v>
      </c>
      <c r="C9" t="s">
        <v>167</v>
      </c>
      <c r="D9" s="32">
        <v>7799.5955199999999</v>
      </c>
      <c r="E9" s="32">
        <v>9171.5955199999989</v>
      </c>
      <c r="F9" s="32">
        <v>7700</v>
      </c>
      <c r="G9" s="32">
        <v>1260</v>
      </c>
      <c r="H9" s="32">
        <v>970</v>
      </c>
      <c r="I9" s="32">
        <v>730</v>
      </c>
      <c r="J9" s="33">
        <f>E9/G9</f>
        <v>7.279044063492063</v>
      </c>
      <c r="K9" s="33">
        <f>E9/F9</f>
        <v>1.1911163012987012</v>
      </c>
      <c r="L9" s="33">
        <f>D9/I9</f>
        <v>10.684377424657534</v>
      </c>
      <c r="M9" s="33">
        <v>0.99764588385776409</v>
      </c>
      <c r="N9" s="34">
        <f>H9/F9</f>
        <v>0.12597402597402596</v>
      </c>
      <c r="O9" s="34">
        <v>9.3374264517779484E-2</v>
      </c>
    </row>
    <row r="14" spans="2:15" ht="14" x14ac:dyDescent="0.3">
      <c r="B14" s="3" t="s">
        <v>168</v>
      </c>
    </row>
    <row r="15" spans="2:15" ht="14" x14ac:dyDescent="0.3">
      <c r="B15" s="4" t="s">
        <v>169</v>
      </c>
      <c r="D15" s="33">
        <f t="shared" ref="D15:I15" si="0">PERCENTILE(J5:J9,0.25)</f>
        <v>7.279044063492063</v>
      </c>
      <c r="E15" s="33">
        <f t="shared" si="0"/>
        <v>1.1911163012987012</v>
      </c>
      <c r="F15" s="33">
        <f t="shared" si="0"/>
        <v>10.800367360000001</v>
      </c>
      <c r="G15" s="33">
        <f t="shared" si="0"/>
        <v>1.1551581119689831</v>
      </c>
      <c r="H15" s="34">
        <f t="shared" si="0"/>
        <v>0.12564102564102564</v>
      </c>
      <c r="I15" s="34">
        <f t="shared" si="0"/>
        <v>9.3374264517779484E-2</v>
      </c>
    </row>
    <row r="16" spans="2:15" ht="14" x14ac:dyDescent="0.3">
      <c r="B16" s="4" t="s">
        <v>170</v>
      </c>
      <c r="D16" s="33">
        <f t="shared" ref="D16:I16" si="1">MEDIAN(J5:J9)</f>
        <v>8.6502635452949903</v>
      </c>
      <c r="E16" s="33">
        <f t="shared" si="1"/>
        <v>1.2296777463370787</v>
      </c>
      <c r="F16" s="33">
        <f t="shared" si="1"/>
        <v>12.806078128654971</v>
      </c>
      <c r="G16" s="33">
        <f t="shared" si="1"/>
        <v>1.181506352960815</v>
      </c>
      <c r="H16" s="34">
        <f t="shared" si="1"/>
        <v>0.12597402597402596</v>
      </c>
      <c r="I16" s="34">
        <f t="shared" si="1"/>
        <v>9.9260861087969943E-2</v>
      </c>
    </row>
    <row r="17" spans="2:9" ht="14" x14ac:dyDescent="0.3">
      <c r="B17" s="4" t="s">
        <v>171</v>
      </c>
      <c r="D17" s="33">
        <f t="shared" ref="D17:I17" si="2">PERCENTILE(J5:J9,0.75)</f>
        <v>10.156668264061761</v>
      </c>
      <c r="E17" s="33">
        <f t="shared" si="2"/>
        <v>1.3227461772538656</v>
      </c>
      <c r="F17" s="33">
        <f t="shared" si="2"/>
        <v>14.519198326153846</v>
      </c>
      <c r="G17" s="33">
        <f t="shared" si="2"/>
        <v>1.537006920325434</v>
      </c>
      <c r="H17" s="34">
        <f t="shared" si="2"/>
        <v>0.12714961085076076</v>
      </c>
      <c r="I17" s="34">
        <f t="shared" si="2"/>
        <v>0.1069554463718707</v>
      </c>
    </row>
    <row r="19" spans="2:9" ht="14" x14ac:dyDescent="0.3">
      <c r="B19" s="22" t="s">
        <v>172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173</v>
      </c>
    </row>
    <row r="21" spans="2:9" ht="14" x14ac:dyDescent="0.3">
      <c r="B21" s="4" t="s">
        <v>174</v>
      </c>
      <c r="C21" s="5">
        <v>3929</v>
      </c>
    </row>
    <row r="22" spans="2:9" ht="14" x14ac:dyDescent="0.3">
      <c r="B22" s="4" t="s">
        <v>175</v>
      </c>
      <c r="C22" s="5">
        <v>2426</v>
      </c>
    </row>
    <row r="23" spans="2:9" ht="14" x14ac:dyDescent="0.3">
      <c r="B23" s="4" t="s">
        <v>176</v>
      </c>
      <c r="C23" s="15">
        <v>4144556</v>
      </c>
    </row>
    <row r="24" spans="2:9" ht="14" x14ac:dyDescent="0.3">
      <c r="B24" s="4" t="s">
        <v>74</v>
      </c>
      <c r="C24" s="5">
        <v>-6515</v>
      </c>
    </row>
    <row r="26" spans="2:9" ht="14" x14ac:dyDescent="0.3">
      <c r="B26" s="3" t="s">
        <v>177</v>
      </c>
    </row>
    <row r="27" spans="2:9" ht="14" x14ac:dyDescent="0.3">
      <c r="B27" s="4" t="s">
        <v>178</v>
      </c>
      <c r="C27" s="24">
        <f>ROUND((C21*D16-C24)*1000000/C23,0)</f>
        <v>9772</v>
      </c>
    </row>
    <row r="28" spans="2:9" ht="14" x14ac:dyDescent="0.3">
      <c r="B28" s="4" t="s">
        <v>179</v>
      </c>
      <c r="C28" s="24">
        <f>ROUND(C22*F16*1000000/C23,0)</f>
        <v>7496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180</v>
      </c>
    </row>
    <row r="3" spans="2:9" ht="14" x14ac:dyDescent="0.3">
      <c r="B3" s="4" t="s">
        <v>181</v>
      </c>
      <c r="C3" s="16">
        <f>'DCF Model'!C26</f>
        <v>0.12</v>
      </c>
      <c r="E3" s="4" t="s">
        <v>182</v>
      </c>
      <c r="F3" s="16">
        <f>'DCF Model'!C13</f>
        <v>0.02</v>
      </c>
      <c r="H3" s="4" t="s">
        <v>183</v>
      </c>
      <c r="I3" s="14">
        <f>'DCF Model'!C14</f>
        <v>8.5</v>
      </c>
    </row>
    <row r="5" spans="2:9" ht="14" x14ac:dyDescent="0.3">
      <c r="B5" s="3" t="s">
        <v>184</v>
      </c>
    </row>
    <row r="6" spans="2:9" ht="14" x14ac:dyDescent="0.3">
      <c r="B6" s="35" t="s">
        <v>185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0.105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6327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6425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6528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6638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6754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6877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7008</v>
      </c>
    </row>
    <row r="8" spans="2:9" ht="13.5" x14ac:dyDescent="0.25">
      <c r="B8" s="34">
        <f>$C$3-0.01</f>
        <v>0.11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6084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6170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6261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6357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6459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6567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6681</v>
      </c>
    </row>
    <row r="9" spans="2:9" ht="13.5" x14ac:dyDescent="0.25">
      <c r="B9" s="34">
        <f>$C$3-0.005</f>
        <v>0.11499999999999999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5864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5941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6022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6107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6197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6291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6392</v>
      </c>
    </row>
    <row r="10" spans="2:9" ht="13.5" x14ac:dyDescent="0.25">
      <c r="B10" s="34">
        <f>$C$3</f>
        <v>0.12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5665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5734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5806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5882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5961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6045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6133</v>
      </c>
    </row>
    <row r="11" spans="2:9" ht="13.5" x14ac:dyDescent="0.25">
      <c r="B11" s="34">
        <f>$C$3+0.005</f>
        <v>0.125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5484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5546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5610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5678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5749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5824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5902</v>
      </c>
    </row>
    <row r="12" spans="2:9" ht="13.5" x14ac:dyDescent="0.25">
      <c r="B12" s="34">
        <f>$C$3+0.01</f>
        <v>0.13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5318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5374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5432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5493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5557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5623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5693</v>
      </c>
    </row>
    <row r="13" spans="2:9" ht="13.5" x14ac:dyDescent="0.25">
      <c r="B13" s="34">
        <f>$C$3+0.015</f>
        <v>0.13500000000000001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5166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5217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5269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5324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5381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5441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5504</v>
      </c>
    </row>
    <row r="16" spans="2:9" ht="14" x14ac:dyDescent="0.3">
      <c r="B16" s="3" t="s">
        <v>186</v>
      </c>
    </row>
    <row r="17" spans="2:9" ht="14" x14ac:dyDescent="0.3">
      <c r="B17" s="35" t="s">
        <v>187</v>
      </c>
      <c r="C17" s="37">
        <f>$I$3-3</f>
        <v>5.5</v>
      </c>
      <c r="D17" s="37">
        <f>$I$3-2</f>
        <v>6.5</v>
      </c>
      <c r="E17" s="37">
        <f>$I$3-1</f>
        <v>7.5</v>
      </c>
      <c r="F17" s="37">
        <f>$I$3</f>
        <v>8.5</v>
      </c>
      <c r="G17" s="37">
        <f>$I$3+1</f>
        <v>9.5</v>
      </c>
      <c r="H17" s="37">
        <f>$I$3+2</f>
        <v>10.5</v>
      </c>
      <c r="I17" s="37">
        <f>$I$3+3</f>
        <v>11.5</v>
      </c>
    </row>
    <row r="18" spans="2:9" ht="13.5" x14ac:dyDescent="0.25">
      <c r="B18" s="34">
        <f>$C$3-0.015</f>
        <v>0.105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7645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8470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9296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10122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10948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11774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12599</v>
      </c>
    </row>
    <row r="19" spans="2:9" ht="13.5" x14ac:dyDescent="0.25">
      <c r="B19" s="34">
        <f>$C$3-0.01</f>
        <v>0.11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7537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8346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9155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9964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10773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11583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12392</v>
      </c>
    </row>
    <row r="20" spans="2:9" ht="13.5" x14ac:dyDescent="0.25">
      <c r="B20" s="34">
        <f>$C$3-0.005</f>
        <v>0.11499999999999999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7431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8224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9017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9810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10603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11396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12189</v>
      </c>
    </row>
    <row r="21" spans="2:9" ht="13.5" x14ac:dyDescent="0.25">
      <c r="B21" s="34">
        <f>$C$3</f>
        <v>0.12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7328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8106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8883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9660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10437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11214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11992</v>
      </c>
    </row>
    <row r="22" spans="2:9" ht="13.5" x14ac:dyDescent="0.25">
      <c r="B22" s="34">
        <f>$C$3+0.005</f>
        <v>0.125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7228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7990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8752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9513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10275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11037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11799</v>
      </c>
    </row>
    <row r="23" spans="2:9" ht="13.5" x14ac:dyDescent="0.25">
      <c r="B23" s="34">
        <f>$C$3+0.01</f>
        <v>0.13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7130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7877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8623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9370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10117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10863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11610</v>
      </c>
    </row>
    <row r="24" spans="2:9" ht="13.5" x14ac:dyDescent="0.25">
      <c r="B24" s="34">
        <f>$C$3+0.015</f>
        <v>0.13500000000000001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7034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7766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8498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9230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9962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10694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11426</v>
      </c>
    </row>
    <row r="26" spans="2:9" ht="14" x14ac:dyDescent="0.3">
      <c r="B26" s="53" t="s">
        <v>188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K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189</v>
      </c>
    </row>
    <row r="4" spans="2:11" ht="14" x14ac:dyDescent="0.3">
      <c r="C4" s="10" t="s">
        <v>36</v>
      </c>
      <c r="D4" s="10" t="s">
        <v>37</v>
      </c>
      <c r="E4" s="10" t="s">
        <v>38</v>
      </c>
      <c r="F4" s="10" t="s">
        <v>190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</row>
    <row r="5" spans="2:11" ht="14" x14ac:dyDescent="0.3">
      <c r="B5" s="8" t="s">
        <v>191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40</v>
      </c>
      <c r="C6" s="38" t="s">
        <v>192</v>
      </c>
      <c r="D6" s="28">
        <v>10300</v>
      </c>
      <c r="E6" s="28">
        <v>10600</v>
      </c>
      <c r="F6" s="28">
        <v>12915</v>
      </c>
      <c r="G6" s="28">
        <f>F6*(1+CHOOSE('DCF Model'!$D$27,G34,G35,G36,G37,G38))</f>
        <v>13173.300000000001</v>
      </c>
      <c r="H6" s="28">
        <f>G6*(1+CHOOSE('DCF Model'!$D$27,H34,H35,H36,H37,H38))</f>
        <v>13502.6325</v>
      </c>
      <c r="I6" s="28">
        <f>H6*(1+CHOOSE('DCF Model'!$D$27,I34,I35,I36,I37,I38))</f>
        <v>13840.198312499999</v>
      </c>
      <c r="J6" s="28">
        <f>I6*(1+CHOOSE('DCF Model'!$D$27,J34,J35,J36,J37,J38))</f>
        <v>14186.203270312497</v>
      </c>
      <c r="K6" s="28">
        <f>J6*(1+CHOOSE('DCF Model'!$D$27,K34,K35,K36,K37,K38))</f>
        <v>14540.858352070309</v>
      </c>
    </row>
    <row r="7" spans="2:11" ht="14" x14ac:dyDescent="0.3">
      <c r="B7" s="4" t="s">
        <v>193</v>
      </c>
      <c r="C7" s="38" t="s">
        <v>192</v>
      </c>
      <c r="D7" s="28">
        <v>927</v>
      </c>
      <c r="E7" s="28">
        <v>848</v>
      </c>
      <c r="F7" s="28">
        <v>1292</v>
      </c>
      <c r="G7" s="28">
        <f>G6*CHOOSE('DCF Model'!$D$27,G41,G42,G43,G44,G45)</f>
        <v>1317.3300000000002</v>
      </c>
      <c r="H7" s="28">
        <f>H6*CHOOSE('DCF Model'!$D$27,H41,H42,H43,H44,H45)</f>
        <v>1350.26325</v>
      </c>
      <c r="I7" s="28">
        <f>I6*CHOOSE('DCF Model'!$D$27,I41,I42,I43,I44,I45)</f>
        <v>1453.2208228124998</v>
      </c>
      <c r="J7" s="28">
        <f>J6*CHOOSE('DCF Model'!$D$27,J41,J42,J43,J44,J45)</f>
        <v>1489.5513433828121</v>
      </c>
      <c r="K7" s="28">
        <f>K6*CHOOSE('DCF Model'!$D$27,K41,K42,K43,K44,K45)</f>
        <v>1526.7901269673823</v>
      </c>
    </row>
    <row r="8" spans="2:11" ht="14" x14ac:dyDescent="0.3">
      <c r="B8" s="39" t="s">
        <v>194</v>
      </c>
      <c r="C8" s="38" t="s">
        <v>192</v>
      </c>
      <c r="D8" s="40">
        <f>D7/D6</f>
        <v>0.09</v>
      </c>
      <c r="E8" s="40">
        <f>E7/E6</f>
        <v>0.08</v>
      </c>
      <c r="F8" s="40">
        <f>F7/F6</f>
        <v>0.10003871467286102</v>
      </c>
      <c r="G8" s="40">
        <f>CHOOSE('DCF Model'!$D$27,G41,G42,G43,G44,G45)</f>
        <v>0.1</v>
      </c>
      <c r="H8" s="40">
        <f>CHOOSE('DCF Model'!$D$27,H41,H42,H43,H44,H45)</f>
        <v>0.1</v>
      </c>
      <c r="I8" s="40">
        <f>CHOOSE('DCF Model'!$D$27,I41,I42,I43,I44,I45)</f>
        <v>0.105</v>
      </c>
      <c r="J8" s="40">
        <f>CHOOSE('DCF Model'!$D$27,J41,J42,J43,J44,J45)</f>
        <v>0.105</v>
      </c>
      <c r="K8" s="40">
        <f>CHOOSE('DCF Model'!$D$27,K41,K42,K43,K44,K45)</f>
        <v>0.105</v>
      </c>
    </row>
    <row r="10" spans="2:11" ht="14" x14ac:dyDescent="0.3">
      <c r="B10" s="8" t="s">
        <v>195</v>
      </c>
      <c r="C10" s="9"/>
      <c r="D10" s="9"/>
      <c r="E10" s="9"/>
      <c r="F10" s="9"/>
      <c r="G10" s="9"/>
      <c r="H10" s="9"/>
      <c r="I10" s="9"/>
      <c r="J10" s="9"/>
      <c r="K10" s="9"/>
    </row>
    <row r="11" spans="2:11" ht="14" x14ac:dyDescent="0.3">
      <c r="B11" s="4" t="s">
        <v>40</v>
      </c>
      <c r="C11" s="38" t="s">
        <v>192</v>
      </c>
      <c r="D11" s="28">
        <v>8800</v>
      </c>
      <c r="E11" s="28">
        <v>8700</v>
      </c>
      <c r="F11" s="28">
        <v>8985</v>
      </c>
      <c r="G11" s="28">
        <f>F11*(1+CHOOSE('DCF Model'!$D$27,G48,G49,G50,G51,G52))</f>
        <v>9254.5500000000011</v>
      </c>
      <c r="H11" s="28">
        <f>G11*(1+CHOOSE('DCF Model'!$D$27,H48,H49,H50,H51,H52))</f>
        <v>9624.7320000000018</v>
      </c>
      <c r="I11" s="28">
        <f>H11*(1+CHOOSE('DCF Model'!$D$27,I48,I49,I50,I51,I52))</f>
        <v>10105.968600000002</v>
      </c>
      <c r="J11" s="28">
        <f>I11*(1+CHOOSE('DCF Model'!$D$27,J48,J49,J50,J51,J52))</f>
        <v>10611.267030000003</v>
      </c>
      <c r="K11" s="28">
        <f>J11*(1+CHOOSE('DCF Model'!$D$27,K48,K49,K50,K51,K52))</f>
        <v>11141.830381500004</v>
      </c>
    </row>
    <row r="12" spans="2:11" ht="14" x14ac:dyDescent="0.3">
      <c r="B12" s="4" t="s">
        <v>193</v>
      </c>
      <c r="C12" s="38" t="s">
        <v>192</v>
      </c>
      <c r="D12" s="28">
        <v>924</v>
      </c>
      <c r="E12" s="28">
        <v>827</v>
      </c>
      <c r="F12" s="28">
        <v>1017</v>
      </c>
      <c r="G12" s="28">
        <f>G11*CHOOSE('DCF Model'!$D$27,G55,G56,G57,G58,G59)</f>
        <v>1018.0005000000001</v>
      </c>
      <c r="H12" s="28">
        <f>H11*CHOOSE('DCF Model'!$D$27,H55,H56,H57,H58,H59)</f>
        <v>1154.9678400000003</v>
      </c>
      <c r="I12" s="28">
        <f>I11*CHOOSE('DCF Model'!$D$27,I55,I56,I57,I58,I59)</f>
        <v>1212.7162320000002</v>
      </c>
      <c r="J12" s="28">
        <f>J11*CHOOSE('DCF Model'!$D$27,J55,J56,J57,J58,J59)</f>
        <v>1379.4647139000003</v>
      </c>
      <c r="K12" s="28">
        <f>K11*CHOOSE('DCF Model'!$D$27,K55,K56,K57,K58,K59)</f>
        <v>1448.4379495950004</v>
      </c>
    </row>
    <row r="13" spans="2:11" ht="14" x14ac:dyDescent="0.3">
      <c r="B13" s="39" t="s">
        <v>194</v>
      </c>
      <c r="C13" s="38" t="s">
        <v>192</v>
      </c>
      <c r="D13" s="40">
        <f>D12/D11</f>
        <v>0.105</v>
      </c>
      <c r="E13" s="40">
        <f>E12/E11</f>
        <v>9.505747126436781E-2</v>
      </c>
      <c r="F13" s="40">
        <f>F12/F11</f>
        <v>0.11318864774624374</v>
      </c>
      <c r="G13" s="40">
        <f>CHOOSE('DCF Model'!$D$27,G55,G56,G57,G58,G59)</f>
        <v>0.11</v>
      </c>
      <c r="H13" s="40">
        <f>CHOOSE('DCF Model'!$D$27,H55,H56,H57,H58,H59)</f>
        <v>0.12</v>
      </c>
      <c r="I13" s="40">
        <f>CHOOSE('DCF Model'!$D$27,I55,I56,I57,I58,I59)</f>
        <v>0.12</v>
      </c>
      <c r="J13" s="40">
        <f>CHOOSE('DCF Model'!$D$27,J55,J56,J57,J58,J59)</f>
        <v>0.13</v>
      </c>
      <c r="K13" s="40">
        <f>CHOOSE('DCF Model'!$D$27,K55,K56,K57,K58,K59)</f>
        <v>0.13</v>
      </c>
    </row>
    <row r="15" spans="2:11" ht="14" x14ac:dyDescent="0.3">
      <c r="B15" s="8" t="s">
        <v>196</v>
      </c>
      <c r="C15" s="9"/>
      <c r="D15" s="9"/>
      <c r="E15" s="9"/>
      <c r="F15" s="9"/>
      <c r="G15" s="9"/>
      <c r="H15" s="9"/>
      <c r="I15" s="9"/>
      <c r="J15" s="9"/>
      <c r="K15" s="9"/>
    </row>
    <row r="16" spans="2:11" ht="14" x14ac:dyDescent="0.3">
      <c r="B16" s="4" t="s">
        <v>40</v>
      </c>
      <c r="C16" s="38" t="s">
        <v>192</v>
      </c>
      <c r="D16" s="28">
        <v>4774</v>
      </c>
      <c r="E16" s="28">
        <v>4796</v>
      </c>
      <c r="F16" s="28">
        <v>6177</v>
      </c>
      <c r="G16" s="28">
        <f>F16*(1+CHOOSE('DCF Model'!$D$27,G62,G63,G64,G65,G66))</f>
        <v>6671.1600000000008</v>
      </c>
      <c r="H16" s="28">
        <f>G16*(1+CHOOSE('DCF Model'!$D$27,H62,H63,H64,H65,H66))</f>
        <v>7338.2760000000017</v>
      </c>
      <c r="I16" s="28">
        <f>H16*(1+CHOOSE('DCF Model'!$D$27,I62,I63,I64,I65,I66))</f>
        <v>8218.869120000003</v>
      </c>
      <c r="J16" s="28">
        <f>I16*(1+CHOOSE('DCF Model'!$D$27,J62,J63,J64,J65,J66))</f>
        <v>9451.699488000002</v>
      </c>
      <c r="K16" s="28">
        <f>J16*(1+CHOOSE('DCF Model'!$D$27,K62,K63,K64,K65,K66))</f>
        <v>10585.903426560004</v>
      </c>
    </row>
    <row r="17" spans="2:11" ht="14" x14ac:dyDescent="0.3">
      <c r="B17" s="4" t="s">
        <v>193</v>
      </c>
      <c r="C17" s="38" t="s">
        <v>192</v>
      </c>
      <c r="D17" s="28">
        <v>694</v>
      </c>
      <c r="E17" s="28">
        <v>608</v>
      </c>
      <c r="F17" s="28">
        <v>926</v>
      </c>
      <c r="G17" s="28">
        <f>G16*CHOOSE('DCF Model'!$D$27,G69,G70,G71,G72,G73)</f>
        <v>800.53920000000005</v>
      </c>
      <c r="H17" s="28">
        <f>H16*CHOOSE('DCF Model'!$D$27,H69,H70,H71,H72,H73)</f>
        <v>917.28450000000021</v>
      </c>
      <c r="I17" s="28">
        <f>I16*CHOOSE('DCF Model'!$D$27,I69,I70,I71,I72,I73)</f>
        <v>1068.4529856000004</v>
      </c>
      <c r="J17" s="28">
        <f>J16*CHOOSE('DCF Model'!$D$27,J69,J70,J71,J72,J73)</f>
        <v>1275.9794308800003</v>
      </c>
      <c r="K17" s="28">
        <f>K16*CHOOSE('DCF Model'!$D$27,K69,K70,K71,K72,K73)</f>
        <v>1482.0264797184007</v>
      </c>
    </row>
    <row r="18" spans="2:11" ht="14" x14ac:dyDescent="0.3">
      <c r="B18" s="39" t="s">
        <v>194</v>
      </c>
      <c r="C18" s="38" t="s">
        <v>192</v>
      </c>
      <c r="D18" s="40">
        <f>D17/D16</f>
        <v>0.14537075827398407</v>
      </c>
      <c r="E18" s="40">
        <f>E17/E16</f>
        <v>0.12677231025854879</v>
      </c>
      <c r="F18" s="40">
        <f>F17/F16</f>
        <v>0.14991096001295126</v>
      </c>
      <c r="G18" s="40">
        <f>CHOOSE('DCF Model'!$D$27,G69,G70,G71,G72,G73)</f>
        <v>0.12</v>
      </c>
      <c r="H18" s="40">
        <f>CHOOSE('DCF Model'!$D$27,H69,H70,H71,H72,H73)</f>
        <v>0.125</v>
      </c>
      <c r="I18" s="40">
        <f>CHOOSE('DCF Model'!$D$27,I69,I70,I71,I72,I73)</f>
        <v>0.13</v>
      </c>
      <c r="J18" s="40">
        <f>CHOOSE('DCF Model'!$D$27,J69,J70,J71,J72,J73)</f>
        <v>0.13500000000000001</v>
      </c>
      <c r="K18" s="40">
        <f>CHOOSE('DCF Model'!$D$27,K69,K70,K71,K72,K73)</f>
        <v>0.14000000000000001</v>
      </c>
    </row>
    <row r="20" spans="2:11" ht="14" x14ac:dyDescent="0.3">
      <c r="B20" s="22" t="s">
        <v>197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ht="14" x14ac:dyDescent="0.3">
      <c r="B21" s="4" t="s">
        <v>198</v>
      </c>
      <c r="C21" s="20" t="e">
        <f t="shared" ref="C21:K21" si="0">C6+C11+C16</f>
        <v>#VALUE!</v>
      </c>
      <c r="D21" s="20">
        <f t="shared" si="0"/>
        <v>23874</v>
      </c>
      <c r="E21" s="20">
        <f t="shared" si="0"/>
        <v>24096</v>
      </c>
      <c r="F21" s="20">
        <f t="shared" si="0"/>
        <v>28077</v>
      </c>
      <c r="G21" s="20">
        <f t="shared" si="0"/>
        <v>29099.010000000002</v>
      </c>
      <c r="H21" s="20">
        <f t="shared" si="0"/>
        <v>30465.640500000005</v>
      </c>
      <c r="I21" s="20">
        <f t="shared" si="0"/>
        <v>32165.036032500004</v>
      </c>
      <c r="J21" s="20">
        <f t="shared" si="0"/>
        <v>34249.169788312502</v>
      </c>
      <c r="K21" s="20">
        <f t="shared" si="0"/>
        <v>36268.59216013032</v>
      </c>
    </row>
    <row r="22" spans="2:11" ht="14" x14ac:dyDescent="0.3">
      <c r="B22" s="4" t="s">
        <v>199</v>
      </c>
      <c r="C22" s="20" t="e">
        <f t="shared" ref="C22:K22" si="1">C7+C12+C17</f>
        <v>#VALUE!</v>
      </c>
      <c r="D22" s="20">
        <f t="shared" si="1"/>
        <v>2545</v>
      </c>
      <c r="E22" s="20">
        <f t="shared" si="1"/>
        <v>2283</v>
      </c>
      <c r="F22" s="20">
        <f t="shared" si="1"/>
        <v>3235</v>
      </c>
      <c r="G22" s="20">
        <f t="shared" si="1"/>
        <v>3135.8697000000002</v>
      </c>
      <c r="H22" s="20">
        <f t="shared" si="1"/>
        <v>3422.5155900000004</v>
      </c>
      <c r="I22" s="20">
        <f t="shared" si="1"/>
        <v>3734.3900404125002</v>
      </c>
      <c r="J22" s="20">
        <f t="shared" si="1"/>
        <v>4144.9954881628128</v>
      </c>
      <c r="K22" s="20">
        <f t="shared" si="1"/>
        <v>4457.2545562807836</v>
      </c>
    </row>
    <row r="23" spans="2:11" ht="14" x14ac:dyDescent="0.3">
      <c r="B23" s="39" t="s">
        <v>200</v>
      </c>
      <c r="C23" s="40" t="str">
        <f t="shared" ref="C23:K23" si="2">IFERROR(C22/C21,"—")</f>
        <v>—</v>
      </c>
      <c r="D23" s="40">
        <f t="shared" si="2"/>
        <v>0.10660132361564882</v>
      </c>
      <c r="E23" s="40">
        <f t="shared" si="2"/>
        <v>9.4746015936254979E-2</v>
      </c>
      <c r="F23" s="40">
        <f t="shared" si="2"/>
        <v>0.11521886241407558</v>
      </c>
      <c r="G23" s="40">
        <f t="shared" si="2"/>
        <v>0.1077655116101888</v>
      </c>
      <c r="H23" s="40">
        <f t="shared" si="2"/>
        <v>0.11234018172045324</v>
      </c>
      <c r="I23" s="40">
        <f t="shared" si="2"/>
        <v>0.11610091270033772</v>
      </c>
      <c r="J23" s="40">
        <f t="shared" si="2"/>
        <v>0.12102469968709398</v>
      </c>
      <c r="K23" s="40">
        <f t="shared" si="2"/>
        <v>0.12289571474408087</v>
      </c>
    </row>
    <row r="25" spans="2:11" ht="14" x14ac:dyDescent="0.3">
      <c r="B25" s="41" t="s">
        <v>201</v>
      </c>
      <c r="C25" s="42"/>
      <c r="D25" s="42"/>
      <c r="E25" s="42"/>
      <c r="F25" s="42"/>
      <c r="G25" s="42"/>
      <c r="H25" s="42"/>
      <c r="I25" s="42"/>
      <c r="J25" s="42"/>
      <c r="K25" s="42"/>
    </row>
    <row r="26" spans="2:11" ht="14" x14ac:dyDescent="0.3">
      <c r="B26" s="4" t="s">
        <v>202</v>
      </c>
      <c r="G26" s="43">
        <f>'DCF Model'!C33</f>
        <v>29099.010000000002</v>
      </c>
      <c r="H26" s="43">
        <f>'DCF Model'!D33</f>
        <v>30465.640500000005</v>
      </c>
      <c r="I26" s="43">
        <f>'DCF Model'!E33</f>
        <v>32165.036032500004</v>
      </c>
      <c r="J26" s="43">
        <f>'DCF Model'!F33</f>
        <v>34249.169788312502</v>
      </c>
      <c r="K26" s="43">
        <f>'DCF Model'!G33</f>
        <v>36268.59216013032</v>
      </c>
    </row>
    <row r="27" spans="2:11" ht="14" x14ac:dyDescent="0.3">
      <c r="B27" s="4" t="s">
        <v>203</v>
      </c>
      <c r="G27" s="28">
        <f>G21</f>
        <v>29099.010000000002</v>
      </c>
      <c r="H27" s="28">
        <f>H21</f>
        <v>30465.640500000005</v>
      </c>
      <c r="I27" s="28">
        <f>I21</f>
        <v>32165.036032500004</v>
      </c>
      <c r="J27" s="28">
        <f>J21</f>
        <v>34249.169788312502</v>
      </c>
      <c r="K27" s="28">
        <f>K21</f>
        <v>36268.59216013032</v>
      </c>
    </row>
    <row r="28" spans="2:11" ht="14" x14ac:dyDescent="0.3">
      <c r="B28" s="4" t="s">
        <v>204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  <c r="K28" s="24">
        <f>K27-K26</f>
        <v>0</v>
      </c>
    </row>
    <row r="31" spans="2:11" ht="14" x14ac:dyDescent="0.3">
      <c r="B31" s="44" t="s">
        <v>205</v>
      </c>
      <c r="C31" s="45"/>
      <c r="D31" s="45"/>
      <c r="E31" s="45"/>
      <c r="F31" s="45"/>
      <c r="G31" s="45"/>
      <c r="H31" s="45"/>
      <c r="I31" s="45"/>
      <c r="J31" s="45"/>
      <c r="K31" s="45"/>
    </row>
    <row r="32" spans="2:11" ht="14" x14ac:dyDescent="0.3">
      <c r="G32" s="30" t="s">
        <v>87</v>
      </c>
      <c r="H32" s="30" t="s">
        <v>88</v>
      </c>
      <c r="I32" s="30" t="s">
        <v>89</v>
      </c>
      <c r="J32" s="30" t="s">
        <v>90</v>
      </c>
      <c r="K32" s="30" t="s">
        <v>91</v>
      </c>
    </row>
    <row r="33" spans="2:11" ht="14" x14ac:dyDescent="0.3">
      <c r="B33" s="3" t="s">
        <v>206</v>
      </c>
    </row>
    <row r="34" spans="2:11" ht="14" x14ac:dyDescent="0.3">
      <c r="B34" s="4" t="s">
        <v>85</v>
      </c>
      <c r="G34" s="46">
        <v>0.02</v>
      </c>
      <c r="H34" s="46">
        <v>2.5000000000000001E-2</v>
      </c>
      <c r="I34" s="46">
        <v>2.5000000000000001E-2</v>
      </c>
      <c r="J34" s="46">
        <v>2.5000000000000001E-2</v>
      </c>
      <c r="K34" s="46">
        <v>2.5000000000000001E-2</v>
      </c>
    </row>
    <row r="35" spans="2:11" ht="14" x14ac:dyDescent="0.3">
      <c r="B35" s="4" t="s">
        <v>141</v>
      </c>
      <c r="G35" s="46">
        <v>3.5000000000000003E-2</v>
      </c>
      <c r="H35" s="46">
        <v>3.5000000000000003E-2</v>
      </c>
      <c r="I35" s="46">
        <v>4.4999999999999998E-2</v>
      </c>
      <c r="J35" s="46">
        <v>4.4999999999999998E-2</v>
      </c>
      <c r="K35" s="46">
        <v>4.4999999999999998E-2</v>
      </c>
    </row>
    <row r="36" spans="2:11" ht="14" x14ac:dyDescent="0.3">
      <c r="B36" s="4" t="s">
        <v>142</v>
      </c>
      <c r="G36" s="46">
        <v>0.02</v>
      </c>
      <c r="H36" s="46">
        <v>2.5000000000000001E-2</v>
      </c>
      <c r="I36" s="46">
        <v>2.5000000000000001E-2</v>
      </c>
      <c r="J36" s="46">
        <v>2.5000000000000001E-2</v>
      </c>
      <c r="K36" s="46">
        <v>2.5000000000000001E-2</v>
      </c>
    </row>
    <row r="37" spans="2:11" ht="14" x14ac:dyDescent="0.3">
      <c r="B37" s="4" t="s">
        <v>143</v>
      </c>
      <c r="G37" s="46">
        <v>0</v>
      </c>
      <c r="H37" s="46">
        <v>0</v>
      </c>
      <c r="I37" s="46">
        <v>0.01</v>
      </c>
      <c r="J37" s="46">
        <v>0.01</v>
      </c>
      <c r="K37" s="46">
        <v>0.01</v>
      </c>
    </row>
    <row r="38" spans="2:11" ht="14" x14ac:dyDescent="0.3">
      <c r="B38" s="4" t="s">
        <v>144</v>
      </c>
      <c r="G38" s="46">
        <v>-0.02</v>
      </c>
      <c r="H38" s="46">
        <v>-0.02</v>
      </c>
      <c r="I38" s="46">
        <v>-0.01</v>
      </c>
      <c r="J38" s="46">
        <v>-0.01</v>
      </c>
      <c r="K38" s="46">
        <v>-0.01</v>
      </c>
    </row>
    <row r="40" spans="2:11" ht="14" x14ac:dyDescent="0.3">
      <c r="B40" s="3" t="s">
        <v>207</v>
      </c>
    </row>
    <row r="41" spans="2:11" ht="14" x14ac:dyDescent="0.3">
      <c r="B41" s="4" t="s">
        <v>85</v>
      </c>
      <c r="G41" s="46">
        <v>0.1</v>
      </c>
      <c r="H41" s="46">
        <v>0.1</v>
      </c>
      <c r="I41" s="46">
        <v>0.105</v>
      </c>
      <c r="J41" s="46">
        <v>0.105</v>
      </c>
      <c r="K41" s="46">
        <v>0.105</v>
      </c>
    </row>
    <row r="42" spans="2:11" ht="14" x14ac:dyDescent="0.3">
      <c r="B42" s="4" t="s">
        <v>141</v>
      </c>
      <c r="G42" s="46">
        <v>0.11</v>
      </c>
      <c r="H42" s="46">
        <v>0.11</v>
      </c>
      <c r="I42" s="46">
        <v>0.12</v>
      </c>
      <c r="J42" s="46">
        <v>0.12</v>
      </c>
      <c r="K42" s="46">
        <v>0.12</v>
      </c>
    </row>
    <row r="43" spans="2:11" ht="14" x14ac:dyDescent="0.3">
      <c r="B43" s="4" t="s">
        <v>142</v>
      </c>
      <c r="G43" s="46">
        <v>0.1</v>
      </c>
      <c r="H43" s="46">
        <v>0.1</v>
      </c>
      <c r="I43" s="46">
        <v>0.105</v>
      </c>
      <c r="J43" s="46">
        <v>0.105</v>
      </c>
      <c r="K43" s="46">
        <v>0.105</v>
      </c>
    </row>
    <row r="44" spans="2:11" ht="14" x14ac:dyDescent="0.3">
      <c r="B44" s="4" t="s">
        <v>143</v>
      </c>
      <c r="G44" s="46">
        <v>0.09</v>
      </c>
      <c r="H44" s="46">
        <v>0.09</v>
      </c>
      <c r="I44" s="46">
        <v>0.1</v>
      </c>
      <c r="J44" s="46">
        <v>0.1</v>
      </c>
      <c r="K44" s="46">
        <v>0.1</v>
      </c>
    </row>
    <row r="45" spans="2:11" ht="14" x14ac:dyDescent="0.3">
      <c r="B45" s="4" t="s">
        <v>144</v>
      </c>
      <c r="G45" s="46">
        <v>0.08</v>
      </c>
      <c r="H45" s="46">
        <v>0.08</v>
      </c>
      <c r="I45" s="46">
        <v>0.09</v>
      </c>
      <c r="J45" s="46">
        <v>0.09</v>
      </c>
      <c r="K45" s="46">
        <v>0.09</v>
      </c>
    </row>
    <row r="47" spans="2:11" ht="14" x14ac:dyDescent="0.3">
      <c r="B47" s="3" t="s">
        <v>208</v>
      </c>
    </row>
    <row r="48" spans="2:11" ht="14" x14ac:dyDescent="0.3">
      <c r="B48" s="4" t="s">
        <v>85</v>
      </c>
      <c r="G48" s="46">
        <v>0.03</v>
      </c>
      <c r="H48" s="46">
        <v>0.04</v>
      </c>
      <c r="I48" s="46">
        <v>0.05</v>
      </c>
      <c r="J48" s="46">
        <v>0.05</v>
      </c>
      <c r="K48" s="46">
        <v>0.05</v>
      </c>
    </row>
    <row r="49" spans="2:11" ht="14" x14ac:dyDescent="0.3">
      <c r="B49" s="4" t="s">
        <v>141</v>
      </c>
      <c r="G49" s="46">
        <v>4.4999999999999998E-2</v>
      </c>
      <c r="H49" s="46">
        <v>5.5E-2</v>
      </c>
      <c r="I49" s="46">
        <v>6.5000000000000002E-2</v>
      </c>
      <c r="J49" s="46">
        <v>6.5000000000000002E-2</v>
      </c>
      <c r="K49" s="46">
        <v>6.5000000000000002E-2</v>
      </c>
    </row>
    <row r="50" spans="2:11" ht="14" x14ac:dyDescent="0.3">
      <c r="B50" s="4" t="s">
        <v>142</v>
      </c>
      <c r="G50" s="46">
        <v>0.03</v>
      </c>
      <c r="H50" s="46">
        <v>0.04</v>
      </c>
      <c r="I50" s="46">
        <v>0.05</v>
      </c>
      <c r="J50" s="46">
        <v>0.05</v>
      </c>
      <c r="K50" s="46">
        <v>0.05</v>
      </c>
    </row>
    <row r="51" spans="2:11" ht="14" x14ac:dyDescent="0.3">
      <c r="B51" s="4" t="s">
        <v>143</v>
      </c>
      <c r="G51" s="46">
        <v>0.01</v>
      </c>
      <c r="H51" s="46">
        <v>0.02</v>
      </c>
      <c r="I51" s="46">
        <v>0.03</v>
      </c>
      <c r="J51" s="46">
        <v>0.03</v>
      </c>
      <c r="K51" s="46">
        <v>0.03</v>
      </c>
    </row>
    <row r="52" spans="2:11" ht="14" x14ac:dyDescent="0.3">
      <c r="B52" s="4" t="s">
        <v>144</v>
      </c>
      <c r="G52" s="46">
        <v>-0.01</v>
      </c>
      <c r="H52" s="46">
        <v>0</v>
      </c>
      <c r="I52" s="46">
        <v>0.01</v>
      </c>
      <c r="J52" s="46">
        <v>0.01</v>
      </c>
      <c r="K52" s="46">
        <v>0.01</v>
      </c>
    </row>
    <row r="54" spans="2:11" ht="14" x14ac:dyDescent="0.3">
      <c r="B54" s="3" t="s">
        <v>209</v>
      </c>
    </row>
    <row r="55" spans="2:11" ht="14" x14ac:dyDescent="0.3">
      <c r="B55" s="4" t="s">
        <v>85</v>
      </c>
      <c r="G55" s="46">
        <v>0.11</v>
      </c>
      <c r="H55" s="46">
        <v>0.12</v>
      </c>
      <c r="I55" s="46">
        <v>0.12</v>
      </c>
      <c r="J55" s="46">
        <v>0.13</v>
      </c>
      <c r="K55" s="46">
        <v>0.13</v>
      </c>
    </row>
    <row r="56" spans="2:11" ht="14" x14ac:dyDescent="0.3">
      <c r="B56" s="4" t="s">
        <v>141</v>
      </c>
      <c r="G56" s="46">
        <v>0.12</v>
      </c>
      <c r="H56" s="46">
        <v>0.13</v>
      </c>
      <c r="I56" s="46">
        <v>0.13</v>
      </c>
      <c r="J56" s="46">
        <v>0.14000000000000001</v>
      </c>
      <c r="K56" s="46">
        <v>0.14000000000000001</v>
      </c>
    </row>
    <row r="57" spans="2:11" ht="14" x14ac:dyDescent="0.3">
      <c r="B57" s="4" t="s">
        <v>142</v>
      </c>
      <c r="G57" s="46">
        <v>0.11</v>
      </c>
      <c r="H57" s="46">
        <v>0.12</v>
      </c>
      <c r="I57" s="46">
        <v>0.12</v>
      </c>
      <c r="J57" s="46">
        <v>0.13</v>
      </c>
      <c r="K57" s="46">
        <v>0.13</v>
      </c>
    </row>
    <row r="58" spans="2:11" ht="14" x14ac:dyDescent="0.3">
      <c r="B58" s="4" t="s">
        <v>143</v>
      </c>
      <c r="G58" s="46">
        <v>0.1</v>
      </c>
      <c r="H58" s="46">
        <v>0.11</v>
      </c>
      <c r="I58" s="46">
        <v>0.11</v>
      </c>
      <c r="J58" s="46">
        <v>0.12</v>
      </c>
      <c r="K58" s="46">
        <v>0.12</v>
      </c>
    </row>
    <row r="59" spans="2:11" ht="14" x14ac:dyDescent="0.3">
      <c r="B59" s="4" t="s">
        <v>144</v>
      </c>
      <c r="G59" s="46">
        <v>0.09</v>
      </c>
      <c r="H59" s="46">
        <v>0.1</v>
      </c>
      <c r="I59" s="46">
        <v>0.1</v>
      </c>
      <c r="J59" s="46">
        <v>0.11</v>
      </c>
      <c r="K59" s="46">
        <v>0.11</v>
      </c>
    </row>
    <row r="61" spans="2:11" ht="14" x14ac:dyDescent="0.3">
      <c r="B61" s="3" t="s">
        <v>210</v>
      </c>
    </row>
    <row r="62" spans="2:11" ht="14" x14ac:dyDescent="0.3">
      <c r="B62" s="4" t="s">
        <v>85</v>
      </c>
      <c r="G62" s="46">
        <v>0.08</v>
      </c>
      <c r="H62" s="46">
        <v>0.1</v>
      </c>
      <c r="I62" s="46">
        <v>0.12</v>
      </c>
      <c r="J62" s="46">
        <v>0.15</v>
      </c>
      <c r="K62" s="46">
        <v>0.12</v>
      </c>
    </row>
    <row r="63" spans="2:11" ht="14" x14ac:dyDescent="0.3">
      <c r="B63" s="4" t="s">
        <v>141</v>
      </c>
      <c r="G63" s="46">
        <v>9.5000000000000001E-2</v>
      </c>
      <c r="H63" s="46">
        <v>0.115</v>
      </c>
      <c r="I63" s="46">
        <v>0.13500000000000001</v>
      </c>
      <c r="J63" s="46">
        <v>0.16500000000000001</v>
      </c>
      <c r="K63" s="46">
        <v>0.13500000000000001</v>
      </c>
    </row>
    <row r="64" spans="2:11" ht="14" x14ac:dyDescent="0.3">
      <c r="B64" s="4" t="s">
        <v>142</v>
      </c>
      <c r="G64" s="46">
        <v>0.08</v>
      </c>
      <c r="H64" s="46">
        <v>0.1</v>
      </c>
      <c r="I64" s="46">
        <v>0.12</v>
      </c>
      <c r="J64" s="46">
        <v>0.15</v>
      </c>
      <c r="K64" s="46">
        <v>0.12</v>
      </c>
    </row>
    <row r="65" spans="2:11" ht="14" x14ac:dyDescent="0.3">
      <c r="B65" s="4" t="s">
        <v>143</v>
      </c>
      <c r="G65" s="46">
        <v>0.06</v>
      </c>
      <c r="H65" s="46">
        <v>0.08</v>
      </c>
      <c r="I65" s="46">
        <v>0.1</v>
      </c>
      <c r="J65" s="46">
        <v>0.13</v>
      </c>
      <c r="K65" s="46">
        <v>0.1</v>
      </c>
    </row>
    <row r="66" spans="2:11" ht="14" x14ac:dyDescent="0.3">
      <c r="B66" s="4" t="s">
        <v>144</v>
      </c>
      <c r="G66" s="46">
        <v>0.04</v>
      </c>
      <c r="H66" s="46">
        <v>0.06</v>
      </c>
      <c r="I66" s="46">
        <v>0.08</v>
      </c>
      <c r="J66" s="46">
        <v>0.11</v>
      </c>
      <c r="K66" s="46">
        <v>0.08</v>
      </c>
    </row>
    <row r="68" spans="2:11" ht="14" x14ac:dyDescent="0.3">
      <c r="B68" s="3" t="s">
        <v>211</v>
      </c>
    </row>
    <row r="69" spans="2:11" ht="14" x14ac:dyDescent="0.3">
      <c r="B69" s="4" t="s">
        <v>85</v>
      </c>
      <c r="G69" s="46">
        <v>0.12</v>
      </c>
      <c r="H69" s="46">
        <v>0.125</v>
      </c>
      <c r="I69" s="46">
        <v>0.13</v>
      </c>
      <c r="J69" s="46">
        <v>0.13500000000000001</v>
      </c>
      <c r="K69" s="46">
        <v>0.14000000000000001</v>
      </c>
    </row>
    <row r="70" spans="2:11" ht="14" x14ac:dyDescent="0.3">
      <c r="B70" s="4" t="s">
        <v>141</v>
      </c>
      <c r="G70" s="46">
        <v>0.13</v>
      </c>
      <c r="H70" s="46">
        <v>0.14000000000000001</v>
      </c>
      <c r="I70" s="46">
        <v>0.15</v>
      </c>
      <c r="J70" s="46">
        <v>0.16</v>
      </c>
      <c r="K70" s="46">
        <v>0.16</v>
      </c>
    </row>
    <row r="71" spans="2:11" ht="14" x14ac:dyDescent="0.3">
      <c r="B71" s="4" t="s">
        <v>142</v>
      </c>
      <c r="G71" s="46">
        <v>0.12</v>
      </c>
      <c r="H71" s="46">
        <v>0.125</v>
      </c>
      <c r="I71" s="46">
        <v>0.13</v>
      </c>
      <c r="J71" s="46">
        <v>0.13500000000000001</v>
      </c>
      <c r="K71" s="46">
        <v>0.14000000000000001</v>
      </c>
    </row>
    <row r="72" spans="2:11" ht="14" x14ac:dyDescent="0.3">
      <c r="B72" s="4" t="s">
        <v>143</v>
      </c>
      <c r="G72" s="46">
        <v>0.11</v>
      </c>
      <c r="H72" s="46">
        <v>0.12</v>
      </c>
      <c r="I72" s="46">
        <v>0.13</v>
      </c>
      <c r="J72" s="46">
        <v>0.14000000000000001</v>
      </c>
      <c r="K72" s="46">
        <v>0.14000000000000001</v>
      </c>
    </row>
    <row r="73" spans="2:11" ht="14" x14ac:dyDescent="0.3">
      <c r="B73" s="4" t="s">
        <v>144</v>
      </c>
      <c r="G73" s="46">
        <v>0.1</v>
      </c>
      <c r="H73" s="46">
        <v>0.11</v>
      </c>
      <c r="I73" s="46">
        <v>0.12</v>
      </c>
      <c r="J73" s="46">
        <v>0.13</v>
      </c>
      <c r="K73" s="46">
        <v>0.13</v>
      </c>
    </row>
    <row r="76" spans="2:11" ht="14" x14ac:dyDescent="0.3">
      <c r="B76" s="47" t="s">
        <v>212</v>
      </c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4" x14ac:dyDescent="0.3">
      <c r="G77" s="30" t="s">
        <v>87</v>
      </c>
      <c r="H77" s="30" t="s">
        <v>88</v>
      </c>
      <c r="I77" s="30" t="s">
        <v>89</v>
      </c>
      <c r="J77" s="30" t="s">
        <v>90</v>
      </c>
      <c r="K77" s="30" t="s">
        <v>91</v>
      </c>
    </row>
    <row r="78" spans="2:11" ht="14" x14ac:dyDescent="0.3">
      <c r="B78" s="3" t="s">
        <v>93</v>
      </c>
    </row>
    <row r="79" spans="2:11" ht="14" x14ac:dyDescent="0.3">
      <c r="B79" s="4" t="s">
        <v>85</v>
      </c>
      <c r="G79" s="46">
        <v>0.16</v>
      </c>
      <c r="H79" s="46">
        <v>0.16</v>
      </c>
      <c r="I79" s="46">
        <v>0.16</v>
      </c>
      <c r="J79" s="46">
        <v>0.16</v>
      </c>
      <c r="K79" s="46">
        <v>0.16</v>
      </c>
    </row>
    <row r="80" spans="2:11" ht="14" x14ac:dyDescent="0.3">
      <c r="B80" s="4" t="s">
        <v>141</v>
      </c>
      <c r="G80" s="46">
        <v>0.15</v>
      </c>
      <c r="H80" s="46">
        <v>0.15</v>
      </c>
      <c r="I80" s="46">
        <v>0.14000000000000001</v>
      </c>
      <c r="J80" s="46">
        <v>0.14000000000000001</v>
      </c>
      <c r="K80" s="46">
        <v>0.14000000000000001</v>
      </c>
    </row>
    <row r="81" spans="2:11" ht="14" x14ac:dyDescent="0.3">
      <c r="B81" s="4" t="s">
        <v>142</v>
      </c>
      <c r="G81" s="46">
        <v>0.16</v>
      </c>
      <c r="H81" s="46">
        <v>0.16</v>
      </c>
      <c r="I81" s="46">
        <v>0.16</v>
      </c>
      <c r="J81" s="46">
        <v>0.16</v>
      </c>
      <c r="K81" s="46">
        <v>0.16</v>
      </c>
    </row>
    <row r="82" spans="2:11" ht="14" x14ac:dyDescent="0.3">
      <c r="B82" s="4" t="s">
        <v>143</v>
      </c>
      <c r="G82" s="46">
        <v>0.17</v>
      </c>
      <c r="H82" s="46">
        <v>0.17</v>
      </c>
      <c r="I82" s="46">
        <v>0.16</v>
      </c>
      <c r="J82" s="46">
        <v>0.16</v>
      </c>
      <c r="K82" s="46">
        <v>0.16</v>
      </c>
    </row>
    <row r="83" spans="2:11" ht="14" x14ac:dyDescent="0.3">
      <c r="B83" s="4" t="s">
        <v>144</v>
      </c>
      <c r="G83" s="46">
        <v>0.18</v>
      </c>
      <c r="H83" s="46">
        <v>0.18</v>
      </c>
      <c r="I83" s="46">
        <v>0.17</v>
      </c>
      <c r="J83" s="46">
        <v>0.17</v>
      </c>
      <c r="K83" s="46">
        <v>0.17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K24"/>
  <sheetViews>
    <sheetView workbookViewId="0">
      <pane xSplit="2" ySplit="4" topLeftCell="C6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1" width="16" customWidth="1"/>
  </cols>
  <sheetData>
    <row r="2" spans="2:11" ht="18" x14ac:dyDescent="0.4">
      <c r="B2" s="2" t="s">
        <v>213</v>
      </c>
    </row>
    <row r="4" spans="2:11" ht="14" x14ac:dyDescent="0.3">
      <c r="C4" s="10" t="s">
        <v>36</v>
      </c>
      <c r="D4" s="10" t="s">
        <v>37</v>
      </c>
      <c r="E4" s="10" t="s">
        <v>38</v>
      </c>
      <c r="F4" s="10" t="s">
        <v>190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</row>
    <row r="5" spans="2:11" ht="14" x14ac:dyDescent="0.3">
      <c r="B5" s="8" t="s">
        <v>214</v>
      </c>
      <c r="C5" s="9"/>
      <c r="D5" s="9"/>
      <c r="E5" s="9"/>
      <c r="F5" s="9"/>
      <c r="G5" s="9"/>
      <c r="H5" s="9"/>
      <c r="I5" s="9"/>
      <c r="J5" s="9"/>
      <c r="K5" s="9"/>
    </row>
    <row r="6" spans="2:11" ht="14" x14ac:dyDescent="0.3">
      <c r="B6" s="4" t="s">
        <v>215</v>
      </c>
      <c r="C6" s="38" t="s">
        <v>192</v>
      </c>
      <c r="D6" s="28">
        <v>9317</v>
      </c>
      <c r="E6" s="28">
        <v>10717</v>
      </c>
      <c r="F6" s="28">
        <v>13003</v>
      </c>
      <c r="G6" s="28">
        <v>12393</v>
      </c>
      <c r="H6" s="28">
        <f>G9</f>
        <v>12393</v>
      </c>
      <c r="I6" s="28">
        <f>H9</f>
        <v>12393</v>
      </c>
      <c r="J6" s="28">
        <f>I9</f>
        <v>12393</v>
      </c>
      <c r="K6" s="28">
        <f>J9</f>
        <v>12393</v>
      </c>
    </row>
    <row r="7" spans="2:11" ht="14" x14ac:dyDescent="0.3">
      <c r="B7" s="4" t="s">
        <v>216</v>
      </c>
      <c r="C7" s="38" t="s">
        <v>192</v>
      </c>
      <c r="D7" s="28">
        <v>11700</v>
      </c>
      <c r="E7" s="28">
        <v>12886</v>
      </c>
      <c r="F7" s="28">
        <v>12305</v>
      </c>
      <c r="G7" s="49">
        <v>13173</v>
      </c>
      <c r="H7" s="49">
        <v>13502</v>
      </c>
      <c r="I7" s="49">
        <v>13840</v>
      </c>
      <c r="J7" s="49">
        <v>14186</v>
      </c>
      <c r="K7" s="49">
        <v>14541</v>
      </c>
    </row>
    <row r="8" spans="2:11" ht="14" x14ac:dyDescent="0.3">
      <c r="B8" s="4" t="s">
        <v>217</v>
      </c>
      <c r="C8" s="38" t="s">
        <v>192</v>
      </c>
      <c r="D8" s="28">
        <v>10300</v>
      </c>
      <c r="E8" s="28">
        <v>10600</v>
      </c>
      <c r="F8" s="28">
        <v>12915</v>
      </c>
      <c r="G8" s="49">
        <v>13173</v>
      </c>
      <c r="H8" s="49">
        <v>13502</v>
      </c>
      <c r="I8" s="49">
        <v>13840</v>
      </c>
      <c r="J8" s="49">
        <v>14186</v>
      </c>
      <c r="K8" s="49">
        <v>14541</v>
      </c>
    </row>
    <row r="9" spans="2:11" ht="14" x14ac:dyDescent="0.3">
      <c r="B9" s="4" t="s">
        <v>218</v>
      </c>
      <c r="C9" s="20">
        <v>9317</v>
      </c>
      <c r="D9" s="20">
        <v>10717</v>
      </c>
      <c r="E9" s="20">
        <v>13003</v>
      </c>
      <c r="F9" s="20">
        <v>12393</v>
      </c>
      <c r="G9" s="20">
        <f>G6+G7-G8</f>
        <v>12393</v>
      </c>
      <c r="H9" s="20">
        <f>H6+H7-H8</f>
        <v>12393</v>
      </c>
      <c r="I9" s="20">
        <f>I6+I7-I8</f>
        <v>12393</v>
      </c>
      <c r="J9" s="20">
        <f>J6+J7-J8</f>
        <v>12393</v>
      </c>
      <c r="K9" s="20">
        <f>K6+K7-K8</f>
        <v>12393</v>
      </c>
    </row>
    <row r="10" spans="2:11" ht="14" x14ac:dyDescent="0.3">
      <c r="B10" s="39" t="s">
        <v>219</v>
      </c>
      <c r="C10" s="50" t="str">
        <f t="shared" ref="C10:K10" si="0">IFERROR(C7/C8,"—")</f>
        <v>—</v>
      </c>
      <c r="D10" s="50">
        <f t="shared" si="0"/>
        <v>1.1359223300970873</v>
      </c>
      <c r="E10" s="50">
        <f t="shared" si="0"/>
        <v>1.2156603773584906</v>
      </c>
      <c r="F10" s="50">
        <f t="shared" si="0"/>
        <v>0.95276809910956251</v>
      </c>
      <c r="G10" s="50">
        <f t="shared" si="0"/>
        <v>1</v>
      </c>
      <c r="H10" s="50">
        <f t="shared" si="0"/>
        <v>1</v>
      </c>
      <c r="I10" s="50">
        <f t="shared" si="0"/>
        <v>1</v>
      </c>
      <c r="J10" s="50">
        <f t="shared" si="0"/>
        <v>1</v>
      </c>
      <c r="K10" s="50">
        <f t="shared" si="0"/>
        <v>1</v>
      </c>
    </row>
    <row r="12" spans="2:11" ht="14" x14ac:dyDescent="0.3">
      <c r="B12" s="8" t="s">
        <v>220</v>
      </c>
      <c r="C12" s="9"/>
      <c r="D12" s="9"/>
      <c r="E12" s="9"/>
      <c r="F12" s="9"/>
      <c r="G12" s="9"/>
      <c r="H12" s="9"/>
      <c r="I12" s="9"/>
      <c r="J12" s="9"/>
      <c r="K12" s="9"/>
    </row>
    <row r="13" spans="2:11" ht="14" x14ac:dyDescent="0.3">
      <c r="B13" s="4" t="s">
        <v>215</v>
      </c>
      <c r="C13" s="38" t="s">
        <v>192</v>
      </c>
      <c r="D13" s="28">
        <v>7977</v>
      </c>
      <c r="E13" s="28">
        <v>9177</v>
      </c>
      <c r="F13" s="28">
        <v>11054</v>
      </c>
      <c r="G13" s="28">
        <v>10630</v>
      </c>
      <c r="H13" s="28">
        <f>G16</f>
        <v>10630</v>
      </c>
      <c r="I13" s="28">
        <f>H16</f>
        <v>10630</v>
      </c>
      <c r="J13" s="28">
        <f>I16</f>
        <v>10630</v>
      </c>
      <c r="K13" s="28">
        <f>J16</f>
        <v>10630</v>
      </c>
    </row>
    <row r="14" spans="2:11" ht="14" x14ac:dyDescent="0.3">
      <c r="B14" s="4" t="s">
        <v>216</v>
      </c>
      <c r="C14" s="38" t="s">
        <v>192</v>
      </c>
      <c r="D14" s="28">
        <v>10000</v>
      </c>
      <c r="E14" s="28">
        <v>10577</v>
      </c>
      <c r="F14" s="28">
        <v>8561</v>
      </c>
      <c r="G14" s="49">
        <v>9255</v>
      </c>
      <c r="H14" s="49">
        <v>9625</v>
      </c>
      <c r="I14" s="49">
        <v>10106</v>
      </c>
      <c r="J14" s="49">
        <v>10611</v>
      </c>
      <c r="K14" s="49">
        <v>11142</v>
      </c>
    </row>
    <row r="15" spans="2:11" ht="14" x14ac:dyDescent="0.3">
      <c r="B15" s="4" t="s">
        <v>217</v>
      </c>
      <c r="C15" s="38" t="s">
        <v>192</v>
      </c>
      <c r="D15" s="28">
        <v>8800</v>
      </c>
      <c r="E15" s="28">
        <v>8700</v>
      </c>
      <c r="F15" s="28">
        <v>8985</v>
      </c>
      <c r="G15" s="49">
        <v>9255</v>
      </c>
      <c r="H15" s="49">
        <v>9625</v>
      </c>
      <c r="I15" s="49">
        <v>10106</v>
      </c>
      <c r="J15" s="49">
        <v>10611</v>
      </c>
      <c r="K15" s="49">
        <v>11142</v>
      </c>
    </row>
    <row r="16" spans="2:11" ht="14" x14ac:dyDescent="0.3">
      <c r="B16" s="4" t="s">
        <v>218</v>
      </c>
      <c r="C16" s="20">
        <v>7977</v>
      </c>
      <c r="D16" s="20">
        <v>9177</v>
      </c>
      <c r="E16" s="20">
        <v>11054</v>
      </c>
      <c r="F16" s="20">
        <v>10630</v>
      </c>
      <c r="G16" s="20">
        <f>G13+G14-G15</f>
        <v>10630</v>
      </c>
      <c r="H16" s="20">
        <f>H13+H14-H15</f>
        <v>10630</v>
      </c>
      <c r="I16" s="20">
        <f>I13+I14-I15</f>
        <v>10630</v>
      </c>
      <c r="J16" s="20">
        <f>J13+J14-J15</f>
        <v>10630</v>
      </c>
      <c r="K16" s="20">
        <f>K13+K14-K15</f>
        <v>10630</v>
      </c>
    </row>
    <row r="17" spans="2:11" ht="14" x14ac:dyDescent="0.3">
      <c r="B17" s="39" t="s">
        <v>219</v>
      </c>
      <c r="C17" s="50" t="str">
        <f t="shared" ref="C17:K17" si="1">IFERROR(C14/C15,"—")</f>
        <v>—</v>
      </c>
      <c r="D17" s="50">
        <f t="shared" si="1"/>
        <v>1.1363636363636365</v>
      </c>
      <c r="E17" s="50">
        <f t="shared" si="1"/>
        <v>1.2157471264367816</v>
      </c>
      <c r="F17" s="50">
        <f t="shared" si="1"/>
        <v>0.9528102392877017</v>
      </c>
      <c r="G17" s="50">
        <f t="shared" si="1"/>
        <v>1</v>
      </c>
      <c r="H17" s="50">
        <f t="shared" si="1"/>
        <v>1</v>
      </c>
      <c r="I17" s="50">
        <f t="shared" si="1"/>
        <v>1</v>
      </c>
      <c r="J17" s="50">
        <f t="shared" si="1"/>
        <v>1</v>
      </c>
      <c r="K17" s="50">
        <f t="shared" si="1"/>
        <v>1</v>
      </c>
    </row>
    <row r="19" spans="2:11" ht="14" x14ac:dyDescent="0.3">
      <c r="B19" s="8" t="s">
        <v>221</v>
      </c>
      <c r="C19" s="9"/>
      <c r="D19" s="9"/>
      <c r="E19" s="9"/>
      <c r="F19" s="9"/>
      <c r="G19" s="9"/>
      <c r="H19" s="9"/>
      <c r="I19" s="9"/>
      <c r="J19" s="9"/>
      <c r="K19" s="9"/>
    </row>
    <row r="20" spans="2:11" ht="14" x14ac:dyDescent="0.3">
      <c r="B20" s="4" t="s">
        <v>215</v>
      </c>
      <c r="C20" s="38" t="s">
        <v>192</v>
      </c>
      <c r="D20" s="28">
        <v>4324</v>
      </c>
      <c r="E20" s="28">
        <v>4966</v>
      </c>
      <c r="F20" s="28">
        <v>6007</v>
      </c>
      <c r="G20" s="28">
        <v>5713</v>
      </c>
      <c r="H20" s="28">
        <f>G23</f>
        <v>6042</v>
      </c>
      <c r="I20" s="28">
        <f>H23</f>
        <v>6404</v>
      </c>
      <c r="J20" s="28">
        <f>I23</f>
        <v>6785</v>
      </c>
      <c r="K20" s="28">
        <f>J23</f>
        <v>7233</v>
      </c>
    </row>
    <row r="21" spans="2:11" ht="14" x14ac:dyDescent="0.3">
      <c r="B21" s="4" t="s">
        <v>216</v>
      </c>
      <c r="C21" s="38" t="s">
        <v>192</v>
      </c>
      <c r="D21" s="28">
        <v>5416</v>
      </c>
      <c r="E21" s="28">
        <v>5837</v>
      </c>
      <c r="F21" s="28">
        <v>5883</v>
      </c>
      <c r="G21" s="49">
        <v>7000</v>
      </c>
      <c r="H21" s="49">
        <v>7700</v>
      </c>
      <c r="I21" s="49">
        <v>8600</v>
      </c>
      <c r="J21" s="49">
        <v>9900</v>
      </c>
      <c r="K21" s="49">
        <v>11100</v>
      </c>
    </row>
    <row r="22" spans="2:11" ht="14" x14ac:dyDescent="0.3">
      <c r="B22" s="4" t="s">
        <v>217</v>
      </c>
      <c r="C22" s="38" t="s">
        <v>192</v>
      </c>
      <c r="D22" s="28">
        <v>4774</v>
      </c>
      <c r="E22" s="28">
        <v>4796</v>
      </c>
      <c r="F22" s="28">
        <v>6177</v>
      </c>
      <c r="G22" s="49">
        <v>6671</v>
      </c>
      <c r="H22" s="49">
        <v>7338</v>
      </c>
      <c r="I22" s="49">
        <v>8219</v>
      </c>
      <c r="J22" s="49">
        <v>9452</v>
      </c>
      <c r="K22" s="49">
        <v>10586</v>
      </c>
    </row>
    <row r="23" spans="2:11" ht="14" x14ac:dyDescent="0.3">
      <c r="B23" s="4" t="s">
        <v>218</v>
      </c>
      <c r="C23" s="20">
        <v>4324</v>
      </c>
      <c r="D23" s="20">
        <v>4966</v>
      </c>
      <c r="E23" s="20">
        <v>6007</v>
      </c>
      <c r="F23" s="20">
        <v>5713</v>
      </c>
      <c r="G23" s="20">
        <f>G20+G21-G22</f>
        <v>6042</v>
      </c>
      <c r="H23" s="20">
        <f>H20+H21-H22</f>
        <v>6404</v>
      </c>
      <c r="I23" s="20">
        <f>I20+I21-I22</f>
        <v>6785</v>
      </c>
      <c r="J23" s="20">
        <f>J20+J21-J22</f>
        <v>7233</v>
      </c>
      <c r="K23" s="20">
        <f>K20+K21-K22</f>
        <v>7747</v>
      </c>
    </row>
    <row r="24" spans="2:11" ht="14" x14ac:dyDescent="0.3">
      <c r="B24" s="39" t="s">
        <v>219</v>
      </c>
      <c r="C24" s="50" t="str">
        <f t="shared" ref="C24:K24" si="2">IFERROR(C21/C22,"—")</f>
        <v>—</v>
      </c>
      <c r="D24" s="50">
        <f t="shared" si="2"/>
        <v>1.1344784248010054</v>
      </c>
      <c r="E24" s="50">
        <f t="shared" si="2"/>
        <v>1.2170558798999167</v>
      </c>
      <c r="F24" s="50">
        <f t="shared" si="2"/>
        <v>0.9524040796503157</v>
      </c>
      <c r="G24" s="50">
        <f t="shared" si="2"/>
        <v>1.0493179433368311</v>
      </c>
      <c r="H24" s="50">
        <f t="shared" si="2"/>
        <v>1.0493322431180159</v>
      </c>
      <c r="I24" s="50">
        <f t="shared" si="2"/>
        <v>1.0463560043800948</v>
      </c>
      <c r="J24" s="50">
        <f t="shared" si="2"/>
        <v>1.0473973762166737</v>
      </c>
      <c r="K24" s="50">
        <f t="shared" si="2"/>
        <v>1.0485546948800302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2026-04-13T01:59:55Z</dcterms:created>
  <dcterms:modified xsi:type="dcterms:W3CDTF">2026-04-13T02:08:02Z</dcterms:modified>
</cp:coreProperties>
</file>