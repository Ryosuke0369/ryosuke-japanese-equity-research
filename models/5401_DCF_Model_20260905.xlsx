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ryosuke0923\ryosuke-japanese-equity-research\models\"/>
    </mc:Choice>
  </mc:AlternateContent>
  <xr:revisionPtr revIDLastSave="0" documentId="13_ncr:1_{13324050-9669-49AC-993B-8B85E17DC42B}" xr6:coauthVersionLast="47" xr6:coauthVersionMax="47" xr10:uidLastSave="{00000000-0000-0000-0000-000000000000}"/>
  <bookViews>
    <workbookView xWindow="9720" yWindow="5480" windowWidth="4820" windowHeight="4600" xr2:uid="{00000000-000D-0000-FFFF-FFFF00000000}"/>
  </bookViews>
  <sheets>
    <sheet name="Executive Summary" sheetId="1" r:id="rId1"/>
    <sheet name="Financial Statements" sheetId="2" r:id="rId2"/>
    <sheet name="DCF Model" sheetId="3" r:id="rId3"/>
    <sheet name="Reverse DCF" sheetId="4" r:id="rId4"/>
    <sheet name="NWC Schedule" sheetId="5" r:id="rId5"/>
    <sheet name="Comps Analysis" sheetId="6" r:id="rId6"/>
    <sheet name="Sensitivity Analysis" sheetId="7" r:id="rId7"/>
    <sheet name="Adjustments Log" sheetId="8" r:id="rId8"/>
  </sheets>
  <calcPr calcId="181029"/>
</workbook>
</file>

<file path=xl/calcChain.xml><?xml version="1.0" encoding="utf-8"?>
<calcChain xmlns="http://schemas.openxmlformats.org/spreadsheetml/2006/main">
  <c r="I3" i="7" l="1"/>
  <c r="I17" i="7" s="1"/>
  <c r="F3" i="7"/>
  <c r="H6" i="7" s="1"/>
  <c r="O10" i="6"/>
  <c r="N10" i="6"/>
  <c r="M10" i="6"/>
  <c r="L10" i="6"/>
  <c r="K10" i="6"/>
  <c r="J10" i="6"/>
  <c r="O9" i="6"/>
  <c r="N9" i="6"/>
  <c r="M9" i="6"/>
  <c r="L9" i="6"/>
  <c r="K9" i="6"/>
  <c r="J9" i="6"/>
  <c r="O8" i="6"/>
  <c r="N8" i="6"/>
  <c r="M8" i="6"/>
  <c r="L8" i="6"/>
  <c r="K8" i="6"/>
  <c r="J8" i="6"/>
  <c r="D15" i="6" s="1"/>
  <c r="O7" i="6"/>
  <c r="N7" i="6"/>
  <c r="M7" i="6"/>
  <c r="L7" i="6"/>
  <c r="K7" i="6"/>
  <c r="J7" i="6"/>
  <c r="O6" i="6"/>
  <c r="N6" i="6"/>
  <c r="M6" i="6"/>
  <c r="G15" i="6" s="1"/>
  <c r="L6" i="6"/>
  <c r="F15" i="6" s="1"/>
  <c r="K6" i="6"/>
  <c r="J6" i="6"/>
  <c r="O5" i="6"/>
  <c r="N5" i="6"/>
  <c r="D5" i="6"/>
  <c r="L5" i="6" s="1"/>
  <c r="C16" i="5"/>
  <c r="C14" i="5"/>
  <c r="C18" i="5" s="1"/>
  <c r="C7" i="5"/>
  <c r="C6" i="5"/>
  <c r="C5" i="5"/>
  <c r="C13" i="4"/>
  <c r="C12" i="4"/>
  <c r="C9" i="4"/>
  <c r="C7" i="4"/>
  <c r="C6" i="4"/>
  <c r="D27" i="3"/>
  <c r="H6" i="5" s="1"/>
  <c r="C25" i="3"/>
  <c r="C24" i="3"/>
  <c r="C23" i="3"/>
  <c r="F16" i="2"/>
  <c r="E16" i="2"/>
  <c r="D16" i="2"/>
  <c r="F15" i="2"/>
  <c r="E15" i="2"/>
  <c r="D15" i="2"/>
  <c r="F14" i="2"/>
  <c r="E14" i="2"/>
  <c r="D14" i="2"/>
  <c r="C14" i="2"/>
  <c r="F13" i="2"/>
  <c r="E13" i="2"/>
  <c r="D13" i="2"/>
  <c r="C13" i="2"/>
  <c r="F8" i="2"/>
  <c r="F9" i="2" s="1"/>
  <c r="E8" i="2"/>
  <c r="E9" i="2" s="1"/>
  <c r="D8" i="2"/>
  <c r="D9" i="2" s="1"/>
  <c r="C8" i="2"/>
  <c r="C9" i="2" s="1"/>
  <c r="H16" i="6" l="1"/>
  <c r="D32" i="3"/>
  <c r="M5" i="6"/>
  <c r="H15" i="6"/>
  <c r="F30" i="3"/>
  <c r="I16" i="6"/>
  <c r="C26" i="3"/>
  <c r="C46" i="3" s="1"/>
  <c r="D17" i="6"/>
  <c r="E5" i="6"/>
  <c r="E15" i="6"/>
  <c r="D36" i="4"/>
  <c r="C8" i="4"/>
  <c r="C10" i="4" s="1"/>
  <c r="G7" i="5"/>
  <c r="G5" i="5"/>
  <c r="C30" i="3"/>
  <c r="C33" i="3" s="1"/>
  <c r="F31" i="3"/>
  <c r="H5" i="5"/>
  <c r="D7" i="5"/>
  <c r="I15" i="6"/>
  <c r="E17" i="6"/>
  <c r="I6" i="7"/>
  <c r="D30" i="3"/>
  <c r="G31" i="3"/>
  <c r="E7" i="5"/>
  <c r="D16" i="6"/>
  <c r="F17" i="6"/>
  <c r="C17" i="7"/>
  <c r="E31" i="3"/>
  <c r="E30" i="3"/>
  <c r="C32" i="3"/>
  <c r="D6" i="5"/>
  <c r="F7" i="5"/>
  <c r="E16" i="6"/>
  <c r="G17" i="6"/>
  <c r="C6" i="7"/>
  <c r="D17" i="7"/>
  <c r="F16" i="6"/>
  <c r="C28" i="6" s="1"/>
  <c r="C19" i="1" s="1"/>
  <c r="D19" i="1" s="1"/>
  <c r="H17" i="6"/>
  <c r="D6" i="7"/>
  <c r="E17" i="7"/>
  <c r="G30" i="3"/>
  <c r="E32" i="3"/>
  <c r="D5" i="5"/>
  <c r="F6" i="5"/>
  <c r="H7" i="5"/>
  <c r="G16" i="6"/>
  <c r="I17" i="6"/>
  <c r="E6" i="7"/>
  <c r="F17" i="7"/>
  <c r="E5" i="5"/>
  <c r="G6" i="5"/>
  <c r="F6" i="7"/>
  <c r="G17" i="7"/>
  <c r="E6" i="5"/>
  <c r="C31" i="3"/>
  <c r="F32" i="3"/>
  <c r="D31" i="3"/>
  <c r="G32" i="3"/>
  <c r="F5" i="5"/>
  <c r="G6" i="7"/>
  <c r="H17" i="7"/>
  <c r="E46" i="3" l="1"/>
  <c r="E36" i="4"/>
  <c r="G46" i="3"/>
  <c r="C11" i="4"/>
  <c r="F36" i="4"/>
  <c r="F45" i="4" s="1"/>
  <c r="F50" i="4" s="1"/>
  <c r="F55" i="4" s="1"/>
  <c r="G36" i="4"/>
  <c r="G39" i="4" s="1"/>
  <c r="G49" i="4" s="1"/>
  <c r="G54" i="4" s="1"/>
  <c r="C3" i="7"/>
  <c r="B9" i="7" s="1"/>
  <c r="F46" i="3"/>
  <c r="H36" i="4"/>
  <c r="D46" i="3"/>
  <c r="K5" i="6"/>
  <c r="J5" i="6"/>
  <c r="C24" i="4"/>
  <c r="C25" i="4" s="1"/>
  <c r="C71" i="4"/>
  <c r="C70" i="4"/>
  <c r="H44" i="4"/>
  <c r="H38" i="4"/>
  <c r="H48" i="4" s="1"/>
  <c r="H53" i="4" s="1"/>
  <c r="H41" i="4"/>
  <c r="H51" i="4" s="1"/>
  <c r="H56" i="4" s="1"/>
  <c r="H39" i="4"/>
  <c r="H49" i="4" s="1"/>
  <c r="H54" i="4" s="1"/>
  <c r="H40" i="4"/>
  <c r="H43" i="4"/>
  <c r="H46" i="4"/>
  <c r="H45" i="4"/>
  <c r="H50" i="4" s="1"/>
  <c r="H55" i="4" s="1"/>
  <c r="D9" i="5"/>
  <c r="D12" i="5" s="1"/>
  <c r="C42" i="3"/>
  <c r="C34" i="3"/>
  <c r="D10" i="5" s="1"/>
  <c r="C35" i="3"/>
  <c r="D33" i="3"/>
  <c r="C37" i="3"/>
  <c r="D39" i="4"/>
  <c r="D43" i="4"/>
  <c r="D46" i="4"/>
  <c r="D44" i="4"/>
  <c r="D38" i="4"/>
  <c r="D48" i="4" s="1"/>
  <c r="D53" i="4" s="1"/>
  <c r="D41" i="4"/>
  <c r="D51" i="4" s="1"/>
  <c r="D56" i="4" s="1"/>
  <c r="D45" i="4"/>
  <c r="D40" i="4"/>
  <c r="D50" i="4" s="1"/>
  <c r="D55" i="4" s="1"/>
  <c r="E43" i="4"/>
  <c r="E46" i="4"/>
  <c r="E40" i="4"/>
  <c r="E38" i="4"/>
  <c r="E48" i="4" s="1"/>
  <c r="E53" i="4" s="1"/>
  <c r="E41" i="4"/>
  <c r="E51" i="4" s="1"/>
  <c r="E56" i="4" s="1"/>
  <c r="E45" i="4"/>
  <c r="E39" i="4"/>
  <c r="E44" i="4"/>
  <c r="C27" i="6"/>
  <c r="C18" i="1" s="1"/>
  <c r="D18" i="1" s="1"/>
  <c r="C74" i="4"/>
  <c r="F46" i="4"/>
  <c r="F40" i="4"/>
  <c r="F44" i="4"/>
  <c r="F41" i="4"/>
  <c r="F51" i="4" s="1"/>
  <c r="F56" i="4" s="1"/>
  <c r="F38" i="4"/>
  <c r="G44" i="4"/>
  <c r="G38" i="4"/>
  <c r="G45" i="4"/>
  <c r="B11" i="7"/>
  <c r="B10" i="7"/>
  <c r="B21" i="7"/>
  <c r="B20" i="7"/>
  <c r="B12" i="7" l="1"/>
  <c r="E50" i="4"/>
  <c r="E55" i="4" s="1"/>
  <c r="G41" i="4"/>
  <c r="G40" i="4"/>
  <c r="G50" i="4" s="1"/>
  <c r="G55" i="4" s="1"/>
  <c r="B7" i="7"/>
  <c r="G46" i="4"/>
  <c r="F43" i="4"/>
  <c r="F48" i="4" s="1"/>
  <c r="F53" i="4" s="1"/>
  <c r="D49" i="4"/>
  <c r="D54" i="4" s="1"/>
  <c r="B22" i="7"/>
  <c r="B23" i="7"/>
  <c r="B24" i="7"/>
  <c r="B18" i="7"/>
  <c r="G43" i="4"/>
  <c r="G48" i="4"/>
  <c r="G53" i="4" s="1"/>
  <c r="B13" i="7"/>
  <c r="B8" i="7"/>
  <c r="F39" i="4"/>
  <c r="F49" i="4" s="1"/>
  <c r="B19" i="7"/>
  <c r="E49" i="4"/>
  <c r="E54" i="4" s="1"/>
  <c r="F54" i="4"/>
  <c r="B78" i="4" s="1"/>
  <c r="C60" i="4"/>
  <c r="D13" i="5"/>
  <c r="D15" i="5"/>
  <c r="D16" i="5" s="1"/>
  <c r="E9" i="5"/>
  <c r="E12" i="5" s="1"/>
  <c r="D42" i="3"/>
  <c r="D34" i="3"/>
  <c r="E10" i="5" s="1"/>
  <c r="D37" i="3"/>
  <c r="E33" i="3"/>
  <c r="C27" i="4"/>
  <c r="C26" i="4"/>
  <c r="C29" i="4"/>
  <c r="D14" i="5"/>
  <c r="D18" i="5" s="1"/>
  <c r="D19" i="5" s="1"/>
  <c r="C44" i="3" s="1"/>
  <c r="C36" i="3"/>
  <c r="C39" i="3"/>
  <c r="C38" i="3"/>
  <c r="G51" i="4" l="1"/>
  <c r="G56" i="4" s="1"/>
  <c r="E13" i="5"/>
  <c r="E14" i="5" s="1"/>
  <c r="E18" i="5" s="1"/>
  <c r="E19" i="5" s="1"/>
  <c r="D44" i="3" s="1"/>
  <c r="E15" i="5"/>
  <c r="E16" i="5" s="1"/>
  <c r="C40" i="3"/>
  <c r="C41" i="3" s="1"/>
  <c r="C45" i="3" s="1"/>
  <c r="E42" i="3"/>
  <c r="E34" i="3"/>
  <c r="F10" i="5" s="1"/>
  <c r="E37" i="3"/>
  <c r="F33" i="3"/>
  <c r="F9" i="5"/>
  <c r="F12" i="5" s="1"/>
  <c r="D35" i="3"/>
  <c r="C65" i="4"/>
  <c r="D65" i="4" s="1"/>
  <c r="C64" i="4"/>
  <c r="D64" i="4" s="1"/>
  <c r="C67" i="4"/>
  <c r="D67" i="4" s="1"/>
  <c r="C63" i="4"/>
  <c r="D63" i="4" s="1"/>
  <c r="C66" i="4"/>
  <c r="D66" i="4" s="1"/>
  <c r="C47" i="3" l="1"/>
  <c r="F13" i="5"/>
  <c r="F14" i="5" s="1"/>
  <c r="F15" i="5"/>
  <c r="F16" i="5" s="1"/>
  <c r="D39" i="3"/>
  <c r="D38" i="3"/>
  <c r="D36" i="3"/>
  <c r="E35" i="3"/>
  <c r="F37" i="3"/>
  <c r="F34" i="3"/>
  <c r="G10" i="5" s="1"/>
  <c r="G9" i="5"/>
  <c r="G12" i="5" s="1"/>
  <c r="F42" i="3"/>
  <c r="G33" i="3"/>
  <c r="F18" i="5" l="1"/>
  <c r="F19" i="5" s="1"/>
  <c r="E44" i="3" s="1"/>
  <c r="E38" i="3"/>
  <c r="E36" i="3"/>
  <c r="E39" i="3"/>
  <c r="G35" i="3"/>
  <c r="C16" i="4"/>
  <c r="C28" i="4" s="1"/>
  <c r="G37" i="3"/>
  <c r="H9" i="5"/>
  <c r="H12" i="5" s="1"/>
  <c r="G42" i="3"/>
  <c r="G34" i="3"/>
  <c r="H10" i="5" s="1"/>
  <c r="D40" i="3"/>
  <c r="D41" i="3" s="1"/>
  <c r="D45" i="3" s="1"/>
  <c r="G15" i="5"/>
  <c r="G16" i="5" s="1"/>
  <c r="G13" i="5"/>
  <c r="G14" i="5" s="1"/>
  <c r="G18" i="5" s="1"/>
  <c r="G19" i="5" s="1"/>
  <c r="F44" i="3" s="1"/>
  <c r="F35" i="3"/>
  <c r="D47" i="3" l="1"/>
  <c r="F36" i="3"/>
  <c r="F39" i="3"/>
  <c r="F38" i="3"/>
  <c r="E40" i="3"/>
  <c r="E41" i="3" s="1"/>
  <c r="E45" i="3" s="1"/>
  <c r="C72" i="4"/>
  <c r="C73" i="4"/>
  <c r="G38" i="3"/>
  <c r="G36" i="3"/>
  <c r="G39" i="3"/>
  <c r="H13" i="5"/>
  <c r="H14" i="5" s="1"/>
  <c r="H15" i="5"/>
  <c r="H16" i="5" s="1"/>
  <c r="H18" i="5" l="1"/>
  <c r="H19" i="5" s="1"/>
  <c r="G44" i="3" s="1"/>
  <c r="E47" i="3"/>
  <c r="G40" i="3"/>
  <c r="G41" i="3" s="1"/>
  <c r="G45" i="3" s="1"/>
  <c r="C59" i="3"/>
  <c r="C60" i="3" s="1"/>
  <c r="C61" i="3" s="1"/>
  <c r="F40" i="3"/>
  <c r="F41" i="3" s="1"/>
  <c r="F45" i="3" s="1"/>
  <c r="C51" i="3" l="1"/>
  <c r="C52" i="3" s="1"/>
  <c r="G47" i="3"/>
  <c r="F47" i="3"/>
  <c r="C50" i="3" s="1"/>
  <c r="F12" i="7"/>
  <c r="C7" i="7"/>
  <c r="D10" i="7"/>
  <c r="I18" i="7"/>
  <c r="E18" i="7"/>
  <c r="D21" i="7"/>
  <c r="D19" i="7"/>
  <c r="D18" i="7"/>
  <c r="D8" i="7"/>
  <c r="E20" i="7"/>
  <c r="F9" i="7"/>
  <c r="I11" i="7"/>
  <c r="F8" i="7"/>
  <c r="I19" i="7"/>
  <c r="F11" i="7"/>
  <c r="F21" i="7"/>
  <c r="E7" i="7"/>
  <c r="H10" i="7"/>
  <c r="D24" i="7"/>
  <c r="G24" i="7"/>
  <c r="I8" i="7"/>
  <c r="D7" i="7"/>
  <c r="G18" i="7"/>
  <c r="I9" i="7"/>
  <c r="G23" i="7"/>
  <c r="G19" i="7"/>
  <c r="F20" i="7"/>
  <c r="D20" i="7"/>
  <c r="F19" i="7"/>
  <c r="E10" i="7"/>
  <c r="I23" i="7"/>
  <c r="H12" i="7"/>
  <c r="I21" i="7"/>
  <c r="C10" i="7"/>
  <c r="G13" i="7"/>
  <c r="F18" i="7"/>
  <c r="H21" i="7"/>
  <c r="F23" i="7"/>
  <c r="D12" i="7"/>
  <c r="E19" i="7"/>
  <c r="D11" i="7"/>
  <c r="G12" i="7"/>
  <c r="D9" i="7"/>
  <c r="G22" i="7"/>
  <c r="C23" i="7"/>
  <c r="G9" i="7"/>
  <c r="E24" i="7"/>
  <c r="I7" i="7"/>
  <c r="E8" i="7"/>
  <c r="E22" i="7"/>
  <c r="H18" i="7"/>
  <c r="C20" i="7"/>
  <c r="C21" i="7"/>
  <c r="G8" i="7"/>
  <c r="C22" i="7"/>
  <c r="F22" i="7"/>
  <c r="C19" i="7"/>
  <c r="C24" i="7"/>
  <c r="E23" i="7"/>
  <c r="H24" i="7"/>
  <c r="C18" i="7"/>
  <c r="C11" i="7"/>
  <c r="H7" i="7"/>
  <c r="C9" i="7"/>
  <c r="F10" i="7"/>
  <c r="E12" i="7"/>
  <c r="H23" i="7"/>
  <c r="G7" i="7"/>
  <c r="G20" i="7"/>
  <c r="H9" i="7"/>
  <c r="F13" i="7"/>
  <c r="E9" i="7"/>
  <c r="H20" i="7"/>
  <c r="C12" i="7"/>
  <c r="E21" i="7"/>
  <c r="I12" i="7"/>
  <c r="C13" i="7"/>
  <c r="F24" i="7"/>
  <c r="H13" i="7"/>
  <c r="H19" i="7"/>
  <c r="H22" i="7"/>
  <c r="I13" i="7"/>
  <c r="F7" i="7"/>
  <c r="D23" i="7"/>
  <c r="C8" i="7"/>
  <c r="D13" i="7"/>
  <c r="H11" i="7"/>
  <c r="G10" i="7"/>
  <c r="I24" i="7"/>
  <c r="H8" i="7"/>
  <c r="E13" i="7"/>
  <c r="E11" i="7"/>
  <c r="I10" i="7"/>
  <c r="I22" i="7"/>
  <c r="I20" i="7"/>
  <c r="G21" i="7"/>
  <c r="D22" i="7"/>
  <c r="G11" i="7"/>
  <c r="C53" i="3" l="1"/>
  <c r="C58" i="3"/>
  <c r="C62" i="3" s="1"/>
  <c r="C17" i="1" l="1"/>
  <c r="D17" i="1" s="1"/>
  <c r="C63" i="3"/>
  <c r="C64" i="3" s="1"/>
  <c r="C54" i="3"/>
  <c r="C55" i="3" s="1"/>
  <c r="C16" i="1" s="1"/>
  <c r="C17" i="4"/>
  <c r="D16" i="1" l="1"/>
  <c r="C21" i="1"/>
  <c r="C10" i="1"/>
  <c r="C12" i="1" s="1"/>
  <c r="C11" i="1" s="1"/>
  <c r="C19" i="4"/>
  <c r="C20" i="4" s="1"/>
  <c r="B79" i="4"/>
</calcChain>
</file>

<file path=xl/sharedStrings.xml><?xml version="1.0" encoding="utf-8"?>
<sst xmlns="http://schemas.openxmlformats.org/spreadsheetml/2006/main" count="411" uniqueCount="331">
  <si>
    <t>DISCLAIMER: This is a sample analysis for demonstration purposes only. It does not constitute investment advice.</t>
  </si>
  <si>
    <t>日本製鉄 (5401.T)</t>
  </si>
  <si>
    <t>Equity Research Report</t>
  </si>
  <si>
    <t>Company</t>
  </si>
  <si>
    <t>日本製鉄</t>
  </si>
  <si>
    <t>Ticker</t>
  </si>
  <si>
    <t>5401.T (TSE Prime)</t>
  </si>
  <si>
    <t>Sector</t>
  </si>
  <si>
    <t>鉄鋼</t>
  </si>
  <si>
    <t>Current Price</t>
  </si>
  <si>
    <t>Target Price (DCF Mid)</t>
  </si>
  <si>
    <t>Recommendation</t>
  </si>
  <si>
    <t>Upside / Downside</t>
  </si>
  <si>
    <t>Valuation Summary</t>
  </si>
  <si>
    <t>Methodology</t>
  </si>
  <si>
    <t>Implied Value (JPY)</t>
  </si>
  <si>
    <t>vs Current Price</t>
  </si>
  <si>
    <t>DCF - Perpetuity Growth</t>
  </si>
  <si>
    <t>DCF - Exit Multiple</t>
  </si>
  <si>
    <t>Comps - EV/EBITDA Median [参考・Target不算入]</t>
  </si>
  <si>
    <t>Comps - PER Median [参考・Target不算入]</t>
  </si>
  <si>
    <t>Note: Target Mid は DCF 2法（PGM / Exit）の平均のみ。Comps 2法は [参考] で Target 不算入（EV&lt;ネットデットで株式価値が負になる手法は INVALID として平均から除外）</t>
  </si>
  <si>
    <t>DCF Valuation Range (PGM - Exit)</t>
  </si>
  <si>
    <t>Key Investment Thesis</t>
  </si>
  <si>
    <t>1. [Edit] Describe key competitive advantage</t>
  </si>
  <si>
    <t>2. [Edit] Describe growth driver</t>
  </si>
  <si>
    <t>3. [Edit] Describe margin expansion opportunity</t>
  </si>
  <si>
    <t>Key Risks</t>
  </si>
  <si>
    <t>1. [Edit] Describe primary risk factor</t>
  </si>
  <si>
    <t>2. [Edit] Describe secondary risk factor</t>
  </si>
  <si>
    <t>3. [Edit] Describe tertiary risk factor</t>
  </si>
  <si>
    <t>日本製鉄 - Historical Financials (JPY mn)</t>
  </si>
  <si>
    <t>FY2023</t>
  </si>
  <si>
    <t>FY2024</t>
  </si>
  <si>
    <t>FY2025</t>
  </si>
  <si>
    <t>FY2026</t>
  </si>
  <si>
    <t>Income Statement</t>
  </si>
  <si>
    <t>Revenue</t>
  </si>
  <si>
    <t>COGS</t>
  </si>
  <si>
    <t>Gross Profit</t>
  </si>
  <si>
    <t>Gross Margin</t>
  </si>
  <si>
    <t>SGA</t>
  </si>
  <si>
    <t>Operating Income</t>
  </si>
  <si>
    <t>Net Income</t>
  </si>
  <si>
    <t>Operating Margin</t>
  </si>
  <si>
    <t>Net Margin</t>
  </si>
  <si>
    <t>Revenue Growth (YoY)</t>
  </si>
  <si>
    <t>n/a</t>
  </si>
  <si>
    <t>Operating Income Growth (YoY)</t>
  </si>
  <si>
    <t>Cash Flow Statement</t>
  </si>
  <si>
    <t>Operating Cash Flow</t>
  </si>
  <si>
    <t>Capex</t>
  </si>
  <si>
    <t>Free Cash Flow</t>
  </si>
  <si>
    <t>FCF Margin</t>
  </si>
  <si>
    <t>Capex / Revenue</t>
  </si>
  <si>
    <t>Balance Sheet Highlights</t>
  </si>
  <si>
    <t>Cash &amp; Deposits</t>
  </si>
  <si>
    <t>Total Interest-bearing Debt (short + long)</t>
  </si>
  <si>
    <t>Net Debt (Cash)</t>
  </si>
  <si>
    <t>Note: OCF / Cash / Debt coverage OCF 4/4, Cash 4/4, Debt 0/4 — blank cells are years with no year-key match in the source data (verify against 決算短信 or set hist_ocf / hist_cash / hist_debt in overrides).</t>
  </si>
  <si>
    <t>DCF Valuation Model - 日本製鉄</t>
  </si>
  <si>
    <t>Assumptions</t>
  </si>
  <si>
    <t>Capex / Revenue (fallback)</t>
  </si>
  <si>
    <t>Effective Tax Rate</t>
  </si>
  <si>
    <t>Risk-Free Rate</t>
  </si>
  <si>
    <t>Beta</t>
  </si>
  <si>
    <t>Equity Risk Premium</t>
  </si>
  <si>
    <t>Size Premium</t>
  </si>
  <si>
    <t>After-tax Cost of Debt</t>
  </si>
  <si>
    <t>D/E Ratio</t>
  </si>
  <si>
    <t>Terminal Growth Rate</t>
  </si>
  <si>
    <t>Exit Multiple (EV/EBITDA)</t>
  </si>
  <si>
    <t>Fully Diluted Shares</t>
  </si>
  <si>
    <t>Net Debt (JPY mn)</t>
  </si>
  <si>
    <t>Base Year Revenue (JPY mn)</t>
  </si>
  <si>
    <t>D&amp;A / Revenue</t>
  </si>
  <si>
    <t>Stub Fraction (yr remaining)</t>
  </si>
  <si>
    <t>LTM Revenue (JPY mn)</t>
  </si>
  <si>
    <t>WACC Calculation</t>
  </si>
  <si>
    <t>Cost of Equity (Ke)</t>
  </si>
  <si>
    <t>Weight of Equity</t>
  </si>
  <si>
    <t>Weight of Debt</t>
  </si>
  <si>
    <t>WACC</t>
  </si>
  <si>
    <t>Active Scenario</t>
  </si>
  <si>
    <t>Base</t>
  </si>
  <si>
    <t>Projected Free Cash Flow</t>
  </si>
  <si>
    <t>FY2027(E)</t>
  </si>
  <si>
    <t>FY2028(E)</t>
  </si>
  <si>
    <t>FY2029(E)</t>
  </si>
  <si>
    <t>FY2030(E)</t>
  </si>
  <si>
    <t>FY2031(E)</t>
  </si>
  <si>
    <t>COGS % of Revenue</t>
  </si>
  <si>
    <t>SGA % of Revenue</t>
  </si>
  <si>
    <t>SGA Expense</t>
  </si>
  <si>
    <t>Implied Operating Margin</t>
  </si>
  <si>
    <t>Operating Income (EBIT)</t>
  </si>
  <si>
    <t>Less: Tax</t>
  </si>
  <si>
    <t>NOPAT</t>
  </si>
  <si>
    <t>Plus: D&amp;A</t>
  </si>
  <si>
    <t>Less: Capex</t>
  </si>
  <si>
    <t>Change in NWC</t>
  </si>
  <si>
    <t>Unlevered Free Cash Flow</t>
  </si>
  <si>
    <t>Discount Factor</t>
  </si>
  <si>
    <t>PV of FCF</t>
  </si>
  <si>
    <t>Valuation - Perpetuity Growth Method</t>
  </si>
  <si>
    <t>Sum of PV of FCFs</t>
  </si>
  <si>
    <t>Terminal Value (PGM)</t>
  </si>
  <si>
    <t>PV of Terminal Value</t>
  </si>
  <si>
    <t>Enterprise Value</t>
  </si>
  <si>
    <t>Equity Value</t>
  </si>
  <si>
    <t>Implied Share Price (PGM)</t>
  </si>
  <si>
    <t>Valuation - Exit Multiple Method</t>
  </si>
  <si>
    <t>Year 5 EBITDA</t>
  </si>
  <si>
    <t>Terminal Value (Exit Multiple)</t>
  </si>
  <si>
    <t>Implied Share Price (Exit Multiple)</t>
  </si>
  <si>
    <t>Scenario Input Matrix</t>
  </si>
  <si>
    <t>Year 1</t>
  </si>
  <si>
    <t>Year 2</t>
  </si>
  <si>
    <t>Year 3</t>
  </si>
  <si>
    <t>Year 4</t>
  </si>
  <si>
    <t>Year 5</t>
  </si>
  <si>
    <t>Upside</t>
  </si>
  <si>
    <t>Management</t>
  </si>
  <si>
    <t>Downside 1</t>
  </si>
  <si>
    <t>Downside 2</t>
  </si>
  <si>
    <t>Reverse DCF - 日本製鉄 (5401.T)</t>
  </si>
  <si>
    <t>What is the current share price already assuming? Every value below is a live formula off the other sheets.</t>
  </si>
  <si>
    <t>Block 0: Market-implied enterprise value (live)</t>
  </si>
  <si>
    <t>Current Share Price (JPY)</t>
  </si>
  <si>
    <t>Market Capitalisation (JPY mn)</t>
  </si>
  <si>
    <t>Enterprise Value (JPY mn)</t>
  </si>
  <si>
    <t>WACC (w)</t>
  </si>
  <si>
    <t>Terminal Growth (g)</t>
  </si>
  <si>
    <t>Effective Tax Rate (t)</t>
  </si>
  <si>
    <t>Starting Operating Profit OP0 (FY2026 actual)</t>
  </si>
  <si>
    <t>Cycle-peak Operating Profit (FY2023 actual)</t>
  </si>
  <si>
    <t>Terminal-year Revenue, active scenario (JPY mn)</t>
  </si>
  <si>
    <t>Base-case DCF Enterprise Value, PGM (JPY mn)</t>
  </si>
  <si>
    <t>Cycle-peak Operating Margin (FY2023 actual)</t>
  </si>
  <si>
    <t>Gap: market EV less base-case DCF EV (JPY mn)</t>
  </si>
  <si>
    <t>Gap per share (JPY) - the part of the price the base case does not explain</t>
  </si>
  <si>
    <t>Block A: Required steady-state operating profit, reached IMMEDIATELY (no ramp)</t>
  </si>
  <si>
    <t>The lowest bar the price can clear: today's EV read as a perpetuity of one steady-state profit, capex = D&amp;A, no NWC build.</t>
  </si>
  <si>
    <t>Required steady-state NOPAT (JPY mn)</t>
  </si>
  <si>
    <t>Required steady-state Operating Profit (JPY mn)</t>
  </si>
  <si>
    <t>... as a multiple of the FY2023 peak</t>
  </si>
  <si>
    <t>... as a multiple of FY2026 actual</t>
  </si>
  <si>
    <t>... implied OPM on terminal-year revenue</t>
  </si>
  <si>
    <t>... revenue needed if margins only reach the cycle peak</t>
  </si>
  <si>
    <t>Block B: Required steady-state operating profit by YEARS-TO-REACH (linear ramp) x WACC</t>
  </si>
  <si>
    <t>Operating profit ramps linearly from OP0 (C14) to OP* over N years, then grows at g for ever. Column F is the model WACC.</t>
  </si>
  <si>
    <t>OP* = ( EV/(1-t) - OP0*(A-B) ) / ( B + TVF ). A longer ramp needs a HIGHER steady state, because more years are spent below it.</t>
  </si>
  <si>
    <t>Years to steady state (N)   \   WACC</t>
  </si>
  <si>
    <t>N</t>
  </si>
  <si>
    <t>B-1  PV weight on the RAMP from OP0   (A - B)</t>
  </si>
  <si>
    <t>N = 3 years</t>
  </si>
  <si>
    <t>N = 5 years</t>
  </si>
  <si>
    <t>N = 7 years</t>
  </si>
  <si>
    <t>N = 10 years</t>
  </si>
  <si>
    <t>B-2  PV weight on the STEADY STATE OP*   (B + terminal factor)</t>
  </si>
  <si>
    <t>B-3  REQUIRED steady-state Operating Profit (JPY mn)</t>
  </si>
  <si>
    <t>B-4  ... as a multiple of the FY2023 peak operating profit</t>
  </si>
  <si>
    <t>Block C: Decomposing the required profit into revenue x margin (N = 5 years, model WACC)</t>
  </si>
  <si>
    <t>The revenue the company must run at, for a given steady-state operating margin, to earn the Block B-3 profit.</t>
  </si>
  <si>
    <t>Required steady-state Operating Profit (N=5, model WACC)</t>
  </si>
  <si>
    <t>Assumed steady-state OPM</t>
  </si>
  <si>
    <t>Required Revenue</t>
  </si>
  <si>
    <t>x base-year revenue</t>
  </si>
  <si>
    <t>cycle-peak OPM (FY2023)</t>
  </si>
  <si>
    <t>Block D: The same question expressed as multiples</t>
  </si>
  <si>
    <t>Current EV / latest-FY EBITDA (actual)</t>
  </si>
  <si>
    <t>Current EV / latest-FY Revenue (actual)</t>
  </si>
  <si>
    <t>EV / EBITDA if the Block A profit were already earned</t>
  </si>
  <si>
    <t>EV / EBITDA if the Block B-3 (N=5) profit were already earned</t>
  </si>
  <si>
    <t>Peer median EV / EBITDA (statistics rows)</t>
  </si>
  <si>
    <t>Rows 3-4 answer: what multiple would today's EV be paying IF the company already earned the profit the price requires?</t>
  </si>
  <si>
    <t>Block F: The one-line answer</t>
  </si>
  <si>
    <t>NWC Schedule - 日本製鉄</t>
  </si>
  <si>
    <t>Working Capital Drivers (Days)</t>
  </si>
  <si>
    <t>Base Year</t>
  </si>
  <si>
    <t>DSO (Days Sales Outstanding)</t>
  </si>
  <si>
    <t>DIH (Days Inventory Held)</t>
  </si>
  <si>
    <t>DPO (Days Payable Outstanding)</t>
  </si>
  <si>
    <t>P&amp;L Reference (JPY mn)</t>
  </si>
  <si>
    <t>Working Capital Items (JPY mn)</t>
  </si>
  <si>
    <t>Accounts Receivable</t>
  </si>
  <si>
    <t>Inventory</t>
  </si>
  <si>
    <t>Current Assets (AR + Inv)</t>
  </si>
  <si>
    <t>Accounts Payable</t>
  </si>
  <si>
    <t>Current Liabilities (AP)</t>
  </si>
  <si>
    <t>Net Working Capital (JPY mn)</t>
  </si>
  <si>
    <t>Net Working Capital</t>
  </si>
  <si>
    <t>Scenario Input Matrix (Working Capital Days)</t>
  </si>
  <si>
    <t>DSO (Days)</t>
  </si>
  <si>
    <t>DIH (Days)</t>
  </si>
  <si>
    <t>DPO (Days)</t>
  </si>
  <si>
    <t>Comparable Company Analysis</t>
  </si>
  <si>
    <t>Peer prices as of 2026-09-06 (Mkt Cap / EV of peer rows are static CSV values; the subject row is live-linked to Executive Summary)</t>
  </si>
  <si>
    <t>Mkt Cap
(JPY mn)</t>
  </si>
  <si>
    <t>EV
(JPY mn)</t>
  </si>
  <si>
    <t>Revenue
(JPY mn)</t>
  </si>
  <si>
    <t>EBITDA
(JPY mn)</t>
  </si>
  <si>
    <t>Op Income
(JPY mn)</t>
  </si>
  <si>
    <t>Net Income
(JPY mn)</t>
  </si>
  <si>
    <t>EV/EBITDA</t>
  </si>
  <si>
    <t>EV/Revenue</t>
  </si>
  <si>
    <t>PER</t>
  </si>
  <si>
    <t>PBR</t>
  </si>
  <si>
    <t>Op Margin</t>
  </si>
  <si>
    <t>ROE</t>
  </si>
  <si>
    <t>Book Value
(JPY mn)</t>
  </si>
  <si>
    <t>Note</t>
  </si>
  <si>
    <t>Nippon Steel Corporation</t>
  </si>
  <si>
    <t>5401.T</t>
  </si>
  <si>
    <t>JFE Holdings, Inc.</t>
  </si>
  <si>
    <t>5411.T</t>
  </si>
  <si>
    <t>Kobe Steel, Ltd.</t>
  </si>
  <si>
    <t>5406.T</t>
  </si>
  <si>
    <t>Mitsubishi Materials Corporation</t>
  </si>
  <si>
    <t>5711.T</t>
  </si>
  <si>
    <t>Taiheiyo Cement Corporation</t>
  </si>
  <si>
    <t>5233.T</t>
  </si>
  <si>
    <t>Kuraray Co., Ltd.</t>
  </si>
  <si>
    <t>3405.T</t>
  </si>
  <si>
    <t>Statistics</t>
  </si>
  <si>
    <t>25th Percentile</t>
  </si>
  <si>
    <t>Median (50th)</t>
  </si>
  <si>
    <t>75th Percentile</t>
  </si>
  <si>
    <t>Implied Valuation for 日本製鉄</t>
  </si>
  <si>
    <t>日本製鉄 Financials</t>
  </si>
  <si>
    <t>EBITDA (JPY mn)</t>
  </si>
  <si>
    <t>Net Income (JPY mn)</t>
  </si>
  <si>
    <t>Shares Outstanding</t>
  </si>
  <si>
    <t>Implied Share Price (Median Multiples)</t>
  </si>
  <si>
    <t>Via EV/EBITDA (Median)</t>
  </si>
  <si>
    <t>Via PER (Median)</t>
  </si>
  <si>
    <t>Sensitivity Analysis</t>
  </si>
  <si>
    <t>Current WACC:</t>
  </si>
  <si>
    <t>Terminal g:</t>
  </si>
  <si>
    <t>Exit Multiple:</t>
  </si>
  <si>
    <t>Table 1: WACC vs Terminal Growth Rate (PGM - Implied Share Price, JPY)</t>
  </si>
  <si>
    <t>WACC \ Terminal g</t>
  </si>
  <si>
    <t>Table 2: WACC vs Exit Multiple (Exit Multiple - Implied Share Price, JPY)</t>
  </si>
  <si>
    <t>WACC \ Exit Multiple</t>
  </si>
  <si>
    <t>All values dynamically linked to DCF Model. Headers auto-center on current WACC / Terminal g / Exit Multiple.</t>
  </si>
  <si>
    <t>Adjustments Log - 日本製鉄</t>
  </si>
  <si>
    <t>日付</t>
  </si>
  <si>
    <t>セル</t>
  </si>
  <si>
    <t>変更内容</t>
  </si>
  <si>
    <t>理由</t>
  </si>
  <si>
    <t>元の値</t>
  </si>
  <si>
    <t>状態</t>
  </si>
  <si>
    <t>2026-09-06</t>
  </si>
  <si>
    <t>-</t>
  </si>
  <si>
    <t>Generated by pipeline on 2026-09-06 02:32, template rev c9b5dd9</t>
  </si>
  <si>
    <t>初期生成（手修正なし）</t>
  </si>
  <si>
    <t>generated</t>
  </si>
  <si>
    <t>DCF Model!C11</t>
  </si>
  <si>
    <t>After-tax Cost of Debt = 1.98% (実績ベース)</t>
  </si>
  <si>
    <t>実績Kd = 支払利息101,222 ÷ 平均有利子負債3,840,872(期首2,507,492/期末5,174,253、debt_beginning/debt_ending) = 税引前2.64% × (1−25.0%) = 1.98%。【マージナルコスト注記】これは既存借入の実績平均コストであり、新規調達の限界コストではない。テンプレ既定(税引前2.8% = 税引後1.00%)は10年JGB+スプレッドの推定値で、金利上昇局面での借換え・増額調達には既定値に近い水準を当てるべき。WACCは実績Kd採用で低下する（＝保守的でない方向）</t>
  </si>
  <si>
    <t>テンプレ既定/overrides 1.00%(税引後)</t>
  </si>
  <si>
    <t>確定(実績)</t>
  </si>
  <si>
    <t>Pipeline Metadata (do not edit — read by scripts/validate_output.py)</t>
  </si>
  <si>
    <t>key</t>
  </si>
  <si>
    <t>value</t>
  </si>
  <si>
    <t>auto_log_entries</t>
  </si>
  <si>
    <t>1</t>
  </si>
  <si>
    <t>capex_pct_basis</t>
  </si>
  <si>
    <t>assumption</t>
  </si>
  <si>
    <t>capex_pct_c5</t>
  </si>
  <si>
    <t>0.05985</t>
  </si>
  <si>
    <t>capex_pct_hist3yr</t>
  </si>
  <si>
    <t>company_name</t>
  </si>
  <si>
    <t>comps_asof</t>
  </si>
  <si>
    <t>comps_da_missing</t>
  </si>
  <si>
    <t>none</t>
  </si>
  <si>
    <t>comps_ev_ebitda_invalid</t>
  </si>
  <si>
    <t>no</t>
  </si>
  <si>
    <t>comps_ev_ebitda_rows</t>
  </si>
  <si>
    <t>6,7,8,9,10</t>
  </si>
  <si>
    <t>comps_impl_mult_row</t>
  </si>
  <si>
    <t>27</t>
  </si>
  <si>
    <t>comps_impl_per_row</t>
  </si>
  <si>
    <t>28</t>
  </si>
  <si>
    <t>comps_peer_rows</t>
  </si>
  <si>
    <t>comps_stale_excluded</t>
  </si>
  <si>
    <t>comps_stat_median_row</t>
  </si>
  <si>
    <t>16</t>
  </si>
  <si>
    <t>comps_subject_row</t>
  </si>
  <si>
    <t>5</t>
  </si>
  <si>
    <t>cost_of_debt_actual</t>
  </si>
  <si>
    <t>interest 101,222 (expense 101,222 + fees 0) / avg debt 3,840,872 (debt_beginning/debt_ending) = 0.026354 pre-tax -&gt; 0.019800 after-tax</t>
  </si>
  <si>
    <t>cost_of_debt_at_c11</t>
  </si>
  <si>
    <t>0.0198</t>
  </si>
  <si>
    <t>cost_of_debt_avg_debt</t>
  </si>
  <si>
    <t>3840872.5</t>
  </si>
  <si>
    <t>cost_of_debt_basis</t>
  </si>
  <si>
    <t>actual</t>
  </si>
  <si>
    <t>cost_of_debt_interest</t>
  </si>
  <si>
    <t>101222.0</t>
  </si>
  <si>
    <t>cost_of_debt_pretax</t>
  </si>
  <si>
    <t>0.026353907868589755</t>
  </si>
  <si>
    <t>da_pct_basis</t>
  </si>
  <si>
    <t>da_pct_c18</t>
  </si>
  <si>
    <t>0.057</t>
  </si>
  <si>
    <t>da_pct_hist3yr</t>
  </si>
  <si>
    <t>0.047423</t>
  </si>
  <si>
    <t>fs_year_coverage</t>
  </si>
  <si>
    <t>OCF 4/4, Cash 4/4, Debt 0/4</t>
  </si>
  <si>
    <t>fs_year_map</t>
  </si>
  <si>
    <t>FY2023&lt;-FY2023[ocf+cash]; FY2024&lt;-FY2024[ocf+cash]; FY2025&lt;-FY2025[ocf+cash]; FY2026&lt;-FY2026[ocf+cash]</t>
  </si>
  <si>
    <t>fs_year_sources</t>
  </si>
  <si>
    <t>overrides: none | EDINET year-key match: hist_ocf, hist_cash, hist_debt, hist_capex, hist_depreciation</t>
  </si>
  <si>
    <t>fx_sensitivity</t>
  </si>
  <si>
    <t>not enabled</t>
  </si>
  <si>
    <t>generated_at</t>
  </si>
  <si>
    <t>2026-09-06 02:32:10</t>
  </si>
  <si>
    <t>ltm_revenue_c20</t>
  </si>
  <si>
    <t>10063216.0</t>
  </si>
  <si>
    <t>ltm_revenue_source</t>
  </si>
  <si>
    <t>latest FY (no LTM)</t>
  </si>
  <si>
    <t>narrative_tokens_used</t>
  </si>
  <si>
    <t>reverse_dcf_sheet</t>
  </si>
  <si>
    <t>op0=428,716(FY2026) peak=813,541(FY2023) peak_opm=0.1020 N=3/5/7/10</t>
  </si>
  <si>
    <t>scenario_index_range</t>
  </si>
  <si>
    <t>B69:B73</t>
  </si>
  <si>
    <t>tax_rate_c6</t>
  </si>
  <si>
    <t>0.25</t>
  </si>
  <si>
    <t>template_rev</t>
  </si>
  <si>
    <t>c9b5dd9</t>
  </si>
  <si>
    <t>ticker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</si>
</sst>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#,##0;\(#,##0\)"/>
    <numFmt numFmtId="177" formatCode="0.0%;\(0.0%\)"/>
    <numFmt numFmtId="178" formatCode="0.000"/>
    <numFmt numFmtId="179" formatCode="0.00&quot;x&quot;"/>
    <numFmt numFmtId="180" formatCode="0.00%;\(0.00%\)"/>
    <numFmt numFmtId="181" formatCode="0.0000"/>
  </numFmts>
  <fonts count="9" x14ac:knownFonts="1">
    <font>
      <sz val="11"/>
      <color theme="1"/>
      <name val="ＭＳ Ｐゴシック"/>
      <family val="2"/>
      <scheme val="minor"/>
    </font>
    <font>
      <i/>
      <sz val="9"/>
      <color rgb="FF808080"/>
      <name val="Arial"/>
    </font>
    <font>
      <b/>
      <sz val="14"/>
      <name val="Arial"/>
    </font>
    <font>
      <b/>
      <sz val="11"/>
      <name val="Arial"/>
    </font>
    <font>
      <b/>
      <sz val="10"/>
      <name val="Arial"/>
    </font>
    <font>
      <sz val="10"/>
      <color rgb="FF000000"/>
      <name val="Arial"/>
    </font>
    <font>
      <b/>
      <sz val="11"/>
      <color rgb="FFFFFFFF"/>
      <name val="Arial"/>
    </font>
    <font>
      <sz val="10"/>
      <color rgb="FF006600"/>
      <name val="Arial"/>
    </font>
    <font>
      <sz val="6"/>
      <name val="ＭＳ Ｐゴシック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CE6F1"/>
        <bgColor rgb="FFDCE6F1"/>
      </patternFill>
    </fill>
    <fill>
      <patternFill patternType="solid">
        <fgColor rgb="FF000080"/>
        <bgColor rgb="FF000080"/>
      </patternFill>
    </fill>
    <fill>
      <patternFill patternType="solid">
        <fgColor rgb="FFF2F2F2"/>
        <bgColor rgb="FFF2F2F2"/>
      </patternFill>
    </fill>
    <fill>
      <patternFill patternType="solid">
        <fgColor rgb="FFE2EFDA"/>
        <bgColor rgb="FFE2EFDA"/>
      </patternFill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 style="hair">
        <color rgb="FFB0B0B0"/>
      </left>
      <right style="hair">
        <color rgb="FFB0B0B0"/>
      </right>
      <top style="hair">
        <color rgb="FFB0B0B0"/>
      </top>
      <bottom style="hair">
        <color rgb="FFB0B0B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176" fontId="5" fillId="0" borderId="0" xfId="0" applyNumberFormat="1" applyFont="1"/>
    <xf numFmtId="0" fontId="5" fillId="0" borderId="0" xfId="0" applyFont="1"/>
    <xf numFmtId="177" fontId="5" fillId="0" borderId="0" xfId="0" applyNumberFormat="1" applyFont="1"/>
    <xf numFmtId="0" fontId="3" fillId="2" borderId="0" xfId="0" applyFont="1" applyFill="1"/>
    <xf numFmtId="0" fontId="0" fillId="2" borderId="0" xfId="0" applyFill="1"/>
    <xf numFmtId="0" fontId="6" fillId="3" borderId="1" xfId="0" applyFont="1" applyFill="1" applyBorder="1" applyAlignment="1">
      <alignment horizontal="center" wrapText="1"/>
    </xf>
    <xf numFmtId="176" fontId="7" fillId="0" borderId="0" xfId="0" applyNumberFormat="1" applyFont="1"/>
    <xf numFmtId="2" fontId="5" fillId="0" borderId="0" xfId="0" applyNumberFormat="1" applyFont="1"/>
    <xf numFmtId="178" fontId="5" fillId="0" borderId="0" xfId="0" applyNumberFormat="1" applyFont="1"/>
    <xf numFmtId="179" fontId="5" fillId="0" borderId="0" xfId="0" applyNumberFormat="1" applyFont="1"/>
    <xf numFmtId="3" fontId="5" fillId="0" borderId="0" xfId="0" applyNumberFormat="1" applyFont="1"/>
    <xf numFmtId="180" fontId="5" fillId="0" borderId="0" xfId="0" applyNumberFormat="1" applyFont="1"/>
    <xf numFmtId="0" fontId="5" fillId="0" borderId="2" xfId="0" applyFont="1" applyBorder="1"/>
    <xf numFmtId="177" fontId="5" fillId="2" borderId="0" xfId="0" applyNumberFormat="1" applyFont="1" applyFill="1"/>
    <xf numFmtId="176" fontId="5" fillId="0" borderId="3" xfId="0" applyNumberFormat="1" applyFont="1" applyBorder="1"/>
    <xf numFmtId="176" fontId="5" fillId="4" borderId="3" xfId="0" applyNumberFormat="1" applyFont="1" applyFill="1" applyBorder="1"/>
    <xf numFmtId="181" fontId="5" fillId="0" borderId="0" xfId="0" applyNumberFormat="1" applyFont="1"/>
    <xf numFmtId="0" fontId="3" fillId="5" borderId="0" xfId="0" applyFont="1" applyFill="1"/>
    <xf numFmtId="0" fontId="0" fillId="5" borderId="0" xfId="0" applyFill="1"/>
    <xf numFmtId="176" fontId="5" fillId="0" borderId="4" xfId="0" applyNumberFormat="1" applyFont="1" applyBorder="1"/>
    <xf numFmtId="0" fontId="6" fillId="3" borderId="0" xfId="0" applyFont="1" applyFill="1" applyAlignment="1">
      <alignment horizontal="center"/>
    </xf>
    <xf numFmtId="177" fontId="5" fillId="0" borderId="2" xfId="0" applyNumberFormat="1" applyFont="1" applyBorder="1"/>
    <xf numFmtId="176" fontId="5" fillId="0" borderId="2" xfId="0" applyNumberFormat="1" applyFont="1" applyBorder="1"/>
    <xf numFmtId="0" fontId="6" fillId="3" borderId="0" xfId="0" applyFont="1" applyFill="1"/>
    <xf numFmtId="180" fontId="6" fillId="3" borderId="0" xfId="0" applyNumberFormat="1" applyFont="1" applyFill="1" applyAlignment="1">
      <alignment horizontal="center"/>
    </xf>
    <xf numFmtId="3" fontId="5" fillId="0" borderId="2" xfId="0" applyNumberFormat="1" applyFont="1" applyBorder="1"/>
    <xf numFmtId="177" fontId="4" fillId="0" borderId="2" xfId="0" applyNumberFormat="1" applyFont="1" applyBorder="1"/>
    <xf numFmtId="0" fontId="6" fillId="2" borderId="1" xfId="0" applyFont="1" applyFill="1" applyBorder="1" applyAlignment="1">
      <alignment horizontal="center" wrapText="1"/>
    </xf>
    <xf numFmtId="0" fontId="4" fillId="0" borderId="5" xfId="0" applyFont="1" applyBorder="1"/>
    <xf numFmtId="3" fontId="5" fillId="0" borderId="5" xfId="0" applyNumberFormat="1" applyFont="1" applyBorder="1"/>
    <xf numFmtId="176" fontId="5" fillId="0" borderId="5" xfId="0" applyNumberFormat="1" applyFont="1" applyBorder="1"/>
    <xf numFmtId="0" fontId="5" fillId="0" borderId="5" xfId="0" applyFont="1" applyBorder="1"/>
    <xf numFmtId="176" fontId="5" fillId="0" borderId="6" xfId="0" applyNumberFormat="1" applyFont="1" applyBorder="1"/>
    <xf numFmtId="179" fontId="5" fillId="0" borderId="6" xfId="0" applyNumberFormat="1" applyFont="1" applyBorder="1"/>
    <xf numFmtId="177" fontId="5" fillId="0" borderId="6" xfId="0" applyNumberFormat="1" applyFont="1" applyBorder="1"/>
    <xf numFmtId="0" fontId="6" fillId="3" borderId="6" xfId="0" applyFont="1" applyFill="1" applyBorder="1" applyAlignment="1">
      <alignment horizontal="center" wrapText="1"/>
    </xf>
    <xf numFmtId="177" fontId="6" fillId="3" borderId="6" xfId="0" applyNumberFormat="1" applyFont="1" applyFill="1" applyBorder="1" applyAlignment="1">
      <alignment horizontal="center"/>
    </xf>
    <xf numFmtId="179" fontId="6" fillId="3" borderId="6" xfId="0" applyNumberFormat="1" applyFont="1" applyFill="1" applyBorder="1" applyAlignment="1">
      <alignment horizontal="center"/>
    </xf>
    <xf numFmtId="0" fontId="2" fillId="0" borderId="0" xfId="0" applyFont="1"/>
    <xf numFmtId="0" fontId="0" fillId="0" borderId="0" xfId="0"/>
    <xf numFmtId="0" fontId="1" fillId="0" borderId="0" xfId="0" applyFont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3366"/>
  </sheetPr>
  <dimension ref="B1:E31"/>
  <sheetViews>
    <sheetView tabSelected="1" workbookViewId="0"/>
  </sheetViews>
  <sheetFormatPr defaultRowHeight="13" x14ac:dyDescent="0.2"/>
  <cols>
    <col min="1" max="1" width="3" customWidth="1"/>
    <col min="2" max="2" width="30" customWidth="1"/>
    <col min="3" max="5" width="22" customWidth="1"/>
  </cols>
  <sheetData>
    <row r="1" spans="2:5" ht="14" x14ac:dyDescent="0.3">
      <c r="B1" s="45" t="s">
        <v>0</v>
      </c>
      <c r="C1" s="44"/>
      <c r="D1" s="44"/>
      <c r="E1" s="44"/>
    </row>
    <row r="3" spans="2:5" ht="18" x14ac:dyDescent="0.4">
      <c r="B3" s="43" t="s">
        <v>1</v>
      </c>
      <c r="C3" s="44"/>
      <c r="D3" s="44"/>
    </row>
    <row r="4" spans="2:5" ht="14" x14ac:dyDescent="0.3">
      <c r="B4" s="3" t="s">
        <v>2</v>
      </c>
    </row>
    <row r="6" spans="2:5" ht="14" x14ac:dyDescent="0.3">
      <c r="B6" s="4" t="s">
        <v>3</v>
      </c>
      <c r="C6" t="s">
        <v>4</v>
      </c>
    </row>
    <row r="7" spans="2:5" ht="14" x14ac:dyDescent="0.3">
      <c r="B7" s="4" t="s">
        <v>5</v>
      </c>
      <c r="C7" t="s">
        <v>6</v>
      </c>
    </row>
    <row r="8" spans="2:5" ht="14" x14ac:dyDescent="0.3">
      <c r="B8" s="4" t="s">
        <v>7</v>
      </c>
      <c r="C8" t="s">
        <v>8</v>
      </c>
    </row>
    <row r="9" spans="2:5" ht="14" x14ac:dyDescent="0.3">
      <c r="B9" s="4" t="s">
        <v>9</v>
      </c>
      <c r="C9" s="5">
        <v>691.9000244140625</v>
      </c>
    </row>
    <row r="10" spans="2:5" ht="14" x14ac:dyDescent="0.3">
      <c r="B10" s="4" t="s">
        <v>10</v>
      </c>
      <c r="C10" s="5">
        <f>IF(COUNT(C16:C17)=0,"N/A",ROUND(AVERAGE(C16:C17),0))</f>
        <v>647</v>
      </c>
    </row>
    <row r="11" spans="2:5" ht="14" x14ac:dyDescent="0.3">
      <c r="B11" s="4" t="s">
        <v>11</v>
      </c>
      <c r="C11" s="6" t="str">
        <f>IF(NOT(ISNUMBER(C12)),"N/A",IF(C12&gt;0.15,"BUY",IF(C12&gt;0.05,"HOLD","SELL")))</f>
        <v>SELL</v>
      </c>
    </row>
    <row r="12" spans="2:5" ht="14" x14ac:dyDescent="0.3">
      <c r="B12" s="4" t="s">
        <v>12</v>
      </c>
      <c r="C12" s="7">
        <f>IF(ISNUMBER(C10),(C10-C9)/C9,"N/A")</f>
        <v>-6.4893803771847253E-2</v>
      </c>
    </row>
    <row r="14" spans="2:5" ht="14" x14ac:dyDescent="0.3">
      <c r="B14" s="8" t="s">
        <v>13</v>
      </c>
      <c r="C14" s="9"/>
      <c r="D14" s="9"/>
    </row>
    <row r="15" spans="2:5" ht="14" x14ac:dyDescent="0.3">
      <c r="B15" s="10" t="s">
        <v>14</v>
      </c>
      <c r="C15" s="10" t="s">
        <v>15</v>
      </c>
      <c r="D15" s="10" t="s">
        <v>16</v>
      </c>
    </row>
    <row r="16" spans="2:5" ht="13.5" x14ac:dyDescent="0.25">
      <c r="B16" t="s">
        <v>17</v>
      </c>
      <c r="C16" s="11">
        <f>IF('DCF Model'!C53&lt;'DCF Model'!C16,"INVALID (EV &lt; net debt)",'DCF Model'!C55)</f>
        <v>964</v>
      </c>
      <c r="D16" s="7">
        <f>IF(ISNUMBER(C16),(C16-C9)/C9,"N/A")</f>
        <v>0.39326487351458922</v>
      </c>
    </row>
    <row r="17" spans="2:5" ht="13.5" x14ac:dyDescent="0.25">
      <c r="B17" t="s">
        <v>18</v>
      </c>
      <c r="C17" s="11">
        <f>IF('DCF Model'!C62&lt;'DCF Model'!C16,"INVALID (EV &lt; net debt)",'DCF Model'!C64)</f>
        <v>330</v>
      </c>
      <c r="D17" s="7">
        <f>IF(ISNUMBER(C17),(C17-C9)/C9,"N/A")</f>
        <v>-0.52305248105828372</v>
      </c>
    </row>
    <row r="18" spans="2:5" ht="13.5" x14ac:dyDescent="0.25">
      <c r="B18" t="s">
        <v>19</v>
      </c>
      <c r="C18" s="11">
        <f>'Comps Analysis'!C27</f>
        <v>145</v>
      </c>
      <c r="D18" s="7">
        <f>IF(ISNUMBER(C18),(C18-C9)/C9,"N/A")</f>
        <v>-0.79043215076803375</v>
      </c>
    </row>
    <row r="19" spans="2:5" ht="13.5" x14ac:dyDescent="0.25">
      <c r="B19" t="s">
        <v>20</v>
      </c>
      <c r="C19" s="11">
        <f>'Comps Analysis'!C28</f>
        <v>55</v>
      </c>
      <c r="D19" s="7">
        <f>IF(ISNUMBER(C19),(C19-C9)/C9,"N/A")</f>
        <v>-0.92050874684304729</v>
      </c>
    </row>
    <row r="20" spans="2:5" ht="14" x14ac:dyDescent="0.3">
      <c r="B20" s="45" t="s">
        <v>21</v>
      </c>
      <c r="C20" s="44"/>
      <c r="D20" s="44"/>
      <c r="E20" s="44"/>
    </row>
    <row r="21" spans="2:5" ht="14" x14ac:dyDescent="0.3">
      <c r="B21" s="4" t="s">
        <v>22</v>
      </c>
      <c r="C21" s="6" t="str">
        <f>IF(COUNT(C16:C17)=0,"N/A",MIN(C16:C17)&amp;" - "&amp;MAX(C16:C17))</f>
        <v>330 - 964</v>
      </c>
    </row>
    <row r="23" spans="2:5" ht="14" x14ac:dyDescent="0.3">
      <c r="B23" s="8" t="s">
        <v>23</v>
      </c>
      <c r="C23" s="9"/>
      <c r="D23" s="9"/>
    </row>
    <row r="24" spans="2:5" x14ac:dyDescent="0.2">
      <c r="B24" t="s">
        <v>24</v>
      </c>
    </row>
    <row r="25" spans="2:5" x14ac:dyDescent="0.2">
      <c r="B25" t="s">
        <v>25</v>
      </c>
    </row>
    <row r="26" spans="2:5" x14ac:dyDescent="0.2">
      <c r="B26" t="s">
        <v>26</v>
      </c>
    </row>
    <row r="28" spans="2:5" ht="14" x14ac:dyDescent="0.3">
      <c r="B28" s="8" t="s">
        <v>27</v>
      </c>
      <c r="C28" s="9"/>
      <c r="D28" s="9"/>
    </row>
    <row r="29" spans="2:5" x14ac:dyDescent="0.2">
      <c r="B29" t="s">
        <v>28</v>
      </c>
    </row>
    <row r="30" spans="2:5" x14ac:dyDescent="0.2">
      <c r="B30" t="s">
        <v>29</v>
      </c>
    </row>
    <row r="31" spans="2:5" x14ac:dyDescent="0.2">
      <c r="B31" t="s">
        <v>30</v>
      </c>
    </row>
  </sheetData>
  <mergeCells count="3">
    <mergeCell ref="B3:D3"/>
    <mergeCell ref="B1:E1"/>
    <mergeCell ref="B20:E20"/>
  </mergeCells>
  <phoneticPr fontId="8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3366"/>
  </sheetPr>
  <dimension ref="B2:F30"/>
  <sheetViews>
    <sheetView workbookViewId="0"/>
  </sheetViews>
  <sheetFormatPr defaultRowHeight="13" x14ac:dyDescent="0.2"/>
  <cols>
    <col min="1" max="1" width="3" customWidth="1"/>
    <col min="2" max="2" width="32" customWidth="1"/>
    <col min="3" max="6" width="18" customWidth="1"/>
  </cols>
  <sheetData>
    <row r="2" spans="2:6" ht="18" x14ac:dyDescent="0.4">
      <c r="B2" s="2" t="s">
        <v>31</v>
      </c>
    </row>
    <row r="4" spans="2:6" ht="14" x14ac:dyDescent="0.3">
      <c r="C4" s="10" t="s">
        <v>32</v>
      </c>
      <c r="D4" s="10" t="s">
        <v>33</v>
      </c>
      <c r="E4" s="10" t="s">
        <v>34</v>
      </c>
      <c r="F4" s="10" t="s">
        <v>35</v>
      </c>
    </row>
    <row r="5" spans="2:6" ht="14" x14ac:dyDescent="0.3">
      <c r="B5" s="3" t="s">
        <v>36</v>
      </c>
    </row>
    <row r="6" spans="2:6" ht="14" x14ac:dyDescent="0.3">
      <c r="B6" s="4" t="s">
        <v>37</v>
      </c>
      <c r="C6" s="5">
        <v>7975586</v>
      </c>
      <c r="D6" s="5">
        <v>8868097</v>
      </c>
      <c r="E6" s="5">
        <v>8695526</v>
      </c>
      <c r="F6" s="5">
        <v>10063216</v>
      </c>
    </row>
    <row r="7" spans="2:6" ht="14" x14ac:dyDescent="0.3">
      <c r="B7" s="4" t="s">
        <v>38</v>
      </c>
      <c r="C7" s="5">
        <v>6682028</v>
      </c>
      <c r="D7" s="5">
        <v>7481331</v>
      </c>
      <c r="E7" s="5">
        <v>7323874</v>
      </c>
      <c r="F7" s="5">
        <v>8618408</v>
      </c>
    </row>
    <row r="8" spans="2:6" ht="14" x14ac:dyDescent="0.3">
      <c r="B8" s="4" t="s">
        <v>39</v>
      </c>
      <c r="C8" s="5">
        <f>C6-C7</f>
        <v>1293558</v>
      </c>
      <c r="D8" s="5">
        <f>D6-D7</f>
        <v>1386766</v>
      </c>
      <c r="E8" s="5">
        <f>E6-E7</f>
        <v>1371652</v>
      </c>
      <c r="F8" s="5">
        <f>F6-F7</f>
        <v>1444808</v>
      </c>
    </row>
    <row r="9" spans="2:6" ht="13.5" x14ac:dyDescent="0.25">
      <c r="B9" t="s">
        <v>40</v>
      </c>
      <c r="C9" s="7">
        <f>C8/C6</f>
        <v>0.16218971245498451</v>
      </c>
      <c r="D9" s="7">
        <f>D8/D6</f>
        <v>0.15637695437927662</v>
      </c>
      <c r="E9" s="7">
        <f>E8/E6</f>
        <v>0.15774226884032086</v>
      </c>
      <c r="F9" s="7">
        <f>F8/F6</f>
        <v>0.14357318773640554</v>
      </c>
    </row>
    <row r="10" spans="2:6" ht="14" x14ac:dyDescent="0.3">
      <c r="B10" s="4" t="s">
        <v>41</v>
      </c>
      <c r="C10" s="5">
        <v>480017</v>
      </c>
      <c r="D10" s="5">
        <v>661435</v>
      </c>
      <c r="E10" s="5">
        <v>815316</v>
      </c>
      <c r="F10" s="5">
        <v>1016092</v>
      </c>
    </row>
    <row r="11" spans="2:6" ht="14" x14ac:dyDescent="0.3">
      <c r="B11" s="4" t="s">
        <v>42</v>
      </c>
      <c r="C11" s="5">
        <v>813541</v>
      </c>
      <c r="D11" s="5">
        <v>725331</v>
      </c>
      <c r="E11" s="5">
        <v>556336</v>
      </c>
      <c r="F11" s="5">
        <v>428716</v>
      </c>
    </row>
    <row r="12" spans="2:6" ht="14" x14ac:dyDescent="0.3">
      <c r="B12" s="4" t="s">
        <v>43</v>
      </c>
      <c r="C12" s="5">
        <v>694016</v>
      </c>
      <c r="D12" s="5">
        <v>549372</v>
      </c>
      <c r="E12" s="5">
        <v>350227</v>
      </c>
      <c r="F12" s="5">
        <v>17158</v>
      </c>
    </row>
    <row r="13" spans="2:6" ht="13.5" x14ac:dyDescent="0.25">
      <c r="B13" t="s">
        <v>44</v>
      </c>
      <c r="C13" s="7">
        <f>C11/C6</f>
        <v>0.1020039154489714</v>
      </c>
      <c r="D13" s="7">
        <f>D11/D6</f>
        <v>8.1791053931863852E-2</v>
      </c>
      <c r="E13" s="7">
        <f>E11/E6</f>
        <v>6.3979568343536658E-2</v>
      </c>
      <c r="F13" s="7">
        <f>F11/F6</f>
        <v>4.2602285392661747E-2</v>
      </c>
    </row>
    <row r="14" spans="2:6" ht="13.5" x14ac:dyDescent="0.25">
      <c r="B14" t="s">
        <v>45</v>
      </c>
      <c r="C14" s="7">
        <f>C12/C6</f>
        <v>8.7017555825991966E-2</v>
      </c>
      <c r="D14" s="7">
        <f>D12/D6</f>
        <v>6.1949254727367099E-2</v>
      </c>
      <c r="E14" s="7">
        <f>E12/E6</f>
        <v>4.0276689414763409E-2</v>
      </c>
      <c r="F14" s="7">
        <f>F12/F6</f>
        <v>1.7050215358589142E-3</v>
      </c>
    </row>
    <row r="15" spans="2:6" ht="13.5" x14ac:dyDescent="0.25">
      <c r="B15" t="s">
        <v>46</v>
      </c>
      <c r="C15" t="s">
        <v>47</v>
      </c>
      <c r="D15" s="7">
        <f>(D6-C6)/C6</f>
        <v>0.11190538225028229</v>
      </c>
      <c r="E15" s="7">
        <f>(E6-D6)/D6</f>
        <v>-1.9459755571009204E-2</v>
      </c>
      <c r="F15" s="7">
        <f>(F6-E6)/E6</f>
        <v>0.15728663222903363</v>
      </c>
    </row>
    <row r="16" spans="2:6" ht="13.5" x14ac:dyDescent="0.25">
      <c r="B16" t="s">
        <v>48</v>
      </c>
      <c r="C16" t="s">
        <v>47</v>
      </c>
      <c r="D16" s="7">
        <f>(D11-C11)/C11</f>
        <v>-0.10842723353832198</v>
      </c>
      <c r="E16" s="7">
        <f>(E11-D11)/D11</f>
        <v>-0.23299017965590882</v>
      </c>
      <c r="F16" s="7">
        <f>(F11-E11)/E11</f>
        <v>-0.22939374766328263</v>
      </c>
    </row>
    <row r="18" spans="2:6" ht="14" x14ac:dyDescent="0.3">
      <c r="B18" s="3" t="s">
        <v>49</v>
      </c>
    </row>
    <row r="19" spans="2:6" ht="14" x14ac:dyDescent="0.3">
      <c r="B19" s="4" t="s">
        <v>50</v>
      </c>
      <c r="C19" s="5">
        <v>661274</v>
      </c>
      <c r="D19" s="5">
        <v>1010159</v>
      </c>
      <c r="E19" s="5">
        <v>978593</v>
      </c>
      <c r="F19" s="5">
        <v>716939</v>
      </c>
    </row>
    <row r="20" spans="2:6" ht="14" x14ac:dyDescent="0.3">
      <c r="B20" s="4" t="s">
        <v>51</v>
      </c>
      <c r="C20" s="5"/>
      <c r="D20" s="5"/>
      <c r="E20" s="5"/>
      <c r="F20" s="5"/>
    </row>
    <row r="21" spans="2:6" ht="14" x14ac:dyDescent="0.3">
      <c r="B21" s="4" t="s">
        <v>52</v>
      </c>
    </row>
    <row r="22" spans="2:6" x14ac:dyDescent="0.2">
      <c r="B22" t="s">
        <v>53</v>
      </c>
    </row>
    <row r="23" spans="2:6" x14ac:dyDescent="0.2">
      <c r="B23" t="s">
        <v>54</v>
      </c>
    </row>
    <row r="25" spans="2:6" ht="14" x14ac:dyDescent="0.3">
      <c r="B25" s="3" t="s">
        <v>55</v>
      </c>
    </row>
    <row r="26" spans="2:6" ht="14" x14ac:dyDescent="0.3">
      <c r="B26" s="4" t="s">
        <v>56</v>
      </c>
      <c r="C26" s="5">
        <v>670410</v>
      </c>
      <c r="D26" s="5">
        <v>448892</v>
      </c>
      <c r="E26" s="5">
        <v>672526</v>
      </c>
      <c r="F26" s="5">
        <v>461262</v>
      </c>
    </row>
    <row r="27" spans="2:6" ht="14" x14ac:dyDescent="0.3">
      <c r="B27" s="4" t="s">
        <v>57</v>
      </c>
      <c r="C27" s="5"/>
      <c r="D27" s="5"/>
      <c r="E27" s="5"/>
      <c r="F27" s="5"/>
    </row>
    <row r="28" spans="2:6" ht="14" x14ac:dyDescent="0.3">
      <c r="B28" s="4" t="s">
        <v>58</v>
      </c>
    </row>
    <row r="30" spans="2:6" ht="14" x14ac:dyDescent="0.3">
      <c r="B30" s="1" t="s">
        <v>59</v>
      </c>
    </row>
  </sheetData>
  <phoneticPr fontId="8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6600"/>
  </sheetPr>
  <dimension ref="B2:G87"/>
  <sheetViews>
    <sheetView workbookViewId="0"/>
  </sheetViews>
  <sheetFormatPr defaultRowHeight="13" x14ac:dyDescent="0.2"/>
  <cols>
    <col min="1" max="1" width="3" customWidth="1"/>
    <col min="2" max="2" width="32" customWidth="1"/>
    <col min="3" max="7" width="16" customWidth="1"/>
  </cols>
  <sheetData>
    <row r="2" spans="2:7" ht="18" x14ac:dyDescent="0.4">
      <c r="B2" s="2" t="s">
        <v>60</v>
      </c>
    </row>
    <row r="4" spans="2:7" ht="14" x14ac:dyDescent="0.3">
      <c r="B4" s="8" t="s">
        <v>61</v>
      </c>
      <c r="C4" s="9"/>
      <c r="D4" s="9"/>
      <c r="E4" s="9"/>
      <c r="F4" s="9"/>
      <c r="G4" s="9"/>
    </row>
    <row r="5" spans="2:7" ht="14" x14ac:dyDescent="0.3">
      <c r="B5" s="4" t="s">
        <v>62</v>
      </c>
      <c r="C5" s="7">
        <v>5.985E-2</v>
      </c>
    </row>
    <row r="6" spans="2:7" ht="14" x14ac:dyDescent="0.3">
      <c r="B6" s="4" t="s">
        <v>63</v>
      </c>
      <c r="C6" s="7">
        <v>0.25</v>
      </c>
    </row>
    <row r="7" spans="2:7" ht="14" x14ac:dyDescent="0.3">
      <c r="B7" s="4" t="s">
        <v>64</v>
      </c>
      <c r="C7" s="7">
        <v>2.9700000000000001E-2</v>
      </c>
    </row>
    <row r="8" spans="2:7" ht="14" x14ac:dyDescent="0.3">
      <c r="B8" s="4" t="s">
        <v>65</v>
      </c>
      <c r="C8" s="12">
        <v>0.66</v>
      </c>
    </row>
    <row r="9" spans="2:7" ht="14" x14ac:dyDescent="0.3">
      <c r="B9" s="4" t="s">
        <v>66</v>
      </c>
      <c r="C9" s="7">
        <v>6.5000000000000002E-2</v>
      </c>
    </row>
    <row r="10" spans="2:7" ht="14" x14ac:dyDescent="0.3">
      <c r="B10" s="4" t="s">
        <v>67</v>
      </c>
      <c r="C10" s="7">
        <v>0.01</v>
      </c>
    </row>
    <row r="11" spans="2:7" ht="14" x14ac:dyDescent="0.3">
      <c r="B11" s="4" t="s">
        <v>68</v>
      </c>
      <c r="C11" s="7">
        <v>1.9800000000000002E-2</v>
      </c>
    </row>
    <row r="12" spans="2:7" ht="14" x14ac:dyDescent="0.3">
      <c r="B12" s="4" t="s">
        <v>69</v>
      </c>
      <c r="C12" s="13">
        <v>1.3032999999999999</v>
      </c>
    </row>
    <row r="13" spans="2:7" ht="14" x14ac:dyDescent="0.3">
      <c r="B13" s="4" t="s">
        <v>70</v>
      </c>
      <c r="C13" s="7">
        <v>0.01</v>
      </c>
    </row>
    <row r="14" spans="2:7" ht="14" x14ac:dyDescent="0.3">
      <c r="B14" s="4" t="s">
        <v>71</v>
      </c>
      <c r="C14" s="14">
        <v>5.5</v>
      </c>
    </row>
    <row r="15" spans="2:7" ht="14" x14ac:dyDescent="0.3">
      <c r="B15" s="4" t="s">
        <v>72</v>
      </c>
      <c r="C15" s="15">
        <v>5226293989</v>
      </c>
    </row>
    <row r="16" spans="2:7" ht="14" x14ac:dyDescent="0.3">
      <c r="B16" s="4" t="s">
        <v>73</v>
      </c>
      <c r="C16" s="5">
        <v>4712991</v>
      </c>
    </row>
    <row r="17" spans="2:7" ht="14" x14ac:dyDescent="0.3">
      <c r="B17" s="4" t="s">
        <v>74</v>
      </c>
      <c r="C17" s="5">
        <v>10063216</v>
      </c>
    </row>
    <row r="18" spans="2:7" ht="14" x14ac:dyDescent="0.3">
      <c r="B18" s="4" t="s">
        <v>75</v>
      </c>
      <c r="C18" s="7">
        <v>5.7000000000000002E-2</v>
      </c>
    </row>
    <row r="19" spans="2:7" ht="14" x14ac:dyDescent="0.3">
      <c r="B19" s="4" t="s">
        <v>76</v>
      </c>
      <c r="C19" s="12">
        <v>1</v>
      </c>
    </row>
    <row r="20" spans="2:7" ht="14" x14ac:dyDescent="0.3">
      <c r="B20" s="4" t="s">
        <v>77</v>
      </c>
      <c r="C20" s="5">
        <v>10063216</v>
      </c>
    </row>
    <row r="22" spans="2:7" ht="14" x14ac:dyDescent="0.3">
      <c r="B22" s="8" t="s">
        <v>78</v>
      </c>
      <c r="C22" s="9"/>
      <c r="D22" s="9"/>
      <c r="E22" s="9"/>
      <c r="F22" s="9"/>
      <c r="G22" s="9"/>
    </row>
    <row r="23" spans="2:7" ht="14" x14ac:dyDescent="0.3">
      <c r="B23" s="4" t="s">
        <v>79</v>
      </c>
      <c r="C23" s="16">
        <f>C7+C8*C9+C10</f>
        <v>8.2599999999999993E-2</v>
      </c>
    </row>
    <row r="24" spans="2:7" ht="14" x14ac:dyDescent="0.3">
      <c r="B24" s="4" t="s">
        <v>80</v>
      </c>
      <c r="C24" s="16">
        <f>1/(1+C12)</f>
        <v>0.43415968393175008</v>
      </c>
    </row>
    <row r="25" spans="2:7" ht="14" x14ac:dyDescent="0.3">
      <c r="B25" s="4" t="s">
        <v>81</v>
      </c>
      <c r="C25" s="16">
        <f>C12/(1+C12)</f>
        <v>0.5658403160682498</v>
      </c>
    </row>
    <row r="26" spans="2:7" ht="14" x14ac:dyDescent="0.3">
      <c r="B26" s="4" t="s">
        <v>82</v>
      </c>
      <c r="C26" s="16">
        <f>C23*C24+C11*C25</f>
        <v>4.70652281509139E-2</v>
      </c>
    </row>
    <row r="27" spans="2:7" ht="14" x14ac:dyDescent="0.3">
      <c r="B27" s="4" t="s">
        <v>83</v>
      </c>
      <c r="C27" s="17" t="s">
        <v>84</v>
      </c>
      <c r="D27" s="6">
        <f>MATCH(C27,B69:B73,0)</f>
        <v>1</v>
      </c>
    </row>
    <row r="28" spans="2:7" ht="14" x14ac:dyDescent="0.3">
      <c r="B28" s="8" t="s">
        <v>85</v>
      </c>
      <c r="C28" s="9"/>
      <c r="D28" s="9"/>
      <c r="E28" s="9"/>
      <c r="F28" s="9"/>
      <c r="G28" s="9"/>
    </row>
    <row r="29" spans="2:7" ht="14" x14ac:dyDescent="0.3">
      <c r="C29" s="10" t="s">
        <v>86</v>
      </c>
      <c r="D29" s="10" t="s">
        <v>87</v>
      </c>
      <c r="E29" s="10" t="s">
        <v>88</v>
      </c>
      <c r="F29" s="10" t="s">
        <v>89</v>
      </c>
      <c r="G29" s="10" t="s">
        <v>90</v>
      </c>
    </row>
    <row r="30" spans="2:7" ht="14" x14ac:dyDescent="0.3">
      <c r="B30" s="4" t="s">
        <v>46</v>
      </c>
      <c r="C30" s="18">
        <f>CHOOSE($D$27,C69,C70,C71,C72,C73)</f>
        <v>0.01</v>
      </c>
      <c r="D30" s="18">
        <f>CHOOSE($D$27,D69,D70,D71,D72,D73)</f>
        <v>1.4999999999999999E-2</v>
      </c>
      <c r="E30" s="18">
        <f>CHOOSE($D$27,E69,E70,E71,E72,E73)</f>
        <v>0.02</v>
      </c>
      <c r="F30" s="18">
        <f>CHOOSE($D$27,F69,F70,F71,F72,F73)</f>
        <v>0.02</v>
      </c>
      <c r="G30" s="18">
        <f>CHOOSE($D$27,G69,G70,G71,G72,G73)</f>
        <v>1.4999999999999999E-2</v>
      </c>
    </row>
    <row r="31" spans="2:7" ht="14" x14ac:dyDescent="0.3">
      <c r="B31" s="4" t="s">
        <v>91</v>
      </c>
      <c r="C31" s="18">
        <f>CHOOSE($D$27,C76,C77,C78,C79,C80)</f>
        <v>0.85599999999999998</v>
      </c>
      <c r="D31" s="18">
        <f>CHOOSE($D$27,D76,D77,D78,D79,D80)</f>
        <v>0.85599999999999998</v>
      </c>
      <c r="E31" s="18">
        <f>CHOOSE($D$27,E76,E77,E78,E79,E80)</f>
        <v>0.85599999999999998</v>
      </c>
      <c r="F31" s="18">
        <f>CHOOSE($D$27,F76,F77,F78,F79,F80)</f>
        <v>0.85599999999999998</v>
      </c>
      <c r="G31" s="18">
        <f>CHOOSE($D$27,G76,G77,G78,G79,G80)</f>
        <v>0.85599999999999998</v>
      </c>
    </row>
    <row r="32" spans="2:7" ht="14" x14ac:dyDescent="0.3">
      <c r="B32" s="4" t="s">
        <v>92</v>
      </c>
      <c r="C32" s="18">
        <f>CHOOSE($D$27,C83,C84,C85,C86,C87)</f>
        <v>9.8000000000000004E-2</v>
      </c>
      <c r="D32" s="18">
        <f>CHOOSE($D$27,D83,D84,D85,D86,D87)</f>
        <v>9.4500000000000001E-2</v>
      </c>
      <c r="E32" s="18">
        <f>CHOOSE($D$27,E83,E84,E85,E86,E87)</f>
        <v>9.1499999999999998E-2</v>
      </c>
      <c r="F32" s="18">
        <f>CHOOSE($D$27,F83,F84,F85,F86,F87)</f>
        <v>8.8499999999999995E-2</v>
      </c>
      <c r="G32" s="18">
        <f>CHOOSE($D$27,G83,G84,G85,G86,G87)</f>
        <v>8.6300000000000002E-2</v>
      </c>
    </row>
    <row r="33" spans="2:7" ht="14" x14ac:dyDescent="0.3">
      <c r="B33" s="4" t="s">
        <v>37</v>
      </c>
      <c r="C33" s="5">
        <f>C17*(1+C30)</f>
        <v>10163848.16</v>
      </c>
      <c r="D33" s="5">
        <f>C33*(1+D30)</f>
        <v>10316305.882399999</v>
      </c>
      <c r="E33" s="5">
        <f>D33*(1+E30)</f>
        <v>10522632.000047999</v>
      </c>
      <c r="F33" s="5">
        <f>E33*(1+F30)</f>
        <v>10733084.640048958</v>
      </c>
      <c r="G33" s="5">
        <f>F33*(1+G30)</f>
        <v>10894080.909649692</v>
      </c>
    </row>
    <row r="34" spans="2:7" ht="14" x14ac:dyDescent="0.3">
      <c r="B34" s="4" t="s">
        <v>38</v>
      </c>
      <c r="C34" s="5">
        <f>C33*C31</f>
        <v>8700254.0249600001</v>
      </c>
      <c r="D34" s="5">
        <f>D33*D31</f>
        <v>8830757.8353343979</v>
      </c>
      <c r="E34" s="5">
        <f>E33*E31</f>
        <v>9007372.9920410868</v>
      </c>
      <c r="F34" s="5">
        <f>F33*F31</f>
        <v>9187520.4518819079</v>
      </c>
      <c r="G34" s="5">
        <f>G33*G31</f>
        <v>9325333.2586601358</v>
      </c>
    </row>
    <row r="35" spans="2:7" ht="14" x14ac:dyDescent="0.3">
      <c r="B35" s="4" t="s">
        <v>39</v>
      </c>
      <c r="C35" s="19">
        <f>C33-C34</f>
        <v>1463594.1350400001</v>
      </c>
      <c r="D35" s="19">
        <f>D33-D34</f>
        <v>1485548.0470656008</v>
      </c>
      <c r="E35" s="19">
        <f>E33-E34</f>
        <v>1515259.0080069117</v>
      </c>
      <c r="F35" s="19">
        <f>F33-F34</f>
        <v>1545564.1881670505</v>
      </c>
      <c r="G35" s="19">
        <f>G33-G34</f>
        <v>1568747.6509895567</v>
      </c>
    </row>
    <row r="36" spans="2:7" ht="14" x14ac:dyDescent="0.3">
      <c r="B36" s="4" t="s">
        <v>40</v>
      </c>
      <c r="C36" s="7">
        <f>C35/C33</f>
        <v>0.14400000000000002</v>
      </c>
      <c r="D36" s="7">
        <f>D35/D33</f>
        <v>0.1440000000000001</v>
      </c>
      <c r="E36" s="7">
        <f>E35/E33</f>
        <v>0.14399999999999999</v>
      </c>
      <c r="F36" s="7">
        <f>F35/F33</f>
        <v>0.14400000000000004</v>
      </c>
      <c r="G36" s="7">
        <f>G35/G33</f>
        <v>0.1440000000000001</v>
      </c>
    </row>
    <row r="37" spans="2:7" ht="14" x14ac:dyDescent="0.3">
      <c r="B37" s="4" t="s">
        <v>93</v>
      </c>
      <c r="C37" s="5">
        <f>C33*C32</f>
        <v>996057.11968</v>
      </c>
      <c r="D37" s="5">
        <f>D33*D32</f>
        <v>974890.90588679991</v>
      </c>
      <c r="E37" s="5">
        <f>E33*E32</f>
        <v>962820.82800439186</v>
      </c>
      <c r="F37" s="5">
        <f>F33*F32</f>
        <v>949877.99064433272</v>
      </c>
      <c r="G37" s="5">
        <f>G33*G32</f>
        <v>940159.18250276847</v>
      </c>
    </row>
    <row r="38" spans="2:7" ht="14" x14ac:dyDescent="0.3">
      <c r="B38" s="4" t="s">
        <v>94</v>
      </c>
      <c r="C38" s="7">
        <f>(C35-C37)/C33</f>
        <v>4.6000000000000006E-2</v>
      </c>
      <c r="D38" s="7">
        <f>(D35-D37)/D33</f>
        <v>4.9500000000000086E-2</v>
      </c>
      <c r="E38" s="7">
        <f>(E35-E37)/E33</f>
        <v>5.2499999999999991E-2</v>
      </c>
      <c r="F38" s="7">
        <f>(F35-F37)/F33</f>
        <v>5.5500000000000056E-2</v>
      </c>
      <c r="G38" s="7">
        <f>(G35-G37)/G33</f>
        <v>5.7700000000000091E-2</v>
      </c>
    </row>
    <row r="39" spans="2:7" ht="14" x14ac:dyDescent="0.3">
      <c r="B39" s="4" t="s">
        <v>95</v>
      </c>
      <c r="C39" s="19">
        <f>C35-C37</f>
        <v>467537.01536000008</v>
      </c>
      <c r="D39" s="19">
        <f>D35-D37</f>
        <v>510657.14117880084</v>
      </c>
      <c r="E39" s="19">
        <f>E35-E37</f>
        <v>552438.18000251986</v>
      </c>
      <c r="F39" s="19">
        <f>F35-F37</f>
        <v>595686.19752271776</v>
      </c>
      <c r="G39" s="19">
        <f>G35-G37</f>
        <v>628588.46848678822</v>
      </c>
    </row>
    <row r="40" spans="2:7" ht="14" x14ac:dyDescent="0.3">
      <c r="B40" s="4" t="s">
        <v>96</v>
      </c>
      <c r="C40" s="5">
        <f>MAX(0,C39*C6)</f>
        <v>116884.25384000002</v>
      </c>
      <c r="D40" s="5">
        <f>MAX(0,D39*C6)</f>
        <v>127664.28529470021</v>
      </c>
      <c r="E40" s="5">
        <f>MAX(0,E39*C6)</f>
        <v>138109.54500062997</v>
      </c>
      <c r="F40" s="5">
        <f>MAX(0,F39*C6)</f>
        <v>148921.54938067944</v>
      </c>
      <c r="G40" s="5">
        <f>MAX(0,G39*C6)</f>
        <v>157147.11712169705</v>
      </c>
    </row>
    <row r="41" spans="2:7" ht="14" x14ac:dyDescent="0.3">
      <c r="B41" s="4" t="s">
        <v>97</v>
      </c>
      <c r="C41" s="19">
        <f>C39-C40</f>
        <v>350652.76152000006</v>
      </c>
      <c r="D41" s="19">
        <f>D39-D40</f>
        <v>382992.85588410066</v>
      </c>
      <c r="E41" s="19">
        <f>E39-E40</f>
        <v>414328.6350018899</v>
      </c>
      <c r="F41" s="19">
        <f>F39-F40</f>
        <v>446764.64814203832</v>
      </c>
      <c r="G41" s="19">
        <f>G39-G40</f>
        <v>471441.35136509116</v>
      </c>
    </row>
    <row r="42" spans="2:7" ht="14" x14ac:dyDescent="0.3">
      <c r="B42" s="4" t="s">
        <v>98</v>
      </c>
      <c r="C42" s="5">
        <f>C33*C18</f>
        <v>579339.34512000007</v>
      </c>
      <c r="D42" s="5">
        <f>D33*C18</f>
        <v>588029.43529679999</v>
      </c>
      <c r="E42" s="5">
        <f>E33*C18</f>
        <v>599790.02400273597</v>
      </c>
      <c r="F42" s="5">
        <f>F33*C18</f>
        <v>611785.82448279066</v>
      </c>
      <c r="G42" s="5">
        <f>G33*C18</f>
        <v>620962.61185003247</v>
      </c>
    </row>
    <row r="43" spans="2:7" ht="14" x14ac:dyDescent="0.3">
      <c r="B43" s="4" t="s">
        <v>99</v>
      </c>
      <c r="C43" s="5">
        <v>842100</v>
      </c>
      <c r="D43" s="5">
        <v>794600</v>
      </c>
      <c r="E43" s="5">
        <v>747100</v>
      </c>
      <c r="F43" s="5">
        <v>699500</v>
      </c>
      <c r="G43" s="5">
        <v>652000</v>
      </c>
    </row>
    <row r="44" spans="2:7" ht="14" x14ac:dyDescent="0.3">
      <c r="B44" s="4" t="s">
        <v>100</v>
      </c>
      <c r="C44" s="5">
        <f>'NWC Schedule'!D19</f>
        <v>14874.745682410896</v>
      </c>
      <c r="D44" s="5">
        <f>'NWC Schedule'!E19</f>
        <v>33285.0711852354</v>
      </c>
      <c r="E44" s="5">
        <f>'NWC Schedule'!F19</f>
        <v>45045.7963373526</v>
      </c>
      <c r="F44" s="5">
        <f>'NWC Schedule'!G19</f>
        <v>45946.71226410009</v>
      </c>
      <c r="G44" s="5">
        <f>'NWC Schedule'!H19</f>
        <v>35149.234882037621</v>
      </c>
    </row>
    <row r="45" spans="2:7" ht="14" x14ac:dyDescent="0.3">
      <c r="B45" s="4" t="s">
        <v>101</v>
      </c>
      <c r="C45" s="20">
        <f>C41+C42-C43-C44</f>
        <v>73017.360957589233</v>
      </c>
      <c r="D45" s="20">
        <f>D41+D42-D43-D44</f>
        <v>143137.21999566525</v>
      </c>
      <c r="E45" s="20">
        <f>E41+E42-E43-E44</f>
        <v>221972.86266727326</v>
      </c>
      <c r="F45" s="20">
        <f>F41+F42-F43-F44</f>
        <v>313103.76036072895</v>
      </c>
      <c r="G45" s="20">
        <f>G41+G42-G43-G44</f>
        <v>405254.72833308601</v>
      </c>
    </row>
    <row r="46" spans="2:7" ht="14" x14ac:dyDescent="0.3">
      <c r="B46" s="4" t="s">
        <v>102</v>
      </c>
      <c r="C46" s="21">
        <f>1/(1+C26)^(C19+0)</f>
        <v>0.95505033794883087</v>
      </c>
      <c r="D46" s="21">
        <f>1/(1+C26)^(C19+1)</f>
        <v>0.91212114801617616</v>
      </c>
      <c r="E46" s="21">
        <f>1/(1+C26)^(C19+2)</f>
        <v>0.87112161066312455</v>
      </c>
      <c r="F46" s="21">
        <f>1/(1+C26)^(C19+3)</f>
        <v>0.83196498865834712</v>
      </c>
      <c r="G46" s="21">
        <f>1/(1+C26)^(C19+4)</f>
        <v>0.79456844357974965</v>
      </c>
    </row>
    <row r="47" spans="2:7" ht="14" x14ac:dyDescent="0.3">
      <c r="B47" s="4" t="s">
        <v>103</v>
      </c>
      <c r="C47" s="19">
        <f>C45*C46</f>
        <v>69735.255258677367</v>
      </c>
      <c r="D47" s="19">
        <f>D45*D46</f>
        <v>130558.48542629015</v>
      </c>
      <c r="E47" s="19">
        <f>E45*E46</f>
        <v>193365.35765021964</v>
      </c>
      <c r="F47" s="19">
        <f>F45*F46</f>
        <v>260491.3664373997</v>
      </c>
      <c r="G47" s="19">
        <f>G45*G46</f>
        <v>322002.61874495441</v>
      </c>
    </row>
    <row r="49" spans="2:7" ht="14" x14ac:dyDescent="0.3">
      <c r="B49" s="22" t="s">
        <v>104</v>
      </c>
      <c r="C49" s="23"/>
      <c r="D49" s="23"/>
      <c r="E49" s="23"/>
      <c r="F49" s="23"/>
      <c r="G49" s="23"/>
    </row>
    <row r="50" spans="2:7" ht="14" x14ac:dyDescent="0.3">
      <c r="B50" s="4" t="s">
        <v>105</v>
      </c>
      <c r="C50" s="5">
        <f>SUM(C47:G47)</f>
        <v>976153.08351754141</v>
      </c>
    </row>
    <row r="51" spans="2:7" ht="14" x14ac:dyDescent="0.3">
      <c r="B51" s="4" t="s">
        <v>106</v>
      </c>
      <c r="C51" s="5">
        <f>G45*(1+C13)/(C26-C13)</f>
        <v>11042891.033879278</v>
      </c>
    </row>
    <row r="52" spans="2:7" ht="14" x14ac:dyDescent="0.3">
      <c r="B52" s="4" t="s">
        <v>107</v>
      </c>
      <c r="C52" s="5">
        <f>C51*G46</f>
        <v>8774332.7414102312</v>
      </c>
    </row>
    <row r="53" spans="2:7" ht="14" x14ac:dyDescent="0.3">
      <c r="B53" s="4" t="s">
        <v>108</v>
      </c>
      <c r="C53" s="5">
        <f>C50+C52</f>
        <v>9750485.8249277733</v>
      </c>
    </row>
    <row r="54" spans="2:7" ht="14" x14ac:dyDescent="0.3">
      <c r="B54" s="4" t="s">
        <v>109</v>
      </c>
      <c r="C54" s="5">
        <f>C53-C16</f>
        <v>5037494.8249277733</v>
      </c>
    </row>
    <row r="55" spans="2:7" ht="14" x14ac:dyDescent="0.3">
      <c r="B55" s="4" t="s">
        <v>110</v>
      </c>
      <c r="C55" s="24">
        <f>ROUND(C54*1000000/C15,0)</f>
        <v>964</v>
      </c>
    </row>
    <row r="57" spans="2:7" ht="14" x14ac:dyDescent="0.3">
      <c r="B57" s="22" t="s">
        <v>111</v>
      </c>
      <c r="C57" s="23"/>
      <c r="D57" s="23"/>
      <c r="E57" s="23"/>
      <c r="F57" s="23"/>
      <c r="G57" s="23"/>
    </row>
    <row r="58" spans="2:7" ht="14" x14ac:dyDescent="0.3">
      <c r="B58" s="4" t="s">
        <v>105</v>
      </c>
      <c r="C58" s="5">
        <f>C50</f>
        <v>976153.08351754141</v>
      </c>
    </row>
    <row r="59" spans="2:7" ht="14" x14ac:dyDescent="0.3">
      <c r="B59" s="4" t="s">
        <v>112</v>
      </c>
      <c r="C59" s="5">
        <f>G39+G42</f>
        <v>1249551.0803368208</v>
      </c>
    </row>
    <row r="60" spans="2:7" ht="14" x14ac:dyDescent="0.3">
      <c r="B60" s="4" t="s">
        <v>113</v>
      </c>
      <c r="C60" s="5">
        <f>C59*C14</f>
        <v>6872530.9418525146</v>
      </c>
    </row>
    <row r="61" spans="2:7" ht="14" x14ac:dyDescent="0.3">
      <c r="B61" s="4" t="s">
        <v>107</v>
      </c>
      <c r="C61" s="5">
        <f>C60*G46</f>
        <v>5460696.2139214231</v>
      </c>
    </row>
    <row r="62" spans="2:7" ht="14" x14ac:dyDescent="0.3">
      <c r="B62" s="4" t="s">
        <v>108</v>
      </c>
      <c r="C62" s="5">
        <f>C58+C61</f>
        <v>6436849.2974389642</v>
      </c>
    </row>
    <row r="63" spans="2:7" ht="14" x14ac:dyDescent="0.3">
      <c r="B63" s="4" t="s">
        <v>109</v>
      </c>
      <c r="C63" s="5">
        <f>C62-C16</f>
        <v>1723858.2974389642</v>
      </c>
    </row>
    <row r="64" spans="2:7" ht="14" x14ac:dyDescent="0.3">
      <c r="B64" s="4" t="s">
        <v>114</v>
      </c>
      <c r="C64" s="24">
        <f>ROUND(C63*1000000/C15,0)</f>
        <v>330</v>
      </c>
    </row>
    <row r="66" spans="2:7" ht="14" x14ac:dyDescent="0.3">
      <c r="B66" s="22" t="s">
        <v>115</v>
      </c>
      <c r="C66" s="23"/>
      <c r="D66" s="23"/>
      <c r="E66" s="23"/>
      <c r="F66" s="23"/>
      <c r="G66" s="23"/>
    </row>
    <row r="67" spans="2:7" ht="14" x14ac:dyDescent="0.3">
      <c r="C67" s="25" t="s">
        <v>116</v>
      </c>
      <c r="D67" s="25" t="s">
        <v>117</v>
      </c>
      <c r="E67" s="25" t="s">
        <v>118</v>
      </c>
      <c r="F67" s="25" t="s">
        <v>119</v>
      </c>
      <c r="G67" s="25" t="s">
        <v>120</v>
      </c>
    </row>
    <row r="68" spans="2:7" ht="14" x14ac:dyDescent="0.3">
      <c r="B68" s="3" t="s">
        <v>46</v>
      </c>
    </row>
    <row r="69" spans="2:7" ht="14" x14ac:dyDescent="0.3">
      <c r="B69" s="4" t="s">
        <v>84</v>
      </c>
      <c r="C69" s="26">
        <v>0.01</v>
      </c>
      <c r="D69" s="26">
        <v>1.4999999999999999E-2</v>
      </c>
      <c r="E69" s="26">
        <v>0.02</v>
      </c>
      <c r="F69" s="26">
        <v>0.02</v>
      </c>
      <c r="G69" s="26">
        <v>1.4999999999999999E-2</v>
      </c>
    </row>
    <row r="70" spans="2:7" ht="14" x14ac:dyDescent="0.3">
      <c r="B70" s="4" t="s">
        <v>121</v>
      </c>
      <c r="C70" s="26">
        <v>0.03</v>
      </c>
      <c r="D70" s="26">
        <v>0.03</v>
      </c>
      <c r="E70" s="26">
        <v>2.5000000000000001E-2</v>
      </c>
      <c r="F70" s="26">
        <v>2.5000000000000001E-2</v>
      </c>
      <c r="G70" s="26">
        <v>0.02</v>
      </c>
    </row>
    <row r="71" spans="2:7" ht="14" x14ac:dyDescent="0.3">
      <c r="B71" s="4" t="s">
        <v>122</v>
      </c>
      <c r="C71" s="26">
        <v>0.01</v>
      </c>
      <c r="D71" s="26">
        <v>1.4999999999999999E-2</v>
      </c>
      <c r="E71" s="26">
        <v>0.02</v>
      </c>
      <c r="F71" s="26">
        <v>0.02</v>
      </c>
      <c r="G71" s="26">
        <v>1.4999999999999999E-2</v>
      </c>
    </row>
    <row r="72" spans="2:7" ht="14" x14ac:dyDescent="0.3">
      <c r="B72" s="4" t="s">
        <v>123</v>
      </c>
      <c r="C72" s="26">
        <v>-0.02</v>
      </c>
      <c r="D72" s="26">
        <v>0</v>
      </c>
      <c r="E72" s="26">
        <v>0.01</v>
      </c>
      <c r="F72" s="26">
        <v>1.4999999999999999E-2</v>
      </c>
      <c r="G72" s="26">
        <v>1.4999999999999999E-2</v>
      </c>
    </row>
    <row r="73" spans="2:7" ht="14" x14ac:dyDescent="0.3">
      <c r="B73" s="4" t="s">
        <v>124</v>
      </c>
      <c r="C73" s="26">
        <v>-0.1</v>
      </c>
      <c r="D73" s="26">
        <v>-0.02</v>
      </c>
      <c r="E73" s="26">
        <v>0.01</v>
      </c>
      <c r="F73" s="26">
        <v>1.4999999999999999E-2</v>
      </c>
      <c r="G73" s="26">
        <v>1.4999999999999999E-2</v>
      </c>
    </row>
    <row r="75" spans="2:7" ht="14" x14ac:dyDescent="0.3">
      <c r="B75" s="3" t="s">
        <v>91</v>
      </c>
    </row>
    <row r="76" spans="2:7" ht="14" x14ac:dyDescent="0.3">
      <c r="B76" s="4" t="s">
        <v>84</v>
      </c>
      <c r="C76" s="26">
        <v>0.85599999999999998</v>
      </c>
      <c r="D76" s="26">
        <v>0.85599999999999998</v>
      </c>
      <c r="E76" s="26">
        <v>0.85599999999999998</v>
      </c>
      <c r="F76" s="26">
        <v>0.85599999999999998</v>
      </c>
      <c r="G76" s="26">
        <v>0.85599999999999998</v>
      </c>
    </row>
    <row r="77" spans="2:7" ht="14" x14ac:dyDescent="0.3">
      <c r="B77" s="4" t="s">
        <v>121</v>
      </c>
      <c r="C77" s="26">
        <v>0.84399999999999997</v>
      </c>
      <c r="D77" s="26">
        <v>0.84399999999999997</v>
      </c>
      <c r="E77" s="26">
        <v>0.84399999999999997</v>
      </c>
      <c r="F77" s="26">
        <v>0.84399999999999997</v>
      </c>
      <c r="G77" s="26">
        <v>0.84399999999999997</v>
      </c>
    </row>
    <row r="78" spans="2:7" ht="14" x14ac:dyDescent="0.3">
      <c r="B78" s="4" t="s">
        <v>122</v>
      </c>
      <c r="C78" s="26">
        <v>0.85599999999999998</v>
      </c>
      <c r="D78" s="26">
        <v>0.85599999999999998</v>
      </c>
      <c r="E78" s="26">
        <v>0.85599999999999998</v>
      </c>
      <c r="F78" s="26">
        <v>0.85599999999999998</v>
      </c>
      <c r="G78" s="26">
        <v>0.85599999999999998</v>
      </c>
    </row>
    <row r="79" spans="2:7" ht="14" x14ac:dyDescent="0.3">
      <c r="B79" s="4" t="s">
        <v>123</v>
      </c>
      <c r="C79" s="26">
        <v>0.86599999999999999</v>
      </c>
      <c r="D79" s="26">
        <v>0.86599999999999999</v>
      </c>
      <c r="E79" s="26">
        <v>0.86599999999999999</v>
      </c>
      <c r="F79" s="26">
        <v>0.86599999999999999</v>
      </c>
      <c r="G79" s="26">
        <v>0.86599999999999999</v>
      </c>
    </row>
    <row r="80" spans="2:7" ht="14" x14ac:dyDescent="0.3">
      <c r="B80" s="4" t="s">
        <v>124</v>
      </c>
      <c r="C80" s="26">
        <v>0.88200000000000001</v>
      </c>
      <c r="D80" s="26">
        <v>0.88200000000000001</v>
      </c>
      <c r="E80" s="26">
        <v>0.88200000000000001</v>
      </c>
      <c r="F80" s="26">
        <v>0.88200000000000001</v>
      </c>
      <c r="G80" s="26">
        <v>0.88200000000000001</v>
      </c>
    </row>
    <row r="82" spans="2:7" ht="14" x14ac:dyDescent="0.3">
      <c r="B82" s="3" t="s">
        <v>92</v>
      </c>
    </row>
    <row r="83" spans="2:7" ht="14" x14ac:dyDescent="0.3">
      <c r="B83" s="4" t="s">
        <v>84</v>
      </c>
      <c r="C83" s="26">
        <v>9.8000000000000004E-2</v>
      </c>
      <c r="D83" s="26">
        <v>9.4500000000000001E-2</v>
      </c>
      <c r="E83" s="26">
        <v>9.1499999999999998E-2</v>
      </c>
      <c r="F83" s="26">
        <v>8.8499999999999995E-2</v>
      </c>
      <c r="G83" s="26">
        <v>8.6300000000000002E-2</v>
      </c>
    </row>
    <row r="84" spans="2:7" ht="14" x14ac:dyDescent="0.3">
      <c r="B84" s="4" t="s">
        <v>121</v>
      </c>
      <c r="C84" s="26">
        <v>0.1</v>
      </c>
      <c r="D84" s="26">
        <v>0.09</v>
      </c>
      <c r="E84" s="26">
        <v>8.2000000000000003E-2</v>
      </c>
      <c r="F84" s="26">
        <v>7.6499999999999999E-2</v>
      </c>
      <c r="G84" s="26">
        <v>7.1999999999999995E-2</v>
      </c>
    </row>
    <row r="85" spans="2:7" ht="14" x14ac:dyDescent="0.3">
      <c r="B85" s="4" t="s">
        <v>122</v>
      </c>
      <c r="C85" s="26">
        <v>9.8000000000000004E-2</v>
      </c>
      <c r="D85" s="26">
        <v>9.4500000000000001E-2</v>
      </c>
      <c r="E85" s="26">
        <v>9.1499999999999998E-2</v>
      </c>
      <c r="F85" s="26">
        <v>8.8499999999999995E-2</v>
      </c>
      <c r="G85" s="26">
        <v>8.6300000000000002E-2</v>
      </c>
    </row>
    <row r="86" spans="2:7" ht="14" x14ac:dyDescent="0.3">
      <c r="B86" s="4" t="s">
        <v>123</v>
      </c>
      <c r="C86" s="26">
        <v>9.5000000000000001E-2</v>
      </c>
      <c r="D86" s="26">
        <v>9.8000000000000004E-2</v>
      </c>
      <c r="E86" s="26">
        <v>0.1</v>
      </c>
      <c r="F86" s="26">
        <v>0.10100000000000001</v>
      </c>
      <c r="G86" s="26">
        <v>0.10150000000000001</v>
      </c>
    </row>
    <row r="87" spans="2:7" ht="14" x14ac:dyDescent="0.3">
      <c r="B87" s="4" t="s">
        <v>124</v>
      </c>
      <c r="C87" s="26">
        <v>9.6000000000000002E-2</v>
      </c>
      <c r="D87" s="26">
        <v>0.10100000000000001</v>
      </c>
      <c r="E87" s="26">
        <v>0.10199999999999999</v>
      </c>
      <c r="F87" s="26">
        <v>0.10100000000000001</v>
      </c>
      <c r="G87" s="26">
        <v>9.9000000000000005E-2</v>
      </c>
    </row>
  </sheetData>
  <phoneticPr fontId="8"/>
  <dataValidations count="1">
    <dataValidation type="list" sqref="C27" xr:uid="{00000000-0002-0000-0200-000000000000}">
      <formula1>"Base,Upside,Management,Downside 1,Downside 2"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C00000"/>
  </sheetPr>
  <dimension ref="B2:I79"/>
  <sheetViews>
    <sheetView workbookViewId="0"/>
  </sheetViews>
  <sheetFormatPr defaultRowHeight="13" x14ac:dyDescent="0.2"/>
  <cols>
    <col min="1" max="1" width="3" customWidth="1"/>
    <col min="2" max="2" width="52" customWidth="1"/>
    <col min="3" max="9" width="15" customWidth="1"/>
  </cols>
  <sheetData>
    <row r="2" spans="2:9" ht="18" x14ac:dyDescent="0.4">
      <c r="B2" s="2" t="s">
        <v>125</v>
      </c>
    </row>
    <row r="3" spans="2:9" ht="14" x14ac:dyDescent="0.3">
      <c r="B3" s="1" t="s">
        <v>126</v>
      </c>
    </row>
    <row r="5" spans="2:9" ht="14" x14ac:dyDescent="0.3">
      <c r="B5" s="8" t="s">
        <v>127</v>
      </c>
      <c r="C5" s="9"/>
      <c r="D5" s="9"/>
      <c r="E5" s="9"/>
      <c r="F5" s="9"/>
      <c r="G5" s="9"/>
      <c r="H5" s="9"/>
      <c r="I5" s="9"/>
    </row>
    <row r="6" spans="2:9" ht="14" x14ac:dyDescent="0.3">
      <c r="B6" s="4" t="s">
        <v>128</v>
      </c>
      <c r="C6" s="15">
        <f>'Executive Summary'!C9</f>
        <v>691.9000244140625</v>
      </c>
    </row>
    <row r="7" spans="2:9" ht="14" x14ac:dyDescent="0.3">
      <c r="B7" s="4" t="s">
        <v>72</v>
      </c>
      <c r="C7" s="15">
        <f>'DCF Model'!C15</f>
        <v>5226293989</v>
      </c>
    </row>
    <row r="8" spans="2:9" ht="14" x14ac:dyDescent="0.3">
      <c r="B8" s="4" t="s">
        <v>129</v>
      </c>
      <c r="C8" s="5">
        <f>C6*C7/1000000</f>
        <v>3616072.938584168</v>
      </c>
    </row>
    <row r="9" spans="2:9" ht="14" x14ac:dyDescent="0.3">
      <c r="B9" s="4" t="s">
        <v>73</v>
      </c>
      <c r="C9" s="5">
        <f>'DCF Model'!C16</f>
        <v>4712991</v>
      </c>
    </row>
    <row r="10" spans="2:9" ht="14" x14ac:dyDescent="0.3">
      <c r="B10" s="4" t="s">
        <v>130</v>
      </c>
      <c r="C10" s="5">
        <f>C8+C9</f>
        <v>8329063.9385841675</v>
      </c>
    </row>
    <row r="11" spans="2:9" ht="14" x14ac:dyDescent="0.3">
      <c r="B11" s="4" t="s">
        <v>131</v>
      </c>
      <c r="C11" s="16">
        <f>'DCF Model'!C26</f>
        <v>4.70652281509139E-2</v>
      </c>
    </row>
    <row r="12" spans="2:9" ht="14" x14ac:dyDescent="0.3">
      <c r="B12" s="4" t="s">
        <v>132</v>
      </c>
      <c r="C12" s="16">
        <f>'DCF Model'!C13</f>
        <v>0.01</v>
      </c>
    </row>
    <row r="13" spans="2:9" ht="14" x14ac:dyDescent="0.3">
      <c r="B13" s="4" t="s">
        <v>133</v>
      </c>
      <c r="C13" s="16">
        <f>'DCF Model'!C6</f>
        <v>0.25</v>
      </c>
    </row>
    <row r="14" spans="2:9" ht="14" x14ac:dyDescent="0.3">
      <c r="B14" s="4" t="s">
        <v>134</v>
      </c>
      <c r="C14" s="27">
        <v>428716</v>
      </c>
    </row>
    <row r="15" spans="2:9" ht="14" x14ac:dyDescent="0.3">
      <c r="B15" s="4" t="s">
        <v>135</v>
      </c>
      <c r="C15" s="27">
        <v>813541</v>
      </c>
    </row>
    <row r="16" spans="2:9" ht="14" x14ac:dyDescent="0.3">
      <c r="B16" s="4" t="s">
        <v>136</v>
      </c>
      <c r="C16" s="5">
        <f>'DCF Model'!G33</f>
        <v>10894080.909649692</v>
      </c>
    </row>
    <row r="17" spans="2:9" ht="14" x14ac:dyDescent="0.3">
      <c r="B17" s="4" t="s">
        <v>137</v>
      </c>
      <c r="C17" s="5">
        <f>'DCF Model'!C53</f>
        <v>9750485.8249277733</v>
      </c>
    </row>
    <row r="18" spans="2:9" ht="14" x14ac:dyDescent="0.3">
      <c r="B18" s="4" t="s">
        <v>138</v>
      </c>
      <c r="C18" s="26">
        <v>0.1020039154489714</v>
      </c>
    </row>
    <row r="19" spans="2:9" ht="14" x14ac:dyDescent="0.3">
      <c r="B19" s="4" t="s">
        <v>139</v>
      </c>
      <c r="C19" s="5">
        <f>C10-C17</f>
        <v>-1421421.8863436058</v>
      </c>
    </row>
    <row r="20" spans="2:9" ht="14" x14ac:dyDescent="0.3">
      <c r="B20" s="4" t="s">
        <v>140</v>
      </c>
      <c r="C20" s="15">
        <f>IFERROR(ROUND(C19*1000000/C7,0),"N/A")</f>
        <v>-272</v>
      </c>
    </row>
    <row r="22" spans="2:9" ht="14" x14ac:dyDescent="0.3">
      <c r="B22" s="8" t="s">
        <v>141</v>
      </c>
      <c r="C22" s="9"/>
      <c r="D22" s="9"/>
      <c r="E22" s="9"/>
      <c r="F22" s="9"/>
      <c r="G22" s="9"/>
      <c r="H22" s="9"/>
      <c r="I22" s="9"/>
    </row>
    <row r="23" spans="2:9" ht="14" x14ac:dyDescent="0.3">
      <c r="B23" s="1" t="s">
        <v>142</v>
      </c>
    </row>
    <row r="24" spans="2:9" ht="14" x14ac:dyDescent="0.3">
      <c r="B24" s="4" t="s">
        <v>143</v>
      </c>
      <c r="C24" s="5">
        <f>C10*(C11-C12)</f>
        <v>308718.65516717167</v>
      </c>
    </row>
    <row r="25" spans="2:9" ht="14" x14ac:dyDescent="0.3">
      <c r="B25" s="4" t="s">
        <v>144</v>
      </c>
      <c r="C25" s="5">
        <f>IFERROR(C24/(1-C13),"N/A")</f>
        <v>411624.87355622888</v>
      </c>
    </row>
    <row r="26" spans="2:9" ht="13.5" x14ac:dyDescent="0.25">
      <c r="B26" s="6" t="s">
        <v>145</v>
      </c>
      <c r="C26" s="14">
        <f>IFERROR(C25/C15,"N/A")</f>
        <v>0.50596696854396872</v>
      </c>
    </row>
    <row r="27" spans="2:9" ht="13.5" x14ac:dyDescent="0.25">
      <c r="B27" s="6" t="s">
        <v>146</v>
      </c>
      <c r="C27" s="14">
        <f>IFERROR(C25/C14,"N/A")</f>
        <v>0.96013415304357397</v>
      </c>
    </row>
    <row r="28" spans="2:9" ht="13.5" x14ac:dyDescent="0.25">
      <c r="B28" s="6" t="s">
        <v>147</v>
      </c>
      <c r="C28" s="7">
        <f>IFERROR(C25/C16,"N/A")</f>
        <v>3.7784268078238918E-2</v>
      </c>
    </row>
    <row r="29" spans="2:9" ht="13.5" x14ac:dyDescent="0.25">
      <c r="B29" s="6" t="s">
        <v>148</v>
      </c>
      <c r="C29" s="5">
        <f>IFERROR(C25/C18,"N/A")</f>
        <v>4035383.0707817175</v>
      </c>
    </row>
    <row r="32" spans="2:9" ht="14" x14ac:dyDescent="0.3">
      <c r="B32" s="8" t="s">
        <v>149</v>
      </c>
      <c r="C32" s="9"/>
      <c r="D32" s="9"/>
      <c r="E32" s="9"/>
      <c r="F32" s="9"/>
      <c r="G32" s="9"/>
      <c r="H32" s="9"/>
      <c r="I32" s="9"/>
    </row>
    <row r="33" spans="2:9" ht="14" x14ac:dyDescent="0.3">
      <c r="B33" s="1" t="s">
        <v>150</v>
      </c>
    </row>
    <row r="34" spans="2:9" ht="14" x14ac:dyDescent="0.3">
      <c r="B34" s="1" t="s">
        <v>151</v>
      </c>
    </row>
    <row r="36" spans="2:9" ht="14" x14ac:dyDescent="0.3">
      <c r="B36" s="28" t="s">
        <v>152</v>
      </c>
      <c r="C36" s="28" t="s">
        <v>153</v>
      </c>
      <c r="D36" s="29">
        <f>'DCF Model'!C26-0.02</f>
        <v>2.70652281509139E-2</v>
      </c>
      <c r="E36" s="29">
        <f>'DCF Model'!C26-0.01</f>
        <v>3.7065228150913898E-2</v>
      </c>
      <c r="F36" s="29">
        <f>'DCF Model'!C26</f>
        <v>4.70652281509139E-2</v>
      </c>
      <c r="G36" s="29">
        <f>'DCF Model'!C26+0.01</f>
        <v>5.7065228150913902E-2</v>
      </c>
      <c r="H36" s="29">
        <f>'DCF Model'!C26+0.02</f>
        <v>6.7065228150913897E-2</v>
      </c>
    </row>
    <row r="37" spans="2:9" ht="14" x14ac:dyDescent="0.3">
      <c r="B37" s="3" t="s">
        <v>154</v>
      </c>
    </row>
    <row r="38" spans="2:9" ht="14" x14ac:dyDescent="0.3">
      <c r="B38" s="4" t="s">
        <v>155</v>
      </c>
      <c r="C38" s="30">
        <v>3</v>
      </c>
      <c r="D38" s="13">
        <f t="shared" ref="D38:H41" si="0">IFERROR((1-(1+D$36)^(-$C38))/D$36-(1+D$36)/(D$36^2*$C38)*(1-($C38+1)/(1+D$36)^$C38+$C38/(1+D$36)^($C38+1)),"N/A")</f>
        <v>0.96509546923122258</v>
      </c>
      <c r="E38" s="13">
        <f t="shared" si="0"/>
        <v>0.95277179651226929</v>
      </c>
      <c r="F38" s="13">
        <f t="shared" si="0"/>
        <v>0.94074060797117798</v>
      </c>
      <c r="G38" s="13">
        <f t="shared" si="0"/>
        <v>0.92899199786957687</v>
      </c>
      <c r="H38" s="13">
        <f t="shared" si="0"/>
        <v>0.91751649139284974</v>
      </c>
    </row>
    <row r="39" spans="2:9" ht="14" x14ac:dyDescent="0.3">
      <c r="B39" s="4" t="s">
        <v>156</v>
      </c>
      <c r="C39" s="30">
        <v>5</v>
      </c>
      <c r="D39" s="13">
        <f t="shared" si="0"/>
        <v>1.8966534009975513</v>
      </c>
      <c r="E39" s="13">
        <f t="shared" si="0"/>
        <v>1.8608156971575394</v>
      </c>
      <c r="F39" s="13">
        <f t="shared" si="0"/>
        <v>1.8261546011657002</v>
      </c>
      <c r="G39" s="13">
        <f t="shared" si="0"/>
        <v>1.7926175681841632</v>
      </c>
      <c r="H39" s="13">
        <f t="shared" si="0"/>
        <v>1.7601549613558203</v>
      </c>
    </row>
    <row r="40" spans="2:9" ht="14" x14ac:dyDescent="0.3">
      <c r="B40" s="4" t="s">
        <v>157</v>
      </c>
      <c r="C40" s="30">
        <v>7</v>
      </c>
      <c r="D40" s="13">
        <f t="shared" si="0"/>
        <v>2.7959837586259386</v>
      </c>
      <c r="E40" s="13">
        <f t="shared" si="0"/>
        <v>2.7264910708682124</v>
      </c>
      <c r="F40" s="13">
        <f t="shared" si="0"/>
        <v>2.6598969891607243</v>
      </c>
      <c r="G40" s="13">
        <f t="shared" si="0"/>
        <v>2.5960414903524738</v>
      </c>
      <c r="H40" s="13">
        <f t="shared" si="0"/>
        <v>2.5347752617274266</v>
      </c>
    </row>
    <row r="41" spans="2:9" ht="14" x14ac:dyDescent="0.3">
      <c r="B41" s="4" t="s">
        <v>158</v>
      </c>
      <c r="C41" s="30">
        <v>10</v>
      </c>
      <c r="D41" s="13">
        <f t="shared" si="0"/>
        <v>4.0872844700702551</v>
      </c>
      <c r="E41" s="13">
        <f t="shared" si="0"/>
        <v>3.9503996876566863</v>
      </c>
      <c r="F41" s="13">
        <f t="shared" si="0"/>
        <v>3.8209929746080737</v>
      </c>
      <c r="G41" s="13">
        <f t="shared" si="0"/>
        <v>3.6985364647328742</v>
      </c>
      <c r="H41" s="13">
        <f t="shared" si="0"/>
        <v>3.5825465527794234</v>
      </c>
    </row>
    <row r="42" spans="2:9" ht="14" x14ac:dyDescent="0.3">
      <c r="B42" s="3" t="s">
        <v>159</v>
      </c>
    </row>
    <row r="43" spans="2:9" ht="14" x14ac:dyDescent="0.3">
      <c r="B43" s="4" t="s">
        <v>155</v>
      </c>
      <c r="C43" s="30">
        <v>3</v>
      </c>
      <c r="D43" s="13">
        <f t="shared" ref="D43:H46" si="1">IFERROR((1+D$36)/(D$36^2*$C43)*(1-($C43+1)/(1+D$36)^$C43+$C43/(1+D$36)^($C43+1))+(1+$C$12)/((D$36-$C$12)*(1+D$36)^$C43),"N/A")</f>
        <v>56.507538778517784</v>
      </c>
      <c r="E43" s="13">
        <f t="shared" si="1"/>
        <v>35.295193143967197</v>
      </c>
      <c r="F43" s="13">
        <f t="shared" si="1"/>
        <v>25.534970836318255</v>
      </c>
      <c r="G43" s="13">
        <f t="shared" si="1"/>
        <v>19.926965420669017</v>
      </c>
      <c r="H43" s="13">
        <f t="shared" si="1"/>
        <v>16.28816261302164</v>
      </c>
    </row>
    <row r="44" spans="2:9" ht="14" x14ac:dyDescent="0.3">
      <c r="B44" s="4" t="s">
        <v>156</v>
      </c>
      <c r="C44" s="30">
        <v>5</v>
      </c>
      <c r="D44" s="13">
        <f t="shared" si="1"/>
        <v>54.508491572086896</v>
      </c>
      <c r="E44" s="13">
        <f t="shared" si="1"/>
        <v>33.736467006168397</v>
      </c>
      <c r="F44" s="13">
        <f t="shared" si="1"/>
        <v>24.190073201909598</v>
      </c>
      <c r="G44" s="13">
        <f t="shared" si="1"/>
        <v>18.713281254427791</v>
      </c>
      <c r="H44" s="13">
        <f t="shared" si="1"/>
        <v>15.166129064860691</v>
      </c>
    </row>
    <row r="45" spans="2:9" ht="14" x14ac:dyDescent="0.3">
      <c r="B45" s="4" t="s">
        <v>157</v>
      </c>
      <c r="C45" s="30">
        <v>7</v>
      </c>
      <c r="D45" s="13">
        <f t="shared" si="1"/>
        <v>52.597191610829555</v>
      </c>
      <c r="E45" s="13">
        <f t="shared" si="1"/>
        <v>32.2657896396693</v>
      </c>
      <c r="F45" s="13">
        <f t="shared" si="1"/>
        <v>22.937226067595681</v>
      </c>
      <c r="G45" s="13">
        <f t="shared" si="1"/>
        <v>17.596574084529855</v>
      </c>
      <c r="H45" s="13">
        <f t="shared" si="1"/>
        <v>14.146130090466251</v>
      </c>
    </row>
    <row r="46" spans="2:9" ht="14" x14ac:dyDescent="0.3">
      <c r="B46" s="4" t="s">
        <v>158</v>
      </c>
      <c r="C46" s="30">
        <v>10</v>
      </c>
      <c r="D46" s="13">
        <f t="shared" si="1"/>
        <v>49.885760632212069</v>
      </c>
      <c r="E46" s="13">
        <f t="shared" si="1"/>
        <v>30.213075359192601</v>
      </c>
      <c r="F46" s="13">
        <f t="shared" si="1"/>
        <v>21.215507187563894</v>
      </c>
      <c r="G46" s="13">
        <f t="shared" si="1"/>
        <v>16.084768945640782</v>
      </c>
      <c r="H46" s="13">
        <f t="shared" si="1"/>
        <v>12.785151613996133</v>
      </c>
    </row>
    <row r="47" spans="2:9" ht="14" x14ac:dyDescent="0.3">
      <c r="B47" s="22" t="s">
        <v>160</v>
      </c>
      <c r="C47" s="23"/>
      <c r="D47" s="23"/>
      <c r="E47" s="23"/>
      <c r="F47" s="23"/>
      <c r="G47" s="23"/>
      <c r="H47" s="23"/>
      <c r="I47" s="23"/>
    </row>
    <row r="48" spans="2:9" ht="14" x14ac:dyDescent="0.3">
      <c r="B48" s="4" t="s">
        <v>155</v>
      </c>
      <c r="C48" s="30">
        <v>3</v>
      </c>
      <c r="D48" s="5">
        <f t="shared" ref="D48:H51" si="2">IFERROR(($C$10/(1-$C$13)-$C$14*D38)/D43,"N/A")</f>
        <v>189207.79327335631</v>
      </c>
      <c r="E48" s="5">
        <f t="shared" si="2"/>
        <v>303071.01671417552</v>
      </c>
      <c r="F48" s="5">
        <f t="shared" si="2"/>
        <v>419115.73359114112</v>
      </c>
      <c r="G48" s="5">
        <f t="shared" si="2"/>
        <v>537319.38734205731</v>
      </c>
      <c r="H48" s="5">
        <f t="shared" si="2"/>
        <v>657659.48186759301</v>
      </c>
    </row>
    <row r="49" spans="2:9" ht="14" x14ac:dyDescent="0.3">
      <c r="B49" s="4" t="s">
        <v>156</v>
      </c>
      <c r="C49" s="30">
        <v>5</v>
      </c>
      <c r="D49" s="5">
        <f t="shared" si="2"/>
        <v>188819.99168341278</v>
      </c>
      <c r="E49" s="5">
        <f t="shared" si="2"/>
        <v>305534.57540386909</v>
      </c>
      <c r="F49" s="5">
        <f t="shared" si="2"/>
        <v>426725.32665054779</v>
      </c>
      <c r="G49" s="5">
        <f t="shared" si="2"/>
        <v>552382.80293422146</v>
      </c>
      <c r="H49" s="5">
        <f t="shared" si="2"/>
        <v>682495.31215903221</v>
      </c>
    </row>
    <row r="50" spans="2:9" ht="14" x14ac:dyDescent="0.3">
      <c r="B50" s="4" t="s">
        <v>157</v>
      </c>
      <c r="C50" s="30">
        <v>7</v>
      </c>
      <c r="D50" s="5">
        <f t="shared" si="2"/>
        <v>188351.03754239331</v>
      </c>
      <c r="E50" s="5">
        <f t="shared" si="2"/>
        <v>307958.62583273184</v>
      </c>
      <c r="F50" s="5">
        <f t="shared" si="2"/>
        <v>434450.01404297608</v>
      </c>
      <c r="G50" s="5">
        <f t="shared" si="2"/>
        <v>567863.60874562908</v>
      </c>
      <c r="H50" s="5">
        <f t="shared" si="2"/>
        <v>708230.43543366285</v>
      </c>
    </row>
    <row r="51" spans="2:9" ht="14" x14ac:dyDescent="0.3">
      <c r="B51" s="4" t="s">
        <v>158</v>
      </c>
      <c r="C51" s="30">
        <v>10</v>
      </c>
      <c r="D51" s="5">
        <f t="shared" si="2"/>
        <v>187491.06393035082</v>
      </c>
      <c r="E51" s="5">
        <f t="shared" si="2"/>
        <v>311514.76373694726</v>
      </c>
      <c r="F51" s="5">
        <f t="shared" si="2"/>
        <v>446244.23432244681</v>
      </c>
      <c r="G51" s="5">
        <f t="shared" si="2"/>
        <v>591851.63665931812</v>
      </c>
      <c r="H51" s="5">
        <f t="shared" si="2"/>
        <v>748487.29571431759</v>
      </c>
    </row>
    <row r="52" spans="2:9" ht="14" x14ac:dyDescent="0.3">
      <c r="B52" s="22" t="s">
        <v>161</v>
      </c>
      <c r="C52" s="23"/>
      <c r="D52" s="23"/>
      <c r="E52" s="23"/>
      <c r="F52" s="23"/>
      <c r="G52" s="23"/>
      <c r="H52" s="23"/>
      <c r="I52" s="23"/>
    </row>
    <row r="53" spans="2:9" ht="14" x14ac:dyDescent="0.3">
      <c r="B53" s="4" t="s">
        <v>155</v>
      </c>
      <c r="C53" s="30">
        <v>3</v>
      </c>
      <c r="D53" s="14">
        <f t="shared" ref="D53:H56" si="3">IFERROR(D48/$C$15,"N/A")</f>
        <v>0.23257315030632297</v>
      </c>
      <c r="E53" s="14">
        <f t="shared" si="3"/>
        <v>0.37253318113552425</v>
      </c>
      <c r="F53" s="14">
        <f t="shared" si="3"/>
        <v>0.51517469136913951</v>
      </c>
      <c r="G53" s="14">
        <f t="shared" si="3"/>
        <v>0.66046995460838154</v>
      </c>
      <c r="H53" s="14">
        <f t="shared" si="3"/>
        <v>0.80839131877507464</v>
      </c>
    </row>
    <row r="54" spans="2:9" ht="14" x14ac:dyDescent="0.3">
      <c r="B54" s="4" t="s">
        <v>156</v>
      </c>
      <c r="C54" s="30">
        <v>5</v>
      </c>
      <c r="D54" s="14">
        <f t="shared" si="3"/>
        <v>0.23209646678337389</v>
      </c>
      <c r="E54" s="14">
        <f t="shared" si="3"/>
        <v>0.37556137355568936</v>
      </c>
      <c r="F54" s="14">
        <f t="shared" si="3"/>
        <v>0.52452836015707605</v>
      </c>
      <c r="G54" s="14">
        <f t="shared" si="3"/>
        <v>0.67898581993313367</v>
      </c>
      <c r="H54" s="14">
        <f t="shared" si="3"/>
        <v>0.83891938102570396</v>
      </c>
    </row>
    <row r="55" spans="2:9" ht="14" x14ac:dyDescent="0.3">
      <c r="B55" s="4" t="s">
        <v>157</v>
      </c>
      <c r="C55" s="30">
        <v>7</v>
      </c>
      <c r="D55" s="14">
        <f t="shared" si="3"/>
        <v>0.23152003100322333</v>
      </c>
      <c r="E55" s="14">
        <f t="shared" si="3"/>
        <v>0.3785410026448966</v>
      </c>
      <c r="F55" s="14">
        <f t="shared" si="3"/>
        <v>0.5340235022487817</v>
      </c>
      <c r="G55" s="14">
        <f t="shared" si="3"/>
        <v>0.69801473895676935</v>
      </c>
      <c r="H55" s="14">
        <f t="shared" si="3"/>
        <v>0.87055284912950037</v>
      </c>
    </row>
    <row r="56" spans="2:9" ht="14" x14ac:dyDescent="0.3">
      <c r="B56" s="4" t="s">
        <v>158</v>
      </c>
      <c r="C56" s="30">
        <v>10</v>
      </c>
      <c r="D56" s="14">
        <f t="shared" si="3"/>
        <v>0.23046295629888452</v>
      </c>
      <c r="E56" s="14">
        <f t="shared" si="3"/>
        <v>0.3829121872615483</v>
      </c>
      <c r="F56" s="14">
        <f t="shared" si="3"/>
        <v>0.54852089116891078</v>
      </c>
      <c r="G56" s="14">
        <f t="shared" si="3"/>
        <v>0.72750068731547413</v>
      </c>
      <c r="H56" s="14">
        <f t="shared" si="3"/>
        <v>0.92003635430091124</v>
      </c>
    </row>
    <row r="58" spans="2:9" ht="14" x14ac:dyDescent="0.3">
      <c r="B58" s="8" t="s">
        <v>162</v>
      </c>
      <c r="C58" s="9"/>
      <c r="D58" s="9"/>
      <c r="E58" s="9"/>
      <c r="F58" s="9"/>
      <c r="G58" s="9"/>
      <c r="H58" s="9"/>
      <c r="I58" s="9"/>
    </row>
    <row r="59" spans="2:9" ht="14" x14ac:dyDescent="0.3">
      <c r="B59" s="1" t="s">
        <v>163</v>
      </c>
    </row>
    <row r="60" spans="2:9" ht="14" x14ac:dyDescent="0.3">
      <c r="B60" s="4" t="s">
        <v>164</v>
      </c>
      <c r="C60" s="5">
        <f>F49</f>
        <v>426725.32665054779</v>
      </c>
    </row>
    <row r="62" spans="2:9" ht="14" x14ac:dyDescent="0.3">
      <c r="B62" s="28" t="s">
        <v>165</v>
      </c>
      <c r="C62" s="28" t="s">
        <v>166</v>
      </c>
      <c r="D62" s="28" t="s">
        <v>167</v>
      </c>
    </row>
    <row r="63" spans="2:9" ht="14" x14ac:dyDescent="0.3">
      <c r="B63" s="31">
        <v>5.0999999999999997E-2</v>
      </c>
      <c r="C63" s="5">
        <f>IFERROR($C$60/B63,"N/A")</f>
        <v>8367163.2676578006</v>
      </c>
      <c r="D63" s="14">
        <f>IFERROR(C63/'DCF Model'!C17,"N/A")</f>
        <v>0.83146016816669743</v>
      </c>
    </row>
    <row r="64" spans="2:9" ht="14" x14ac:dyDescent="0.3">
      <c r="B64" s="31">
        <v>7.6499999999999999E-2</v>
      </c>
      <c r="C64" s="5">
        <f>IFERROR($C$60/B64,"N/A")</f>
        <v>5578108.8451052001</v>
      </c>
      <c r="D64" s="14">
        <f>IFERROR(C64/'DCF Model'!C17,"N/A")</f>
        <v>0.55430677877779833</v>
      </c>
    </row>
    <row r="65" spans="2:9" ht="14" x14ac:dyDescent="0.3">
      <c r="B65" s="4" t="s">
        <v>168</v>
      </c>
      <c r="C65" s="5">
        <f>IFERROR($C$60/$C$18,"N/A")</f>
        <v>4183421.0458717332</v>
      </c>
      <c r="D65" s="14">
        <f>IFERROR(C65/'DCF Model'!C17,"N/A")</f>
        <v>0.41571412616719478</v>
      </c>
    </row>
    <row r="66" spans="2:9" ht="14" x14ac:dyDescent="0.3">
      <c r="B66" s="31">
        <v>0.1275</v>
      </c>
      <c r="C66" s="5">
        <f>IFERROR($C$60/B66,"N/A")</f>
        <v>3346865.30706312</v>
      </c>
      <c r="D66" s="14">
        <f>IFERROR(C66/'DCF Model'!C17,"N/A")</f>
        <v>0.33258406726667894</v>
      </c>
    </row>
    <row r="67" spans="2:9" ht="14" x14ac:dyDescent="0.3">
      <c r="B67" s="31">
        <v>0.153</v>
      </c>
      <c r="C67" s="5">
        <f>IFERROR($C$60/B67,"N/A")</f>
        <v>2789054.4225526</v>
      </c>
      <c r="D67" s="14">
        <f>IFERROR(C67/'DCF Model'!C17,"N/A")</f>
        <v>0.27715338938889916</v>
      </c>
    </row>
    <row r="69" spans="2:9" ht="14" x14ac:dyDescent="0.3">
      <c r="B69" s="8" t="s">
        <v>169</v>
      </c>
      <c r="C69" s="9"/>
      <c r="D69" s="9"/>
      <c r="E69" s="9"/>
      <c r="F69" s="9"/>
      <c r="G69" s="9"/>
      <c r="H69" s="9"/>
      <c r="I69" s="9"/>
    </row>
    <row r="70" spans="2:9" ht="13.5" x14ac:dyDescent="0.25">
      <c r="B70" s="6" t="s">
        <v>170</v>
      </c>
      <c r="C70" s="14">
        <f>IFERROR(C10/'Comps Analysis'!G5,"N/A")</f>
        <v>8.3071993897902399</v>
      </c>
    </row>
    <row r="71" spans="2:9" ht="13.5" x14ac:dyDescent="0.25">
      <c r="B71" s="6" t="s">
        <v>171</v>
      </c>
      <c r="C71" s="14">
        <f>IFERROR(C10/'Comps Analysis'!F5,"N/A")</f>
        <v>0.82767416883272382</v>
      </c>
    </row>
    <row r="72" spans="2:9" ht="14" x14ac:dyDescent="0.3">
      <c r="B72" s="4" t="s">
        <v>172</v>
      </c>
      <c r="C72" s="14">
        <f>IFERROR(C10/(C25+'DCF Model'!G42),"N/A")</f>
        <v>8.0662065503410396</v>
      </c>
    </row>
    <row r="73" spans="2:9" ht="14" x14ac:dyDescent="0.3">
      <c r="B73" s="4" t="s">
        <v>173</v>
      </c>
      <c r="C73" s="14">
        <f>IFERROR(C10/(C60+'DCF Model'!G42),"N/A")</f>
        <v>7.9499473388082293</v>
      </c>
    </row>
    <row r="74" spans="2:9" ht="14" x14ac:dyDescent="0.3">
      <c r="B74" s="4" t="s">
        <v>174</v>
      </c>
      <c r="C74" s="14">
        <f>IFERROR('Comps Analysis'!D16,"N/A")</f>
        <v>5.457270785975064</v>
      </c>
    </row>
    <row r="75" spans="2:9" ht="14" x14ac:dyDescent="0.3">
      <c r="B75" s="1" t="s">
        <v>175</v>
      </c>
    </row>
    <row r="77" spans="2:9" ht="14" x14ac:dyDescent="0.3">
      <c r="B77" s="22" t="s">
        <v>176</v>
      </c>
      <c r="C77" s="23"/>
      <c r="D77" s="23"/>
      <c r="E77" s="23"/>
      <c r="F77" s="23"/>
      <c r="G77" s="23"/>
      <c r="H77" s="23"/>
      <c r="I77" s="23"/>
    </row>
    <row r="78" spans="2:9" ht="14" x14ac:dyDescent="0.3">
      <c r="B78" s="4" t="str">
        <f>"At "&amp;TEXT(C6,"#,##0")&amp;" yen the market is paying for a steady-state operating profit of "&amp;TEXT(F49,"#,##0")&amp;" mn JPY - "&amp;TEXT(F54,"0.00")&amp;"x the FY2023 cycle peak of "&amp;TEXT(C15,"#,##0")&amp;" mn - reached in 5 years and sustained for ever, against "&amp;TEXT(C14,"#,##0")&amp;" mn actually earned in FY2026."</f>
        <v>At 692 yen the market is paying for a steady-state operating profit of 426,725 mn JPY - 0.52x the FY2023 cycle peak of 813,541 mn - reached in 5 years and sustained for ever, against 428,716 mn actually earned in FY2026.</v>
      </c>
    </row>
    <row r="79" spans="2:9" ht="14" x14ac:dyDescent="0.3">
      <c r="B79" s="4" t="str">
        <f>"Even with no ramp at all (Block A) the price needs "&amp;TEXT(C25,"#,##0")&amp;" mn, or "&amp;TEXT(C26,"0.00")&amp;"x the peak. The base case supports an EV of only "&amp;TEXT(C17,"#,##0")&amp;" mn, leaving "&amp;TEXT(C20,"#,##0")&amp;" yen per share of the current price unexplained by mid-cycle economics."</f>
        <v>Even with no ramp at all (Block A) the price needs 411,625 mn, or 0.51x the peak. The base case supports an EV of only 9,750,486 mn, leaving -272 yen per share of the current price unexplained by mid-cycle economics.</v>
      </c>
    </row>
  </sheetData>
  <phoneticPr fontId="8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CC6600"/>
  </sheetPr>
  <dimension ref="B2:H43"/>
  <sheetViews>
    <sheetView workbookViewId="0"/>
  </sheetViews>
  <sheetFormatPr defaultRowHeight="13" x14ac:dyDescent="0.2"/>
  <cols>
    <col min="1" max="1" width="3" customWidth="1"/>
    <col min="2" max="2" width="28" customWidth="1"/>
    <col min="3" max="8" width="16" customWidth="1"/>
  </cols>
  <sheetData>
    <row r="2" spans="2:8" ht="18" x14ac:dyDescent="0.4">
      <c r="B2" s="2" t="s">
        <v>177</v>
      </c>
    </row>
    <row r="4" spans="2:8" ht="14" x14ac:dyDescent="0.3">
      <c r="B4" s="8" t="s">
        <v>178</v>
      </c>
      <c r="C4" s="32" t="s">
        <v>179</v>
      </c>
      <c r="D4" s="32" t="s">
        <v>86</v>
      </c>
      <c r="E4" s="32" t="s">
        <v>87</v>
      </c>
      <c r="F4" s="32" t="s">
        <v>88</v>
      </c>
      <c r="G4" s="32" t="s">
        <v>89</v>
      </c>
      <c r="H4" s="32" t="s">
        <v>90</v>
      </c>
    </row>
    <row r="5" spans="2:8" ht="14" x14ac:dyDescent="0.3">
      <c r="B5" s="33" t="s">
        <v>180</v>
      </c>
      <c r="C5" s="34">
        <f>C12/C9*365</f>
        <v>64.134814357557261</v>
      </c>
      <c r="D5" s="34">
        <f>CHOOSE('DCF Model'!$D$27,D25,D26,D27,D28,D29)</f>
        <v>60</v>
      </c>
      <c r="E5" s="34">
        <f>CHOOSE('DCF Model'!$D$27,E25,E26,E27,E28,E29)</f>
        <v>60</v>
      </c>
      <c r="F5" s="34">
        <f>CHOOSE('DCF Model'!$D$27,F25,F26,F27,F28,F29)</f>
        <v>60</v>
      </c>
      <c r="G5" s="34">
        <f>CHOOSE('DCF Model'!$D$27,G25,G26,G27,G28,G29)</f>
        <v>60</v>
      </c>
      <c r="H5" s="34">
        <f>CHOOSE('DCF Model'!$D$27,H25,H26,H27,H28,H29)</f>
        <v>60</v>
      </c>
    </row>
    <row r="6" spans="2:8" ht="14" x14ac:dyDescent="0.3">
      <c r="B6" s="33" t="s">
        <v>181</v>
      </c>
      <c r="C6" s="34">
        <f>C13/C10*365</f>
        <v>117.56746489606898</v>
      </c>
      <c r="D6" s="34">
        <f>CHOOSE('DCF Model'!$D$27,D32,D33,D34,D35,D36)</f>
        <v>113</v>
      </c>
      <c r="E6" s="34">
        <f>CHOOSE('DCF Model'!$D$27,E32,E33,E34,E35,E36)</f>
        <v>113</v>
      </c>
      <c r="F6" s="34">
        <f>CHOOSE('DCF Model'!$D$27,F32,F33,F34,F35,F36)</f>
        <v>113</v>
      </c>
      <c r="G6" s="34">
        <f>CHOOSE('DCF Model'!$D$27,G32,G33,G34,G35,G36)</f>
        <v>113</v>
      </c>
      <c r="H6" s="34">
        <f>CHOOSE('DCF Model'!$D$27,H32,H33,H34,H35,H36)</f>
        <v>113</v>
      </c>
    </row>
    <row r="7" spans="2:8" ht="14" x14ac:dyDescent="0.3">
      <c r="B7" s="33" t="s">
        <v>182</v>
      </c>
      <c r="C7" s="34">
        <f>C15/C10*365</f>
        <v>99.106403410003338</v>
      </c>
      <c r="D7" s="34">
        <f>CHOOSE('DCF Model'!$D$27,D39,D40,D41,D42,D43)</f>
        <v>90</v>
      </c>
      <c r="E7" s="34">
        <f>CHOOSE('DCF Model'!$D$27,E39,E40,E41,E42,E43)</f>
        <v>90</v>
      </c>
      <c r="F7" s="34">
        <f>CHOOSE('DCF Model'!$D$27,F39,F40,F41,F42,F43)</f>
        <v>90</v>
      </c>
      <c r="G7" s="34">
        <f>CHOOSE('DCF Model'!$D$27,G39,G40,G41,G42,G43)</f>
        <v>90</v>
      </c>
      <c r="H7" s="34">
        <f>CHOOSE('DCF Model'!$D$27,H39,H40,H41,H42,H43)</f>
        <v>90</v>
      </c>
    </row>
    <row r="8" spans="2:8" ht="14" x14ac:dyDescent="0.3">
      <c r="B8" s="8" t="s">
        <v>183</v>
      </c>
      <c r="C8" s="9"/>
      <c r="D8" s="9"/>
      <c r="E8" s="9"/>
      <c r="F8" s="9"/>
      <c r="G8" s="9"/>
      <c r="H8" s="9"/>
    </row>
    <row r="9" spans="2:8" ht="14" x14ac:dyDescent="0.3">
      <c r="B9" s="33" t="s">
        <v>37</v>
      </c>
      <c r="C9" s="35">
        <v>10063216</v>
      </c>
      <c r="D9" s="35">
        <f>'DCF Model'!C33</f>
        <v>10163848.16</v>
      </c>
      <c r="E9" s="35">
        <f>'DCF Model'!D33</f>
        <v>10316305.882399999</v>
      </c>
      <c r="F9" s="35">
        <f>'DCF Model'!E33</f>
        <v>10522632.000047999</v>
      </c>
      <c r="G9" s="35">
        <f>'DCF Model'!F33</f>
        <v>10733084.640048958</v>
      </c>
      <c r="H9" s="35">
        <f>'DCF Model'!G33</f>
        <v>10894080.909649692</v>
      </c>
    </row>
    <row r="10" spans="2:8" ht="14" x14ac:dyDescent="0.3">
      <c r="B10" s="33" t="s">
        <v>38</v>
      </c>
      <c r="C10" s="35">
        <v>8618408</v>
      </c>
      <c r="D10" s="35">
        <f>'DCF Model'!C34</f>
        <v>8700254.0249600001</v>
      </c>
      <c r="E10" s="35">
        <f>'DCF Model'!D34</f>
        <v>8830757.8353343979</v>
      </c>
      <c r="F10" s="35">
        <f>'DCF Model'!E34</f>
        <v>9007372.9920410868</v>
      </c>
      <c r="G10" s="35">
        <f>'DCF Model'!F34</f>
        <v>9187520.4518819079</v>
      </c>
      <c r="H10" s="35">
        <f>'DCF Model'!G34</f>
        <v>9325333.2586601358</v>
      </c>
    </row>
    <row r="11" spans="2:8" ht="14" x14ac:dyDescent="0.3">
      <c r="B11" s="8" t="s">
        <v>184</v>
      </c>
      <c r="C11" s="9"/>
      <c r="D11" s="9"/>
      <c r="E11" s="9"/>
      <c r="F11" s="9"/>
      <c r="G11" s="9"/>
      <c r="H11" s="9"/>
    </row>
    <row r="12" spans="2:8" ht="14" x14ac:dyDescent="0.3">
      <c r="B12" s="33" t="s">
        <v>185</v>
      </c>
      <c r="C12" s="35">
        <v>1768226</v>
      </c>
      <c r="D12" s="35">
        <f t="shared" ref="D12:H13" si="0">D9*D5/365</f>
        <v>1670769.5605479453</v>
      </c>
      <c r="E12" s="35">
        <f t="shared" si="0"/>
        <v>1695831.1039561641</v>
      </c>
      <c r="F12" s="35">
        <f t="shared" si="0"/>
        <v>1729747.7260352874</v>
      </c>
      <c r="G12" s="35">
        <f t="shared" si="0"/>
        <v>1764342.6805559932</v>
      </c>
      <c r="H12" s="35">
        <f t="shared" si="0"/>
        <v>1790807.820764333</v>
      </c>
    </row>
    <row r="13" spans="2:8" ht="14" x14ac:dyDescent="0.3">
      <c r="B13" s="33" t="s">
        <v>186</v>
      </c>
      <c r="C13" s="35">
        <v>2776012</v>
      </c>
      <c r="D13" s="35">
        <f t="shared" si="0"/>
        <v>2693503.3008780275</v>
      </c>
      <c r="E13" s="35">
        <f t="shared" si="0"/>
        <v>2733905.850391197</v>
      </c>
      <c r="F13" s="35">
        <f t="shared" si="0"/>
        <v>2788583.9673990211</v>
      </c>
      <c r="G13" s="35">
        <f t="shared" si="0"/>
        <v>2844355.6467470014</v>
      </c>
      <c r="H13" s="35">
        <f t="shared" si="0"/>
        <v>2887020.9814482066</v>
      </c>
    </row>
    <row r="14" spans="2:8" ht="14" x14ac:dyDescent="0.3">
      <c r="B14" s="33" t="s">
        <v>187</v>
      </c>
      <c r="C14" s="35">
        <f t="shared" ref="C14:H14" si="1">C12+C13</f>
        <v>4544238</v>
      </c>
      <c r="D14" s="35">
        <f t="shared" si="1"/>
        <v>4364272.8614259725</v>
      </c>
      <c r="E14" s="35">
        <f t="shared" si="1"/>
        <v>4429736.9543473609</v>
      </c>
      <c r="F14" s="35">
        <f t="shared" si="1"/>
        <v>4518331.6934343083</v>
      </c>
      <c r="G14" s="35">
        <f t="shared" si="1"/>
        <v>4608698.3273029942</v>
      </c>
      <c r="H14" s="35">
        <f t="shared" si="1"/>
        <v>4677828.8022125401</v>
      </c>
    </row>
    <row r="15" spans="2:8" ht="14" x14ac:dyDescent="0.3">
      <c r="B15" s="33" t="s">
        <v>188</v>
      </c>
      <c r="C15" s="35">
        <v>2340108</v>
      </c>
      <c r="D15" s="35">
        <f>D10*D7/365</f>
        <v>2145268.1157435616</v>
      </c>
      <c r="E15" s="35">
        <f>E10*E7/365</f>
        <v>2177447.1374797146</v>
      </c>
      <c r="F15" s="35">
        <f>F10*F7/365</f>
        <v>2220996.0802293094</v>
      </c>
      <c r="G15" s="35">
        <f>G10*G7/365</f>
        <v>2265416.0018338952</v>
      </c>
      <c r="H15" s="35">
        <f>H10*H7/365</f>
        <v>2299397.2418614035</v>
      </c>
    </row>
    <row r="16" spans="2:8" ht="14" x14ac:dyDescent="0.3">
      <c r="B16" s="33" t="s">
        <v>189</v>
      </c>
      <c r="C16" s="35">
        <f t="shared" ref="C16:H16" si="2">C15</f>
        <v>2340108</v>
      </c>
      <c r="D16" s="35">
        <f t="shared" si="2"/>
        <v>2145268.1157435616</v>
      </c>
      <c r="E16" s="35">
        <f t="shared" si="2"/>
        <v>2177447.1374797146</v>
      </c>
      <c r="F16" s="35">
        <f t="shared" si="2"/>
        <v>2220996.0802293094</v>
      </c>
      <c r="G16" s="35">
        <f t="shared" si="2"/>
        <v>2265416.0018338952</v>
      </c>
      <c r="H16" s="35">
        <f t="shared" si="2"/>
        <v>2299397.2418614035</v>
      </c>
    </row>
    <row r="17" spans="2:8" ht="14" x14ac:dyDescent="0.3">
      <c r="B17" s="22" t="s">
        <v>190</v>
      </c>
      <c r="C17" s="23"/>
      <c r="D17" s="23"/>
      <c r="E17" s="23"/>
      <c r="F17" s="23"/>
      <c r="G17" s="23"/>
      <c r="H17" s="23"/>
    </row>
    <row r="18" spans="2:8" ht="14" x14ac:dyDescent="0.3">
      <c r="B18" s="33" t="s">
        <v>191</v>
      </c>
      <c r="C18" s="20">
        <f t="shared" ref="C18:H18" si="3">C14-C16</f>
        <v>2204130</v>
      </c>
      <c r="D18" s="20">
        <f t="shared" si="3"/>
        <v>2219004.7456824109</v>
      </c>
      <c r="E18" s="20">
        <f t="shared" si="3"/>
        <v>2252289.8168676463</v>
      </c>
      <c r="F18" s="20">
        <f t="shared" si="3"/>
        <v>2297335.6132049989</v>
      </c>
      <c r="G18" s="20">
        <f t="shared" si="3"/>
        <v>2343282.325469099</v>
      </c>
      <c r="H18" s="20">
        <f t="shared" si="3"/>
        <v>2378431.5603511366</v>
      </c>
    </row>
    <row r="19" spans="2:8" ht="14" x14ac:dyDescent="0.3">
      <c r="B19" s="33" t="s">
        <v>100</v>
      </c>
      <c r="C19" s="36" t="s">
        <v>47</v>
      </c>
      <c r="D19" s="24">
        <f>D18-C18</f>
        <v>14874.745682410896</v>
      </c>
      <c r="E19" s="24">
        <f>E18-D18</f>
        <v>33285.0711852354</v>
      </c>
      <c r="F19" s="24">
        <f>F18-E18</f>
        <v>45045.7963373526</v>
      </c>
      <c r="G19" s="24">
        <f>G18-F18</f>
        <v>45946.71226410009</v>
      </c>
      <c r="H19" s="24">
        <f>H18-G18</f>
        <v>35149.234882037621</v>
      </c>
    </row>
    <row r="22" spans="2:8" ht="14" x14ac:dyDescent="0.3">
      <c r="B22" s="22" t="s">
        <v>192</v>
      </c>
      <c r="C22" s="23"/>
      <c r="D22" s="23"/>
      <c r="E22" s="23"/>
      <c r="F22" s="23"/>
      <c r="G22" s="23"/>
      <c r="H22" s="23"/>
    </row>
    <row r="23" spans="2:8" ht="14" x14ac:dyDescent="0.3">
      <c r="D23" s="25" t="s">
        <v>86</v>
      </c>
      <c r="E23" s="25" t="s">
        <v>87</v>
      </c>
      <c r="F23" s="25" t="s">
        <v>88</v>
      </c>
      <c r="G23" s="25" t="s">
        <v>89</v>
      </c>
      <c r="H23" s="25" t="s">
        <v>90</v>
      </c>
    </row>
    <row r="24" spans="2:8" ht="14" x14ac:dyDescent="0.3">
      <c r="B24" s="3" t="s">
        <v>193</v>
      </c>
    </row>
    <row r="25" spans="2:8" ht="14" x14ac:dyDescent="0.3">
      <c r="B25" s="4" t="s">
        <v>84</v>
      </c>
      <c r="D25" s="30">
        <v>60</v>
      </c>
      <c r="E25" s="30">
        <v>60</v>
      </c>
      <c r="F25" s="30">
        <v>60</v>
      </c>
      <c r="G25" s="30">
        <v>60</v>
      </c>
      <c r="H25" s="30">
        <v>60</v>
      </c>
    </row>
    <row r="26" spans="2:8" ht="14" x14ac:dyDescent="0.3">
      <c r="B26" s="4" t="s">
        <v>121</v>
      </c>
      <c r="D26" s="30">
        <v>57</v>
      </c>
      <c r="E26" s="30">
        <v>57</v>
      </c>
      <c r="F26" s="30">
        <v>57</v>
      </c>
      <c r="G26" s="30">
        <v>57</v>
      </c>
      <c r="H26" s="30">
        <v>57</v>
      </c>
    </row>
    <row r="27" spans="2:8" ht="14" x14ac:dyDescent="0.3">
      <c r="B27" s="4" t="s">
        <v>122</v>
      </c>
      <c r="D27" s="30">
        <v>60</v>
      </c>
      <c r="E27" s="30">
        <v>60</v>
      </c>
      <c r="F27" s="30">
        <v>60</v>
      </c>
      <c r="G27" s="30">
        <v>60</v>
      </c>
      <c r="H27" s="30">
        <v>60</v>
      </c>
    </row>
    <row r="28" spans="2:8" ht="14" x14ac:dyDescent="0.3">
      <c r="B28" s="4" t="s">
        <v>123</v>
      </c>
      <c r="D28" s="30">
        <v>64</v>
      </c>
      <c r="E28" s="30">
        <v>64</v>
      </c>
      <c r="F28" s="30">
        <v>64</v>
      </c>
      <c r="G28" s="30">
        <v>64</v>
      </c>
      <c r="H28" s="30">
        <v>64</v>
      </c>
    </row>
    <row r="29" spans="2:8" ht="14" x14ac:dyDescent="0.3">
      <c r="B29" s="4" t="s">
        <v>124</v>
      </c>
      <c r="D29" s="30">
        <v>68</v>
      </c>
      <c r="E29" s="30">
        <v>68</v>
      </c>
      <c r="F29" s="30">
        <v>68</v>
      </c>
      <c r="G29" s="30">
        <v>68</v>
      </c>
      <c r="H29" s="30">
        <v>68</v>
      </c>
    </row>
    <row r="31" spans="2:8" ht="14" x14ac:dyDescent="0.3">
      <c r="B31" s="3" t="s">
        <v>194</v>
      </c>
    </row>
    <row r="32" spans="2:8" ht="14" x14ac:dyDescent="0.3">
      <c r="B32" s="4" t="s">
        <v>84</v>
      </c>
      <c r="D32" s="30">
        <v>113</v>
      </c>
      <c r="E32" s="30">
        <v>113</v>
      </c>
      <c r="F32" s="30">
        <v>113</v>
      </c>
      <c r="G32" s="30">
        <v>113</v>
      </c>
      <c r="H32" s="30">
        <v>113</v>
      </c>
    </row>
    <row r="33" spans="2:8" ht="14" x14ac:dyDescent="0.3">
      <c r="B33" s="4" t="s">
        <v>121</v>
      </c>
      <c r="D33" s="30">
        <v>107</v>
      </c>
      <c r="E33" s="30">
        <v>107</v>
      </c>
      <c r="F33" s="30">
        <v>107</v>
      </c>
      <c r="G33" s="30">
        <v>107</v>
      </c>
      <c r="H33" s="30">
        <v>107</v>
      </c>
    </row>
    <row r="34" spans="2:8" ht="14" x14ac:dyDescent="0.3">
      <c r="B34" s="4" t="s">
        <v>122</v>
      </c>
      <c r="D34" s="30">
        <v>113</v>
      </c>
      <c r="E34" s="30">
        <v>113</v>
      </c>
      <c r="F34" s="30">
        <v>113</v>
      </c>
      <c r="G34" s="30">
        <v>113</v>
      </c>
      <c r="H34" s="30">
        <v>113</v>
      </c>
    </row>
    <row r="35" spans="2:8" ht="14" x14ac:dyDescent="0.3">
      <c r="B35" s="4" t="s">
        <v>123</v>
      </c>
      <c r="D35" s="30">
        <v>120</v>
      </c>
      <c r="E35" s="30">
        <v>120</v>
      </c>
      <c r="F35" s="30">
        <v>120</v>
      </c>
      <c r="G35" s="30">
        <v>120</v>
      </c>
      <c r="H35" s="30">
        <v>120</v>
      </c>
    </row>
    <row r="36" spans="2:8" ht="14" x14ac:dyDescent="0.3">
      <c r="B36" s="4" t="s">
        <v>124</v>
      </c>
      <c r="D36" s="30">
        <v>127</v>
      </c>
      <c r="E36" s="30">
        <v>127</v>
      </c>
      <c r="F36" s="30">
        <v>127</v>
      </c>
      <c r="G36" s="30">
        <v>127</v>
      </c>
      <c r="H36" s="30">
        <v>127</v>
      </c>
    </row>
    <row r="38" spans="2:8" ht="14" x14ac:dyDescent="0.3">
      <c r="B38" s="3" t="s">
        <v>195</v>
      </c>
    </row>
    <row r="39" spans="2:8" ht="14" x14ac:dyDescent="0.3">
      <c r="B39" s="4" t="s">
        <v>84</v>
      </c>
      <c r="D39" s="30">
        <v>90</v>
      </c>
      <c r="E39" s="30">
        <v>90</v>
      </c>
      <c r="F39" s="30">
        <v>90</v>
      </c>
      <c r="G39" s="30">
        <v>90</v>
      </c>
      <c r="H39" s="30">
        <v>90</v>
      </c>
    </row>
    <row r="40" spans="2:8" ht="14" x14ac:dyDescent="0.3">
      <c r="B40" s="4" t="s">
        <v>121</v>
      </c>
      <c r="D40" s="30">
        <v>92</v>
      </c>
      <c r="E40" s="30">
        <v>92</v>
      </c>
      <c r="F40" s="30">
        <v>92</v>
      </c>
      <c r="G40" s="30">
        <v>92</v>
      </c>
      <c r="H40" s="30">
        <v>92</v>
      </c>
    </row>
    <row r="41" spans="2:8" ht="14" x14ac:dyDescent="0.3">
      <c r="B41" s="4" t="s">
        <v>122</v>
      </c>
      <c r="D41" s="30">
        <v>90</v>
      </c>
      <c r="E41" s="30">
        <v>90</v>
      </c>
      <c r="F41" s="30">
        <v>90</v>
      </c>
      <c r="G41" s="30">
        <v>90</v>
      </c>
      <c r="H41" s="30">
        <v>90</v>
      </c>
    </row>
    <row r="42" spans="2:8" ht="14" x14ac:dyDescent="0.3">
      <c r="B42" s="4" t="s">
        <v>123</v>
      </c>
      <c r="D42" s="30">
        <v>87</v>
      </c>
      <c r="E42" s="30">
        <v>87</v>
      </c>
      <c r="F42" s="30">
        <v>87</v>
      </c>
      <c r="G42" s="30">
        <v>87</v>
      </c>
      <c r="H42" s="30">
        <v>87</v>
      </c>
    </row>
    <row r="43" spans="2:8" ht="14" x14ac:dyDescent="0.3">
      <c r="B43" s="4" t="s">
        <v>124</v>
      </c>
      <c r="D43" s="30">
        <v>84</v>
      </c>
      <c r="E43" s="30">
        <v>84</v>
      </c>
      <c r="F43" s="30">
        <v>84</v>
      </c>
      <c r="G43" s="30">
        <v>84</v>
      </c>
      <c r="H43" s="30">
        <v>84</v>
      </c>
    </row>
  </sheetData>
  <phoneticPr fontId="8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6600"/>
  </sheetPr>
  <dimension ref="B2:Q28"/>
  <sheetViews>
    <sheetView workbookViewId="0"/>
  </sheetViews>
  <sheetFormatPr defaultRowHeight="13" x14ac:dyDescent="0.2"/>
  <cols>
    <col min="1" max="1" width="3" customWidth="1"/>
    <col min="2" max="2" width="16" customWidth="1"/>
    <col min="3" max="3" width="10" customWidth="1"/>
    <col min="4" max="16" width="12" customWidth="1"/>
    <col min="17" max="17" width="26" customWidth="1"/>
  </cols>
  <sheetData>
    <row r="2" spans="2:17" ht="18" x14ac:dyDescent="0.4">
      <c r="B2" s="2" t="s">
        <v>196</v>
      </c>
    </row>
    <row r="3" spans="2:17" ht="14" x14ac:dyDescent="0.3">
      <c r="B3" s="1" t="s">
        <v>197</v>
      </c>
    </row>
    <row r="4" spans="2:17" ht="28" x14ac:dyDescent="0.3">
      <c r="B4" s="10" t="s">
        <v>3</v>
      </c>
      <c r="C4" s="10" t="s">
        <v>5</v>
      </c>
      <c r="D4" s="10" t="s">
        <v>198</v>
      </c>
      <c r="E4" s="10" t="s">
        <v>199</v>
      </c>
      <c r="F4" s="10" t="s">
        <v>200</v>
      </c>
      <c r="G4" s="10" t="s">
        <v>201</v>
      </c>
      <c r="H4" s="10" t="s">
        <v>202</v>
      </c>
      <c r="I4" s="10" t="s">
        <v>203</v>
      </c>
      <c r="J4" s="10" t="s">
        <v>204</v>
      </c>
      <c r="K4" s="10" t="s">
        <v>205</v>
      </c>
      <c r="L4" s="10" t="s">
        <v>206</v>
      </c>
      <c r="M4" s="10" t="s">
        <v>207</v>
      </c>
      <c r="N4" s="10" t="s">
        <v>208</v>
      </c>
      <c r="O4" s="10" t="s">
        <v>209</v>
      </c>
      <c r="P4" s="10" t="s">
        <v>210</v>
      </c>
      <c r="Q4" s="10" t="s">
        <v>211</v>
      </c>
    </row>
    <row r="5" spans="2:17" ht="14" x14ac:dyDescent="0.3">
      <c r="B5" s="4" t="s">
        <v>212</v>
      </c>
      <c r="C5" t="s">
        <v>213</v>
      </c>
      <c r="D5" s="37">
        <f>'Executive Summary'!C9*C23/1000000</f>
        <v>3616072.938584168</v>
      </c>
      <c r="E5" s="37">
        <f>D5+C24</f>
        <v>8329063.9385841675</v>
      </c>
      <c r="F5" s="37">
        <v>10063216</v>
      </c>
      <c r="G5" s="37">
        <v>1002632</v>
      </c>
      <c r="H5" s="37">
        <v>428716</v>
      </c>
      <c r="I5" s="37">
        <v>17158</v>
      </c>
      <c r="J5" s="38">
        <f t="shared" ref="J5:J10" si="0">IFERROR(E5/G5,"")</f>
        <v>8.3071993897902399</v>
      </c>
      <c r="K5" s="38">
        <f t="shared" ref="K5:K10" si="1">IFERROR(E5/F5,"")</f>
        <v>0.82767416883272382</v>
      </c>
      <c r="L5" s="38">
        <f t="shared" ref="L5:L10" si="2">IFERROR(D5/I5,"")</f>
        <v>210.7514243259219</v>
      </c>
      <c r="M5" s="38">
        <f t="shared" ref="M5:M10" si="3">IFERROR(D5/P5,"")</f>
        <v>0.65384810391204617</v>
      </c>
      <c r="N5" s="39">
        <f t="shared" ref="N5:N10" si="4">IFERROR(H5/F5,"")</f>
        <v>4.2602285392661747E-2</v>
      </c>
      <c r="O5" s="39">
        <f t="shared" ref="O5:O10" si="5">IFERROR(I5/P5,"")</f>
        <v>3.1024611387721213E-3</v>
      </c>
      <c r="P5" s="37">
        <v>5530448</v>
      </c>
    </row>
    <row r="6" spans="2:17" ht="14" x14ac:dyDescent="0.3">
      <c r="B6" s="4" t="s">
        <v>214</v>
      </c>
      <c r="C6" t="s">
        <v>215</v>
      </c>
      <c r="D6" s="37">
        <v>1167310</v>
      </c>
      <c r="E6" s="37">
        <v>2958888</v>
      </c>
      <c r="F6" s="37">
        <v>4539270</v>
      </c>
      <c r="G6" s="37">
        <v>326310</v>
      </c>
      <c r="H6" s="37">
        <v>68672</v>
      </c>
      <c r="I6" s="37">
        <v>70165</v>
      </c>
      <c r="J6" s="38">
        <f t="shared" si="0"/>
        <v>9.0677208789188199</v>
      </c>
      <c r="K6" s="38">
        <f t="shared" si="1"/>
        <v>0.65184225657429495</v>
      </c>
      <c r="L6" s="38">
        <f t="shared" si="2"/>
        <v>16.63664220052733</v>
      </c>
      <c r="M6" s="38">
        <f t="shared" si="3"/>
        <v>0.44561725649781353</v>
      </c>
      <c r="N6" s="39">
        <f t="shared" si="4"/>
        <v>1.5128423733331571E-2</v>
      </c>
      <c r="O6" s="39">
        <f t="shared" si="5"/>
        <v>2.6785288228636E-2</v>
      </c>
      <c r="P6" s="37">
        <v>2619535</v>
      </c>
    </row>
    <row r="7" spans="2:17" ht="14" x14ac:dyDescent="0.3">
      <c r="B7" s="4" t="s">
        <v>216</v>
      </c>
      <c r="C7" t="s">
        <v>217</v>
      </c>
      <c r="D7" s="37">
        <v>802572</v>
      </c>
      <c r="E7" s="37">
        <v>1383255</v>
      </c>
      <c r="F7" s="37">
        <v>2436581</v>
      </c>
      <c r="G7" s="37">
        <v>253833</v>
      </c>
      <c r="H7" s="37">
        <v>129885</v>
      </c>
      <c r="I7" s="37">
        <v>93717</v>
      </c>
      <c r="J7" s="38">
        <f t="shared" si="0"/>
        <v>5.4494687451986152</v>
      </c>
      <c r="K7" s="38">
        <f t="shared" si="1"/>
        <v>0.56770326945831062</v>
      </c>
      <c r="L7" s="38">
        <f t="shared" si="2"/>
        <v>8.5637824514229006</v>
      </c>
      <c r="M7" s="38">
        <f t="shared" si="3"/>
        <v>0.63629329181082739</v>
      </c>
      <c r="N7" s="39">
        <f t="shared" si="4"/>
        <v>5.3306251669860347E-2</v>
      </c>
      <c r="O7" s="39">
        <f t="shared" si="5"/>
        <v>7.4300496938138019E-2</v>
      </c>
      <c r="P7" s="37">
        <v>1261324</v>
      </c>
    </row>
    <row r="8" spans="2:17" ht="14" x14ac:dyDescent="0.3">
      <c r="B8" s="4" t="s">
        <v>218</v>
      </c>
      <c r="C8" t="s">
        <v>219</v>
      </c>
      <c r="D8" s="37">
        <v>683574</v>
      </c>
      <c r="E8" s="37">
        <v>1212625</v>
      </c>
      <c r="F8" s="37">
        <v>1844053</v>
      </c>
      <c r="G8" s="37">
        <v>110389</v>
      </c>
      <c r="H8" s="37">
        <v>60503</v>
      </c>
      <c r="I8" s="37">
        <v>40581</v>
      </c>
      <c r="J8" s="38">
        <f t="shared" si="0"/>
        <v>10.985016623033092</v>
      </c>
      <c r="K8" s="38">
        <f t="shared" si="1"/>
        <v>0.65758684810035284</v>
      </c>
      <c r="L8" s="38">
        <f t="shared" si="2"/>
        <v>16.844681008353664</v>
      </c>
      <c r="M8" s="38">
        <f t="shared" si="3"/>
        <v>0.92863149343371698</v>
      </c>
      <c r="N8" s="39">
        <f t="shared" si="4"/>
        <v>3.2809794512413691E-2</v>
      </c>
      <c r="O8" s="39">
        <f t="shared" si="5"/>
        <v>5.5129063766371555E-2</v>
      </c>
      <c r="P8" s="37">
        <v>736109</v>
      </c>
    </row>
    <row r="9" spans="2:17" ht="14" x14ac:dyDescent="0.3">
      <c r="B9" s="4" t="s">
        <v>220</v>
      </c>
      <c r="C9" t="s">
        <v>221</v>
      </c>
      <c r="D9" s="37">
        <v>448492</v>
      </c>
      <c r="E9" s="37">
        <v>792232</v>
      </c>
      <c r="F9" s="37">
        <v>898441</v>
      </c>
      <c r="G9" s="37">
        <v>145170</v>
      </c>
      <c r="H9" s="37">
        <v>74620</v>
      </c>
      <c r="I9" s="37">
        <v>25401</v>
      </c>
      <c r="J9" s="38">
        <f t="shared" si="0"/>
        <v>5.457270785975064</v>
      </c>
      <c r="K9" s="38">
        <f t="shared" si="1"/>
        <v>0.88178522574103368</v>
      </c>
      <c r="L9" s="38">
        <f t="shared" si="2"/>
        <v>17.656470217707966</v>
      </c>
      <c r="M9" s="38">
        <f t="shared" si="3"/>
        <v>0.65899466623565539</v>
      </c>
      <c r="N9" s="39">
        <f t="shared" si="4"/>
        <v>8.3054980794509597E-2</v>
      </c>
      <c r="O9" s="39">
        <f t="shared" si="5"/>
        <v>3.7323126203035691E-2</v>
      </c>
      <c r="P9" s="37">
        <v>680570</v>
      </c>
    </row>
    <row r="10" spans="2:17" ht="14" x14ac:dyDescent="0.3">
      <c r="B10" s="4" t="s">
        <v>222</v>
      </c>
      <c r="C10" t="s">
        <v>223</v>
      </c>
      <c r="D10" s="37">
        <v>553934</v>
      </c>
      <c r="E10" s="37">
        <v>734751</v>
      </c>
      <c r="F10" s="37">
        <v>808447</v>
      </c>
      <c r="G10" s="37">
        <v>143585</v>
      </c>
      <c r="H10" s="37">
        <v>58883</v>
      </c>
      <c r="I10" s="37">
        <v>7468</v>
      </c>
      <c r="J10" s="38">
        <f t="shared" si="0"/>
        <v>5.1171849427168574</v>
      </c>
      <c r="K10" s="38">
        <f t="shared" si="1"/>
        <v>0.90884250915644438</v>
      </c>
      <c r="L10" s="38">
        <f t="shared" si="2"/>
        <v>74.174343867166584</v>
      </c>
      <c r="M10" s="38">
        <f t="shared" si="3"/>
        <v>0.74568956233307482</v>
      </c>
      <c r="N10" s="39">
        <f t="shared" si="4"/>
        <v>7.2834706542296526E-2</v>
      </c>
      <c r="O10" s="39">
        <f t="shared" si="5"/>
        <v>1.005320065477729E-2</v>
      </c>
      <c r="P10" s="37">
        <v>742848</v>
      </c>
    </row>
    <row r="14" spans="2:17" ht="14" x14ac:dyDescent="0.3">
      <c r="B14" s="3" t="s">
        <v>224</v>
      </c>
    </row>
    <row r="15" spans="2:17" ht="14" x14ac:dyDescent="0.3">
      <c r="B15" s="4" t="s">
        <v>225</v>
      </c>
      <c r="D15" s="38">
        <f t="shared" ref="D15:I15" si="6">PERCENTILE(J6:J10,0.25)</f>
        <v>5.4494687451986152</v>
      </c>
      <c r="E15" s="38">
        <f t="shared" si="6"/>
        <v>0.65184225657429495</v>
      </c>
      <c r="F15" s="38">
        <f t="shared" si="6"/>
        <v>16.63664220052733</v>
      </c>
      <c r="G15" s="38">
        <f t="shared" si="6"/>
        <v>0.63629329181082739</v>
      </c>
      <c r="H15" s="39">
        <f t="shared" si="6"/>
        <v>3.2809794512413691E-2</v>
      </c>
      <c r="I15" s="39">
        <f t="shared" si="6"/>
        <v>2.6785288228636E-2</v>
      </c>
    </row>
    <row r="16" spans="2:17" ht="14" x14ac:dyDescent="0.3">
      <c r="B16" s="4" t="s">
        <v>226</v>
      </c>
      <c r="D16" s="38">
        <f t="shared" ref="D16:I16" si="7">MEDIAN(J6:J10)</f>
        <v>5.457270785975064</v>
      </c>
      <c r="E16" s="38">
        <f t="shared" si="7"/>
        <v>0.65758684810035284</v>
      </c>
      <c r="F16" s="38">
        <f t="shared" si="7"/>
        <v>16.844681008353664</v>
      </c>
      <c r="G16" s="38">
        <f t="shared" si="7"/>
        <v>0.65899466623565539</v>
      </c>
      <c r="H16" s="39">
        <f t="shared" si="7"/>
        <v>5.3306251669860347E-2</v>
      </c>
      <c r="I16" s="39">
        <f t="shared" si="7"/>
        <v>3.7323126203035691E-2</v>
      </c>
    </row>
    <row r="17" spans="2:9" ht="14" x14ac:dyDescent="0.3">
      <c r="B17" s="4" t="s">
        <v>227</v>
      </c>
      <c r="D17" s="38">
        <f t="shared" ref="D17:I17" si="8">PERCENTILE(J6:J10,0.75)</f>
        <v>9.0677208789188199</v>
      </c>
      <c r="E17" s="38">
        <f t="shared" si="8"/>
        <v>0.88178522574103368</v>
      </c>
      <c r="F17" s="38">
        <f t="shared" si="8"/>
        <v>17.656470217707966</v>
      </c>
      <c r="G17" s="38">
        <f t="shared" si="8"/>
        <v>0.74568956233307482</v>
      </c>
      <c r="H17" s="39">
        <f t="shared" si="8"/>
        <v>7.2834706542296526E-2</v>
      </c>
      <c r="I17" s="39">
        <f t="shared" si="8"/>
        <v>5.5129063766371555E-2</v>
      </c>
    </row>
    <row r="19" spans="2:9" ht="14" x14ac:dyDescent="0.3">
      <c r="B19" s="22" t="s">
        <v>228</v>
      </c>
      <c r="C19" s="23"/>
      <c r="D19" s="23"/>
      <c r="E19" s="23"/>
      <c r="F19" s="23"/>
      <c r="G19" s="23"/>
      <c r="H19" s="23"/>
      <c r="I19" s="23"/>
    </row>
    <row r="20" spans="2:9" ht="14" x14ac:dyDescent="0.3">
      <c r="B20" s="3" t="s">
        <v>229</v>
      </c>
    </row>
    <row r="21" spans="2:9" ht="14" x14ac:dyDescent="0.3">
      <c r="B21" s="4" t="s">
        <v>230</v>
      </c>
      <c r="C21" s="5">
        <v>1002632</v>
      </c>
    </row>
    <row r="22" spans="2:9" ht="14" x14ac:dyDescent="0.3">
      <c r="B22" s="4" t="s">
        <v>231</v>
      </c>
      <c r="C22" s="5">
        <v>17158</v>
      </c>
    </row>
    <row r="23" spans="2:9" ht="14" x14ac:dyDescent="0.3">
      <c r="B23" s="4" t="s">
        <v>232</v>
      </c>
      <c r="C23" s="15">
        <v>5226293989</v>
      </c>
    </row>
    <row r="24" spans="2:9" ht="14" x14ac:dyDescent="0.3">
      <c r="B24" s="4" t="s">
        <v>73</v>
      </c>
      <c r="C24" s="5">
        <v>4712991</v>
      </c>
    </row>
    <row r="26" spans="2:9" ht="14" x14ac:dyDescent="0.3">
      <c r="B26" s="3" t="s">
        <v>233</v>
      </c>
    </row>
    <row r="27" spans="2:9" ht="14" x14ac:dyDescent="0.3">
      <c r="B27" s="4" t="s">
        <v>234</v>
      </c>
      <c r="C27" s="24">
        <f>ROUND((C21*D16-C24)*1000000/C23,0)</f>
        <v>145</v>
      </c>
    </row>
    <row r="28" spans="2:9" ht="14" x14ac:dyDescent="0.3">
      <c r="B28" s="4" t="s">
        <v>235</v>
      </c>
      <c r="C28" s="24">
        <f>ROUND(C22*F16*1000000/C23,0)</f>
        <v>55</v>
      </c>
    </row>
  </sheetData>
  <phoneticPr fontId="8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96600"/>
  </sheetPr>
  <dimension ref="B2:I26"/>
  <sheetViews>
    <sheetView workbookViewId="0"/>
  </sheetViews>
  <sheetFormatPr defaultRowHeight="13" x14ac:dyDescent="0.2"/>
  <cols>
    <col min="1" max="1" width="3" customWidth="1"/>
    <col min="2" max="2" width="24" customWidth="1"/>
    <col min="3" max="9" width="14" customWidth="1"/>
  </cols>
  <sheetData>
    <row r="2" spans="2:9" ht="18" x14ac:dyDescent="0.4">
      <c r="B2" s="2" t="s">
        <v>236</v>
      </c>
    </row>
    <row r="3" spans="2:9" ht="14" x14ac:dyDescent="0.3">
      <c r="B3" s="4" t="s">
        <v>237</v>
      </c>
      <c r="C3" s="16">
        <f>'DCF Model'!C26</f>
        <v>4.70652281509139E-2</v>
      </c>
      <c r="E3" s="4" t="s">
        <v>238</v>
      </c>
      <c r="F3" s="16">
        <f>'DCF Model'!C13</f>
        <v>0.01</v>
      </c>
      <c r="H3" s="4" t="s">
        <v>239</v>
      </c>
      <c r="I3" s="14">
        <f>'DCF Model'!C14</f>
        <v>5.5</v>
      </c>
    </row>
    <row r="5" spans="2:9" ht="14" x14ac:dyDescent="0.3">
      <c r="B5" s="3" t="s">
        <v>240</v>
      </c>
    </row>
    <row r="6" spans="2:9" ht="14" x14ac:dyDescent="0.3">
      <c r="B6" s="40" t="s">
        <v>241</v>
      </c>
      <c r="C6" s="41">
        <f>$F$3-0.0075</f>
        <v>2.5000000000000005E-3</v>
      </c>
      <c r="D6" s="41">
        <f>$F$3-0.005</f>
        <v>5.0000000000000001E-3</v>
      </c>
      <c r="E6" s="41">
        <f>$F$3-0.0025</f>
        <v>7.4999999999999997E-3</v>
      </c>
      <c r="F6" s="41">
        <f>$F$3</f>
        <v>0.01</v>
      </c>
      <c r="G6" s="41">
        <f>$F$3+0.0025</f>
        <v>1.2500000000000001E-2</v>
      </c>
      <c r="H6" s="41">
        <f>$F$3+0.005</f>
        <v>1.4999999999999999E-2</v>
      </c>
      <c r="I6" s="41">
        <f>$F$3+0.0075</f>
        <v>1.7500000000000002E-2</v>
      </c>
    </row>
    <row r="7" spans="2:9" ht="13.5" x14ac:dyDescent="0.25">
      <c r="B7" s="39">
        <f>$C$3-0.015</f>
        <v>3.2065228150913901E-2</v>
      </c>
      <c r="C7" s="37">
        <f>IFERROR(ROUND(('DCF Model'!C45/(1+$B7)^('DCF Model'!C19+0)+'DCF Model'!D45/(1+$B7)^('DCF Model'!C19+1)+'DCF Model'!E45/(1+$B7)^('DCF Model'!C19+2)+'DCF Model'!F45/(1+$B7)^('DCF Model'!C19+3)+'DCF Model'!G45/(1+$B7)^('DCF Model'!C19+4)+'DCF Model'!G45*(1+C$6)/($B7-C$6)/(1+$B7)^('DCF Model'!C19+4)-'DCF Model'!C16)*1000000/'DCF Model'!C15,0),"")</f>
        <v>1541</v>
      </c>
      <c r="D7" s="37">
        <f>IFERROR(ROUND(('DCF Model'!C45/(1+$B7)^('DCF Model'!C19+0)+'DCF Model'!D45/(1+$B7)^('DCF Model'!C19+1)+'DCF Model'!E45/(1+$B7)^('DCF Model'!C19+2)+'DCF Model'!F45/(1+$B7)^('DCF Model'!C19+3)+'DCF Model'!G45/(1+$B7)^('DCF Model'!C19+4)+'DCF Model'!G45*(1+D$6)/($B7-D$6)/(1+$B7)^('DCF Model'!C19+4)-'DCF Model'!C16)*1000000/'DCF Model'!C15,0),"")</f>
        <v>1754</v>
      </c>
      <c r="E7" s="37">
        <f>IFERROR(ROUND(('DCF Model'!C45/(1+$B7)^('DCF Model'!C19+0)+'DCF Model'!D45/(1+$B7)^('DCF Model'!C19+1)+'DCF Model'!E45/(1+$B7)^('DCF Model'!C19+2)+'DCF Model'!F45/(1+$B7)^('DCF Model'!C19+3)+'DCF Model'!G45/(1+$B7)^('DCF Model'!C19+4)+'DCF Model'!G45*(1+E$6)/($B7-E$6)/(1+$B7)^('DCF Model'!C19+4)-'DCF Model'!C16)*1000000/'DCF Model'!C15,0),"")</f>
        <v>2011</v>
      </c>
      <c r="F7" s="37">
        <f>IFERROR(ROUND(('DCF Model'!C45/(1+$B7)^('DCF Model'!C19+0)+'DCF Model'!D45/(1+$B7)^('DCF Model'!C19+1)+'DCF Model'!E45/(1+$B7)^('DCF Model'!C19+2)+'DCF Model'!F45/(1+$B7)^('DCF Model'!C19+3)+'DCF Model'!G45/(1+$B7)^('DCF Model'!C19+4)+'DCF Model'!G45*(1+F$6)/($B7-F$6)/(1+$B7)^('DCF Model'!C19+4)-'DCF Model'!C16)*1000000/'DCF Model'!C15,0),"")</f>
        <v>2326</v>
      </c>
      <c r="G7" s="37">
        <f>IFERROR(ROUND(('DCF Model'!C45/(1+$B7)^('DCF Model'!C19+0)+'DCF Model'!D45/(1+$B7)^('DCF Model'!C19+1)+'DCF Model'!E45/(1+$B7)^('DCF Model'!C19+2)+'DCF Model'!F45/(1+$B7)^('DCF Model'!C19+3)+'DCF Model'!G45/(1+$B7)^('DCF Model'!C19+4)+'DCF Model'!G45*(1+G$6)/($B7-G$6)/(1+$B7)^('DCF Model'!C19+4)-'DCF Model'!C16)*1000000/'DCF Model'!C15,0),"")</f>
        <v>2722</v>
      </c>
      <c r="H7" s="37">
        <f>IFERROR(ROUND(('DCF Model'!C45/(1+$B7)^('DCF Model'!C19+0)+'DCF Model'!D45/(1+$B7)^('DCF Model'!C19+1)+'DCF Model'!E45/(1+$B7)^('DCF Model'!C19+2)+'DCF Model'!F45/(1+$B7)^('DCF Model'!C19+3)+'DCF Model'!G45/(1+$B7)^('DCF Model'!C19+4)+'DCF Model'!G45*(1+H$6)/($B7-H$6)/(1+$B7)^('DCF Model'!C19+4)-'DCF Model'!C16)*1000000/'DCF Model'!C15,0),"")</f>
        <v>3234</v>
      </c>
      <c r="I7" s="37">
        <f>IFERROR(ROUND(('DCF Model'!C45/(1+$B7)^('DCF Model'!C19+0)+'DCF Model'!D45/(1+$B7)^('DCF Model'!C19+1)+'DCF Model'!E45/(1+$B7)^('DCF Model'!C19+2)+'DCF Model'!F45/(1+$B7)^('DCF Model'!C19+3)+'DCF Model'!G45/(1+$B7)^('DCF Model'!C19+4)+'DCF Model'!G45*(1+I$6)/($B7-I$6)/(1+$B7)^('DCF Model'!C19+4)-'DCF Model'!C16)*1000000/'DCF Model'!C15,0),"")</f>
        <v>3921</v>
      </c>
    </row>
    <row r="8" spans="2:9" ht="13.5" x14ac:dyDescent="0.25">
      <c r="B8" s="39">
        <f>$C$3-0.01</f>
        <v>3.7065228150913898E-2</v>
      </c>
      <c r="C8" s="37">
        <f>IFERROR(ROUND(('DCF Model'!C45/(1+$B8)^('DCF Model'!C19+0)+'DCF Model'!D45/(1+$B8)^('DCF Model'!C19+1)+'DCF Model'!E45/(1+$B8)^('DCF Model'!C19+2)+'DCF Model'!F45/(1+$B8)^('DCF Model'!C19+3)+'DCF Model'!G45/(1+$B8)^('DCF Model'!C19+4)+'DCF Model'!G45*(1+C$6)/($B8-C$6)/(1+$B8)^('DCF Model'!C19+4)-'DCF Model'!C16)*1000000/'DCF Model'!C15,0),"")</f>
        <v>1166</v>
      </c>
      <c r="D8" s="37">
        <f>IFERROR(ROUND(('DCF Model'!C45/(1+$B8)^('DCF Model'!C19+0)+'DCF Model'!D45/(1+$B8)^('DCF Model'!C19+1)+'DCF Model'!E45/(1+$B8)^('DCF Model'!C19+2)+'DCF Model'!F45/(1+$B8)^('DCF Model'!C19+3)+'DCF Model'!G45/(1+$B8)^('DCF Model'!C19+4)+'DCF Model'!G45*(1+D$6)/($B8-D$6)/(1+$B8)^('DCF Model'!C19+4)-'DCF Model'!C16)*1000000/'DCF Model'!C15,0),"")</f>
        <v>1318</v>
      </c>
      <c r="E8" s="37">
        <f>IFERROR(ROUND(('DCF Model'!C45/(1+$B8)^('DCF Model'!C19+0)+'DCF Model'!D45/(1+$B8)^('DCF Model'!C19+1)+'DCF Model'!E45/(1+$B8)^('DCF Model'!C19+2)+'DCF Model'!F45/(1+$B8)^('DCF Model'!C19+3)+'DCF Model'!G45/(1+$B8)^('DCF Model'!C19+4)+'DCF Model'!G45*(1+E$6)/($B8-E$6)/(1+$B8)^('DCF Model'!C19+4)-'DCF Model'!C16)*1000000/'DCF Model'!C15,0),"")</f>
        <v>1494</v>
      </c>
      <c r="F8" s="37">
        <f>IFERROR(ROUND(('DCF Model'!C45/(1+$B8)^('DCF Model'!C19+0)+'DCF Model'!D45/(1+$B8)^('DCF Model'!C19+1)+'DCF Model'!E45/(1+$B8)^('DCF Model'!C19+2)+'DCF Model'!F45/(1+$B8)^('DCF Model'!C19+3)+'DCF Model'!G45/(1+$B8)^('DCF Model'!C19+4)+'DCF Model'!G45*(1+F$6)/($B8-F$6)/(1+$B8)^('DCF Model'!C19+4)-'DCF Model'!C16)*1000000/'DCF Model'!C15,0),"")</f>
        <v>1704</v>
      </c>
      <c r="G8" s="37">
        <f>IFERROR(ROUND(('DCF Model'!C45/(1+$B8)^('DCF Model'!C19+0)+'DCF Model'!D45/(1+$B8)^('DCF Model'!C19+1)+'DCF Model'!E45/(1+$B8)^('DCF Model'!C19+2)+'DCF Model'!F45/(1+$B8)^('DCF Model'!C19+3)+'DCF Model'!G45/(1+$B8)^('DCF Model'!C19+4)+'DCF Model'!G45*(1+G$6)/($B8-G$6)/(1+$B8)^('DCF Model'!C19+4)-'DCF Model'!C16)*1000000/'DCF Model'!C15,0),"")</f>
        <v>1956</v>
      </c>
      <c r="H8" s="37">
        <f>IFERROR(ROUND(('DCF Model'!C45/(1+$B8)^('DCF Model'!C19+0)+'DCF Model'!D45/(1+$B8)^('DCF Model'!C19+1)+'DCF Model'!E45/(1+$B8)^('DCF Model'!C19+2)+'DCF Model'!F45/(1+$B8)^('DCF Model'!C19+3)+'DCF Model'!G45/(1+$B8)^('DCF Model'!C19+4)+'DCF Model'!G45*(1+H$6)/($B8-H$6)/(1+$B8)^('DCF Model'!C19+4)-'DCF Model'!C16)*1000000/'DCF Model'!C15,0),"")</f>
        <v>2265</v>
      </c>
      <c r="I8" s="37">
        <f>IFERROR(ROUND(('DCF Model'!C45/(1+$B8)^('DCF Model'!C19+0)+'DCF Model'!D45/(1+$B8)^('DCF Model'!C19+1)+'DCF Model'!E45/(1+$B8)^('DCF Model'!C19+2)+'DCF Model'!F45/(1+$B8)^('DCF Model'!C19+3)+'DCF Model'!G45/(1+$B8)^('DCF Model'!C19+4)+'DCF Model'!G45*(1+I$6)/($B8-I$6)/(1+$B8)^('DCF Model'!C19+4)-'DCF Model'!C16)*1000000/'DCF Model'!C15,0),"")</f>
        <v>2653</v>
      </c>
    </row>
    <row r="9" spans="2:9" ht="13.5" x14ac:dyDescent="0.25">
      <c r="B9" s="39">
        <f>$C$3-0.005</f>
        <v>4.2065228150913903E-2</v>
      </c>
      <c r="C9" s="37">
        <f>IFERROR(ROUND(('DCF Model'!C45/(1+$B9)^('DCF Model'!C19+0)+'DCF Model'!D45/(1+$B9)^('DCF Model'!C19+1)+'DCF Model'!E45/(1+$B9)^('DCF Model'!C19+2)+'DCF Model'!F45/(1+$B9)^('DCF Model'!C19+3)+'DCF Model'!G45/(1+$B9)^('DCF Model'!C19+4)+'DCF Model'!G45*(1+C$6)/($B9-C$6)/(1+$B9)^('DCF Model'!C19+4)-'DCF Model'!C16)*1000000/'DCF Model'!C15,0),"")</f>
        <v>887</v>
      </c>
      <c r="D9" s="37">
        <f>IFERROR(ROUND(('DCF Model'!C45/(1+$B9)^('DCF Model'!C19+0)+'DCF Model'!D45/(1+$B9)^('DCF Model'!C19+1)+'DCF Model'!E45/(1+$B9)^('DCF Model'!C19+2)+'DCF Model'!F45/(1+$B9)^('DCF Model'!C19+3)+'DCF Model'!G45/(1+$B9)^('DCF Model'!C19+4)+'DCF Model'!G45*(1+D$6)/($B9-D$6)/(1+$B9)^('DCF Model'!C19+4)-'DCF Model'!C16)*1000000/'DCF Model'!C15,0),"")</f>
        <v>999</v>
      </c>
      <c r="E9" s="37">
        <f>IFERROR(ROUND(('DCF Model'!C45/(1+$B9)^('DCF Model'!C19+0)+'DCF Model'!D45/(1+$B9)^('DCF Model'!C19+1)+'DCF Model'!E45/(1+$B9)^('DCF Model'!C19+2)+'DCF Model'!F45/(1+$B9)^('DCF Model'!C19+3)+'DCF Model'!G45/(1+$B9)^('DCF Model'!C19+4)+'DCF Model'!G45*(1+E$6)/($B9-E$6)/(1+$B9)^('DCF Model'!C19+4)-'DCF Model'!C16)*1000000/'DCF Model'!C15,0),"")</f>
        <v>1128</v>
      </c>
      <c r="F9" s="37">
        <f>IFERROR(ROUND(('DCF Model'!C45/(1+$B9)^('DCF Model'!C19+0)+'DCF Model'!D45/(1+$B9)^('DCF Model'!C19+1)+'DCF Model'!E45/(1+$B9)^('DCF Model'!C19+2)+'DCF Model'!F45/(1+$B9)^('DCF Model'!C19+3)+'DCF Model'!G45/(1+$B9)^('DCF Model'!C19+4)+'DCF Model'!G45*(1+F$6)/($B9-F$6)/(1+$B9)^('DCF Model'!C19+4)-'DCF Model'!C16)*1000000/'DCF Model'!C15,0),"")</f>
        <v>1276</v>
      </c>
      <c r="G9" s="37">
        <f>IFERROR(ROUND(('DCF Model'!C45/(1+$B9)^('DCF Model'!C19+0)+'DCF Model'!D45/(1+$B9)^('DCF Model'!C19+1)+'DCF Model'!E45/(1+$B9)^('DCF Model'!C19+2)+'DCF Model'!F45/(1+$B9)^('DCF Model'!C19+3)+'DCF Model'!G45/(1+$B9)^('DCF Model'!C19+4)+'DCF Model'!G45*(1+G$6)/($B9-G$6)/(1+$B9)^('DCF Model'!C19+4)-'DCF Model'!C16)*1000000/'DCF Model'!C15,0),"")</f>
        <v>1449</v>
      </c>
      <c r="H9" s="37">
        <f>IFERROR(ROUND(('DCF Model'!C45/(1+$B9)^('DCF Model'!C19+0)+'DCF Model'!D45/(1+$B9)^('DCF Model'!C19+1)+'DCF Model'!E45/(1+$B9)^('DCF Model'!C19+2)+'DCF Model'!F45/(1+$B9)^('DCF Model'!C19+3)+'DCF Model'!G45/(1+$B9)^('DCF Model'!C19+4)+'DCF Model'!G45*(1+H$6)/($B9-H$6)/(1+$B9)^('DCF Model'!C19+4)-'DCF Model'!C16)*1000000/'DCF Model'!C15,0),"")</f>
        <v>1655</v>
      </c>
      <c r="I9" s="37">
        <f>IFERROR(ROUND(('DCF Model'!C45/(1+$B9)^('DCF Model'!C19+0)+'DCF Model'!D45/(1+$B9)^('DCF Model'!C19+1)+'DCF Model'!E45/(1+$B9)^('DCF Model'!C19+2)+'DCF Model'!F45/(1+$B9)^('DCF Model'!C19+3)+'DCF Model'!G45/(1+$B9)^('DCF Model'!C19+4)+'DCF Model'!G45*(1+I$6)/($B9-I$6)/(1+$B9)^('DCF Model'!C19+4)-'DCF Model'!C16)*1000000/'DCF Model'!C15,0),"")</f>
        <v>1902</v>
      </c>
    </row>
    <row r="10" spans="2:9" ht="13.5" x14ac:dyDescent="0.25">
      <c r="B10" s="39">
        <f>$C$3</f>
        <v>4.70652281509139E-2</v>
      </c>
      <c r="C10" s="37">
        <f>IFERROR(ROUND(('DCF Model'!C45/(1+$B10)^('DCF Model'!C19+0)+'DCF Model'!D45/(1+$B10)^('DCF Model'!C19+1)+'DCF Model'!E45/(1+$B10)^('DCF Model'!C19+2)+'DCF Model'!F45/(1+$B10)^('DCF Model'!C19+3)+'DCF Model'!G45/(1+$B10)^('DCF Model'!C19+4)+'DCF Model'!G45*(1+C$6)/($B10-C$6)/(1+$B10)^('DCF Model'!C19+4)-'DCF Model'!C16)*1000000/'DCF Model'!C15,0),"")</f>
        <v>671</v>
      </c>
      <c r="D10" s="37">
        <f>IFERROR(ROUND(('DCF Model'!C45/(1+$B10)^('DCF Model'!C19+0)+'DCF Model'!D45/(1+$B10)^('DCF Model'!C19+1)+'DCF Model'!E45/(1+$B10)^('DCF Model'!C19+2)+'DCF Model'!F45/(1+$B10)^('DCF Model'!C19+3)+'DCF Model'!G45/(1+$B10)^('DCF Model'!C19+4)+'DCF Model'!G45*(1+D$6)/($B10-D$6)/(1+$B10)^('DCF Model'!C19+4)-'DCF Model'!C16)*1000000/'DCF Model'!C15,0),"")</f>
        <v>757</v>
      </c>
      <c r="E10" s="37">
        <f>IFERROR(ROUND(('DCF Model'!C45/(1+$B10)^('DCF Model'!C19+0)+'DCF Model'!D45/(1+$B10)^('DCF Model'!C19+1)+'DCF Model'!E45/(1+$B10)^('DCF Model'!C19+2)+'DCF Model'!F45/(1+$B10)^('DCF Model'!C19+3)+'DCF Model'!G45/(1+$B10)^('DCF Model'!C19+4)+'DCF Model'!G45*(1+E$6)/($B10-E$6)/(1+$B10)^('DCF Model'!C19+4)-'DCF Model'!C16)*1000000/'DCF Model'!C15,0),"")</f>
        <v>854</v>
      </c>
      <c r="F10" s="37">
        <f>IFERROR(ROUND(('DCF Model'!C45/(1+$B10)^('DCF Model'!C19+0)+'DCF Model'!D45/(1+$B10)^('DCF Model'!C19+1)+'DCF Model'!E45/(1+$B10)^('DCF Model'!C19+2)+'DCF Model'!F45/(1+$B10)^('DCF Model'!C19+3)+'DCF Model'!G45/(1+$B10)^('DCF Model'!C19+4)+'DCF Model'!G45*(1+F$6)/($B10-F$6)/(1+$B10)^('DCF Model'!C19+4)-'DCF Model'!C16)*1000000/'DCF Model'!C15,0),"")</f>
        <v>964</v>
      </c>
      <c r="G10" s="37">
        <f>IFERROR(ROUND(('DCF Model'!C45/(1+$B10)^('DCF Model'!C19+0)+'DCF Model'!D45/(1+$B10)^('DCF Model'!C19+1)+'DCF Model'!E45/(1+$B10)^('DCF Model'!C19+2)+'DCF Model'!F45/(1+$B10)^('DCF Model'!C19+3)+'DCF Model'!G45/(1+$B10)^('DCF Model'!C19+4)+'DCF Model'!G45*(1+G$6)/($B10-G$6)/(1+$B10)^('DCF Model'!C19+4)-'DCF Model'!C16)*1000000/'DCF Model'!C15,0),"")</f>
        <v>1090</v>
      </c>
      <c r="H10" s="37">
        <f>IFERROR(ROUND(('DCF Model'!C45/(1+$B10)^('DCF Model'!C19+0)+'DCF Model'!D45/(1+$B10)^('DCF Model'!C19+1)+'DCF Model'!E45/(1+$B10)^('DCF Model'!C19+2)+'DCF Model'!F45/(1+$B10)^('DCF Model'!C19+3)+'DCF Model'!G45/(1+$B10)^('DCF Model'!C19+4)+'DCF Model'!G45*(1+H$6)/($B10-H$6)/(1+$B10)^('DCF Model'!C19+4)-'DCF Model'!C16)*1000000/'DCF Model'!C15,0),"")</f>
        <v>1235</v>
      </c>
      <c r="I10" s="37">
        <f>IFERROR(ROUND(('DCF Model'!C45/(1+$B10)^('DCF Model'!C19+0)+'DCF Model'!D45/(1+$B10)^('DCF Model'!C19+1)+'DCF Model'!E45/(1+$B10)^('DCF Model'!C19+2)+'DCF Model'!F45/(1+$B10)^('DCF Model'!C19+3)+'DCF Model'!G45/(1+$B10)^('DCF Model'!C19+4)+'DCF Model'!G45*(1+I$6)/($B10-I$6)/(1+$B10)^('DCF Model'!C19+4)-'DCF Model'!C16)*1000000/'DCF Model'!C15,0),"")</f>
        <v>1405</v>
      </c>
    </row>
    <row r="11" spans="2:9" ht="13.5" x14ac:dyDescent="0.25">
      <c r="B11" s="39">
        <f>$C$3+0.005</f>
        <v>5.2065228150913898E-2</v>
      </c>
      <c r="C11" s="37">
        <f>IFERROR(ROUND(('DCF Model'!C45/(1+$B11)^('DCF Model'!C19+0)+'DCF Model'!D45/(1+$B11)^('DCF Model'!C19+1)+'DCF Model'!E45/(1+$B11)^('DCF Model'!C19+2)+'DCF Model'!F45/(1+$B11)^('DCF Model'!C19+3)+'DCF Model'!G45/(1+$B11)^('DCF Model'!C19+4)+'DCF Model'!G45*(1+C$6)/($B11-C$6)/(1+$B11)^('DCF Model'!C19+4)-'DCF Model'!C16)*1000000/'DCF Model'!C15,0),"")</f>
        <v>499</v>
      </c>
      <c r="D11" s="37">
        <f>IFERROR(ROUND(('DCF Model'!C45/(1+$B11)^('DCF Model'!C19+0)+'DCF Model'!D45/(1+$B11)^('DCF Model'!C19+1)+'DCF Model'!E45/(1+$B11)^('DCF Model'!C19+2)+'DCF Model'!F45/(1+$B11)^('DCF Model'!C19+3)+'DCF Model'!G45/(1+$B11)^('DCF Model'!C19+4)+'DCF Model'!G45*(1+D$6)/($B11-D$6)/(1+$B11)^('DCF Model'!C19+4)-'DCF Model'!C16)*1000000/'DCF Model'!C15,0),"")</f>
        <v>566</v>
      </c>
      <c r="E11" s="37">
        <f>IFERROR(ROUND(('DCF Model'!C45/(1+$B11)^('DCF Model'!C19+0)+'DCF Model'!D45/(1+$B11)^('DCF Model'!C19+1)+'DCF Model'!E45/(1+$B11)^('DCF Model'!C19+2)+'DCF Model'!F45/(1+$B11)^('DCF Model'!C19+3)+'DCF Model'!G45/(1+$B11)^('DCF Model'!C19+4)+'DCF Model'!G45*(1+E$6)/($B11-E$6)/(1+$B11)^('DCF Model'!C19+4)-'DCF Model'!C16)*1000000/'DCF Model'!C15,0),"")</f>
        <v>642</v>
      </c>
      <c r="F11" s="37">
        <f>IFERROR(ROUND(('DCF Model'!C45/(1+$B11)^('DCF Model'!C19+0)+'DCF Model'!D45/(1+$B11)^('DCF Model'!C19+1)+'DCF Model'!E45/(1+$B11)^('DCF Model'!C19+2)+'DCF Model'!F45/(1+$B11)^('DCF Model'!C19+3)+'DCF Model'!G45/(1+$B11)^('DCF Model'!C19+4)+'DCF Model'!G45*(1+F$6)/($B11-F$6)/(1+$B11)^('DCF Model'!C19+4)-'DCF Model'!C16)*1000000/'DCF Model'!C15,0),"")</f>
        <v>726</v>
      </c>
      <c r="G11" s="37">
        <f>IFERROR(ROUND(('DCF Model'!C45/(1+$B11)^('DCF Model'!C19+0)+'DCF Model'!D45/(1+$B11)^('DCF Model'!C19+1)+'DCF Model'!E45/(1+$B11)^('DCF Model'!C19+2)+'DCF Model'!F45/(1+$B11)^('DCF Model'!C19+3)+'DCF Model'!G45/(1+$B11)^('DCF Model'!C19+4)+'DCF Model'!G45*(1+G$6)/($B11-G$6)/(1+$B11)^('DCF Model'!C19+4)-'DCF Model'!C16)*1000000/'DCF Model'!C15,0),"")</f>
        <v>821</v>
      </c>
      <c r="H11" s="37">
        <f>IFERROR(ROUND(('DCF Model'!C45/(1+$B11)^('DCF Model'!C19+0)+'DCF Model'!D45/(1+$B11)^('DCF Model'!C19+1)+'DCF Model'!E45/(1+$B11)^('DCF Model'!C19+2)+'DCF Model'!F45/(1+$B11)^('DCF Model'!C19+3)+'DCF Model'!G45/(1+$B11)^('DCF Model'!C19+4)+'DCF Model'!G45*(1+H$6)/($B11-H$6)/(1+$B11)^('DCF Model'!C19+4)-'DCF Model'!C16)*1000000/'DCF Model'!C15,0),"")</f>
        <v>929</v>
      </c>
      <c r="I11" s="37">
        <f>IFERROR(ROUND(('DCF Model'!C45/(1+$B11)^('DCF Model'!C19+0)+'DCF Model'!D45/(1+$B11)^('DCF Model'!C19+1)+'DCF Model'!E45/(1+$B11)^('DCF Model'!C19+2)+'DCF Model'!F45/(1+$B11)^('DCF Model'!C19+3)+'DCF Model'!G45/(1+$B11)^('DCF Model'!C19+4)+'DCF Model'!G45*(1+I$6)/($B11-I$6)/(1+$B11)^('DCF Model'!C19+4)-'DCF Model'!C16)*1000000/'DCF Model'!C15,0),"")</f>
        <v>1053</v>
      </c>
    </row>
    <row r="12" spans="2:9" ht="13.5" x14ac:dyDescent="0.25">
      <c r="B12" s="39">
        <f>$C$3+0.01</f>
        <v>5.7065228150913902E-2</v>
      </c>
      <c r="C12" s="37">
        <f>IFERROR(ROUND(('DCF Model'!C45/(1+$B12)^('DCF Model'!C19+0)+'DCF Model'!D45/(1+$B12)^('DCF Model'!C19+1)+'DCF Model'!E45/(1+$B12)^('DCF Model'!C19+2)+'DCF Model'!F45/(1+$B12)^('DCF Model'!C19+3)+'DCF Model'!G45/(1+$B12)^('DCF Model'!C19+4)+'DCF Model'!G45*(1+C$6)/($B12-C$6)/(1+$B12)^('DCF Model'!C19+4)-'DCF Model'!C16)*1000000/'DCF Model'!C15,0),"")</f>
        <v>358</v>
      </c>
      <c r="D12" s="37">
        <f>IFERROR(ROUND(('DCF Model'!C45/(1+$B12)^('DCF Model'!C19+0)+'DCF Model'!D45/(1+$B12)^('DCF Model'!C19+1)+'DCF Model'!E45/(1+$B12)^('DCF Model'!C19+2)+'DCF Model'!F45/(1+$B12)^('DCF Model'!C19+3)+'DCF Model'!G45/(1+$B12)^('DCF Model'!C19+4)+'DCF Model'!G45*(1+D$6)/($B12-D$6)/(1+$B12)^('DCF Model'!C19+4)-'DCF Model'!C16)*1000000/'DCF Model'!C15,0),"")</f>
        <v>413</v>
      </c>
      <c r="E12" s="37">
        <f>IFERROR(ROUND(('DCF Model'!C45/(1+$B12)^('DCF Model'!C19+0)+'DCF Model'!D45/(1+$B12)^('DCF Model'!C19+1)+'DCF Model'!E45/(1+$B12)^('DCF Model'!C19+2)+'DCF Model'!F45/(1+$B12)^('DCF Model'!C19+3)+'DCF Model'!G45/(1+$B12)^('DCF Model'!C19+4)+'DCF Model'!G45*(1+E$6)/($B12-E$6)/(1+$B12)^('DCF Model'!C19+4)-'DCF Model'!C16)*1000000/'DCF Model'!C15,0),"")</f>
        <v>473</v>
      </c>
      <c r="F12" s="37">
        <f>IFERROR(ROUND(('DCF Model'!C45/(1+$B12)^('DCF Model'!C19+0)+'DCF Model'!D45/(1+$B12)^('DCF Model'!C19+1)+'DCF Model'!E45/(1+$B12)^('DCF Model'!C19+2)+'DCF Model'!F45/(1+$B12)^('DCF Model'!C19+3)+'DCF Model'!G45/(1+$B12)^('DCF Model'!C19+4)+'DCF Model'!G45*(1+F$6)/($B12-F$6)/(1+$B12)^('DCF Model'!C19+4)-'DCF Model'!C16)*1000000/'DCF Model'!C15,0),"")</f>
        <v>539</v>
      </c>
      <c r="G12" s="37">
        <f>IFERROR(ROUND(('DCF Model'!C45/(1+$B12)^('DCF Model'!C19+0)+'DCF Model'!D45/(1+$B12)^('DCF Model'!C19+1)+'DCF Model'!E45/(1+$B12)^('DCF Model'!C19+2)+'DCF Model'!F45/(1+$B12)^('DCF Model'!C19+3)+'DCF Model'!G45/(1+$B12)^('DCF Model'!C19+4)+'DCF Model'!G45*(1+G$6)/($B12-G$6)/(1+$B12)^('DCF Model'!C19+4)-'DCF Model'!C16)*1000000/'DCF Model'!C15,0),"")</f>
        <v>613</v>
      </c>
      <c r="H12" s="37">
        <f>IFERROR(ROUND(('DCF Model'!C45/(1+$B12)^('DCF Model'!C19+0)+'DCF Model'!D45/(1+$B12)^('DCF Model'!C19+1)+'DCF Model'!E45/(1+$B12)^('DCF Model'!C19+2)+'DCF Model'!F45/(1+$B12)^('DCF Model'!C19+3)+'DCF Model'!G45/(1+$B12)^('DCF Model'!C19+4)+'DCF Model'!G45*(1+H$6)/($B12-H$6)/(1+$B12)^('DCF Model'!C19+4)-'DCF Model'!C16)*1000000/'DCF Model'!C15,0),"")</f>
        <v>696</v>
      </c>
      <c r="I12" s="37">
        <f>IFERROR(ROUND(('DCF Model'!C45/(1+$B12)^('DCF Model'!C19+0)+'DCF Model'!D45/(1+$B12)^('DCF Model'!C19+1)+'DCF Model'!E45/(1+$B12)^('DCF Model'!C19+2)+'DCF Model'!F45/(1+$B12)^('DCF Model'!C19+3)+'DCF Model'!G45/(1+$B12)^('DCF Model'!C19+4)+'DCF Model'!G45*(1+I$6)/($B12-I$6)/(1+$B12)^('DCF Model'!C19+4)-'DCF Model'!C16)*1000000/'DCF Model'!C15,0),"")</f>
        <v>790</v>
      </c>
    </row>
    <row r="13" spans="2:9" ht="13.5" x14ac:dyDescent="0.25">
      <c r="B13" s="39">
        <f>$C$3+0.015</f>
        <v>6.2065228150913899E-2</v>
      </c>
      <c r="C13" s="37">
        <f>IFERROR(ROUND(('DCF Model'!C45/(1+$B13)^('DCF Model'!C19+0)+'DCF Model'!D45/(1+$B13)^('DCF Model'!C19+1)+'DCF Model'!E45/(1+$B13)^('DCF Model'!C19+2)+'DCF Model'!F45/(1+$B13)^('DCF Model'!C19+3)+'DCF Model'!G45/(1+$B13)^('DCF Model'!C19+4)+'DCF Model'!G45*(1+C$6)/($B13-C$6)/(1+$B13)^('DCF Model'!C19+4)-'DCF Model'!C16)*1000000/'DCF Model'!C15,0),"")</f>
        <v>241</v>
      </c>
      <c r="D13" s="37">
        <f>IFERROR(ROUND(('DCF Model'!C45/(1+$B13)^('DCF Model'!C19+0)+'DCF Model'!D45/(1+$B13)^('DCF Model'!C19+1)+'DCF Model'!E45/(1+$B13)^('DCF Model'!C19+2)+'DCF Model'!F45/(1+$B13)^('DCF Model'!C19+3)+'DCF Model'!G45/(1+$B13)^('DCF Model'!C19+4)+'DCF Model'!G45*(1+D$6)/($B13-D$6)/(1+$B13)^('DCF Model'!C19+4)-'DCF Model'!C16)*1000000/'DCF Model'!C15,0),"")</f>
        <v>286</v>
      </c>
      <c r="E13" s="37">
        <f>IFERROR(ROUND(('DCF Model'!C45/(1+$B13)^('DCF Model'!C19+0)+'DCF Model'!D45/(1+$B13)^('DCF Model'!C19+1)+'DCF Model'!E45/(1+$B13)^('DCF Model'!C19+2)+'DCF Model'!F45/(1+$B13)^('DCF Model'!C19+3)+'DCF Model'!G45/(1+$B13)^('DCF Model'!C19+4)+'DCF Model'!G45*(1+E$6)/($B13-E$6)/(1+$B13)^('DCF Model'!C19+4)-'DCF Model'!C16)*1000000/'DCF Model'!C15,0),"")</f>
        <v>335</v>
      </c>
      <c r="F13" s="37">
        <f>IFERROR(ROUND(('DCF Model'!C45/(1+$B13)^('DCF Model'!C19+0)+'DCF Model'!D45/(1+$B13)^('DCF Model'!C19+1)+'DCF Model'!E45/(1+$B13)^('DCF Model'!C19+2)+'DCF Model'!F45/(1+$B13)^('DCF Model'!C19+3)+'DCF Model'!G45/(1+$B13)^('DCF Model'!C19+4)+'DCF Model'!G45*(1+F$6)/($B13-F$6)/(1+$B13)^('DCF Model'!C19+4)-'DCF Model'!C16)*1000000/'DCF Model'!C15,0),"")</f>
        <v>389</v>
      </c>
      <c r="G13" s="37">
        <f>IFERROR(ROUND(('DCF Model'!C45/(1+$B13)^('DCF Model'!C19+0)+'DCF Model'!D45/(1+$B13)^('DCF Model'!C19+1)+'DCF Model'!E45/(1+$B13)^('DCF Model'!C19+2)+'DCF Model'!F45/(1+$B13)^('DCF Model'!C19+3)+'DCF Model'!G45/(1+$B13)^('DCF Model'!C19+4)+'DCF Model'!G45*(1+G$6)/($B13-G$6)/(1+$B13)^('DCF Model'!C19+4)-'DCF Model'!C16)*1000000/'DCF Model'!C15,0),"")</f>
        <v>448</v>
      </c>
      <c r="H13" s="37">
        <f>IFERROR(ROUND(('DCF Model'!C45/(1+$B13)^('DCF Model'!C19+0)+'DCF Model'!D45/(1+$B13)^('DCF Model'!C19+1)+'DCF Model'!E45/(1+$B13)^('DCF Model'!C19+2)+'DCF Model'!F45/(1+$B13)^('DCF Model'!C19+3)+'DCF Model'!G45/(1+$B13)^('DCF Model'!C19+4)+'DCF Model'!G45*(1+H$6)/($B13-H$6)/(1+$B13)^('DCF Model'!C19+4)-'DCF Model'!C16)*1000000/'DCF Model'!C15,0),"")</f>
        <v>513</v>
      </c>
      <c r="I13" s="37">
        <f>IFERROR(ROUND(('DCF Model'!C45/(1+$B13)^('DCF Model'!C19+0)+'DCF Model'!D45/(1+$B13)^('DCF Model'!C19+1)+'DCF Model'!E45/(1+$B13)^('DCF Model'!C19+2)+'DCF Model'!F45/(1+$B13)^('DCF Model'!C19+3)+'DCF Model'!G45/(1+$B13)^('DCF Model'!C19+4)+'DCF Model'!G45*(1+I$6)/($B13-I$6)/(1+$B13)^('DCF Model'!C19+4)-'DCF Model'!C16)*1000000/'DCF Model'!C15,0),"")</f>
        <v>586</v>
      </c>
    </row>
    <row r="16" spans="2:9" ht="14" x14ac:dyDescent="0.3">
      <c r="B16" s="3" t="s">
        <v>242</v>
      </c>
    </row>
    <row r="17" spans="2:9" ht="14" x14ac:dyDescent="0.3">
      <c r="B17" s="40" t="s">
        <v>243</v>
      </c>
      <c r="C17" s="42">
        <f>$I$3-3</f>
        <v>2.5</v>
      </c>
      <c r="D17" s="42">
        <f>$I$3-2</f>
        <v>3.5</v>
      </c>
      <c r="E17" s="42">
        <f>$I$3-1</f>
        <v>4.5</v>
      </c>
      <c r="F17" s="42">
        <f>$I$3</f>
        <v>5.5</v>
      </c>
      <c r="G17" s="42">
        <f>$I$3+1</f>
        <v>6.5</v>
      </c>
      <c r="H17" s="42">
        <f>$I$3+2</f>
        <v>7.5</v>
      </c>
      <c r="I17" s="42">
        <f>$I$3+3</f>
        <v>8.5</v>
      </c>
    </row>
    <row r="18" spans="2:9" ht="13.5" x14ac:dyDescent="0.25">
      <c r="B18" s="39">
        <f>$C$3-0.015</f>
        <v>3.2065228150913901E-2</v>
      </c>
      <c r="C18" s="37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Model'!G42)*C$17/(1+$B18)^('DCF Model'!C19+4)-'DCF Model'!C16)*1000000/'DCF Model'!C15,0),"")</f>
        <v>-194</v>
      </c>
      <c r="D18" s="37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Model'!G42)*D$17/(1+$B18)^('DCF Model'!C19+4)-'DCF Model'!C16)*1000000/'DCF Model'!C15,0),"")</f>
        <v>10</v>
      </c>
      <c r="E18" s="37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Model'!G42)*E$17/(1+$B18)^('DCF Model'!C19+4)-'DCF Model'!C16)*1000000/'DCF Model'!C15,0),"")</f>
        <v>214</v>
      </c>
      <c r="F18" s="37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Model'!G42)*F$17/(1+$B18)^('DCF Model'!C19+4)-'DCF Model'!C16)*1000000/'DCF Model'!C15,0),"")</f>
        <v>418</v>
      </c>
      <c r="G18" s="37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Model'!G42)*G$17/(1+$B18)^('DCF Model'!C19+4)-'DCF Model'!C16)*1000000/'DCF Model'!C15,0),"")</f>
        <v>622</v>
      </c>
      <c r="H18" s="37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Model'!G42)*H$17/(1+$B18)^('DCF Model'!C19+4)-'DCF Model'!C16)*1000000/'DCF Model'!C15,0),"")</f>
        <v>827</v>
      </c>
      <c r="I18" s="37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Model'!G42)*I$17/(1+$B18)^('DCF Model'!C19+4)-'DCF Model'!C16)*1000000/'DCF Model'!C15,0),"")</f>
        <v>1031</v>
      </c>
    </row>
    <row r="19" spans="2:9" ht="13.5" x14ac:dyDescent="0.25">
      <c r="B19" s="39">
        <f>$C$3-0.01</f>
        <v>3.7065228150913898E-2</v>
      </c>
      <c r="C19" s="37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Model'!G42)*C$17/(1+$B19)^('DCF Model'!C19+4)-'DCF Model'!C16)*1000000/'DCF Model'!C15,0),"")</f>
        <v>-210</v>
      </c>
      <c r="D19" s="37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Model'!G42)*D$17/(1+$B19)^('DCF Model'!C19+4)-'DCF Model'!C16)*1000000/'DCF Model'!C15,0),"")</f>
        <v>-11</v>
      </c>
      <c r="E19" s="37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Model'!G42)*E$17/(1+$B19)^('DCF Model'!C19+4)-'DCF Model'!C16)*1000000/'DCF Model'!C15,0),"")</f>
        <v>189</v>
      </c>
      <c r="F19" s="37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Model'!G42)*F$17/(1+$B19)^('DCF Model'!C19+4)-'DCF Model'!C16)*1000000/'DCF Model'!C15,0),"")</f>
        <v>388</v>
      </c>
      <c r="G19" s="37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Model'!G42)*G$17/(1+$B19)^('DCF Model'!C19+4)-'DCF Model'!C16)*1000000/'DCF Model'!C15,0),"")</f>
        <v>587</v>
      </c>
      <c r="H19" s="37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Model'!G42)*H$17/(1+$B19)^('DCF Model'!C19+4)-'DCF Model'!C16)*1000000/'DCF Model'!C15,0),"")</f>
        <v>786</v>
      </c>
      <c r="I19" s="37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Model'!G42)*I$17/(1+$B19)^('DCF Model'!C19+4)-'DCF Model'!C16)*1000000/'DCF Model'!C15,0),"")</f>
        <v>986</v>
      </c>
    </row>
    <row r="20" spans="2:9" ht="13.5" x14ac:dyDescent="0.25">
      <c r="B20" s="39">
        <f>$C$3-0.005</f>
        <v>4.2065228150913903E-2</v>
      </c>
      <c r="C20" s="37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Model'!G42)*C$17/(1+$B20)^('DCF Model'!C19+4)-'DCF Model'!C16)*1000000/'DCF Model'!C15,0),"")</f>
        <v>-225</v>
      </c>
      <c r="D20" s="37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Model'!G42)*D$17/(1+$B20)^('DCF Model'!C19+4)-'DCF Model'!C16)*1000000/'DCF Model'!C15,0),"")</f>
        <v>-31</v>
      </c>
      <c r="E20" s="37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Model'!G42)*E$17/(1+$B20)^('DCF Model'!C19+4)-'DCF Model'!C16)*1000000/'DCF Model'!C15,0),"")</f>
        <v>164</v>
      </c>
      <c r="F20" s="37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Model'!G42)*F$17/(1+$B20)^('DCF Model'!C19+4)-'DCF Model'!C16)*1000000/'DCF Model'!C15,0),"")</f>
        <v>358</v>
      </c>
      <c r="G20" s="37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Model'!G42)*G$17/(1+$B20)^('DCF Model'!C19+4)-'DCF Model'!C16)*1000000/'DCF Model'!C15,0),"")</f>
        <v>553</v>
      </c>
      <c r="H20" s="37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Model'!G42)*H$17/(1+$B20)^('DCF Model'!C19+4)-'DCF Model'!C16)*1000000/'DCF Model'!C15,0),"")</f>
        <v>748</v>
      </c>
      <c r="I20" s="37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Model'!G42)*I$17/(1+$B20)^('DCF Model'!C19+4)-'DCF Model'!C16)*1000000/'DCF Model'!C15,0),"")</f>
        <v>942</v>
      </c>
    </row>
    <row r="21" spans="2:9" ht="13.5" x14ac:dyDescent="0.25">
      <c r="B21" s="39">
        <f>$C$3</f>
        <v>4.70652281509139E-2</v>
      </c>
      <c r="C21" s="37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Model'!G42)*C$17/(1+$B21)^('DCF Model'!C19+4)-'DCF Model'!C16)*1000000/'DCF Model'!C15,0),"")</f>
        <v>-240</v>
      </c>
      <c r="D21" s="37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Model'!G42)*D$17/(1+$B21)^('DCF Model'!C19+4)-'DCF Model'!C16)*1000000/'DCF Model'!C15,0),"")</f>
        <v>-50</v>
      </c>
      <c r="E21" s="37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Model'!G42)*E$17/(1+$B21)^('DCF Model'!C19+4)-'DCF Model'!C16)*1000000/'DCF Model'!C15,0),"")</f>
        <v>140</v>
      </c>
      <c r="F21" s="37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Model'!G42)*F$17/(1+$B21)^('DCF Model'!C19+4)-'DCF Model'!C16)*1000000/'DCF Model'!C15,0),"")</f>
        <v>330</v>
      </c>
      <c r="G21" s="37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Model'!G42)*G$17/(1+$B21)^('DCF Model'!C19+4)-'DCF Model'!C16)*1000000/'DCF Model'!C15,0),"")</f>
        <v>520</v>
      </c>
      <c r="H21" s="37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Model'!G42)*H$17/(1+$B21)^('DCF Model'!C19+4)-'DCF Model'!C16)*1000000/'DCF Model'!C15,0),"")</f>
        <v>710</v>
      </c>
      <c r="I21" s="37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Model'!G42)*I$17/(1+$B21)^('DCF Model'!C19+4)-'DCF Model'!C16)*1000000/'DCF Model'!C15,0),"")</f>
        <v>900</v>
      </c>
    </row>
    <row r="22" spans="2:9" ht="13.5" x14ac:dyDescent="0.25">
      <c r="B22" s="39">
        <f>$C$3+0.005</f>
        <v>5.2065228150913898E-2</v>
      </c>
      <c r="C22" s="37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Model'!G42)*C$17/(1+$B22)^('DCF Model'!C19+4)-'DCF Model'!C16)*1000000/'DCF Model'!C15,0),"")</f>
        <v>-254</v>
      </c>
      <c r="D22" s="37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Model'!G42)*D$17/(1+$B22)^('DCF Model'!C19+4)-'DCF Model'!C16)*1000000/'DCF Model'!C15,0),"")</f>
        <v>-69</v>
      </c>
      <c r="E22" s="37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Model'!G42)*E$17/(1+$B22)^('DCF Model'!C19+4)-'DCF Model'!C16)*1000000/'DCF Model'!C15,0),"")</f>
        <v>117</v>
      </c>
      <c r="F22" s="37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Model'!G42)*F$17/(1+$B22)^('DCF Model'!C19+4)-'DCF Model'!C16)*1000000/'DCF Model'!C15,0),"")</f>
        <v>302</v>
      </c>
      <c r="G22" s="37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Model'!G42)*G$17/(1+$B22)^('DCF Model'!C19+4)-'DCF Model'!C16)*1000000/'DCF Model'!C15,0),"")</f>
        <v>488</v>
      </c>
      <c r="H22" s="37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Model'!G42)*H$17/(1+$B22)^('DCF Model'!C19+4)-'DCF Model'!C16)*1000000/'DCF Model'!C15,0),"")</f>
        <v>673</v>
      </c>
      <c r="I22" s="37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Model'!G42)*I$17/(1+$B22)^('DCF Model'!C19+4)-'DCF Model'!C16)*1000000/'DCF Model'!C15,0),"")</f>
        <v>859</v>
      </c>
    </row>
    <row r="23" spans="2:9" ht="13.5" x14ac:dyDescent="0.25">
      <c r="B23" s="39">
        <f>$C$3+0.01</f>
        <v>5.7065228150913902E-2</v>
      </c>
      <c r="C23" s="37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Model'!G42)*C$17/(1+$B23)^('DCF Model'!C19+4)-'DCF Model'!C16)*1000000/'DCF Model'!C15,0),"")</f>
        <v>-268</v>
      </c>
      <c r="D23" s="37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Model'!G42)*D$17/(1+$B23)^('DCF Model'!C19+4)-'DCF Model'!C16)*1000000/'DCF Model'!C15,0),"")</f>
        <v>-87</v>
      </c>
      <c r="E23" s="37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Model'!G42)*E$17/(1+$B23)^('DCF Model'!C19+4)-'DCF Model'!C16)*1000000/'DCF Model'!C15,0),"")</f>
        <v>94</v>
      </c>
      <c r="F23" s="37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Model'!G42)*F$17/(1+$B23)^('DCF Model'!C19+4)-'DCF Model'!C16)*1000000/'DCF Model'!C15,0),"")</f>
        <v>275</v>
      </c>
      <c r="G23" s="37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Model'!G42)*G$17/(1+$B23)^('DCF Model'!C19+4)-'DCF Model'!C16)*1000000/'DCF Model'!C15,0),"")</f>
        <v>456</v>
      </c>
      <c r="H23" s="37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Model'!G42)*H$17/(1+$B23)^('DCF Model'!C19+4)-'DCF Model'!C16)*1000000/'DCF Model'!C15,0),"")</f>
        <v>637</v>
      </c>
      <c r="I23" s="37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Model'!G42)*I$17/(1+$B23)^('DCF Model'!C19+4)-'DCF Model'!C16)*1000000/'DCF Model'!C15,0),"")</f>
        <v>818</v>
      </c>
    </row>
    <row r="24" spans="2:9" ht="13.5" x14ac:dyDescent="0.25">
      <c r="B24" s="39">
        <f>$C$3+0.015</f>
        <v>6.2065228150913899E-2</v>
      </c>
      <c r="C24" s="37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Model'!G42)*C$17/(1+$B24)^('DCF Model'!C19+4)-'DCF Model'!C16)*1000000/'DCF Model'!C15,0),"")</f>
        <v>-282</v>
      </c>
      <c r="D24" s="37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Model'!G42)*D$17/(1+$B24)^('DCF Model'!C19+4)-'DCF Model'!C16)*1000000/'DCF Model'!C15,0),"")</f>
        <v>-105</v>
      </c>
      <c r="E24" s="37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Model'!G42)*E$17/(1+$B24)^('DCF Model'!C19+4)-'DCF Model'!C16)*1000000/'DCF Model'!C15,0),"")</f>
        <v>72</v>
      </c>
      <c r="F24" s="37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Model'!G42)*F$17/(1+$B24)^('DCF Model'!C19+4)-'DCF Model'!C16)*1000000/'DCF Model'!C15,0),"")</f>
        <v>249</v>
      </c>
      <c r="G24" s="37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Model'!G42)*G$17/(1+$B24)^('DCF Model'!C19+4)-'DCF Model'!C16)*1000000/'DCF Model'!C15,0),"")</f>
        <v>426</v>
      </c>
      <c r="H24" s="37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Model'!G42)*H$17/(1+$B24)^('DCF Model'!C19+4)-'DCF Model'!C16)*1000000/'DCF Model'!C15,0),"")</f>
        <v>603</v>
      </c>
      <c r="I24" s="37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Model'!G42)*I$17/(1+$B24)^('DCF Model'!C19+4)-'DCF Model'!C16)*1000000/'DCF Model'!C15,0),"")</f>
        <v>779</v>
      </c>
    </row>
    <row r="26" spans="2:9" ht="14" x14ac:dyDescent="0.3">
      <c r="B26" s="45" t="s">
        <v>244</v>
      </c>
      <c r="C26" s="44"/>
      <c r="D26" s="44"/>
      <c r="E26" s="44"/>
      <c r="F26" s="44"/>
      <c r="G26" s="44"/>
      <c r="H26" s="44"/>
      <c r="I26" s="44"/>
    </row>
  </sheetData>
  <mergeCells count="1">
    <mergeCell ref="B26:I26"/>
  </mergeCells>
  <phoneticPr fontId="8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808080"/>
  </sheetPr>
  <dimension ref="B2:G50"/>
  <sheetViews>
    <sheetView workbookViewId="0"/>
  </sheetViews>
  <sheetFormatPr defaultRowHeight="13" x14ac:dyDescent="0.2"/>
  <cols>
    <col min="1" max="1" width="3" customWidth="1"/>
    <col min="2" max="2" width="14" customWidth="1"/>
    <col min="3" max="3" width="16" customWidth="1"/>
    <col min="4" max="5" width="46" customWidth="1"/>
    <col min="6" max="6" width="20" customWidth="1"/>
    <col min="7" max="7" width="12" customWidth="1"/>
  </cols>
  <sheetData>
    <row r="2" spans="2:7" ht="18" x14ac:dyDescent="0.4">
      <c r="B2" s="2" t="s">
        <v>245</v>
      </c>
    </row>
    <row r="4" spans="2:7" ht="14" x14ac:dyDescent="0.3">
      <c r="B4" s="10" t="s">
        <v>246</v>
      </c>
      <c r="C4" s="10" t="s">
        <v>247</v>
      </c>
      <c r="D4" s="10" t="s">
        <v>248</v>
      </c>
      <c r="E4" s="10" t="s">
        <v>249</v>
      </c>
      <c r="F4" s="10" t="s">
        <v>250</v>
      </c>
      <c r="G4" s="10" t="s">
        <v>251</v>
      </c>
    </row>
    <row r="5" spans="2:7" x14ac:dyDescent="0.2">
      <c r="B5" t="s">
        <v>252</v>
      </c>
      <c r="C5" t="s">
        <v>253</v>
      </c>
      <c r="D5" t="s">
        <v>254</v>
      </c>
      <c r="E5" t="s">
        <v>255</v>
      </c>
      <c r="F5" t="s">
        <v>253</v>
      </c>
      <c r="G5" t="s">
        <v>256</v>
      </c>
    </row>
    <row r="6" spans="2:7" ht="30" customHeight="1" x14ac:dyDescent="0.3">
      <c r="B6" t="s">
        <v>252</v>
      </c>
      <c r="C6" s="4" t="s">
        <v>257</v>
      </c>
      <c r="D6" t="s">
        <v>258</v>
      </c>
      <c r="E6" t="s">
        <v>259</v>
      </c>
      <c r="F6" t="s">
        <v>260</v>
      </c>
      <c r="G6" t="s">
        <v>261</v>
      </c>
    </row>
    <row r="12" spans="2:7" ht="14" x14ac:dyDescent="0.3">
      <c r="B12" s="8" t="s">
        <v>262</v>
      </c>
    </row>
    <row r="13" spans="2:7" ht="14" x14ac:dyDescent="0.3">
      <c r="B13" s="10" t="s">
        <v>263</v>
      </c>
      <c r="C13" s="10" t="s">
        <v>264</v>
      </c>
    </row>
    <row r="14" spans="2:7" ht="14" x14ac:dyDescent="0.3">
      <c r="B14" s="4" t="s">
        <v>265</v>
      </c>
      <c r="C14" t="s">
        <v>266</v>
      </c>
    </row>
    <row r="15" spans="2:7" ht="14" x14ac:dyDescent="0.3">
      <c r="B15" s="4" t="s">
        <v>267</v>
      </c>
      <c r="C15" t="s">
        <v>268</v>
      </c>
    </row>
    <row r="16" spans="2:7" ht="14" x14ac:dyDescent="0.3">
      <c r="B16" s="4" t="s">
        <v>269</v>
      </c>
      <c r="C16" t="s">
        <v>270</v>
      </c>
    </row>
    <row r="17" spans="2:3" ht="14" x14ac:dyDescent="0.3">
      <c r="B17" s="4" t="s">
        <v>271</v>
      </c>
      <c r="C17" t="s">
        <v>47</v>
      </c>
    </row>
    <row r="18" spans="2:3" ht="14" x14ac:dyDescent="0.3">
      <c r="B18" s="4" t="s">
        <v>272</v>
      </c>
      <c r="C18" t="s">
        <v>4</v>
      </c>
    </row>
    <row r="19" spans="2:3" ht="14" x14ac:dyDescent="0.3">
      <c r="B19" s="4" t="s">
        <v>273</v>
      </c>
      <c r="C19" t="s">
        <v>252</v>
      </c>
    </row>
    <row r="20" spans="2:3" ht="14" x14ac:dyDescent="0.3">
      <c r="B20" s="4" t="s">
        <v>274</v>
      </c>
      <c r="C20" t="s">
        <v>275</v>
      </c>
    </row>
    <row r="21" spans="2:3" ht="14" x14ac:dyDescent="0.3">
      <c r="B21" s="4" t="s">
        <v>276</v>
      </c>
      <c r="C21" t="s">
        <v>277</v>
      </c>
    </row>
    <row r="22" spans="2:3" ht="14" x14ac:dyDescent="0.3">
      <c r="B22" s="4" t="s">
        <v>278</v>
      </c>
      <c r="C22" t="s">
        <v>279</v>
      </c>
    </row>
    <row r="23" spans="2:3" ht="14" x14ac:dyDescent="0.3">
      <c r="B23" s="4" t="s">
        <v>280</v>
      </c>
      <c r="C23" t="s">
        <v>281</v>
      </c>
    </row>
    <row r="24" spans="2:3" ht="14" x14ac:dyDescent="0.3">
      <c r="B24" s="4" t="s">
        <v>282</v>
      </c>
      <c r="C24" t="s">
        <v>283</v>
      </c>
    </row>
    <row r="25" spans="2:3" ht="14" x14ac:dyDescent="0.3">
      <c r="B25" s="4" t="s">
        <v>284</v>
      </c>
      <c r="C25" t="s">
        <v>279</v>
      </c>
    </row>
    <row r="26" spans="2:3" ht="14" x14ac:dyDescent="0.3">
      <c r="B26" s="4" t="s">
        <v>285</v>
      </c>
      <c r="C26" t="s">
        <v>275</v>
      </c>
    </row>
    <row r="27" spans="2:3" ht="14" x14ac:dyDescent="0.3">
      <c r="B27" s="4" t="s">
        <v>286</v>
      </c>
      <c r="C27" t="s">
        <v>287</v>
      </c>
    </row>
    <row r="28" spans="2:3" ht="14" x14ac:dyDescent="0.3">
      <c r="B28" s="4" t="s">
        <v>288</v>
      </c>
      <c r="C28" t="s">
        <v>289</v>
      </c>
    </row>
    <row r="29" spans="2:3" ht="14" x14ac:dyDescent="0.3">
      <c r="B29" s="4" t="s">
        <v>290</v>
      </c>
      <c r="C29" t="s">
        <v>291</v>
      </c>
    </row>
    <row r="30" spans="2:3" ht="14" x14ac:dyDescent="0.3">
      <c r="B30" s="4" t="s">
        <v>292</v>
      </c>
      <c r="C30" t="s">
        <v>293</v>
      </c>
    </row>
    <row r="31" spans="2:3" ht="14" x14ac:dyDescent="0.3">
      <c r="B31" s="4" t="s">
        <v>294</v>
      </c>
      <c r="C31" t="s">
        <v>295</v>
      </c>
    </row>
    <row r="32" spans="2:3" ht="14" x14ac:dyDescent="0.3">
      <c r="B32" s="4" t="s">
        <v>296</v>
      </c>
      <c r="C32" t="s">
        <v>297</v>
      </c>
    </row>
    <row r="33" spans="2:3" ht="14" x14ac:dyDescent="0.3">
      <c r="B33" s="4" t="s">
        <v>298</v>
      </c>
      <c r="C33" t="s">
        <v>299</v>
      </c>
    </row>
    <row r="34" spans="2:3" ht="14" x14ac:dyDescent="0.3">
      <c r="B34" s="4" t="s">
        <v>300</v>
      </c>
      <c r="C34" t="s">
        <v>301</v>
      </c>
    </row>
    <row r="35" spans="2:3" ht="14" x14ac:dyDescent="0.3">
      <c r="B35" s="4" t="s">
        <v>302</v>
      </c>
      <c r="C35" t="s">
        <v>268</v>
      </c>
    </row>
    <row r="36" spans="2:3" ht="14" x14ac:dyDescent="0.3">
      <c r="B36" s="4" t="s">
        <v>303</v>
      </c>
      <c r="C36" t="s">
        <v>304</v>
      </c>
    </row>
    <row r="37" spans="2:3" ht="14" x14ac:dyDescent="0.3">
      <c r="B37" s="4" t="s">
        <v>305</v>
      </c>
      <c r="C37" t="s">
        <v>306</v>
      </c>
    </row>
    <row r="38" spans="2:3" ht="14" x14ac:dyDescent="0.3">
      <c r="B38" s="4" t="s">
        <v>307</v>
      </c>
      <c r="C38" t="s">
        <v>308</v>
      </c>
    </row>
    <row r="39" spans="2:3" ht="14" x14ac:dyDescent="0.3">
      <c r="B39" s="4" t="s">
        <v>309</v>
      </c>
      <c r="C39" t="s">
        <v>310</v>
      </c>
    </row>
    <row r="40" spans="2:3" ht="14" x14ac:dyDescent="0.3">
      <c r="B40" s="4" t="s">
        <v>311</v>
      </c>
      <c r="C40" t="s">
        <v>312</v>
      </c>
    </row>
    <row r="41" spans="2:3" ht="14" x14ac:dyDescent="0.3">
      <c r="B41" s="4" t="s">
        <v>313</v>
      </c>
      <c r="C41" t="s">
        <v>314</v>
      </c>
    </row>
    <row r="42" spans="2:3" ht="14" x14ac:dyDescent="0.3">
      <c r="B42" s="4" t="s">
        <v>315</v>
      </c>
      <c r="C42" t="s">
        <v>316</v>
      </c>
    </row>
    <row r="43" spans="2:3" ht="14" x14ac:dyDescent="0.3">
      <c r="B43" s="4" t="s">
        <v>317</v>
      </c>
      <c r="C43" t="s">
        <v>318</v>
      </c>
    </row>
    <row r="44" spans="2:3" ht="14" x14ac:dyDescent="0.3">
      <c r="B44" s="4" t="s">
        <v>319</v>
      </c>
      <c r="C44" t="s">
        <v>320</v>
      </c>
    </row>
    <row r="45" spans="2:3" ht="14" x14ac:dyDescent="0.3">
      <c r="B45" s="4" t="s">
        <v>321</v>
      </c>
      <c r="C45" t="s">
        <v>275</v>
      </c>
    </row>
    <row r="46" spans="2:3" ht="14" x14ac:dyDescent="0.3">
      <c r="B46" s="4" t="s">
        <v>322</v>
      </c>
      <c r="C46" t="s">
        <v>323</v>
      </c>
    </row>
    <row r="47" spans="2:3" ht="14" x14ac:dyDescent="0.3">
      <c r="B47" s="4" t="s">
        <v>324</v>
      </c>
      <c r="C47" t="s">
        <v>325</v>
      </c>
    </row>
    <row r="48" spans="2:3" ht="14" x14ac:dyDescent="0.3">
      <c r="B48" s="4" t="s">
        <v>326</v>
      </c>
      <c r="C48" t="s">
        <v>327</v>
      </c>
    </row>
    <row r="49" spans="2:3" ht="14" x14ac:dyDescent="0.3">
      <c r="B49" s="4" t="s">
        <v>328</v>
      </c>
      <c r="C49" t="s">
        <v>329</v>
      </c>
    </row>
    <row r="50" spans="2:3" ht="14" x14ac:dyDescent="0.3">
      <c r="B50" s="4" t="s">
        <v>330</v>
      </c>
      <c r="C50" t="s">
        <v>213</v>
      </c>
    </row>
  </sheetData>
  <phoneticPr fontId="8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Executive Summary</vt:lpstr>
      <vt:lpstr>Financial Statements</vt:lpstr>
      <vt:lpstr>DCF Model</vt:lpstr>
      <vt:lpstr>Reverse DCF</vt:lpstr>
      <vt:lpstr>NWC Schedule</vt:lpstr>
      <vt:lpstr>Comps Analysis</vt:lpstr>
      <vt:lpstr>Sensitivity Analysis</vt:lpstr>
      <vt:lpstr>Adjustments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良亮 佐藤</cp:lastModifiedBy>
  <dcterms:created xsi:type="dcterms:W3CDTF">2026-09-05T17:32:10Z</dcterms:created>
  <dcterms:modified xsi:type="dcterms:W3CDTF">2026-09-05T17:32:14Z</dcterms:modified>
</cp:coreProperties>
</file>