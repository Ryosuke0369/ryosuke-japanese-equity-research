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4B32FDFC-054D-456F-BAF4-515B76F52968}" xr6:coauthVersionLast="47" xr6:coauthVersionMax="47" xr10:uidLastSave="{00000000-0000-0000-0000-000000000000}"/>
  <bookViews>
    <workbookView xWindow="9720" yWindow="5480" windowWidth="4820" windowHeight="46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8" i="6"/>
  <c r="N8" i="6"/>
  <c r="M8" i="6"/>
  <c r="L8" i="6"/>
  <c r="K8" i="6"/>
  <c r="J8" i="6"/>
  <c r="O7" i="6"/>
  <c r="N7" i="6"/>
  <c r="M7" i="6"/>
  <c r="L7" i="6"/>
  <c r="K7" i="6"/>
  <c r="J7" i="6"/>
  <c r="O6" i="6"/>
  <c r="I16" i="6" s="1"/>
  <c r="N6" i="6"/>
  <c r="M6" i="6"/>
  <c r="L6" i="6"/>
  <c r="K6" i="6"/>
  <c r="J6" i="6"/>
  <c r="O5" i="6"/>
  <c r="N5" i="6"/>
  <c r="D5" i="6"/>
  <c r="L5" i="6" s="1"/>
  <c r="C16" i="5"/>
  <c r="C14" i="5"/>
  <c r="C18" i="5" s="1"/>
  <c r="C7" i="5"/>
  <c r="C6" i="5"/>
  <c r="C5" i="5"/>
  <c r="C13" i="4"/>
  <c r="C12" i="4"/>
  <c r="C9" i="4"/>
  <c r="C7" i="4"/>
  <c r="C6" i="4"/>
  <c r="C8" i="4" s="1"/>
  <c r="C10" i="4" s="1"/>
  <c r="C31" i="3"/>
  <c r="C30" i="3"/>
  <c r="C33" i="3" s="1"/>
  <c r="D27" i="3"/>
  <c r="G7" i="5" s="1"/>
  <c r="C25" i="3"/>
  <c r="C24" i="3"/>
  <c r="C23" i="3"/>
  <c r="F28" i="2"/>
  <c r="E28" i="2"/>
  <c r="F16" i="2"/>
  <c r="E16" i="2"/>
  <c r="D16" i="2"/>
  <c r="F15" i="2"/>
  <c r="E15" i="2"/>
  <c r="D15" i="2"/>
  <c r="F14" i="2"/>
  <c r="E14" i="2"/>
  <c r="D14" i="2"/>
  <c r="C14" i="2"/>
  <c r="F13" i="2"/>
  <c r="E13" i="2"/>
  <c r="D13" i="2"/>
  <c r="C13" i="2"/>
  <c r="C9" i="2"/>
  <c r="F8" i="2"/>
  <c r="F9" i="2" s="1"/>
  <c r="E8" i="2"/>
  <c r="E9" i="2" s="1"/>
  <c r="D8" i="2"/>
  <c r="D9" i="2" s="1"/>
  <c r="C8" i="2"/>
  <c r="F31" i="3" l="1"/>
  <c r="H5" i="5"/>
  <c r="F32" i="3"/>
  <c r="E16" i="6"/>
  <c r="D7" i="5"/>
  <c r="F16" i="6"/>
  <c r="C28" i="6" s="1"/>
  <c r="C19" i="1" s="1"/>
  <c r="D19" i="1" s="1"/>
  <c r="E15" i="6"/>
  <c r="D17" i="6"/>
  <c r="G15" i="6"/>
  <c r="F15" i="6"/>
  <c r="H15" i="6"/>
  <c r="C26" i="3"/>
  <c r="C71" i="4"/>
  <c r="C70" i="4"/>
  <c r="D9" i="5"/>
  <c r="C42" i="3"/>
  <c r="C34" i="3"/>
  <c r="D10" i="5" s="1"/>
  <c r="G16" i="6"/>
  <c r="D30" i="3"/>
  <c r="D33" i="3" s="1"/>
  <c r="E7" i="5"/>
  <c r="D32" i="3"/>
  <c r="G30" i="3"/>
  <c r="E32" i="3"/>
  <c r="D5" i="5"/>
  <c r="F6" i="5"/>
  <c r="H7" i="5"/>
  <c r="I15" i="6"/>
  <c r="E17" i="6"/>
  <c r="I6" i="7"/>
  <c r="F17" i="6"/>
  <c r="C17" i="7"/>
  <c r="E5" i="5"/>
  <c r="G6" i="5"/>
  <c r="D16" i="6"/>
  <c r="D31" i="3"/>
  <c r="G32" i="3"/>
  <c r="F5" i="5"/>
  <c r="H6" i="5"/>
  <c r="E5" i="6"/>
  <c r="G17" i="6"/>
  <c r="C6" i="7"/>
  <c r="D17" i="7"/>
  <c r="E31" i="3"/>
  <c r="G5" i="5"/>
  <c r="D15" i="6"/>
  <c r="H17" i="6"/>
  <c r="D6" i="7"/>
  <c r="E17" i="7"/>
  <c r="I17" i="6"/>
  <c r="E6" i="7"/>
  <c r="F17" i="7"/>
  <c r="H16" i="6"/>
  <c r="F6" i="7"/>
  <c r="G17" i="7"/>
  <c r="E30" i="3"/>
  <c r="C32" i="3"/>
  <c r="C37" i="3" s="1"/>
  <c r="D6" i="5"/>
  <c r="F7" i="5"/>
  <c r="M5" i="6"/>
  <c r="G6" i="7"/>
  <c r="H17" i="7"/>
  <c r="G31" i="3"/>
  <c r="F30" i="3"/>
  <c r="E6" i="5"/>
  <c r="D15" i="5" l="1"/>
  <c r="D16" i="5" s="1"/>
  <c r="D13" i="5"/>
  <c r="E9" i="5"/>
  <c r="E12" i="5" s="1"/>
  <c r="D37" i="3"/>
  <c r="E33" i="3"/>
  <c r="D42" i="3"/>
  <c r="D34" i="3"/>
  <c r="E10" i="5" s="1"/>
  <c r="C35" i="3"/>
  <c r="D12" i="5"/>
  <c r="C3" i="7"/>
  <c r="C46" i="3"/>
  <c r="G36" i="4"/>
  <c r="C11" i="4"/>
  <c r="C24" i="4" s="1"/>
  <c r="C25" i="4" s="1"/>
  <c r="G46" i="3"/>
  <c r="F36" i="4"/>
  <c r="F46" i="3"/>
  <c r="E36" i="4"/>
  <c r="D36" i="4"/>
  <c r="D46" i="3"/>
  <c r="H36" i="4"/>
  <c r="E46" i="3"/>
  <c r="J5" i="6"/>
  <c r="K5" i="6"/>
  <c r="C27" i="6"/>
  <c r="C18" i="1" s="1"/>
  <c r="D18" i="1" s="1"/>
  <c r="C74" i="4"/>
  <c r="D14" i="5" l="1"/>
  <c r="D18" i="5" s="1"/>
  <c r="D19" i="5" s="1"/>
  <c r="C44" i="3" s="1"/>
  <c r="F38" i="4"/>
  <c r="F48" i="4" s="1"/>
  <c r="F53" i="4" s="1"/>
  <c r="F41" i="4"/>
  <c r="F43" i="4"/>
  <c r="F46" i="4"/>
  <c r="F40" i="4"/>
  <c r="F50" i="4" s="1"/>
  <c r="F55" i="4" s="1"/>
  <c r="F44" i="4"/>
  <c r="F45" i="4"/>
  <c r="F39" i="4"/>
  <c r="F49" i="4" s="1"/>
  <c r="C29" i="4"/>
  <c r="C27" i="4"/>
  <c r="C26" i="4"/>
  <c r="F33" i="3"/>
  <c r="F9" i="5"/>
  <c r="F12" i="5" s="1"/>
  <c r="E42" i="3"/>
  <c r="E34" i="3"/>
  <c r="F10" i="5" s="1"/>
  <c r="E37" i="3"/>
  <c r="C36" i="3"/>
  <c r="C38" i="3"/>
  <c r="C39" i="3"/>
  <c r="H45" i="4"/>
  <c r="H43" i="4"/>
  <c r="H39" i="4"/>
  <c r="H40" i="4"/>
  <c r="H44" i="4"/>
  <c r="H38" i="4"/>
  <c r="H41" i="4"/>
  <c r="H46" i="4"/>
  <c r="G41" i="4"/>
  <c r="G39" i="4"/>
  <c r="G45" i="4"/>
  <c r="G46" i="4"/>
  <c r="G40" i="4"/>
  <c r="G44" i="4"/>
  <c r="G38" i="4"/>
  <c r="G43" i="4"/>
  <c r="D40" i="4"/>
  <c r="D50" i="4" s="1"/>
  <c r="D55" i="4" s="1"/>
  <c r="D44" i="4"/>
  <c r="D45" i="4"/>
  <c r="D39" i="4"/>
  <c r="D43" i="4"/>
  <c r="D46" i="4"/>
  <c r="D38" i="4"/>
  <c r="D41" i="4"/>
  <c r="B13" i="7"/>
  <c r="B12" i="7"/>
  <c r="B11" i="7"/>
  <c r="B10" i="7"/>
  <c r="B9" i="7"/>
  <c r="B8" i="7"/>
  <c r="B7" i="7"/>
  <c r="B24" i="7"/>
  <c r="B23" i="7"/>
  <c r="B22" i="7"/>
  <c r="B21" i="7"/>
  <c r="B20" i="7"/>
  <c r="B19" i="7"/>
  <c r="B18" i="7"/>
  <c r="D35" i="3"/>
  <c r="E13" i="5"/>
  <c r="E14" i="5" s="1"/>
  <c r="E15" i="5"/>
  <c r="E16" i="5" s="1"/>
  <c r="E44" i="4"/>
  <c r="E38" i="4"/>
  <c r="E39" i="4"/>
  <c r="E43" i="4"/>
  <c r="E46" i="4"/>
  <c r="E40" i="4"/>
  <c r="E41" i="4"/>
  <c r="E45" i="4"/>
  <c r="H49" i="4" l="1"/>
  <c r="H54" i="4" s="1"/>
  <c r="G49" i="4"/>
  <c r="G54" i="4" s="1"/>
  <c r="G51" i="4"/>
  <c r="G56" i="4" s="1"/>
  <c r="E18" i="5"/>
  <c r="E19" i="5" s="1"/>
  <c r="D44" i="3" s="1"/>
  <c r="D51" i="4"/>
  <c r="D56" i="4" s="1"/>
  <c r="E51" i="4"/>
  <c r="E56" i="4" s="1"/>
  <c r="G48" i="4"/>
  <c r="G53" i="4" s="1"/>
  <c r="H51" i="4"/>
  <c r="H56" i="4" s="1"/>
  <c r="F51" i="4"/>
  <c r="F56" i="4" s="1"/>
  <c r="C60" i="4"/>
  <c r="F54" i="4"/>
  <c r="B78" i="4" s="1"/>
  <c r="E50" i="4"/>
  <c r="E55" i="4" s="1"/>
  <c r="D38" i="3"/>
  <c r="D36" i="3"/>
  <c r="D39" i="3"/>
  <c r="D48" i="4"/>
  <c r="D53" i="4" s="1"/>
  <c r="C40" i="3"/>
  <c r="C41" i="3" s="1"/>
  <c r="C45" i="3" s="1"/>
  <c r="G33" i="3"/>
  <c r="F42" i="3"/>
  <c r="F34" i="3"/>
  <c r="G10" i="5" s="1"/>
  <c r="F37" i="3"/>
  <c r="F35" i="3"/>
  <c r="G9" i="5"/>
  <c r="G12" i="5" s="1"/>
  <c r="H48" i="4"/>
  <c r="H53" i="4" s="1"/>
  <c r="E49" i="4"/>
  <c r="E54" i="4" s="1"/>
  <c r="D49" i="4"/>
  <c r="D54" i="4" s="1"/>
  <c r="G50" i="4"/>
  <c r="G55" i="4" s="1"/>
  <c r="E48" i="4"/>
  <c r="E53" i="4" s="1"/>
  <c r="H50" i="4"/>
  <c r="H55" i="4" s="1"/>
  <c r="E35" i="3"/>
  <c r="F15" i="5"/>
  <c r="F16" i="5" s="1"/>
  <c r="F13" i="5"/>
  <c r="F14" i="5" s="1"/>
  <c r="F18" i="5" s="1"/>
  <c r="F19" i="5" s="1"/>
  <c r="E44" i="3" s="1"/>
  <c r="C47" i="3" l="1"/>
  <c r="G15" i="5"/>
  <c r="G16" i="5" s="1"/>
  <c r="G13" i="5"/>
  <c r="D40" i="3"/>
  <c r="D41" i="3"/>
  <c r="D45" i="3" s="1"/>
  <c r="D47" i="3" s="1"/>
  <c r="C16" i="4"/>
  <c r="C28" i="4" s="1"/>
  <c r="G37" i="3"/>
  <c r="H9" i="5"/>
  <c r="H12" i="5" s="1"/>
  <c r="G42" i="3"/>
  <c r="C72" i="4" s="1"/>
  <c r="G35" i="3"/>
  <c r="G34" i="3"/>
  <c r="H10" i="5" s="1"/>
  <c r="F38" i="3"/>
  <c r="F36" i="3"/>
  <c r="F39" i="3"/>
  <c r="C67" i="4"/>
  <c r="D67" i="4" s="1"/>
  <c r="C63" i="4"/>
  <c r="D63" i="4" s="1"/>
  <c r="C65" i="4"/>
  <c r="D65" i="4" s="1"/>
  <c r="C64" i="4"/>
  <c r="D64" i="4" s="1"/>
  <c r="C66" i="4"/>
  <c r="D66" i="4" s="1"/>
  <c r="E38" i="3"/>
  <c r="E39" i="3"/>
  <c r="E36" i="3"/>
  <c r="G14" i="5"/>
  <c r="C73" i="4" l="1"/>
  <c r="E40" i="3"/>
  <c r="E41" i="3" s="1"/>
  <c r="E45" i="3" s="1"/>
  <c r="H15" i="5"/>
  <c r="H16" i="5" s="1"/>
  <c r="H13" i="5"/>
  <c r="G36" i="3"/>
  <c r="G38" i="3"/>
  <c r="G39" i="3"/>
  <c r="F40" i="3"/>
  <c r="F41" i="3" s="1"/>
  <c r="G18" i="5"/>
  <c r="G19" i="5" s="1"/>
  <c r="F44" i="3" s="1"/>
  <c r="H14" i="5"/>
  <c r="H18" i="5" s="1"/>
  <c r="H19" i="5" s="1"/>
  <c r="G44" i="3" s="1"/>
  <c r="F45" i="3" l="1"/>
  <c r="F47" i="3" s="1"/>
  <c r="E47" i="3"/>
  <c r="G40" i="3"/>
  <c r="G41" i="3" s="1"/>
  <c r="G45" i="3" s="1"/>
  <c r="C59" i="3"/>
  <c r="C60" i="3" s="1"/>
  <c r="C61" i="3" s="1"/>
  <c r="C51" i="3" l="1"/>
  <c r="C52" i="3" s="1"/>
  <c r="G47" i="3"/>
  <c r="H13" i="7"/>
  <c r="H18" i="7"/>
  <c r="H12" i="7"/>
  <c r="E24" i="7"/>
  <c r="E13" i="7"/>
  <c r="G9" i="7"/>
  <c r="G20" i="7"/>
  <c r="E10" i="7"/>
  <c r="E18" i="7"/>
  <c r="F8" i="7"/>
  <c r="H7" i="7"/>
  <c r="C20" i="7"/>
  <c r="C8" i="7"/>
  <c r="F7" i="7"/>
  <c r="G23" i="7"/>
  <c r="I21" i="7"/>
  <c r="C9" i="7"/>
  <c r="F11" i="7"/>
  <c r="E7" i="7"/>
  <c r="F9" i="7"/>
  <c r="D9" i="7"/>
  <c r="E9" i="7"/>
  <c r="F24" i="7"/>
  <c r="I12" i="7"/>
  <c r="D12" i="7"/>
  <c r="H20" i="7"/>
  <c r="I23" i="7"/>
  <c r="E20" i="7"/>
  <c r="D24" i="7"/>
  <c r="G24" i="7"/>
  <c r="C19" i="7"/>
  <c r="I9" i="7"/>
  <c r="D23" i="7"/>
  <c r="D19" i="7"/>
  <c r="E22" i="7"/>
  <c r="H11" i="7"/>
  <c r="E8" i="7"/>
  <c r="I24" i="7"/>
  <c r="I19" i="7"/>
  <c r="C7" i="7"/>
  <c r="F20" i="7"/>
  <c r="H10" i="7"/>
  <c r="D7" i="7"/>
  <c r="I13" i="7"/>
  <c r="C23" i="7"/>
  <c r="C24" i="7"/>
  <c r="E23" i="7"/>
  <c r="H23" i="7"/>
  <c r="G21" i="7"/>
  <c r="D10" i="7"/>
  <c r="F21" i="7"/>
  <c r="H19" i="7"/>
  <c r="D18" i="7"/>
  <c r="I10" i="7"/>
  <c r="H24" i="7"/>
  <c r="C13" i="7"/>
  <c r="G7" i="7"/>
  <c r="I11" i="7"/>
  <c r="C10" i="7"/>
  <c r="C21" i="7"/>
  <c r="G8" i="7"/>
  <c r="D13" i="7"/>
  <c r="C11" i="7"/>
  <c r="I22" i="7"/>
  <c r="I20" i="7"/>
  <c r="F10" i="7"/>
  <c r="H8" i="7"/>
  <c r="H21" i="7"/>
  <c r="H22" i="7"/>
  <c r="G10" i="7"/>
  <c r="C22" i="7"/>
  <c r="D11" i="7"/>
  <c r="G11" i="7"/>
  <c r="C12" i="7"/>
  <c r="I7" i="7"/>
  <c r="F13" i="7"/>
  <c r="F22" i="7"/>
  <c r="E11" i="7"/>
  <c r="H9" i="7"/>
  <c r="G22" i="7"/>
  <c r="D20" i="7"/>
  <c r="F18" i="7"/>
  <c r="G12" i="7"/>
  <c r="D22" i="7"/>
  <c r="F12" i="7"/>
  <c r="F19" i="7"/>
  <c r="E19" i="7"/>
  <c r="G19" i="7"/>
  <c r="E12" i="7"/>
  <c r="C18" i="7"/>
  <c r="E21" i="7"/>
  <c r="D21" i="7"/>
  <c r="D8" i="7"/>
  <c r="I18" i="7"/>
  <c r="G18" i="7"/>
  <c r="G13" i="7"/>
  <c r="I8" i="7"/>
  <c r="F23" i="7"/>
  <c r="C50" i="3"/>
  <c r="C58" i="3" l="1"/>
  <c r="C62" i="3" s="1"/>
  <c r="C53" i="3"/>
  <c r="C63" i="3" l="1"/>
  <c r="C64" i="3" s="1"/>
  <c r="C17" i="1" s="1"/>
  <c r="D17" i="1" s="1"/>
  <c r="C17" i="4"/>
  <c r="C54" i="3"/>
  <c r="C55" i="3" s="1"/>
  <c r="C16" i="1"/>
  <c r="C21" i="1" l="1"/>
  <c r="D16" i="1"/>
  <c r="C10" i="1"/>
  <c r="C12" i="1" s="1"/>
  <c r="C11" i="1" s="1"/>
  <c r="C19" i="4"/>
  <c r="C20" i="4" s="1"/>
  <c r="B79" i="4" s="1"/>
</calcChain>
</file>

<file path=xl/sharedStrings.xml><?xml version="1.0" encoding="utf-8"?>
<sst xmlns="http://schemas.openxmlformats.org/spreadsheetml/2006/main" count="407" uniqueCount="327">
  <si>
    <t>DISCLAIMER: This is a sample analysis for demonstration purposes only. It does not constitute investment advice.</t>
  </si>
  <si>
    <t>ブリヂストン (5108.T)</t>
  </si>
  <si>
    <t>Equity Research Report</t>
  </si>
  <si>
    <t>Company</t>
  </si>
  <si>
    <t>ブリヂストン</t>
  </si>
  <si>
    <t>Ticker</t>
  </si>
  <si>
    <t>5108.T (TSE Prime)</t>
  </si>
  <si>
    <t>Sector</t>
  </si>
  <si>
    <t>ゴム製品</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</si>
  <si>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</si>
  <si>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</si>
  <si>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</si>
  <si>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</si>
  <si>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</si>
  <si>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</si>
  <si>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</si>
  <si>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</si>
  <si>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</si>
  <si>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</si>
  <si>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</si>
  <si>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</si>
  <si>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</si>
  <si>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</si>
  <si>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</si>
  <si>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1. [Edit] Describe key competitive advantage</t>
  </si>
  <si>
    <t>2. [Edit] Describe growth driver</t>
  </si>
  <si>
    <t>3. [Edit] Describe margin expansion opportunity</t>
  </si>
  <si>
    <t>Key Risks</t>
  </si>
  <si>
    <t>1. [Edit] Describe primary risk factor</t>
  </si>
  <si>
    <t>2. [Edit] Describe secondary risk factor</t>
  </si>
  <si>
    <t>3. [Edit] Describe tertiary risk factor</t>
  </si>
  <si>
    <t>ブリヂストン - Historical Financials (JPY mn)</t>
  </si>
  <si>
    <t>FY2022</t>
  </si>
  <si>
    <t>FY2023</t>
  </si>
  <si>
    <t>FY2024</t>
  </si>
  <si>
    <t>FY2025</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</si>
  <si>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</si>
  <si>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</si>
  <si>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</si>
  <si>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</si>
  <si>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</si>
  <si>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</si>
  <si>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</si>
  <si>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</si>
  <si>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</si>
  <si>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</si>
  <si>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</si>
  <si>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</si>
  <si>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</si>
  <si>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</si>
  <si>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</si>
  <si>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</si>
  <si>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</si>
  <si>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</si>
  <si>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</si>
  <si>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</si>
  <si>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</si>
  <si>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</si>
  <si>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</si>
  <si>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2/4, Cash 3/4, Debt 2/4 — blank cells are years with no year-key match in the source data (verify against 決算短信 or set hist_ocf / hist_cash / hist_debt in overrides).</t>
  </si>
  <si>
    <t>DCF Valuation Model - ブリヂストン</t>
  </si>
  <si>
    <t>Assumptions</t>
  </si>
  <si>
    <t>Capex / Revenue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</si>
  <si>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</si>
  <si>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</si>
  <si>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</si>
  <si>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</si>
  <si>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</si>
  <si>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</si>
  <si>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</si>
  <si>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</si>
  <si>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</si>
  <si>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</si>
  <si>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</si>
  <si>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</si>
  <si>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</si>
  <si>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</si>
  <si>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</si>
  <si>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</si>
  <si>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</si>
  <si>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</si>
  <si>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</si>
  <si>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</si>
  <si>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</si>
  <si>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</si>
  <si>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</si>
  <si>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FY2026(E)</t>
  </si>
  <si>
    <t>FY2027(E)</t>
  </si>
  <si>
    <t>FY2028(E)</t>
  </si>
  <si>
    <t>FY2029(E)</t>
  </si>
  <si>
    <t>FY2030(E)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</si>
  <si>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</si>
  <si>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</si>
  <si>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</si>
  <si>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</si>
  <si>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</si>
  <si>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</si>
  <si>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</si>
  <si>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</si>
  <si>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</si>
  <si>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</si>
  <si>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</si>
  <si>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</si>
  <si>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</si>
  <si>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</si>
  <si>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</si>
  <si>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</si>
  <si>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</si>
  <si>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</si>
  <si>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</si>
  <si>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</si>
  <si>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</si>
  <si>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</si>
  <si>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</si>
  <si>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</si>
  <si>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</si>
  <si>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</si>
  <si>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</si>
  <si>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</si>
  <si>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</si>
  <si>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</si>
  <si>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</si>
  <si>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</si>
  <si>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</si>
  <si>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</si>
  <si>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ブリヂストン (5108.T)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</si>
  <si>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</si>
  <si>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</si>
  <si>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</si>
  <si>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</si>
  <si>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</si>
  <si>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</si>
  <si>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</si>
  <si>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</si>
  <si>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(FY2025 actual)</t>
  </si>
  <si>
    <t>Cycle-peak Operating Profit (FY2023 actual)</t>
  </si>
  <si>
    <t>Terminal-year Revenue, active scenario (JPY mn)</t>
  </si>
  <si>
    <t>Base-case DCF Enterprise Value, PGM (JPY mn)</t>
  </si>
  <si>
    <t>Cycle-peak Operating Margin (FY2023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</si>
  <si>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</si>
  <si>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</si>
  <si>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</si>
  <si>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</si>
  <si>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</si>
  <si>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</si>
  <si>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FY2023 peak</t>
  </si>
  <si>
    <t>... as a multiple of FY2025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</si>
  <si>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</si>
  <si>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</si>
  <si>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</si>
  <si>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</si>
  <si>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</si>
  <si>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</si>
  <si>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</si>
  <si>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</si>
  <si>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</si>
  <si>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</si>
  <si>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</si>
  <si>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</si>
  <si>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</si>
  <si>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</si>
  <si>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FY2023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</si>
  <si>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</si>
  <si>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</si>
  <si>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</si>
  <si>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</si>
  <si>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</si>
  <si>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</si>
  <si>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(FY2023)</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</si>
  <si>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</si>
  <si>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</si>
  <si>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</si>
  <si>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</si>
  <si>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</si>
  <si>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</si>
  <si>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</si>
  <si>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</si>
  <si>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ブリヂストン</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</si>
  <si>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</si>
  <si>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</si>
  <si>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</si>
  <si>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</si>
  <si>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</si>
  <si>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</si>
  <si>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</si>
  <si>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</si>
  <si>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</si>
  <si>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</si>
  <si>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</si>
  <si>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</si>
  <si>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</si>
  <si>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</si>
  <si>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</si>
  <si>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</si>
  <si>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</si>
  <si>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</si>
  <si>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</si>
  <si>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</si>
  <si>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</si>
  <si>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</si>
  <si>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</si>
  <si>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</si>
  <si>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</si>
  <si>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</si>
  <si>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</si>
  <si>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</si>
  <si>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</si>
  <si>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</si>
  <si>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</si>
  <si>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</si>
  <si>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</si>
  <si>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</si>
  <si>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Bridgestone Corporation</t>
  </si>
  <si>
    <t>5108.T</t>
  </si>
  <si>
    <t>The Yokohama Rubber Company, Limited</t>
  </si>
  <si>
    <t>5101.T</t>
  </si>
  <si>
    <t>Toyo Tire Corporation</t>
  </si>
  <si>
    <t>5105.T</t>
  </si>
  <si>
    <t>Sumitomo Rubber Industries, Ltd.</t>
  </si>
  <si>
    <t>5110.T</t>
  </si>
  <si>
    <t>Statistics</t>
  </si>
  <si>
    <t>25th Percentile</t>
  </si>
  <si>
    <t>Median (50th)</t>
  </si>
  <si>
    <t>75th Percentile</t>
  </si>
  <si>
    <t>Implied Valuation for ブリヂストン</t>
  </si>
  <si>
    <t>ブリヂストン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</si>
  <si>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</si>
  <si>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</si>
  <si>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</si>
  <si>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</si>
  <si>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</si>
  <si>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</si>
  <si>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</si>
  <si>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</si>
  <si>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</si>
  <si>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</si>
  <si>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</si>
  <si>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</si>
  <si>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</si>
  <si>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</si>
  <si>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</si>
  <si>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ブリヂストン</t>
  </si>
  <si>
    <t>日付</t>
  </si>
  <si>
    <t>セル</t>
  </si>
  <si>
    <t>変更内容</t>
  </si>
  <si>
    <t>理由</t>
  </si>
  <si>
    <t>元の値</t>
  </si>
  <si>
    <t>状態</t>
  </si>
  <si>
    <t>2026-09-06</t>
  </si>
  <si>
    <t>-</t>
  </si>
  <si>
    <t>Generated by pipeline on 2026-09-06 02:22, template rev c9b5dd9</t>
  </si>
  <si>
    <t>初期生成（手修正なし）</t>
  </si>
  <si>
    <t>generated</t>
  </si>
  <si>
    <t>DCF Model!C11</t>
  </si>
  <si>
    <t>After-tax Cost of Debt = 4.25% (実績ベース)</t>
  </si>
  <si>
    <t>実績Kd = 支払利息44,019 ÷ 平均有利子負債777,368(期首727,721/期末827,015、debt_beginning/debt_ending) = 税引前5.66% × (1−25.0%) = 4.25%。【マージナルコスト注記】これは既存借入の実績平均コストであり、新規調達の限界コストではない。テンプレ既定(税引前2.8% = 税引後1.00%)は10年JGB+スプレッドの推定値で、金利上昇局面での借換え・増額調達には既定値に近い水準を当てるべき。WACCは実績Kd採用で低下する（＝保守的でない方向）</t>
  </si>
  <si>
    <t>テンプレ既定/overrides 1.00%(税引後)</t>
  </si>
  <si>
    <t>確定(実績)</t>
  </si>
  <si>
    <t>Pipeline Metadata (do not edit — read by scripts/validate_output.py)</t>
  </si>
  <si>
    <t>key</t>
  </si>
  <si>
    <t>value</t>
  </si>
  <si>
    <t>auto_log_entries</t>
  </si>
  <si>
    <t>1</t>
  </si>
  <si>
    <t>capex_pct_basis</t>
  </si>
  <si>
    <t>assumption</t>
  </si>
  <si>
    <t>capex_pct_c5</t>
  </si>
  <si>
    <t>0.083685</t>
  </si>
  <si>
    <t>capex_pct_hist3yr</t>
  </si>
  <si>
    <t>company_name</t>
  </si>
  <si>
    <t>comps_asof</t>
  </si>
  <si>
    <t>comps_da_missing</t>
  </si>
  <si>
    <t>none</t>
  </si>
  <si>
    <t>comps_ev_ebitda_invalid</t>
  </si>
  <si>
    <t>no</t>
  </si>
  <si>
    <t>comps_ev_ebitda_rows</t>
  </si>
  <si>
    <t>6,7,8</t>
  </si>
  <si>
    <t>comps_impl_mult_row</t>
  </si>
  <si>
    <t>27</t>
  </si>
  <si>
    <t>comps_impl_per_row</t>
  </si>
  <si>
    <t>28</t>
  </si>
  <si>
    <t>comps_peer_rows</t>
  </si>
  <si>
    <t>comps_stale_excluded</t>
  </si>
  <si>
    <t>comps_stat_median_row</t>
  </si>
  <si>
    <t>16</t>
  </si>
  <si>
    <t>comps_subject_row</t>
  </si>
  <si>
    <t>5</t>
  </si>
  <si>
    <t>cost_of_debt_actual</t>
  </si>
  <si>
    <t>interest 44,019 (expense 44,019 + fees 0) / avg debt 777,368 (debt_beginning/debt_ending) = 0.056626 pre-tax -&gt; 0.042500 after-tax</t>
  </si>
  <si>
    <t>cost_of_debt_at_c11</t>
  </si>
  <si>
    <t>0.0425</t>
  </si>
  <si>
    <t>cost_of_debt_avg_debt</t>
  </si>
  <si>
    <t>777368.0</t>
  </si>
  <si>
    <t>cost_of_debt_basis</t>
  </si>
  <si>
    <t>actual</t>
  </si>
  <si>
    <t>cost_of_debt_interest</t>
  </si>
  <si>
    <t>44019.0</t>
  </si>
  <si>
    <t>cost_of_debt_pretax</t>
  </si>
  <si>
    <t>0.0566256907925204</t>
  </si>
  <si>
    <t>da_pct_basis</t>
  </si>
  <si>
    <t>da_pct_c18</t>
  </si>
  <si>
    <t>0.0797</t>
  </si>
  <si>
    <t>da_pct_hist3yr</t>
  </si>
  <si>
    <t>0.079156</t>
  </si>
  <si>
    <t>fs_year_coverage</t>
  </si>
  <si>
    <t>OCF 2/4, Cash 3/4, Debt 2/4</t>
  </si>
  <si>
    <t>fs_year_map</t>
  </si>
  <si>
    <t>FY2022&lt;-FY2022[]; FY2023&lt;-FY2023[cash]; FY2024&lt;-FY2024[ocf+cash+debt]; FY2025&lt;-FY2025[ocf+cash+debt]</t>
  </si>
  <si>
    <t>fs_year_sources</t>
  </si>
  <si>
    <t>overrides: none | EDINET year-key match: hist_ocf, hist_cash, hist_debt, hist_capex, hist_depreciation</t>
  </si>
  <si>
    <t>fx_sensitivity</t>
  </si>
  <si>
    <t>not enabled</t>
  </si>
  <si>
    <t>generated_at</t>
  </si>
  <si>
    <t>2026-09-06 02:22:09</t>
  </si>
  <si>
    <t>ltm_revenue_c20</t>
  </si>
  <si>
    <t>4634682.0</t>
  </si>
  <si>
    <t>ltm_revenue_source</t>
  </si>
  <si>
    <t>LTM row</t>
  </si>
  <si>
    <t>narrative_tokens_used</t>
  </si>
  <si>
    <t>reverse_dcf_sheet</t>
  </si>
  <si>
    <t>op0=381,237(FY2025) peak=481,775(FY2023) peak_opm=0.1117 N=3/5/7/10</t>
  </si>
  <si>
    <t>scenario_index_range</t>
  </si>
  <si>
    <t>B69:B73</t>
  </si>
  <si>
    <t>tax_rate_c6</t>
  </si>
  <si>
    <t>0.25</t>
  </si>
  <si>
    <t>template_rev</t>
  </si>
  <si>
    <t>c9b5dd9</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</si>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</sst>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x14ac:dyDescent="0.3">
      <c r="B1" s="45" t="s">
        <v>0</v>
      </c>
      <c r="C1" s="44"/>
      <c r="D1" s="44"/>
      <c r="E1" s="44"/>
    </row>
    <row r="3" spans="2:5" ht="18" x14ac:dyDescent="0.4">
      <c r="B3" s="43" t="s">
        <v>1</v>
      </c>
      <c r="C3" s="44"/>
      <c r="D3" s="44"/>
    </row>
    <row r="4" spans="2:5" ht="14" x14ac:dyDescent="0.3">
      <c r="B4" s="3" t="s">
        <v>2</v>
      </c>
    </row>
    <row r="6" spans="2:5" ht="14" x14ac:dyDescent="0.3">
      <c r="B6" s="4" t="s">
        <v>3</v>
      </c>
      <c r="C6" t="s">
        <v>4</v>
      </c>
    </row>
    <row r="7" spans="2:5" ht="14" x14ac:dyDescent="0.3">
      <c r="B7" s="4" t="s">
        <v>5</v>
      </c>
      <c r="C7" t="s">
        <v>6</v>
      </c>
    </row>
    <row r="8" spans="2:5" ht="14" x14ac:dyDescent="0.3">
      <c r="B8" s="4" t="s">
        <v>7</v>
      </c>
      <c r="C8" t="s">
        <v>8</v>
      </c>
    </row>
    <row r="9" spans="2:5" ht="14" x14ac:dyDescent="0.3">
      <c r="B9" s="4" t="s">
        <v>9</v>
      </c>
      <c r="C9" s="5">
        <v>3961</v>
      </c>
    </row>
    <row r="10" spans="2:5" ht="14" x14ac:dyDescent="0.3">
      <c r="B10" s="4" t="s">
        <v>10</v>
      </c>
      <c r="C10" s="5">
        <f>IF(COUNT(C16:C17)=0,"N/A",ROUND(AVERAGE(C16:C17),0))</f>
        <v>4245</v>
      </c>
    </row>
    <row r="11" spans="2:5" ht="14" x14ac:dyDescent="0.3">
      <c r="B11" s="4" t="s">
        <v>11</v>
      </c>
      <c r="C11" s="6" t="str">
        <f>IF(NOT(ISNUMBER(C12)),"N/A",IF(C12&gt;0.15,"BUY",IF(C12&gt;0.05,"HOLD","SELL")))</f>
        <v>HOLD</v>
      </c>
    </row>
    <row r="12" spans="2:5" ht="14" x14ac:dyDescent="0.3">
      <c r="B12" s="4" t="s">
        <v>12</v>
      </c>
      <c r="C12" s="7">
        <f>IF(ISNUMBER(C10),(C10-C9)/C9,"N/A")</f>
        <v>7.1699065892451397E-2</v>
      </c>
    </row>
    <row r="14" spans="2:5" ht="14" x14ac:dyDescent="0.3">
      <c r="B14" s="8" t="s">
        <v>13</v>
      </c>
      <c r="C14" s="9"/>
      <c r="D14" s="9"/>
    </row>
    <row r="15" spans="2:5" ht="14" x14ac:dyDescent="0.3">
      <c r="B15" s="10" t="s">
        <v>14</v>
      </c>
      <c r="C15" s="10" t="s">
        <v>15</v>
      </c>
      <c r="D15" s="10" t="s">
        <v>16</v>
      </c>
    </row>
    <row r="16" spans="2:5" ht="13.5" x14ac:dyDescent="0.25">
      <c r="B16" t="s">
        <v>17</v>
      </c>
      <c r="C16" s="11">
        <f>IF('DCF Model'!C53&lt;'DCF Model'!C16,"INVALID (EV &lt; net debt)",'DCF Model'!C55)</f>
        <v>3934</v>
      </c>
      <c r="D16" s="7">
        <f>IF(ISNUMBER(C16),(C16-C9)/C9,"N/A")</f>
        <v>-6.8164604897753096E-3</v>
      </c>
    </row>
    <row r="17" spans="2:5" ht="13.5" x14ac:dyDescent="0.25">
      <c r="B17" t="s">
        <v>18</v>
      </c>
      <c r="C17" s="11">
        <f>IF('DCF Model'!C62&lt;'DCF Model'!C16,"INVALID (EV &lt; net debt)",'DCF Model'!C64)</f>
        <v>4555</v>
      </c>
      <c r="D17" s="7">
        <f>IF(ISNUMBER(C17),(C17-C9)/C9,"N/A")</f>
        <v>0.1499621307750568</v>
      </c>
    </row>
    <row r="18" spans="2:5" ht="13.5" x14ac:dyDescent="0.25">
      <c r="B18" t="s">
        <v>19</v>
      </c>
      <c r="C18" s="11">
        <f>'Comps Analysis'!C27</f>
        <v>3890</v>
      </c>
      <c r="D18" s="7">
        <f>IF(ISNUMBER(C18),(C18-C9)/C9,"N/A")</f>
        <v>-1.7924766473112849E-2</v>
      </c>
    </row>
    <row r="19" spans="2:5" ht="13.5" x14ac:dyDescent="0.25">
      <c r="B19" t="s">
        <v>20</v>
      </c>
      <c r="C19" s="11">
        <f>'Comps Analysis'!C28</f>
        <v>2334</v>
      </c>
      <c r="D19" s="7">
        <f>IF(ISNUMBER(C19),(C19-C9)/C9,"N/A")</f>
        <v>-0.41075485988386773</v>
      </c>
    </row>
    <row r="20" spans="2:5" ht="14" x14ac:dyDescent="0.3">
      <c r="B20" s="45" t="s">
        <v>21</v>
      </c>
      <c r="C20" s="44"/>
      <c r="D20" s="44"/>
      <c r="E20" s="44"/>
    </row>
    <row r="21" spans="2:5" ht="14" x14ac:dyDescent="0.3">
      <c r="B21" s="4" t="s">
        <v>22</v>
      </c>
      <c r="C21" s="6" t="str">
        <f>IF(COUNT(C16:C17)=0,"N/A",MIN(C16:C17)&amp;" - "&amp;MAX(C16:C17))</f>
        <v>3934 - 4555</v>
      </c>
    </row>
    <row r="23" spans="2:5" ht="14" x14ac:dyDescent="0.3">
      <c r="B23" s="8" t="s">
        <v>23</v>
      </c>
      <c r="C23" s="9"/>
      <c r="D23" s="9"/>
    </row>
    <row r="24" spans="2:5" x14ac:dyDescent="0.2">
      <c r="B24" t="s">
        <v>24</v>
      </c>
    </row>
    <row r="25" spans="2:5" x14ac:dyDescent="0.2">
      <c r="B25" t="s">
        <v>25</v>
      </c>
    </row>
    <row r="26" spans="2:5" x14ac:dyDescent="0.2">
      <c r="B26" t="s">
        <v>26</v>
      </c>
    </row>
    <row r="28" spans="2:5" ht="14" x14ac:dyDescent="0.3">
      <c r="B28" s="8" t="s">
        <v>27</v>
      </c>
      <c r="C28" s="9"/>
      <c r="D28" s="9"/>
    </row>
    <row r="29" spans="2:5" x14ac:dyDescent="0.2">
      <c r="B29" t="s">
        <v>28</v>
      </c>
    </row>
    <row r="30" spans="2:5" x14ac:dyDescent="0.2">
      <c r="B30" t="s">
        <v>29</v>
      </c>
    </row>
    <row r="31" spans="2:5" x14ac:dyDescent="0.2">
      <c r="B31" t="s">
        <v>30</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x14ac:dyDescent="0.4">
      <c r="B2" s="2" t="s">
        <v>31</v>
      </c>
    </row>
    <row r="4" spans="2:6" ht="14" x14ac:dyDescent="0.3">
      <c r="C4" s="10" t="s">
        <v>32</v>
      </c>
      <c r="D4" s="10" t="s">
        <v>33</v>
      </c>
      <c r="E4" s="10" t="s">
        <v>34</v>
      </c>
      <c r="F4" s="10" t="s">
        <v>35</v>
      </c>
    </row>
    <row r="5" spans="2:6" ht="14" x14ac:dyDescent="0.3">
      <c r="B5" s="3" t="s">
        <v>36</v>
      </c>
    </row>
    <row r="6" spans="2:6" ht="14" x14ac:dyDescent="0.3">
      <c r="B6" s="4" t="s">
        <v>37</v>
      </c>
      <c r="C6" s="5">
        <v>4110070</v>
      </c>
      <c r="D6" s="5">
        <v>4313800</v>
      </c>
      <c r="E6" s="5">
        <v>4430096</v>
      </c>
      <c r="F6" s="5">
        <v>4429452</v>
      </c>
    </row>
    <row r="7" spans="2:6" ht="14" x14ac:dyDescent="0.3">
      <c r="B7" s="4" t="s">
        <v>38</v>
      </c>
      <c r="C7" s="5">
        <v>2516821</v>
      </c>
      <c r="D7" s="5">
        <v>2661228</v>
      </c>
      <c r="E7" s="5">
        <v>2704093</v>
      </c>
      <c r="F7" s="5">
        <v>2722789</v>
      </c>
    </row>
    <row r="8" spans="2:6" ht="14" x14ac:dyDescent="0.3">
      <c r="B8" s="4" t="s">
        <v>39</v>
      </c>
      <c r="C8" s="5">
        <f>C6-C7</f>
        <v>1593249</v>
      </c>
      <c r="D8" s="5">
        <f>D6-D7</f>
        <v>1652572</v>
      </c>
      <c r="E8" s="5">
        <f>E6-E7</f>
        <v>1726003</v>
      </c>
      <c r="F8" s="5">
        <f>F6-F7</f>
        <v>1706663</v>
      </c>
    </row>
    <row r="9" spans="2:6" ht="13.5" x14ac:dyDescent="0.25">
      <c r="B9" t="s">
        <v>40</v>
      </c>
      <c r="C9" s="7">
        <f>C8/C6</f>
        <v>0.38764522258744982</v>
      </c>
      <c r="D9" s="7">
        <f>D8/D6</f>
        <v>0.38308961936112013</v>
      </c>
      <c r="E9" s="7">
        <f>E8/E6</f>
        <v>0.38960848703955853</v>
      </c>
      <c r="F9" s="7">
        <f>F8/F6</f>
        <v>0.38529890379216208</v>
      </c>
    </row>
    <row r="10" spans="2:6" ht="14" x14ac:dyDescent="0.3">
      <c r="B10" s="4" t="s">
        <v>41</v>
      </c>
      <c r="C10" s="5">
        <v>1151950</v>
      </c>
      <c r="D10" s="5">
        <v>1170797</v>
      </c>
      <c r="E10" s="5">
        <v>1282684</v>
      </c>
      <c r="F10" s="5">
        <v>1325426</v>
      </c>
    </row>
    <row r="11" spans="2:6" ht="14" x14ac:dyDescent="0.3">
      <c r="B11" s="4" t="s">
        <v>42</v>
      </c>
      <c r="C11" s="5">
        <v>441299</v>
      </c>
      <c r="D11" s="5">
        <v>481775</v>
      </c>
      <c r="E11" s="5">
        <v>443319</v>
      </c>
      <c r="F11" s="5">
        <v>381237</v>
      </c>
    </row>
    <row r="12" spans="2:6" ht="14" x14ac:dyDescent="0.3">
      <c r="B12" s="4" t="s">
        <v>43</v>
      </c>
      <c r="C12" s="5">
        <v>300305</v>
      </c>
      <c r="D12" s="5">
        <v>331305</v>
      </c>
      <c r="E12" s="5">
        <v>284989</v>
      </c>
      <c r="F12" s="5">
        <v>327264</v>
      </c>
    </row>
    <row r="13" spans="2:6" ht="13.5" x14ac:dyDescent="0.25">
      <c r="B13" t="s">
        <v>44</v>
      </c>
      <c r="C13" s="7">
        <f>C11/C6</f>
        <v>0.10737019077533959</v>
      </c>
      <c r="D13" s="7">
        <f>D11/D6</f>
        <v>0.11168227548796884</v>
      </c>
      <c r="E13" s="7">
        <f>E11/E6</f>
        <v>0.10006984047298298</v>
      </c>
      <c r="F13" s="7">
        <f>F11/F6</f>
        <v>8.6068660412168374E-2</v>
      </c>
    </row>
    <row r="14" spans="2:6" ht="13.5" x14ac:dyDescent="0.25">
      <c r="B14" t="s">
        <v>45</v>
      </c>
      <c r="C14" s="7">
        <f>C12/C6</f>
        <v>7.306566554827533E-2</v>
      </c>
      <c r="D14" s="7">
        <f>D12/D6</f>
        <v>7.6801196161157215E-2</v>
      </c>
      <c r="E14" s="7">
        <f>E12/E6</f>
        <v>6.4330208645591427E-2</v>
      </c>
      <c r="F14" s="7">
        <f>F12/F6</f>
        <v>7.3883631654660664E-2</v>
      </c>
    </row>
    <row r="15" spans="2:6" ht="13.5" x14ac:dyDescent="0.25">
      <c r="B15" t="s">
        <v>46</v>
      </c>
      <c r="C15" t="s">
        <v>47</v>
      </c>
      <c r="D15" s="7">
        <f>(D6-C6)/C6</f>
        <v>4.9568498833353201E-2</v>
      </c>
      <c r="E15" s="7">
        <f>(E6-D6)/D6</f>
        <v>2.6959061616208448E-2</v>
      </c>
      <c r="F15" s="7">
        <f>(F6-E6)/E6</f>
        <v>-1.4536931028131218E-4</v>
      </c>
    </row>
    <row r="16" spans="2:6" ht="13.5" x14ac:dyDescent="0.25">
      <c r="B16" t="s">
        <v>48</v>
      </c>
      <c r="C16" t="s">
        <v>47</v>
      </c>
      <c r="D16" s="7">
        <f>(D11-C11)/C11</f>
        <v>9.1720126263599058E-2</v>
      </c>
      <c r="E16" s="7">
        <f>(E11-D11)/D11</f>
        <v>-7.9821493435732443E-2</v>
      </c>
      <c r="F16" s="7">
        <f>(F11-E11)/E11</f>
        <v>-0.14003911404654437</v>
      </c>
    </row>
    <row r="18" spans="2:6" ht="14" x14ac:dyDescent="0.3">
      <c r="B18" s="3" t="s">
        <v>49</v>
      </c>
    </row>
    <row r="19" spans="2:6" ht="14" x14ac:dyDescent="0.3">
      <c r="B19" s="4" t="s">
        <v>50</v>
      </c>
      <c r="C19" s="5"/>
      <c r="D19" s="5"/>
      <c r="E19" s="5">
        <v>548844</v>
      </c>
      <c r="F19" s="5">
        <v>660442</v>
      </c>
    </row>
    <row r="20" spans="2:6" ht="14" x14ac:dyDescent="0.3">
      <c r="B20" s="4" t="s">
        <v>51</v>
      </c>
      <c r="C20" s="5"/>
      <c r="D20" s="5"/>
      <c r="E20" s="5"/>
      <c r="F20" s="5"/>
    </row>
    <row r="21" spans="2:6" ht="14" x14ac:dyDescent="0.3">
      <c r="B21" s="4" t="s">
        <v>52</v>
      </c>
    </row>
    <row r="22" spans="2:6" x14ac:dyDescent="0.2">
      <c r="B22" t="s">
        <v>53</v>
      </c>
    </row>
    <row r="23" spans="2:6" x14ac:dyDescent="0.2">
      <c r="B23" t="s">
        <v>54</v>
      </c>
    </row>
    <row r="25" spans="2:6" ht="14" x14ac:dyDescent="0.3">
      <c r="B25" s="3" t="s">
        <v>55</v>
      </c>
    </row>
    <row r="26" spans="2:6" ht="14" x14ac:dyDescent="0.3">
      <c r="B26" s="4" t="s">
        <v>56</v>
      </c>
      <c r="C26" s="5"/>
      <c r="D26" s="5">
        <v>724601</v>
      </c>
      <c r="E26" s="5">
        <v>706732</v>
      </c>
      <c r="F26" s="5">
        <v>713810</v>
      </c>
    </row>
    <row r="27" spans="2:6" ht="14" x14ac:dyDescent="0.3">
      <c r="B27" s="4" t="s">
        <v>57</v>
      </c>
      <c r="C27" s="5"/>
      <c r="D27" s="5"/>
      <c r="E27" s="5">
        <v>378381</v>
      </c>
      <c r="F27" s="5">
        <v>487270</v>
      </c>
    </row>
    <row r="28" spans="2:6" ht="14" x14ac:dyDescent="0.3">
      <c r="B28" s="4" t="s">
        <v>58</v>
      </c>
      <c r="E28" s="5">
        <f>E27-E26</f>
        <v>-328351</v>
      </c>
      <c r="F28" s="5">
        <f>F27-F26</f>
        <v>-226540</v>
      </c>
    </row>
    <row r="30" spans="2:6" ht="14" x14ac:dyDescent="0.3">
      <c r="B30" s="1" t="s">
        <v>59</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x14ac:dyDescent="0.4">
      <c r="B2" s="2" t="s">
        <v>60</v>
      </c>
    </row>
    <row r="4" spans="2:7" ht="14" x14ac:dyDescent="0.3">
      <c r="B4" s="8" t="s">
        <v>61</v>
      </c>
      <c r="C4" s="9"/>
      <c r="D4" s="9"/>
      <c r="E4" s="9"/>
      <c r="F4" s="9"/>
      <c r="G4" s="9"/>
    </row>
    <row r="5" spans="2:7" ht="14" x14ac:dyDescent="0.3">
      <c r="B5" s="4" t="s">
        <v>62</v>
      </c>
      <c r="C5" s="7">
        <v>8.3684999999999996E-2</v>
      </c>
    </row>
    <row r="6" spans="2:7" ht="14" x14ac:dyDescent="0.3">
      <c r="B6" s="4" t="s">
        <v>63</v>
      </c>
      <c r="C6" s="7">
        <v>0.25</v>
      </c>
    </row>
    <row r="7" spans="2:7" ht="14" x14ac:dyDescent="0.3">
      <c r="B7" s="4" t="s">
        <v>64</v>
      </c>
      <c r="C7" s="7">
        <v>2.9700000000000001E-2</v>
      </c>
    </row>
    <row r="8" spans="2:7" ht="14" x14ac:dyDescent="0.3">
      <c r="B8" s="4" t="s">
        <v>65</v>
      </c>
      <c r="C8" s="12">
        <v>0.6</v>
      </c>
    </row>
    <row r="9" spans="2:7" ht="14" x14ac:dyDescent="0.3">
      <c r="B9" s="4" t="s">
        <v>66</v>
      </c>
      <c r="C9" s="7">
        <v>6.5000000000000002E-2</v>
      </c>
    </row>
    <row r="10" spans="2:7" ht="14" x14ac:dyDescent="0.3">
      <c r="B10" s="4" t="s">
        <v>67</v>
      </c>
      <c r="C10" s="7">
        <v>0.01</v>
      </c>
    </row>
    <row r="11" spans="2:7" ht="14" x14ac:dyDescent="0.3">
      <c r="B11" s="4" t="s">
        <v>68</v>
      </c>
      <c r="C11" s="7">
        <v>4.2500000000000003E-2</v>
      </c>
    </row>
    <row r="12" spans="2:7" ht="14" x14ac:dyDescent="0.3">
      <c r="B12" s="4" t="s">
        <v>69</v>
      </c>
      <c r="C12" s="13">
        <v>2.3099999999999999E-2</v>
      </c>
    </row>
    <row r="13" spans="2:7" ht="14" x14ac:dyDescent="0.3">
      <c r="B13" s="4" t="s">
        <v>70</v>
      </c>
      <c r="C13" s="7">
        <v>0.01</v>
      </c>
    </row>
    <row r="14" spans="2:7" ht="14" x14ac:dyDescent="0.3">
      <c r="B14" s="4" t="s">
        <v>71</v>
      </c>
      <c r="C14" s="14">
        <v>6.7</v>
      </c>
    </row>
    <row r="15" spans="2:7" ht="14" x14ac:dyDescent="0.3">
      <c r="B15" s="4" t="s">
        <v>72</v>
      </c>
      <c r="C15" s="15">
        <v>1239319283</v>
      </c>
    </row>
    <row r="16" spans="2:7" ht="14" x14ac:dyDescent="0.3">
      <c r="B16" s="4" t="s">
        <v>73</v>
      </c>
      <c r="C16" s="5">
        <v>113205</v>
      </c>
    </row>
    <row r="17" spans="2:7" ht="14" x14ac:dyDescent="0.3">
      <c r="B17" s="4" t="s">
        <v>74</v>
      </c>
      <c r="C17" s="5">
        <v>4429452</v>
      </c>
    </row>
    <row r="18" spans="2:7" ht="14" x14ac:dyDescent="0.3">
      <c r="B18" s="4" t="s">
        <v>75</v>
      </c>
      <c r="C18" s="7">
        <v>7.9699999999999993E-2</v>
      </c>
    </row>
    <row r="19" spans="2:7" ht="14" x14ac:dyDescent="0.3">
      <c r="B19" s="4" t="s">
        <v>76</v>
      </c>
      <c r="C19" s="12">
        <v>0.5</v>
      </c>
    </row>
    <row r="20" spans="2:7" ht="14" x14ac:dyDescent="0.3">
      <c r="B20" s="4" t="s">
        <v>77</v>
      </c>
      <c r="C20" s="5">
        <v>4634682</v>
      </c>
    </row>
    <row r="22" spans="2:7" ht="14" x14ac:dyDescent="0.3">
      <c r="B22" s="8" t="s">
        <v>78</v>
      </c>
      <c r="C22" s="9"/>
      <c r="D22" s="9"/>
      <c r="E22" s="9"/>
      <c r="F22" s="9"/>
      <c r="G22" s="9"/>
    </row>
    <row r="23" spans="2:7" ht="14" x14ac:dyDescent="0.3">
      <c r="B23" s="4" t="s">
        <v>79</v>
      </c>
      <c r="C23" s="16">
        <f>C7+C8*C9+C10</f>
        <v>7.8699999999999992E-2</v>
      </c>
    </row>
    <row r="24" spans="2:7" ht="14" x14ac:dyDescent="0.3">
      <c r="B24" s="4" t="s">
        <v>80</v>
      </c>
      <c r="C24" s="16">
        <f>1/(1+C12)</f>
        <v>0.97742156191965601</v>
      </c>
    </row>
    <row r="25" spans="2:7" ht="14" x14ac:dyDescent="0.3">
      <c r="B25" s="4" t="s">
        <v>81</v>
      </c>
      <c r="C25" s="16">
        <f>C12/(1+C12)</f>
        <v>2.2578438080344054E-2</v>
      </c>
    </row>
    <row r="26" spans="2:7" ht="14" x14ac:dyDescent="0.3">
      <c r="B26" s="4" t="s">
        <v>82</v>
      </c>
      <c r="C26" s="16">
        <f>C23*C24+C11*C25</f>
        <v>7.7882660541491552E-2</v>
      </c>
    </row>
    <row r="27" spans="2:7" ht="14" x14ac:dyDescent="0.3">
      <c r="B27" s="4" t="s">
        <v>83</v>
      </c>
      <c r="C27" s="17" t="s">
        <v>84</v>
      </c>
      <c r="D27" s="6">
        <f>MATCH(C27,B69:B73,0)</f>
        <v>1</v>
      </c>
    </row>
    <row r="28" spans="2:7" ht="14" x14ac:dyDescent="0.3">
      <c r="B28" s="8" t="s">
        <v>85</v>
      </c>
      <c r="C28" s="9"/>
      <c r="D28" s="9"/>
      <c r="E28" s="9"/>
      <c r="F28" s="9"/>
      <c r="G28" s="9"/>
    </row>
    <row r="29" spans="2:7" ht="14" x14ac:dyDescent="0.3">
      <c r="C29" s="10" t="s">
        <v>86</v>
      </c>
      <c r="D29" s="10" t="s">
        <v>87</v>
      </c>
      <c r="E29" s="10" t="s">
        <v>88</v>
      </c>
      <c r="F29" s="10" t="s">
        <v>89</v>
      </c>
      <c r="G29" s="10" t="s">
        <v>90</v>
      </c>
    </row>
    <row r="30" spans="2:7" ht="14" x14ac:dyDescent="0.3">
      <c r="B30" s="4" t="s">
        <v>46</v>
      </c>
      <c r="C30" s="18">
        <f>CHOOSE($D$27,C69,C70,C71,C72,C73)</f>
        <v>0.02</v>
      </c>
      <c r="D30" s="18">
        <f>CHOOSE($D$27,D69,D70,D71,D72,D73)</f>
        <v>2.5000000000000001E-2</v>
      </c>
      <c r="E30" s="18">
        <f>CHOOSE($D$27,E69,E70,E71,E72,E73)</f>
        <v>2.5000000000000001E-2</v>
      </c>
      <c r="F30" s="18">
        <f>CHOOSE($D$27,F69,F70,F71,F72,F73)</f>
        <v>0.02</v>
      </c>
      <c r="G30" s="18">
        <f>CHOOSE($D$27,G69,G70,G71,G72,G73)</f>
        <v>0.02</v>
      </c>
    </row>
    <row r="31" spans="2:7" ht="14" x14ac:dyDescent="0.3">
      <c r="B31" s="4" t="s">
        <v>91</v>
      </c>
      <c r="C31" s="18">
        <f>CHOOSE($D$27,C76,C77,C78,C79,C80)</f>
        <v>0.61499999999999999</v>
      </c>
      <c r="D31" s="18">
        <f>CHOOSE($D$27,D76,D77,D78,D79,D80)</f>
        <v>0.61499999999999999</v>
      </c>
      <c r="E31" s="18">
        <f>CHOOSE($D$27,E76,E77,E78,E79,E80)</f>
        <v>0.61499999999999999</v>
      </c>
      <c r="F31" s="18">
        <f>CHOOSE($D$27,F76,F77,F78,F79,F80)</f>
        <v>0.61499999999999999</v>
      </c>
      <c r="G31" s="18">
        <f>CHOOSE($D$27,G76,G77,G78,G79,G80)</f>
        <v>0.61499999999999999</v>
      </c>
    </row>
    <row r="32" spans="2:7" ht="14" x14ac:dyDescent="0.3">
      <c r="B32" s="4" t="s">
        <v>92</v>
      </c>
      <c r="C32" s="18">
        <f>CHOOSE($D$27,C83,C84,C85,C86,C87)</f>
        <v>0.29499999999999998</v>
      </c>
      <c r="D32" s="18">
        <f>CHOOSE($D$27,D83,D84,D85,D86,D87)</f>
        <v>0.28999999999999998</v>
      </c>
      <c r="E32" s="18">
        <f>CHOOSE($D$27,E83,E84,E85,E86,E87)</f>
        <v>0.28599999999999998</v>
      </c>
      <c r="F32" s="18">
        <f>CHOOSE($D$27,F83,F84,F85,F86,F87)</f>
        <v>0.28349999999999997</v>
      </c>
      <c r="G32" s="18">
        <f>CHOOSE($D$27,G83,G84,G85,G86,G87)</f>
        <v>0.28129999999999999</v>
      </c>
    </row>
    <row r="33" spans="2:7" ht="14" x14ac:dyDescent="0.3">
      <c r="B33" s="4" t="s">
        <v>37</v>
      </c>
      <c r="C33" s="5">
        <f>C17*(1+C30)</f>
        <v>4518041.04</v>
      </c>
      <c r="D33" s="5">
        <f>C33*(1+D30)</f>
        <v>4630992.0659999996</v>
      </c>
      <c r="E33" s="5">
        <f>D33*(1+E30)</f>
        <v>4746766.8676499994</v>
      </c>
      <c r="F33" s="5">
        <f>E33*(1+F30)</f>
        <v>4841702.2050029999</v>
      </c>
      <c r="G33" s="5">
        <f>F33*(1+G30)</f>
        <v>4938536.24910306</v>
      </c>
    </row>
    <row r="34" spans="2:7" ht="14" x14ac:dyDescent="0.3">
      <c r="B34" s="4" t="s">
        <v>38</v>
      </c>
      <c r="C34" s="5">
        <f>C33*C31</f>
        <v>2778595.2396</v>
      </c>
      <c r="D34" s="5">
        <f>D33*D31</f>
        <v>2848060.1205899999</v>
      </c>
      <c r="E34" s="5">
        <f>E33*E31</f>
        <v>2919261.6236047498</v>
      </c>
      <c r="F34" s="5">
        <f>F33*F31</f>
        <v>2977646.856076845</v>
      </c>
      <c r="G34" s="5">
        <f>G33*G31</f>
        <v>3037199.793198382</v>
      </c>
    </row>
    <row r="35" spans="2:7" ht="14" x14ac:dyDescent="0.3">
      <c r="B35" s="4" t="s">
        <v>39</v>
      </c>
      <c r="C35" s="19">
        <f>C33-C34</f>
        <v>1739445.8004000001</v>
      </c>
      <c r="D35" s="19">
        <f>D33-D34</f>
        <v>1782931.9454099997</v>
      </c>
      <c r="E35" s="19">
        <f>E33-E34</f>
        <v>1827505.2440452497</v>
      </c>
      <c r="F35" s="19">
        <f>F33-F34</f>
        <v>1864055.3489261549</v>
      </c>
      <c r="G35" s="19">
        <f>G33-G34</f>
        <v>1901336.455904678</v>
      </c>
    </row>
    <row r="36" spans="2:7" ht="14" x14ac:dyDescent="0.3">
      <c r="B36" s="4" t="s">
        <v>40</v>
      </c>
      <c r="C36" s="7">
        <f>C35/C33</f>
        <v>0.38500000000000001</v>
      </c>
      <c r="D36" s="7">
        <f>D35/D33</f>
        <v>0.38499999999999995</v>
      </c>
      <c r="E36" s="7">
        <f>E35/E33</f>
        <v>0.38499999999999995</v>
      </c>
      <c r="F36" s="7">
        <f>F35/F33</f>
        <v>0.38500000000000001</v>
      </c>
      <c r="G36" s="7">
        <f>G35/G33</f>
        <v>0.38499999999999995</v>
      </c>
    </row>
    <row r="37" spans="2:7" ht="14" x14ac:dyDescent="0.3">
      <c r="B37" s="4" t="s">
        <v>93</v>
      </c>
      <c r="C37" s="5">
        <f>C33*C32</f>
        <v>1332822.1068</v>
      </c>
      <c r="D37" s="5">
        <f>D33*D32</f>
        <v>1342987.6991399997</v>
      </c>
      <c r="E37" s="5">
        <f>E33*E32</f>
        <v>1357575.3241478996</v>
      </c>
      <c r="F37" s="5">
        <f>F33*F32</f>
        <v>1372622.5751183503</v>
      </c>
      <c r="G37" s="5">
        <f>G33*G32</f>
        <v>1389210.2468726907</v>
      </c>
    </row>
    <row r="38" spans="2:7" ht="14" x14ac:dyDescent="0.3">
      <c r="B38" s="4" t="s">
        <v>94</v>
      </c>
      <c r="C38" s="7">
        <f>(C35-C37)/C33</f>
        <v>9.0000000000000024E-2</v>
      </c>
      <c r="D38" s="7">
        <f>(D35-D37)/D33</f>
        <v>9.5000000000000001E-2</v>
      </c>
      <c r="E38" s="7">
        <f>(E35-E37)/E33</f>
        <v>9.9000000000000019E-2</v>
      </c>
      <c r="F38" s="7">
        <f>(F35-F37)/F33</f>
        <v>0.10150000000000002</v>
      </c>
      <c r="G38" s="7">
        <f>(G35-G37)/G33</f>
        <v>0.10369999999999999</v>
      </c>
    </row>
    <row r="39" spans="2:7" ht="14" x14ac:dyDescent="0.3">
      <c r="B39" s="4" t="s">
        <v>95</v>
      </c>
      <c r="C39" s="19">
        <f>C35-C37</f>
        <v>406623.69360000012</v>
      </c>
      <c r="D39" s="19">
        <f>D35-D37</f>
        <v>439944.24627</v>
      </c>
      <c r="E39" s="19">
        <f>E35-E37</f>
        <v>469929.91989735002</v>
      </c>
      <c r="F39" s="19">
        <f>F35-F37</f>
        <v>491432.77380780457</v>
      </c>
      <c r="G39" s="19">
        <f>G35-G37</f>
        <v>512126.20903198724</v>
      </c>
    </row>
    <row r="40" spans="2:7" ht="14" x14ac:dyDescent="0.3">
      <c r="B40" s="4" t="s">
        <v>96</v>
      </c>
      <c r="C40" s="5">
        <f>MAX(0,C39*C6)</f>
        <v>101655.92340000003</v>
      </c>
      <c r="D40" s="5">
        <f>MAX(0,D39*C6)</f>
        <v>109986.0615675</v>
      </c>
      <c r="E40" s="5">
        <f>MAX(0,E39*C6)</f>
        <v>117482.4799743375</v>
      </c>
      <c r="F40" s="5">
        <f>MAX(0,F39*C6)</f>
        <v>122858.19345195114</v>
      </c>
      <c r="G40" s="5">
        <f>MAX(0,G39*C6)</f>
        <v>128031.55225799681</v>
      </c>
    </row>
    <row r="41" spans="2:7" ht="14" x14ac:dyDescent="0.3">
      <c r="B41" s="4" t="s">
        <v>97</v>
      </c>
      <c r="C41" s="19">
        <f>C39-C40</f>
        <v>304967.77020000009</v>
      </c>
      <c r="D41" s="19">
        <f>D39-D40</f>
        <v>329958.1847025</v>
      </c>
      <c r="E41" s="19">
        <f>E39-E40</f>
        <v>352447.43992301251</v>
      </c>
      <c r="F41" s="19">
        <f>F39-F40</f>
        <v>368574.58035585342</v>
      </c>
      <c r="G41" s="19">
        <f>G39-G40</f>
        <v>384094.65677399043</v>
      </c>
    </row>
    <row r="42" spans="2:7" ht="14" x14ac:dyDescent="0.3">
      <c r="B42" s="4" t="s">
        <v>98</v>
      </c>
      <c r="C42" s="5">
        <f>C33*C18</f>
        <v>360087.87088799995</v>
      </c>
      <c r="D42" s="5">
        <f>D33*C18</f>
        <v>369090.06766019994</v>
      </c>
      <c r="E42" s="5">
        <f>E33*C18</f>
        <v>378317.31935170491</v>
      </c>
      <c r="F42" s="5">
        <f>F33*C18</f>
        <v>385883.66573873907</v>
      </c>
      <c r="G42" s="5">
        <f>G33*C18</f>
        <v>393601.33905351383</v>
      </c>
    </row>
    <row r="43" spans="2:7" ht="14" x14ac:dyDescent="0.3">
      <c r="B43" s="4" t="s">
        <v>99</v>
      </c>
      <c r="C43" s="5">
        <v>312400</v>
      </c>
      <c r="D43" s="5">
        <v>337600</v>
      </c>
      <c r="E43" s="5">
        <v>362800</v>
      </c>
      <c r="F43" s="5">
        <v>388100</v>
      </c>
      <c r="G43" s="5">
        <v>413300</v>
      </c>
    </row>
    <row r="44" spans="2:7" ht="14" x14ac:dyDescent="0.3">
      <c r="B44" s="4" t="s">
        <v>100</v>
      </c>
      <c r="C44" s="5">
        <f>'NWC Schedule'!D19</f>
        <v>-21269.868536986411</v>
      </c>
      <c r="D44" s="5">
        <f>'NWC Schedule'!E19</f>
        <v>33916.253286575433</v>
      </c>
      <c r="E44" s="5">
        <f>'NWC Schedule'!F19</f>
        <v>34764.159618739504</v>
      </c>
      <c r="F44" s="5">
        <f>'NWC Schedule'!G19</f>
        <v>28506.61088736658</v>
      </c>
      <c r="G44" s="5">
        <f>'NWC Schedule'!H19</f>
        <v>29076.743105113739</v>
      </c>
    </row>
    <row r="45" spans="2:7" ht="14" x14ac:dyDescent="0.3">
      <c r="B45" s="4" t="s">
        <v>101</v>
      </c>
      <c r="C45" s="20">
        <f>C41+C42-C43-C44</f>
        <v>373925.50962498644</v>
      </c>
      <c r="D45" s="20">
        <f>D41+D42-D43-D44</f>
        <v>327531.99907612451</v>
      </c>
      <c r="E45" s="20">
        <f>E41+E42-E43-E44</f>
        <v>333200.59965597792</v>
      </c>
      <c r="F45" s="20">
        <f>F41+F42-F43-F44</f>
        <v>337851.63520722592</v>
      </c>
      <c r="G45" s="20">
        <f>G41+G42-G43-G44</f>
        <v>335319.25272239046</v>
      </c>
    </row>
    <row r="46" spans="2:7" ht="14" x14ac:dyDescent="0.3">
      <c r="B46" s="4" t="s">
        <v>102</v>
      </c>
      <c r="C46" s="21">
        <f>1/(1+C26)^(C19+0)</f>
        <v>0.96319508360485051</v>
      </c>
      <c r="D46" s="21">
        <f>1/(1+C26)^(C19+1)</f>
        <v>0.89359920041850749</v>
      </c>
      <c r="E46" s="21">
        <f>1/(1+C26)^(C19+2)</f>
        <v>0.82903198384283661</v>
      </c>
      <c r="F46" s="21">
        <f>1/(1+C26)^(C19+3)</f>
        <v>0.7691300864106666</v>
      </c>
      <c r="G46" s="21">
        <f>1/(1+C26)^(C19+4)</f>
        <v>0.71355641440997097</v>
      </c>
    </row>
    <row r="47" spans="2:7" ht="14" x14ac:dyDescent="0.3">
      <c r="B47" s="4" t="s">
        <v>103</v>
      </c>
      <c r="C47" s="19">
        <f>C45*C46</f>
        <v>360163.21250522515</v>
      </c>
      <c r="D47" s="19">
        <f>D45*D46</f>
        <v>292682.3324859002</v>
      </c>
      <c r="E47" s="19">
        <f>E45*E46</f>
        <v>276233.95415041817</v>
      </c>
      <c r="F47" s="19">
        <f>F45*F46</f>
        <v>259851.85738091869</v>
      </c>
      <c r="G47" s="19">
        <f>G45*G46</f>
        <v>239269.20365521984</v>
      </c>
    </row>
    <row r="49" spans="2:7" ht="14" x14ac:dyDescent="0.3">
      <c r="B49" s="22" t="s">
        <v>104</v>
      </c>
      <c r="C49" s="23"/>
      <c r="D49" s="23"/>
      <c r="E49" s="23"/>
      <c r="F49" s="23"/>
      <c r="G49" s="23"/>
    </row>
    <row r="50" spans="2:7" ht="14" x14ac:dyDescent="0.3">
      <c r="B50" s="4" t="s">
        <v>105</v>
      </c>
      <c r="C50" s="5">
        <f>SUM(C47:G47)</f>
        <v>1428200.5601776822</v>
      </c>
    </row>
    <row r="51" spans="2:7" ht="14" x14ac:dyDescent="0.3">
      <c r="B51" s="4" t="s">
        <v>106</v>
      </c>
      <c r="C51" s="5">
        <f>G45*(1+C13)/(C26-C13)</f>
        <v>4989086.2047548862</v>
      </c>
    </row>
    <row r="52" spans="2:7" ht="14" x14ac:dyDescent="0.3">
      <c r="B52" s="4" t="s">
        <v>107</v>
      </c>
      <c r="C52" s="5">
        <f>C51*G46</f>
        <v>3559994.463447147</v>
      </c>
    </row>
    <row r="53" spans="2:7" ht="14" x14ac:dyDescent="0.3">
      <c r="B53" s="4" t="s">
        <v>108</v>
      </c>
      <c r="C53" s="5">
        <f>C50+C52</f>
        <v>4988195.023624829</v>
      </c>
    </row>
    <row r="54" spans="2:7" ht="14" x14ac:dyDescent="0.3">
      <c r="B54" s="4" t="s">
        <v>109</v>
      </c>
      <c r="C54" s="5">
        <f>C53-C16</f>
        <v>4874990.023624829</v>
      </c>
    </row>
    <row r="55" spans="2:7" ht="14" x14ac:dyDescent="0.3">
      <c r="B55" s="4" t="s">
        <v>110</v>
      </c>
      <c r="C55" s="24">
        <f>ROUND(C54*1000000/C15,0)</f>
        <v>3934</v>
      </c>
    </row>
    <row r="57" spans="2:7" ht="14" x14ac:dyDescent="0.3">
      <c r="B57" s="22" t="s">
        <v>111</v>
      </c>
      <c r="C57" s="23"/>
      <c r="D57" s="23"/>
      <c r="E57" s="23"/>
      <c r="F57" s="23"/>
      <c r="G57" s="23"/>
    </row>
    <row r="58" spans="2:7" ht="14" x14ac:dyDescent="0.3">
      <c r="B58" s="4" t="s">
        <v>105</v>
      </c>
      <c r="C58" s="5">
        <f>C50</f>
        <v>1428200.5601776822</v>
      </c>
    </row>
    <row r="59" spans="2:7" ht="14" x14ac:dyDescent="0.3">
      <c r="B59" s="4" t="s">
        <v>112</v>
      </c>
      <c r="C59" s="5">
        <f>G39+G42</f>
        <v>905727.54808550107</v>
      </c>
    </row>
    <row r="60" spans="2:7" ht="14" x14ac:dyDescent="0.3">
      <c r="B60" s="4" t="s">
        <v>113</v>
      </c>
      <c r="C60" s="5">
        <f>C59*C14</f>
        <v>6068374.5721728569</v>
      </c>
    </row>
    <row r="61" spans="2:7" ht="14" x14ac:dyDescent="0.3">
      <c r="B61" s="4" t="s">
        <v>107</v>
      </c>
      <c r="C61" s="5">
        <f>C60*G46</f>
        <v>4330127.6010163054</v>
      </c>
    </row>
    <row r="62" spans="2:7" ht="14" x14ac:dyDescent="0.3">
      <c r="B62" s="4" t="s">
        <v>108</v>
      </c>
      <c r="C62" s="5">
        <f>C58+C61</f>
        <v>5758328.1611939874</v>
      </c>
    </row>
    <row r="63" spans="2:7" ht="14" x14ac:dyDescent="0.3">
      <c r="B63" s="4" t="s">
        <v>109</v>
      </c>
      <c r="C63" s="5">
        <f>C62-C16</f>
        <v>5645123.1611939874</v>
      </c>
    </row>
    <row r="64" spans="2:7" ht="14" x14ac:dyDescent="0.3">
      <c r="B64" s="4" t="s">
        <v>114</v>
      </c>
      <c r="C64" s="24">
        <f>ROUND(C63*1000000/C15,0)</f>
        <v>4555</v>
      </c>
    </row>
    <row r="66" spans="2:7" ht="14" x14ac:dyDescent="0.3">
      <c r="B66" s="22" t="s">
        <v>115</v>
      </c>
      <c r="C66" s="23"/>
      <c r="D66" s="23"/>
      <c r="E66" s="23"/>
      <c r="F66" s="23"/>
      <c r="G66" s="23"/>
    </row>
    <row r="67" spans="2:7" ht="14" x14ac:dyDescent="0.3">
      <c r="C67" s="25" t="s">
        <v>116</v>
      </c>
      <c r="D67" s="25" t="s">
        <v>117</v>
      </c>
      <c r="E67" s="25" t="s">
        <v>118</v>
      </c>
      <c r="F67" s="25" t="s">
        <v>119</v>
      </c>
      <c r="G67" s="25" t="s">
        <v>120</v>
      </c>
    </row>
    <row r="68" spans="2:7" ht="14" x14ac:dyDescent="0.3">
      <c r="B68" s="3" t="s">
        <v>46</v>
      </c>
    </row>
    <row r="69" spans="2:7" ht="14" x14ac:dyDescent="0.3">
      <c r="B69" s="4" t="s">
        <v>84</v>
      </c>
      <c r="C69" s="26">
        <v>0.02</v>
      </c>
      <c r="D69" s="26">
        <v>2.5000000000000001E-2</v>
      </c>
      <c r="E69" s="26">
        <v>2.5000000000000001E-2</v>
      </c>
      <c r="F69" s="26">
        <v>0.02</v>
      </c>
      <c r="G69" s="26">
        <v>0.02</v>
      </c>
    </row>
    <row r="70" spans="2:7" ht="14" x14ac:dyDescent="0.3">
      <c r="B70" s="4" t="s">
        <v>121</v>
      </c>
      <c r="C70" s="26">
        <v>0.04</v>
      </c>
      <c r="D70" s="26">
        <v>3.5000000000000003E-2</v>
      </c>
      <c r="E70" s="26">
        <v>0.03</v>
      </c>
      <c r="F70" s="26">
        <v>0.03</v>
      </c>
      <c r="G70" s="26">
        <v>2.5000000000000001E-2</v>
      </c>
    </row>
    <row r="71" spans="2:7" ht="14" x14ac:dyDescent="0.3">
      <c r="B71" s="4" t="s">
        <v>122</v>
      </c>
      <c r="C71" s="26">
        <v>0.02</v>
      </c>
      <c r="D71" s="26">
        <v>2.5000000000000001E-2</v>
      </c>
      <c r="E71" s="26">
        <v>2.5000000000000001E-2</v>
      </c>
      <c r="F71" s="26">
        <v>0.02</v>
      </c>
      <c r="G71" s="26">
        <v>0.02</v>
      </c>
    </row>
    <row r="72" spans="2:7" ht="14" x14ac:dyDescent="0.3">
      <c r="B72" s="4" t="s">
        <v>123</v>
      </c>
      <c r="C72" s="26">
        <v>0</v>
      </c>
      <c r="D72" s="26">
        <v>0.01</v>
      </c>
      <c r="E72" s="26">
        <v>1.4999999999999999E-2</v>
      </c>
      <c r="F72" s="26">
        <v>1.4999999999999999E-2</v>
      </c>
      <c r="G72" s="26">
        <v>1.4999999999999999E-2</v>
      </c>
    </row>
    <row r="73" spans="2:7" ht="14" x14ac:dyDescent="0.3">
      <c r="B73" s="4" t="s">
        <v>124</v>
      </c>
      <c r="C73" s="26">
        <v>-0.08</v>
      </c>
      <c r="D73" s="26">
        <v>-0.01</v>
      </c>
      <c r="E73" s="26">
        <v>0.01</v>
      </c>
      <c r="F73" s="26">
        <v>1.4999999999999999E-2</v>
      </c>
      <c r="G73" s="26">
        <v>1.4999999999999999E-2</v>
      </c>
    </row>
    <row r="75" spans="2:7" ht="14" x14ac:dyDescent="0.3">
      <c r="B75" s="3" t="s">
        <v>91</v>
      </c>
    </row>
    <row r="76" spans="2:7" ht="14" x14ac:dyDescent="0.3">
      <c r="B76" s="4" t="s">
        <v>84</v>
      </c>
      <c r="C76" s="26">
        <v>0.61499999999999999</v>
      </c>
      <c r="D76" s="26">
        <v>0.61499999999999999</v>
      </c>
      <c r="E76" s="26">
        <v>0.61499999999999999</v>
      </c>
      <c r="F76" s="26">
        <v>0.61499999999999999</v>
      </c>
      <c r="G76" s="26">
        <v>0.61499999999999999</v>
      </c>
    </row>
    <row r="77" spans="2:7" ht="14" x14ac:dyDescent="0.3">
      <c r="B77" s="4" t="s">
        <v>121</v>
      </c>
      <c r="C77" s="26">
        <v>0.60699999999999998</v>
      </c>
      <c r="D77" s="26">
        <v>0.60699999999999998</v>
      </c>
      <c r="E77" s="26">
        <v>0.60699999999999998</v>
      </c>
      <c r="F77" s="26">
        <v>0.60699999999999998</v>
      </c>
      <c r="G77" s="26">
        <v>0.60699999999999998</v>
      </c>
    </row>
    <row r="78" spans="2:7" ht="14" x14ac:dyDescent="0.3">
      <c r="B78" s="4" t="s">
        <v>122</v>
      </c>
      <c r="C78" s="26">
        <v>0.61499999999999999</v>
      </c>
      <c r="D78" s="26">
        <v>0.61499999999999999</v>
      </c>
      <c r="E78" s="26">
        <v>0.61499999999999999</v>
      </c>
      <c r="F78" s="26">
        <v>0.61499999999999999</v>
      </c>
      <c r="G78" s="26">
        <v>0.61499999999999999</v>
      </c>
    </row>
    <row r="79" spans="2:7" ht="14" x14ac:dyDescent="0.3">
      <c r="B79" s="4" t="s">
        <v>123</v>
      </c>
      <c r="C79" s="26">
        <v>0.623</v>
      </c>
      <c r="D79" s="26">
        <v>0.623</v>
      </c>
      <c r="E79" s="26">
        <v>0.623</v>
      </c>
      <c r="F79" s="26">
        <v>0.623</v>
      </c>
      <c r="G79" s="26">
        <v>0.623</v>
      </c>
    </row>
    <row r="80" spans="2:7" ht="14" x14ac:dyDescent="0.3">
      <c r="B80" s="4" t="s">
        <v>124</v>
      </c>
      <c r="C80" s="26">
        <v>0.63800000000000001</v>
      </c>
      <c r="D80" s="26">
        <v>0.63800000000000001</v>
      </c>
      <c r="E80" s="26">
        <v>0.63800000000000001</v>
      </c>
      <c r="F80" s="26">
        <v>0.63800000000000001</v>
      </c>
      <c r="G80" s="26">
        <v>0.63800000000000001</v>
      </c>
    </row>
    <row r="82" spans="2:7" ht="14" x14ac:dyDescent="0.3">
      <c r="B82" s="3" t="s">
        <v>92</v>
      </c>
    </row>
    <row r="83" spans="2:7" ht="14" x14ac:dyDescent="0.3">
      <c r="B83" s="4" t="s">
        <v>84</v>
      </c>
      <c r="C83" s="26">
        <v>0.29499999999999998</v>
      </c>
      <c r="D83" s="26">
        <v>0.28999999999999998</v>
      </c>
      <c r="E83" s="26">
        <v>0.28599999999999998</v>
      </c>
      <c r="F83" s="26">
        <v>0.28349999999999997</v>
      </c>
      <c r="G83" s="26">
        <v>0.28129999999999999</v>
      </c>
    </row>
    <row r="84" spans="2:7" ht="14" x14ac:dyDescent="0.3">
      <c r="B84" s="4" t="s">
        <v>121</v>
      </c>
      <c r="C84" s="26">
        <v>0.29399999999999998</v>
      </c>
      <c r="D84" s="26">
        <v>0.28999999999999998</v>
      </c>
      <c r="E84" s="26">
        <v>0.28699999999999998</v>
      </c>
      <c r="F84" s="26">
        <v>0.28549999999999998</v>
      </c>
      <c r="G84" s="26">
        <v>0.28460000000000002</v>
      </c>
    </row>
    <row r="85" spans="2:7" ht="14" x14ac:dyDescent="0.3">
      <c r="B85" s="4" t="s">
        <v>122</v>
      </c>
      <c r="C85" s="26">
        <v>0.29499999999999998</v>
      </c>
      <c r="D85" s="26">
        <v>0.28999999999999998</v>
      </c>
      <c r="E85" s="26">
        <v>0.28599999999999998</v>
      </c>
      <c r="F85" s="26">
        <v>0.28349999999999997</v>
      </c>
      <c r="G85" s="26">
        <v>0.28129999999999999</v>
      </c>
    </row>
    <row r="86" spans="2:7" ht="14" x14ac:dyDescent="0.3">
      <c r="B86" s="4" t="s">
        <v>123</v>
      </c>
      <c r="C86" s="26">
        <v>0.29299999999999998</v>
      </c>
      <c r="D86" s="26">
        <v>0.29599999999999999</v>
      </c>
      <c r="E86" s="26">
        <v>0.29799999999999999</v>
      </c>
      <c r="F86" s="26">
        <v>0.29949999999999999</v>
      </c>
      <c r="G86" s="26">
        <v>0.30049999999999999</v>
      </c>
    </row>
    <row r="87" spans="2:7" ht="14" x14ac:dyDescent="0.3">
      <c r="B87" s="4" t="s">
        <v>124</v>
      </c>
      <c r="C87" s="26">
        <v>0.29599999999999999</v>
      </c>
      <c r="D87" s="26">
        <v>0.30099999999999999</v>
      </c>
      <c r="E87" s="26">
        <v>0.30299999999999999</v>
      </c>
      <c r="F87" s="26">
        <v>0.30299999999999999</v>
      </c>
      <c r="G87" s="26">
        <v>0.30199999999999999</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x14ac:dyDescent="0.4">
      <c r="B2" s="2" t="s">
        <v>125</v>
      </c>
    </row>
    <row r="3" spans="2:9" ht="14" x14ac:dyDescent="0.3">
      <c r="B3" s="1" t="s">
        <v>126</v>
      </c>
    </row>
    <row r="5" spans="2:9" ht="14" x14ac:dyDescent="0.3">
      <c r="B5" s="8" t="s">
        <v>127</v>
      </c>
      <c r="C5" s="9"/>
      <c r="D5" s="9"/>
      <c r="E5" s="9"/>
      <c r="F5" s="9"/>
      <c r="G5" s="9"/>
      <c r="H5" s="9"/>
      <c r="I5" s="9"/>
    </row>
    <row r="6" spans="2:9" ht="14" x14ac:dyDescent="0.3">
      <c r="B6" s="4" t="s">
        <v>128</v>
      </c>
      <c r="C6" s="15">
        <f>'Executive Summary'!C9</f>
        <v>3961</v>
      </c>
    </row>
    <row r="7" spans="2:9" ht="14" x14ac:dyDescent="0.3">
      <c r="B7" s="4" t="s">
        <v>72</v>
      </c>
      <c r="C7" s="15">
        <f>'DCF Model'!C15</f>
        <v>1239319283</v>
      </c>
    </row>
    <row r="8" spans="2:9" ht="14" x14ac:dyDescent="0.3">
      <c r="B8" s="4" t="s">
        <v>129</v>
      </c>
      <c r="C8" s="5">
        <f>C6*C7/1000000</f>
        <v>4908943.6799630001</v>
      </c>
    </row>
    <row r="9" spans="2:9" ht="14" x14ac:dyDescent="0.3">
      <c r="B9" s="4" t="s">
        <v>73</v>
      </c>
      <c r="C9" s="5">
        <f>'DCF Model'!C16</f>
        <v>113205</v>
      </c>
    </row>
    <row r="10" spans="2:9" ht="14" x14ac:dyDescent="0.3">
      <c r="B10" s="4" t="s">
        <v>130</v>
      </c>
      <c r="C10" s="5">
        <f>C8+C9</f>
        <v>5022148.6799630001</v>
      </c>
    </row>
    <row r="11" spans="2:9" ht="14" x14ac:dyDescent="0.3">
      <c r="B11" s="4" t="s">
        <v>131</v>
      </c>
      <c r="C11" s="16">
        <f>'DCF Model'!C26</f>
        <v>7.7882660541491552E-2</v>
      </c>
    </row>
    <row r="12" spans="2:9" ht="14" x14ac:dyDescent="0.3">
      <c r="B12" s="4" t="s">
        <v>132</v>
      </c>
      <c r="C12" s="16">
        <f>'DCF Model'!C13</f>
        <v>0.01</v>
      </c>
    </row>
    <row r="13" spans="2:9" ht="14" x14ac:dyDescent="0.3">
      <c r="B13" s="4" t="s">
        <v>133</v>
      </c>
      <c r="C13" s="16">
        <f>'DCF Model'!C6</f>
        <v>0.25</v>
      </c>
    </row>
    <row r="14" spans="2:9" ht="14" x14ac:dyDescent="0.3">
      <c r="B14" s="4" t="s">
        <v>134</v>
      </c>
      <c r="C14" s="27">
        <v>381237</v>
      </c>
    </row>
    <row r="15" spans="2:9" ht="14" x14ac:dyDescent="0.3">
      <c r="B15" s="4" t="s">
        <v>135</v>
      </c>
      <c r="C15" s="27">
        <v>481775</v>
      </c>
    </row>
    <row r="16" spans="2:9" ht="14" x14ac:dyDescent="0.3">
      <c r="B16" s="4" t="s">
        <v>136</v>
      </c>
      <c r="C16" s="5">
        <f>'DCF Model'!G33</f>
        <v>4938536.24910306</v>
      </c>
    </row>
    <row r="17" spans="2:9" ht="14" x14ac:dyDescent="0.3">
      <c r="B17" s="4" t="s">
        <v>137</v>
      </c>
      <c r="C17" s="5">
        <f>'DCF Model'!C53</f>
        <v>4988195.023624829</v>
      </c>
    </row>
    <row r="18" spans="2:9" ht="14" x14ac:dyDescent="0.3">
      <c r="B18" s="4" t="s">
        <v>138</v>
      </c>
      <c r="C18" s="26">
        <v>0.1116822754879688</v>
      </c>
    </row>
    <row r="19" spans="2:9" ht="14" x14ac:dyDescent="0.3">
      <c r="B19" s="4" t="s">
        <v>139</v>
      </c>
      <c r="C19" s="5">
        <f>C10-C17</f>
        <v>33953.656338171102</v>
      </c>
    </row>
    <row r="20" spans="2:9" ht="14" x14ac:dyDescent="0.3">
      <c r="B20" s="4" t="s">
        <v>140</v>
      </c>
      <c r="C20" s="15">
        <f>IFERROR(ROUND(C19*1000000/C7,0),"N/A")</f>
        <v>27</v>
      </c>
    </row>
    <row r="22" spans="2:9" ht="14" x14ac:dyDescent="0.3">
      <c r="B22" s="8" t="s">
        <v>141</v>
      </c>
      <c r="C22" s="9"/>
      <c r="D22" s="9"/>
      <c r="E22" s="9"/>
      <c r="F22" s="9"/>
      <c r="G22" s="9"/>
      <c r="H22" s="9"/>
      <c r="I22" s="9"/>
    </row>
    <row r="23" spans="2:9" ht="14" x14ac:dyDescent="0.3">
      <c r="B23" s="1" t="s">
        <v>142</v>
      </c>
    </row>
    <row r="24" spans="2:9" ht="14" x14ac:dyDescent="0.3">
      <c r="B24" s="4" t="s">
        <v>143</v>
      </c>
      <c r="C24" s="5">
        <f>C10*(C11-C12)</f>
        <v>340916.81403082825</v>
      </c>
    </row>
    <row r="25" spans="2:9" ht="14" x14ac:dyDescent="0.3">
      <c r="B25" s="4" t="s">
        <v>144</v>
      </c>
      <c r="C25" s="5">
        <f>IFERROR(C24/(1-C13),"N/A")</f>
        <v>454555.75204110431</v>
      </c>
    </row>
    <row r="26" spans="2:9" ht="13.5" x14ac:dyDescent="0.25">
      <c r="B26" s="6" t="s">
        <v>145</v>
      </c>
      <c r="C26" s="14">
        <f>IFERROR(C25/C15,"N/A")</f>
        <v>0.94350215773152257</v>
      </c>
    </row>
    <row r="27" spans="2:9" ht="13.5" x14ac:dyDescent="0.25">
      <c r="B27" s="6" t="s">
        <v>146</v>
      </c>
      <c r="C27" s="14">
        <f>IFERROR(C25/C14,"N/A")</f>
        <v>1.1923180384933894</v>
      </c>
    </row>
    <row r="28" spans="2:9" ht="13.5" x14ac:dyDescent="0.25">
      <c r="B28" s="6" t="s">
        <v>147</v>
      </c>
      <c r="C28" s="7">
        <f>IFERROR(C25/C16,"N/A")</f>
        <v>9.2042607184195727E-2</v>
      </c>
    </row>
    <row r="29" spans="2:9" ht="13.5" x14ac:dyDescent="0.25">
      <c r="B29" s="6" t="s">
        <v>148</v>
      </c>
      <c r="C29" s="5">
        <f>IFERROR(C25/C18,"N/A")</f>
        <v>4070079.6080222437</v>
      </c>
    </row>
    <row r="32" spans="2:9" ht="14" x14ac:dyDescent="0.3">
      <c r="B32" s="8" t="s">
        <v>149</v>
      </c>
      <c r="C32" s="9"/>
      <c r="D32" s="9"/>
      <c r="E32" s="9"/>
      <c r="F32" s="9"/>
      <c r="G32" s="9"/>
      <c r="H32" s="9"/>
      <c r="I32" s="9"/>
    </row>
    <row r="33" spans="2:9" ht="14" x14ac:dyDescent="0.3">
      <c r="B33" s="1" t="s">
        <v>150</v>
      </c>
    </row>
    <row r="34" spans="2:9" ht="14" x14ac:dyDescent="0.3">
      <c r="B34" s="1" t="s">
        <v>151</v>
      </c>
    </row>
    <row r="36" spans="2:9" ht="14" x14ac:dyDescent="0.3">
      <c r="B36" s="28" t="s">
        <v>152</v>
      </c>
      <c r="C36" s="28" t="s">
        <v>153</v>
      </c>
      <c r="D36" s="29">
        <f>'DCF Model'!C26-0.02</f>
        <v>5.7882660541491548E-2</v>
      </c>
      <c r="E36" s="29">
        <f>'DCF Model'!C26-0.01</f>
        <v>6.7882660541491557E-2</v>
      </c>
      <c r="F36" s="29">
        <f>'DCF Model'!C26</f>
        <v>7.7882660541491552E-2</v>
      </c>
      <c r="G36" s="29">
        <f>'DCF Model'!C26+0.01</f>
        <v>8.7882660541491547E-2</v>
      </c>
      <c r="H36" s="29">
        <f>'DCF Model'!C26+0.02</f>
        <v>9.7882660541491556E-2</v>
      </c>
    </row>
    <row r="37" spans="2:9" ht="14" x14ac:dyDescent="0.3">
      <c r="B37" s="3" t="s">
        <v>154</v>
      </c>
    </row>
    <row r="38" spans="2:9" ht="14" x14ac:dyDescent="0.3">
      <c r="B38" s="4" t="s">
        <v>155</v>
      </c>
      <c r="C38" s="30">
        <v>3</v>
      </c>
      <c r="D38" s="13">
        <f t="shared" ref="D38:H41" si="0">IFERROR((1-(1+D$36)^(-$C38))/D$36-(1+D$36)/(D$36^2*$C38)*(1-($C38+1)/(1+D$36)^$C38+$C38/(1+D$36)^($C38+1)),"N/A")</f>
        <v>0.92804382833320664</v>
      </c>
      <c r="E38" s="13">
        <f t="shared" si="0"/>
        <v>0.91659024000192835</v>
      </c>
      <c r="F38" s="13">
        <f t="shared" si="0"/>
        <v>0.9053999649057991</v>
      </c>
      <c r="G38" s="13">
        <f t="shared" si="0"/>
        <v>0.8944643539657815</v>
      </c>
      <c r="H38" s="13">
        <f t="shared" si="0"/>
        <v>0.88377512332432451</v>
      </c>
    </row>
    <row r="39" spans="2:9" ht="14" x14ac:dyDescent="0.3">
      <c r="B39" s="4" t="s">
        <v>156</v>
      </c>
      <c r="C39" s="30">
        <v>5</v>
      </c>
      <c r="D39" s="13">
        <f t="shared" si="0"/>
        <v>1.7899242977431213</v>
      </c>
      <c r="E39" s="13">
        <f t="shared" si="0"/>
        <v>1.7575474080781519</v>
      </c>
      <c r="F39" s="13">
        <f t="shared" si="0"/>
        <v>1.7261943051703428</v>
      </c>
      <c r="G39" s="13">
        <f t="shared" si="0"/>
        <v>1.6958208130423755</v>
      </c>
      <c r="H39" s="13">
        <f t="shared" si="0"/>
        <v>1.6663851226063064</v>
      </c>
    </row>
    <row r="40" spans="2:9" ht="14" x14ac:dyDescent="0.3">
      <c r="B40" s="4" t="s">
        <v>157</v>
      </c>
      <c r="C40" s="30">
        <v>7</v>
      </c>
      <c r="D40" s="13">
        <f t="shared" si="0"/>
        <v>2.5909381623136678</v>
      </c>
      <c r="E40" s="13">
        <f t="shared" si="0"/>
        <v>2.5298772961464406</v>
      </c>
      <c r="F40" s="13">
        <f t="shared" si="0"/>
        <v>2.4712552823869078</v>
      </c>
      <c r="G40" s="13">
        <f t="shared" si="0"/>
        <v>2.4149425235061264</v>
      </c>
      <c r="H40" s="13">
        <f t="shared" si="0"/>
        <v>2.3608177969985928</v>
      </c>
    </row>
    <row r="41" spans="2:9" ht="14" x14ac:dyDescent="0.3">
      <c r="B41" s="4" t="s">
        <v>158</v>
      </c>
      <c r="C41" s="30">
        <v>10</v>
      </c>
      <c r="D41" s="13">
        <f t="shared" si="0"/>
        <v>3.6888186298928041</v>
      </c>
      <c r="E41" s="13">
        <f t="shared" si="0"/>
        <v>3.5733371931392726</v>
      </c>
      <c r="F41" s="13">
        <f t="shared" si="0"/>
        <v>3.4638441754408595</v>
      </c>
      <c r="G41" s="13">
        <f t="shared" si="0"/>
        <v>3.359935070564902</v>
      </c>
      <c r="H41" s="13">
        <f t="shared" si="0"/>
        <v>3.2612379856924116</v>
      </c>
    </row>
    <row r="42" spans="2:9" ht="14" x14ac:dyDescent="0.3">
      <c r="B42" s="3" t="s">
        <v>159</v>
      </c>
    </row>
    <row r="43" spans="2:9" ht="14" x14ac:dyDescent="0.3">
      <c r="B43" s="4" t="s">
        <v>155</v>
      </c>
      <c r="C43" s="30">
        <v>3</v>
      </c>
      <c r="D43" s="13">
        <f t="shared" ref="D43:H46" si="1">IFERROR((1+D$36)/(D$36^2*$C43)*(1-($C43+1)/(1+D$36)^$C43+$C43/(1+D$36)^($C43+1))+(1+$C$12)/((D$36-$C$12)*(1+D$36)^$C43),"N/A")</f>
        <v>19.57231096139072</v>
      </c>
      <c r="E43" s="13">
        <f t="shared" si="1"/>
        <v>16.046462396801235</v>
      </c>
      <c r="F43" s="13">
        <f t="shared" si="1"/>
        <v>13.562439700030993</v>
      </c>
      <c r="G43" s="13">
        <f t="shared" si="1"/>
        <v>11.718846880981506</v>
      </c>
      <c r="H43" s="13">
        <f t="shared" si="1"/>
        <v>10.296987745681374</v>
      </c>
    </row>
    <row r="44" spans="2:9" ht="14" x14ac:dyDescent="0.3">
      <c r="B44" s="4" t="s">
        <v>156</v>
      </c>
      <c r="C44" s="30">
        <v>5</v>
      </c>
      <c r="D44" s="13">
        <f t="shared" si="1"/>
        <v>18.367273905345623</v>
      </c>
      <c r="E44" s="13">
        <f t="shared" si="1"/>
        <v>14.930789663297174</v>
      </c>
      <c r="F44" s="13">
        <f t="shared" si="1"/>
        <v>12.514880257074129</v>
      </c>
      <c r="G44" s="13">
        <f t="shared" si="1"/>
        <v>10.726092556586099</v>
      </c>
      <c r="H44" s="13">
        <f t="shared" si="1"/>
        <v>9.350071417273746</v>
      </c>
    </row>
    <row r="45" spans="2:9" ht="14" x14ac:dyDescent="0.3">
      <c r="B45" s="4" t="s">
        <v>157</v>
      </c>
      <c r="C45" s="30">
        <v>7</v>
      </c>
      <c r="D45" s="13">
        <f t="shared" si="1"/>
        <v>17.259628135390134</v>
      </c>
      <c r="E45" s="13">
        <f t="shared" si="1"/>
        <v>13.917560109343682</v>
      </c>
      <c r="F45" s="13">
        <f t="shared" si="1"/>
        <v>11.574640207464725</v>
      </c>
      <c r="G45" s="13">
        <f t="shared" si="1"/>
        <v>9.8452474025011014</v>
      </c>
      <c r="H45" s="13">
        <f t="shared" si="1"/>
        <v>8.5193241217845852</v>
      </c>
    </row>
    <row r="46" spans="2:9" ht="14" x14ac:dyDescent="0.3">
      <c r="B46" s="4" t="s">
        <v>158</v>
      </c>
      <c r="C46" s="30">
        <v>10</v>
      </c>
      <c r="D46" s="13">
        <f t="shared" si="1"/>
        <v>15.761893864419864</v>
      </c>
      <c r="E46" s="13">
        <f t="shared" si="1"/>
        <v>12.567191850070831</v>
      </c>
      <c r="F46" s="13">
        <f t="shared" si="1"/>
        <v>10.339052360055783</v>
      </c>
      <c r="G46" s="13">
        <f t="shared" si="1"/>
        <v>8.7034433090715062</v>
      </c>
      <c r="H46" s="13">
        <f t="shared" si="1"/>
        <v>7.4567109164707217</v>
      </c>
    </row>
    <row r="47" spans="2:9" ht="14" x14ac:dyDescent="0.3">
      <c r="B47" s="22" t="s">
        <v>160</v>
      </c>
      <c r="C47" s="23"/>
      <c r="D47" s="23"/>
      <c r="E47" s="23"/>
      <c r="F47" s="23"/>
      <c r="G47" s="23"/>
      <c r="H47" s="23"/>
      <c r="I47" s="23"/>
    </row>
    <row r="48" spans="2:9" ht="14" x14ac:dyDescent="0.3">
      <c r="B48" s="4" t="s">
        <v>155</v>
      </c>
      <c r="C48" s="30">
        <v>3</v>
      </c>
      <c r="D48" s="5">
        <f t="shared" ref="D48:H51" si="2">IFERROR(($C$10/(1-$C$13)-$C$14*D38)/D43,"N/A")</f>
        <v>324049.2963493024</v>
      </c>
      <c r="E48" s="5">
        <f t="shared" si="2"/>
        <v>395523.94600620761</v>
      </c>
      <c r="F48" s="5">
        <f t="shared" si="2"/>
        <v>468280.51692759688</v>
      </c>
      <c r="G48" s="5">
        <f t="shared" si="2"/>
        <v>542305.51841680333</v>
      </c>
      <c r="H48" s="5">
        <f t="shared" si="2"/>
        <v>617585.51338734897</v>
      </c>
    </row>
    <row r="49" spans="2:9" ht="14" x14ac:dyDescent="0.3">
      <c r="B49" s="4" t="s">
        <v>156</v>
      </c>
      <c r="C49" s="30">
        <v>5</v>
      </c>
      <c r="D49" s="5">
        <f t="shared" si="2"/>
        <v>327420.00263314572</v>
      </c>
      <c r="E49" s="5">
        <f t="shared" si="2"/>
        <v>403605.98967854038</v>
      </c>
      <c r="F49" s="5">
        <f t="shared" si="2"/>
        <v>482474.38070510945</v>
      </c>
      <c r="G49" s="5">
        <f t="shared" si="2"/>
        <v>564016.07283671678</v>
      </c>
      <c r="H49" s="5">
        <f t="shared" si="2"/>
        <v>648220.77869548742</v>
      </c>
    </row>
    <row r="50" spans="2:9" ht="14" x14ac:dyDescent="0.3">
      <c r="B50" s="4" t="s">
        <v>157</v>
      </c>
      <c r="C50" s="30">
        <v>7</v>
      </c>
      <c r="D50" s="5">
        <f t="shared" si="2"/>
        <v>330739.26639588398</v>
      </c>
      <c r="E50" s="5">
        <f t="shared" si="2"/>
        <v>411833.35039822437</v>
      </c>
      <c r="F50" s="5">
        <f t="shared" si="2"/>
        <v>497126.83821898967</v>
      </c>
      <c r="G50" s="5">
        <f t="shared" si="2"/>
        <v>586631.55540911411</v>
      </c>
      <c r="H50" s="5">
        <f t="shared" si="2"/>
        <v>680355.27967002185</v>
      </c>
    </row>
    <row r="51" spans="2:9" ht="14" x14ac:dyDescent="0.3">
      <c r="B51" s="4" t="s">
        <v>158</v>
      </c>
      <c r="C51" s="30">
        <v>10</v>
      </c>
      <c r="D51" s="5">
        <f t="shared" si="2"/>
        <v>335612.21370024269</v>
      </c>
      <c r="E51" s="5">
        <f t="shared" si="2"/>
        <v>424431.3249996074</v>
      </c>
      <c r="F51" s="5">
        <f t="shared" si="2"/>
        <v>519936.69156823156</v>
      </c>
      <c r="G51" s="5">
        <f t="shared" si="2"/>
        <v>622198.18997493107</v>
      </c>
      <c r="H51" s="5">
        <f t="shared" si="2"/>
        <v>731273.30737130367</v>
      </c>
    </row>
    <row r="52" spans="2:9" ht="14" x14ac:dyDescent="0.3">
      <c r="B52" s="22" t="s">
        <v>161</v>
      </c>
      <c r="C52" s="23"/>
      <c r="D52" s="23"/>
      <c r="E52" s="23"/>
      <c r="F52" s="23"/>
      <c r="G52" s="23"/>
      <c r="H52" s="23"/>
      <c r="I52" s="23"/>
    </row>
    <row r="53" spans="2:9" ht="14" x14ac:dyDescent="0.3">
      <c r="B53" s="4" t="s">
        <v>155</v>
      </c>
      <c r="C53" s="30">
        <v>3</v>
      </c>
      <c r="D53" s="14">
        <f t="shared" ref="D53:H56" si="3">IFERROR(D48/$C$15,"N/A")</f>
        <v>0.67261542493757953</v>
      </c>
      <c r="E53" s="14">
        <f t="shared" si="3"/>
        <v>0.82097233357108113</v>
      </c>
      <c r="F53" s="14">
        <f t="shared" si="3"/>
        <v>0.97199007197882181</v>
      </c>
      <c r="G53" s="14">
        <f t="shared" si="3"/>
        <v>1.1256406380920623</v>
      </c>
      <c r="H53" s="14">
        <f t="shared" si="3"/>
        <v>1.2818961411184659</v>
      </c>
    </row>
    <row r="54" spans="2:9" ht="14" x14ac:dyDescent="0.3">
      <c r="B54" s="4" t="s">
        <v>156</v>
      </c>
      <c r="C54" s="30">
        <v>5</v>
      </c>
      <c r="D54" s="14">
        <f t="shared" si="3"/>
        <v>0.67961185747111352</v>
      </c>
      <c r="E54" s="14">
        <f t="shared" si="3"/>
        <v>0.83774788994559779</v>
      </c>
      <c r="F54" s="14">
        <f t="shared" si="3"/>
        <v>1.0014516749626059</v>
      </c>
      <c r="G54" s="14">
        <f t="shared" si="3"/>
        <v>1.1707043180669747</v>
      </c>
      <c r="H54" s="14">
        <f t="shared" si="3"/>
        <v>1.3454844661833583</v>
      </c>
    </row>
    <row r="55" spans="2:9" ht="14" x14ac:dyDescent="0.3">
      <c r="B55" s="4" t="s">
        <v>157</v>
      </c>
      <c r="C55" s="30">
        <v>7</v>
      </c>
      <c r="D55" s="14">
        <f t="shared" si="3"/>
        <v>0.68650151293837158</v>
      </c>
      <c r="E55" s="14">
        <f t="shared" si="3"/>
        <v>0.85482507477188396</v>
      </c>
      <c r="F55" s="14">
        <f t="shared" si="3"/>
        <v>1.0318651615774783</v>
      </c>
      <c r="G55" s="14">
        <f t="shared" si="3"/>
        <v>1.2176463191512927</v>
      </c>
      <c r="H55" s="14">
        <f t="shared" si="3"/>
        <v>1.4121846913393634</v>
      </c>
    </row>
    <row r="56" spans="2:9" ht="14" x14ac:dyDescent="0.3">
      <c r="B56" s="4" t="s">
        <v>158</v>
      </c>
      <c r="C56" s="30">
        <v>10</v>
      </c>
      <c r="D56" s="14">
        <f t="shared" si="3"/>
        <v>0.69661608364951</v>
      </c>
      <c r="E56" s="14">
        <f t="shared" si="3"/>
        <v>0.88097415806052082</v>
      </c>
      <c r="F56" s="14">
        <f t="shared" si="3"/>
        <v>1.0792106098660819</v>
      </c>
      <c r="G56" s="14">
        <f t="shared" si="3"/>
        <v>1.2914704789059852</v>
      </c>
      <c r="H56" s="14">
        <f t="shared" si="3"/>
        <v>1.5178730888304783</v>
      </c>
    </row>
    <row r="58" spans="2:9" ht="14" x14ac:dyDescent="0.3">
      <c r="B58" s="8" t="s">
        <v>162</v>
      </c>
      <c r="C58" s="9"/>
      <c r="D58" s="9"/>
      <c r="E58" s="9"/>
      <c r="F58" s="9"/>
      <c r="G58" s="9"/>
      <c r="H58" s="9"/>
      <c r="I58" s="9"/>
    </row>
    <row r="59" spans="2:9" ht="14" x14ac:dyDescent="0.3">
      <c r="B59" s="1" t="s">
        <v>163</v>
      </c>
    </row>
    <row r="60" spans="2:9" ht="14" x14ac:dyDescent="0.3">
      <c r="B60" s="4" t="s">
        <v>164</v>
      </c>
      <c r="C60" s="5">
        <f>F49</f>
        <v>482474.38070510945</v>
      </c>
    </row>
    <row r="62" spans="2:9" ht="14" x14ac:dyDescent="0.3">
      <c r="B62" s="28" t="s">
        <v>165</v>
      </c>
      <c r="C62" s="28" t="s">
        <v>166</v>
      </c>
      <c r="D62" s="28" t="s">
        <v>167</v>
      </c>
    </row>
    <row r="63" spans="2:9" ht="14" x14ac:dyDescent="0.3">
      <c r="B63" s="31">
        <v>5.5800000000000002E-2</v>
      </c>
      <c r="C63" s="5">
        <f>IFERROR($C$60/B63,"N/A")</f>
        <v>8646494.2778693438</v>
      </c>
      <c r="D63" s="14">
        <f>IFERROR(C63/'DCF Model'!C17,"N/A")</f>
        <v>1.9520460494592433</v>
      </c>
    </row>
    <row r="64" spans="2:9" ht="14" x14ac:dyDescent="0.3">
      <c r="B64" s="31">
        <v>8.3799999999999999E-2</v>
      </c>
      <c r="C64" s="5">
        <f>IFERROR($C$60/B64,"N/A")</f>
        <v>5757450.8437363897</v>
      </c>
      <c r="D64" s="14">
        <f>IFERROR(C64/'DCF Model'!C17,"N/A")</f>
        <v>1.2998110925993531</v>
      </c>
    </row>
    <row r="65" spans="2:9" ht="14" x14ac:dyDescent="0.3">
      <c r="B65" s="4" t="s">
        <v>168</v>
      </c>
      <c r="C65" s="5">
        <f>IFERROR($C$60/$C$18,"N/A")</f>
        <v>4320062.2354536913</v>
      </c>
      <c r="D65" s="14">
        <f>IFERROR(C65/'DCF Model'!C17,"N/A")</f>
        <v>0.97530399594660722</v>
      </c>
    </row>
    <row r="66" spans="2:9" ht="14" x14ac:dyDescent="0.3">
      <c r="B66" s="31">
        <v>0.1396</v>
      </c>
      <c r="C66" s="5">
        <f>IFERROR($C$60/B66,"N/A")</f>
        <v>3456120.2056239932</v>
      </c>
      <c r="D66" s="14">
        <f>IFERROR(C66/'DCF Model'!C17,"N/A")</f>
        <v>0.78025909426809303</v>
      </c>
    </row>
    <row r="67" spans="2:9" ht="14" x14ac:dyDescent="0.3">
      <c r="B67" s="31">
        <v>0.16750000000000001</v>
      </c>
      <c r="C67" s="5">
        <f>IFERROR($C$60/B67,"N/A")</f>
        <v>2880444.0639111008</v>
      </c>
      <c r="D67" s="14">
        <f>IFERROR(C67/'DCF Model'!C17,"N/A")</f>
        <v>0.65029354961090013</v>
      </c>
    </row>
    <row r="69" spans="2:9" ht="14" x14ac:dyDescent="0.3">
      <c r="B69" s="8" t="s">
        <v>169</v>
      </c>
      <c r="C69" s="9"/>
      <c r="D69" s="9"/>
      <c r="E69" s="9"/>
      <c r="F69" s="9"/>
      <c r="G69" s="9"/>
      <c r="H69" s="9"/>
      <c r="I69" s="9"/>
    </row>
    <row r="70" spans="2:9" ht="13.5" x14ac:dyDescent="0.25">
      <c r="B70" s="6" t="s">
        <v>170</v>
      </c>
      <c r="C70" s="14">
        <f>IFERROR(C10/'Comps Analysis'!G5,"N/A")</f>
        <v>6.8378232347896297</v>
      </c>
    </row>
    <row r="71" spans="2:9" ht="13.5" x14ac:dyDescent="0.25">
      <c r="B71" s="6" t="s">
        <v>171</v>
      </c>
      <c r="C71" s="14">
        <f>IFERROR(C10/'Comps Analysis'!F5,"N/A")</f>
        <v>1.1338081279496877</v>
      </c>
    </row>
    <row r="72" spans="2:9" ht="14" x14ac:dyDescent="0.3">
      <c r="B72" s="4" t="s">
        <v>172</v>
      </c>
      <c r="C72" s="14">
        <f>IFERROR(C10/(C25+'DCF Model'!G42),"N/A")</f>
        <v>5.9212482365519037</v>
      </c>
    </row>
    <row r="73" spans="2:9" ht="14" x14ac:dyDescent="0.3">
      <c r="B73" s="4" t="s">
        <v>173</v>
      </c>
      <c r="C73" s="14">
        <f>IFERROR(C10/(C60+'DCF Model'!G42),"N/A")</f>
        <v>5.7325509276146862</v>
      </c>
    </row>
    <row r="74" spans="2:9" ht="14" x14ac:dyDescent="0.3">
      <c r="B74" s="4" t="s">
        <v>174</v>
      </c>
      <c r="C74" s="14">
        <f>IFERROR('Comps Analysis'!D16,"N/A")</f>
        <v>6.7180100537354823</v>
      </c>
    </row>
    <row r="75" spans="2:9" ht="14" x14ac:dyDescent="0.3">
      <c r="B75" s="1" t="s">
        <v>175</v>
      </c>
    </row>
    <row r="77" spans="2:9" ht="14" x14ac:dyDescent="0.3">
      <c r="B77" s="22" t="s">
        <v>176</v>
      </c>
      <c r="C77" s="23"/>
      <c r="D77" s="23"/>
      <c r="E77" s="23"/>
      <c r="F77" s="23"/>
      <c r="G77" s="23"/>
      <c r="H77" s="23"/>
      <c r="I77" s="23"/>
    </row>
    <row r="78" spans="2:9" ht="14" x14ac:dyDescent="0.3">
      <c r="B78" s="4" t="str">
        <f>"At "&amp;TEXT(C6,"#,##0")&amp;" yen the market is paying for a steady-state operating profit of "&amp;TEXT(F49,"#,##0")&amp;" mn JPY - "&amp;TEXT(F54,"0.00")&amp;"x the FY2023 cycle peak of "&amp;TEXT(C15,"#,##0")&amp;" mn - reached in 5 years and sustained for ever, against "&amp;TEXT(C14,"#,##0")&amp;" mn actually earned in FY2025."</f>
        <v>At 3,961 yen the market is paying for a steady-state operating profit of 482,474 mn JPY - 1.00x the FY2023 cycle peak of 481,775 mn - reached in 5 years and sustained for ever, against 381,237 mn actually earned in FY2025.</v>
      </c>
    </row>
    <row r="79" spans="2:9" ht="14"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454,556 mn, or 0.94x the peak. The base case supports an EV of only 4,988,195 mn, leaving 27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x14ac:dyDescent="0.4">
      <c r="B2" s="2" t="s">
        <v>177</v>
      </c>
    </row>
    <row r="4" spans="2:8" ht="14" x14ac:dyDescent="0.3">
      <c r="B4" s="8" t="s">
        <v>178</v>
      </c>
      <c r="C4" s="32" t="s">
        <v>179</v>
      </c>
      <c r="D4" s="32" t="s">
        <v>86</v>
      </c>
      <c r="E4" s="32" t="s">
        <v>87</v>
      </c>
      <c r="F4" s="32" t="s">
        <v>88</v>
      </c>
      <c r="G4" s="32" t="s">
        <v>89</v>
      </c>
      <c r="H4" s="32" t="s">
        <v>90</v>
      </c>
    </row>
    <row r="5" spans="2:8" ht="14" x14ac:dyDescent="0.3">
      <c r="B5" s="33" t="s">
        <v>180</v>
      </c>
      <c r="C5" s="34">
        <f>C12/C9*365</f>
        <v>90.075428066496713</v>
      </c>
      <c r="D5" s="34">
        <f>CHOOSE('DCF Model'!$D$27,D25,D26,D27,D28,D29)</f>
        <v>85</v>
      </c>
      <c r="E5" s="34">
        <f>CHOOSE('DCF Model'!$D$27,E25,E26,E27,E28,E29)</f>
        <v>85</v>
      </c>
      <c r="F5" s="34">
        <f>CHOOSE('DCF Model'!$D$27,F25,F26,F27,F28,F29)</f>
        <v>85</v>
      </c>
      <c r="G5" s="34">
        <f>CHOOSE('DCF Model'!$D$27,G25,G26,G27,G28,G29)</f>
        <v>85</v>
      </c>
      <c r="H5" s="34">
        <f>CHOOSE('DCF Model'!$D$27,H25,H26,H27,H28,H29)</f>
        <v>85</v>
      </c>
    </row>
    <row r="6" spans="2:8" ht="14" x14ac:dyDescent="0.3">
      <c r="B6" s="33" t="s">
        <v>181</v>
      </c>
      <c r="C6" s="34">
        <f>C13/C10*365</f>
        <v>118.69894068177886</v>
      </c>
      <c r="D6" s="34">
        <f>CHOOSE('DCF Model'!$D$27,D32,D33,D34,D35,D36)</f>
        <v>123</v>
      </c>
      <c r="E6" s="34">
        <f>CHOOSE('DCF Model'!$D$27,E32,E33,E34,E35,E36)</f>
        <v>123</v>
      </c>
      <c r="F6" s="34">
        <f>CHOOSE('DCF Model'!$D$27,F32,F33,F34,F35,F36)</f>
        <v>123</v>
      </c>
      <c r="G6" s="34">
        <f>CHOOSE('DCF Model'!$D$27,G32,G33,G34,G35,G36)</f>
        <v>123</v>
      </c>
      <c r="H6" s="34">
        <f>CHOOSE('DCF Model'!$D$27,H32,H33,H34,H35,H36)</f>
        <v>123</v>
      </c>
    </row>
    <row r="7" spans="2:8" ht="14" x14ac:dyDescent="0.3">
      <c r="B7" s="33" t="s">
        <v>182</v>
      </c>
      <c r="C7" s="34">
        <f>C15/C10*365</f>
        <v>80.518966030786814</v>
      </c>
      <c r="D7" s="34">
        <f>CHOOSE('DCF Model'!$D$27,D39,D40,D41,D42,D43)</f>
        <v>83</v>
      </c>
      <c r="E7" s="34">
        <f>CHOOSE('DCF Model'!$D$27,E39,E40,E41,E42,E43)</f>
        <v>83</v>
      </c>
      <c r="F7" s="34">
        <f>CHOOSE('DCF Model'!$D$27,F39,F40,F41,F42,F43)</f>
        <v>83</v>
      </c>
      <c r="G7" s="34">
        <f>CHOOSE('DCF Model'!$D$27,G39,G40,G41,G42,G43)</f>
        <v>83</v>
      </c>
      <c r="H7" s="34">
        <f>CHOOSE('DCF Model'!$D$27,H39,H40,H41,H42,H43)</f>
        <v>83</v>
      </c>
    </row>
    <row r="8" spans="2:8" ht="14" x14ac:dyDescent="0.3">
      <c r="B8" s="8" t="s">
        <v>183</v>
      </c>
      <c r="C8" s="9"/>
      <c r="D8" s="9"/>
      <c r="E8" s="9"/>
      <c r="F8" s="9"/>
      <c r="G8" s="9"/>
      <c r="H8" s="9"/>
    </row>
    <row r="9" spans="2:8" ht="14" x14ac:dyDescent="0.3">
      <c r="B9" s="33" t="s">
        <v>37</v>
      </c>
      <c r="C9" s="35">
        <v>4429452</v>
      </c>
      <c r="D9" s="35">
        <f>'DCF Model'!C33</f>
        <v>4518041.04</v>
      </c>
      <c r="E9" s="35">
        <f>'DCF Model'!D33</f>
        <v>4630992.0659999996</v>
      </c>
      <c r="F9" s="35">
        <f>'DCF Model'!E33</f>
        <v>4746766.8676499994</v>
      </c>
      <c r="G9" s="35">
        <f>'DCF Model'!F33</f>
        <v>4841702.2050029999</v>
      </c>
      <c r="H9" s="35">
        <f>'DCF Model'!G33</f>
        <v>4938536.24910306</v>
      </c>
    </row>
    <row r="10" spans="2:8" ht="14" x14ac:dyDescent="0.3">
      <c r="B10" s="33" t="s">
        <v>38</v>
      </c>
      <c r="C10" s="35">
        <v>2722789</v>
      </c>
      <c r="D10" s="35">
        <f>'DCF Model'!C34</f>
        <v>2778595.2396</v>
      </c>
      <c r="E10" s="35">
        <f>'DCF Model'!D34</f>
        <v>2848060.1205899999</v>
      </c>
      <c r="F10" s="35">
        <f>'DCF Model'!E34</f>
        <v>2919261.6236047498</v>
      </c>
      <c r="G10" s="35">
        <f>'DCF Model'!F34</f>
        <v>2977646.856076845</v>
      </c>
      <c r="H10" s="35">
        <f>'DCF Model'!G34</f>
        <v>3037199.793198382</v>
      </c>
    </row>
    <row r="11" spans="2:8" ht="14" x14ac:dyDescent="0.3">
      <c r="B11" s="8" t="s">
        <v>184</v>
      </c>
      <c r="C11" s="9"/>
      <c r="D11" s="9"/>
      <c r="E11" s="9"/>
      <c r="F11" s="9"/>
      <c r="G11" s="9"/>
      <c r="H11" s="9"/>
    </row>
    <row r="12" spans="2:8" ht="14" x14ac:dyDescent="0.3">
      <c r="B12" s="33" t="s">
        <v>185</v>
      </c>
      <c r="C12" s="35">
        <v>1093109</v>
      </c>
      <c r="D12" s="35">
        <f t="shared" ref="D12:H13" si="0">D9*D5/365</f>
        <v>1052146.5435616437</v>
      </c>
      <c r="E12" s="35">
        <f t="shared" si="0"/>
        <v>1078450.2071506849</v>
      </c>
      <c r="F12" s="35">
        <f t="shared" si="0"/>
        <v>1105411.4623294519</v>
      </c>
      <c r="G12" s="35">
        <f t="shared" si="0"/>
        <v>1127519.691576041</v>
      </c>
      <c r="H12" s="35">
        <f t="shared" si="0"/>
        <v>1150070.0854075619</v>
      </c>
    </row>
    <row r="13" spans="2:8" ht="14" x14ac:dyDescent="0.3">
      <c r="B13" s="33" t="s">
        <v>186</v>
      </c>
      <c r="C13" s="35">
        <v>885458</v>
      </c>
      <c r="D13" s="35">
        <f t="shared" si="0"/>
        <v>936348.53279671224</v>
      </c>
      <c r="E13" s="35">
        <f t="shared" si="0"/>
        <v>959757.24611663015</v>
      </c>
      <c r="F13" s="35">
        <f t="shared" si="0"/>
        <v>983751.17726954585</v>
      </c>
      <c r="G13" s="35">
        <f t="shared" si="0"/>
        <v>1003426.2008149368</v>
      </c>
      <c r="H13" s="35">
        <f t="shared" si="0"/>
        <v>1023494.7248312356</v>
      </c>
    </row>
    <row r="14" spans="2:8" ht="14" x14ac:dyDescent="0.3">
      <c r="B14" s="33" t="s">
        <v>187</v>
      </c>
      <c r="C14" s="35">
        <f t="shared" ref="C14:H14" si="1">C12+C13</f>
        <v>1978567</v>
      </c>
      <c r="D14" s="35">
        <f t="shared" si="1"/>
        <v>1988495.076358356</v>
      </c>
      <c r="E14" s="35">
        <f t="shared" si="1"/>
        <v>2038207.4532673149</v>
      </c>
      <c r="F14" s="35">
        <f t="shared" si="1"/>
        <v>2089162.6395989978</v>
      </c>
      <c r="G14" s="35">
        <f t="shared" si="1"/>
        <v>2130945.8923909776</v>
      </c>
      <c r="H14" s="35">
        <f t="shared" si="1"/>
        <v>2173564.8102387972</v>
      </c>
    </row>
    <row r="15" spans="2:8" ht="14" x14ac:dyDescent="0.3">
      <c r="B15" s="33" t="s">
        <v>188</v>
      </c>
      <c r="C15" s="35">
        <v>600647</v>
      </c>
      <c r="D15" s="35">
        <f>D10*D7/365</f>
        <v>631844.94489534246</v>
      </c>
      <c r="E15" s="35">
        <f>E10*E7/365</f>
        <v>647641.06851772603</v>
      </c>
      <c r="F15" s="35">
        <f>F10*F7/365</f>
        <v>663832.09523066913</v>
      </c>
      <c r="G15" s="35">
        <f>G10*G7/365</f>
        <v>677108.73713528248</v>
      </c>
      <c r="H15" s="35">
        <f>H10*H7/365</f>
        <v>690650.91187798826</v>
      </c>
    </row>
    <row r="16" spans="2:8" ht="14" x14ac:dyDescent="0.3">
      <c r="B16" s="33" t="s">
        <v>189</v>
      </c>
      <c r="C16" s="35">
        <f t="shared" ref="C16:H16" si="2">C15</f>
        <v>600647</v>
      </c>
      <c r="D16" s="35">
        <f t="shared" si="2"/>
        <v>631844.94489534246</v>
      </c>
      <c r="E16" s="35">
        <f t="shared" si="2"/>
        <v>647641.06851772603</v>
      </c>
      <c r="F16" s="35">
        <f t="shared" si="2"/>
        <v>663832.09523066913</v>
      </c>
      <c r="G16" s="35">
        <f t="shared" si="2"/>
        <v>677108.73713528248</v>
      </c>
      <c r="H16" s="35">
        <f t="shared" si="2"/>
        <v>690650.91187798826</v>
      </c>
    </row>
    <row r="17" spans="2:8" ht="14" x14ac:dyDescent="0.3">
      <c r="B17" s="22" t="s">
        <v>190</v>
      </c>
      <c r="C17" s="23"/>
      <c r="D17" s="23"/>
      <c r="E17" s="23"/>
      <c r="F17" s="23"/>
      <c r="G17" s="23"/>
      <c r="H17" s="23"/>
    </row>
    <row r="18" spans="2:8" ht="14" x14ac:dyDescent="0.3">
      <c r="B18" s="33" t="s">
        <v>191</v>
      </c>
      <c r="C18" s="20">
        <f t="shared" ref="C18:H18" si="3">C14-C16</f>
        <v>1377920</v>
      </c>
      <c r="D18" s="20">
        <f t="shared" si="3"/>
        <v>1356650.1314630136</v>
      </c>
      <c r="E18" s="20">
        <f t="shared" si="3"/>
        <v>1390566.384749589</v>
      </c>
      <c r="F18" s="20">
        <f t="shared" si="3"/>
        <v>1425330.5443683285</v>
      </c>
      <c r="G18" s="20">
        <f t="shared" si="3"/>
        <v>1453837.1552556951</v>
      </c>
      <c r="H18" s="20">
        <f t="shared" si="3"/>
        <v>1482913.8983608088</v>
      </c>
    </row>
    <row r="19" spans="2:8" ht="14" x14ac:dyDescent="0.3">
      <c r="B19" s="33" t="s">
        <v>100</v>
      </c>
      <c r="C19" s="36" t="s">
        <v>47</v>
      </c>
      <c r="D19" s="24">
        <f>D18-C18</f>
        <v>-21269.868536986411</v>
      </c>
      <c r="E19" s="24">
        <f>E18-D18</f>
        <v>33916.253286575433</v>
      </c>
      <c r="F19" s="24">
        <f>F18-E18</f>
        <v>34764.159618739504</v>
      </c>
      <c r="G19" s="24">
        <f>G18-F18</f>
        <v>28506.61088736658</v>
      </c>
      <c r="H19" s="24">
        <f>H18-G18</f>
        <v>29076.743105113739</v>
      </c>
    </row>
    <row r="22" spans="2:8" ht="14" x14ac:dyDescent="0.3">
      <c r="B22" s="22" t="s">
        <v>192</v>
      </c>
      <c r="C22" s="23"/>
      <c r="D22" s="23"/>
      <c r="E22" s="23"/>
      <c r="F22" s="23"/>
      <c r="G22" s="23"/>
      <c r="H22" s="23"/>
    </row>
    <row r="23" spans="2:8" ht="14" x14ac:dyDescent="0.3">
      <c r="D23" s="25" t="s">
        <v>86</v>
      </c>
      <c r="E23" s="25" t="s">
        <v>87</v>
      </c>
      <c r="F23" s="25" t="s">
        <v>88</v>
      </c>
      <c r="G23" s="25" t="s">
        <v>89</v>
      </c>
      <c r="H23" s="25" t="s">
        <v>90</v>
      </c>
    </row>
    <row r="24" spans="2:8" ht="14" x14ac:dyDescent="0.3">
      <c r="B24" s="3" t="s">
        <v>193</v>
      </c>
    </row>
    <row r="25" spans="2:8" ht="14" x14ac:dyDescent="0.3">
      <c r="B25" s="4" t="s">
        <v>84</v>
      </c>
      <c r="D25" s="30">
        <v>85</v>
      </c>
      <c r="E25" s="30">
        <v>85</v>
      </c>
      <c r="F25" s="30">
        <v>85</v>
      </c>
      <c r="G25" s="30">
        <v>85</v>
      </c>
      <c r="H25" s="30">
        <v>85</v>
      </c>
    </row>
    <row r="26" spans="2:8" ht="14" x14ac:dyDescent="0.3">
      <c r="B26" s="4" t="s">
        <v>121</v>
      </c>
      <c r="D26" s="30">
        <v>82</v>
      </c>
      <c r="E26" s="30">
        <v>82</v>
      </c>
      <c r="F26" s="30">
        <v>82</v>
      </c>
      <c r="G26" s="30">
        <v>82</v>
      </c>
      <c r="H26" s="30">
        <v>82</v>
      </c>
    </row>
    <row r="27" spans="2:8" ht="14" x14ac:dyDescent="0.3">
      <c r="B27" s="4" t="s">
        <v>122</v>
      </c>
      <c r="D27" s="30">
        <v>85</v>
      </c>
      <c r="E27" s="30">
        <v>85</v>
      </c>
      <c r="F27" s="30">
        <v>85</v>
      </c>
      <c r="G27" s="30">
        <v>85</v>
      </c>
      <c r="H27" s="30">
        <v>85</v>
      </c>
    </row>
    <row r="28" spans="2:8" ht="14" x14ac:dyDescent="0.3">
      <c r="B28" s="4" t="s">
        <v>123</v>
      </c>
      <c r="D28" s="30">
        <v>89</v>
      </c>
      <c r="E28" s="30">
        <v>89</v>
      </c>
      <c r="F28" s="30">
        <v>89</v>
      </c>
      <c r="G28" s="30">
        <v>89</v>
      </c>
      <c r="H28" s="30">
        <v>89</v>
      </c>
    </row>
    <row r="29" spans="2:8" ht="14" x14ac:dyDescent="0.3">
      <c r="B29" s="4" t="s">
        <v>124</v>
      </c>
      <c r="D29" s="30">
        <v>93</v>
      </c>
      <c r="E29" s="30">
        <v>93</v>
      </c>
      <c r="F29" s="30">
        <v>93</v>
      </c>
      <c r="G29" s="30">
        <v>93</v>
      </c>
      <c r="H29" s="30">
        <v>93</v>
      </c>
    </row>
    <row r="31" spans="2:8" ht="14" x14ac:dyDescent="0.3">
      <c r="B31" s="3" t="s">
        <v>194</v>
      </c>
    </row>
    <row r="32" spans="2:8" ht="14" x14ac:dyDescent="0.3">
      <c r="B32" s="4" t="s">
        <v>84</v>
      </c>
      <c r="D32" s="30">
        <v>123</v>
      </c>
      <c r="E32" s="30">
        <v>123</v>
      </c>
      <c r="F32" s="30">
        <v>123</v>
      </c>
      <c r="G32" s="30">
        <v>123</v>
      </c>
      <c r="H32" s="30">
        <v>123</v>
      </c>
    </row>
    <row r="33" spans="2:8" ht="14" x14ac:dyDescent="0.3">
      <c r="B33" s="4" t="s">
        <v>121</v>
      </c>
      <c r="D33" s="30">
        <v>117</v>
      </c>
      <c r="E33" s="30">
        <v>117</v>
      </c>
      <c r="F33" s="30">
        <v>117</v>
      </c>
      <c r="G33" s="30">
        <v>117</v>
      </c>
      <c r="H33" s="30">
        <v>117</v>
      </c>
    </row>
    <row r="34" spans="2:8" ht="14" x14ac:dyDescent="0.3">
      <c r="B34" s="4" t="s">
        <v>122</v>
      </c>
      <c r="D34" s="30">
        <v>123</v>
      </c>
      <c r="E34" s="30">
        <v>123</v>
      </c>
      <c r="F34" s="30">
        <v>123</v>
      </c>
      <c r="G34" s="30">
        <v>123</v>
      </c>
      <c r="H34" s="30">
        <v>123</v>
      </c>
    </row>
    <row r="35" spans="2:8" ht="14" x14ac:dyDescent="0.3">
      <c r="B35" s="4" t="s">
        <v>123</v>
      </c>
      <c r="D35" s="30">
        <v>130</v>
      </c>
      <c r="E35" s="30">
        <v>130</v>
      </c>
      <c r="F35" s="30">
        <v>130</v>
      </c>
      <c r="G35" s="30">
        <v>130</v>
      </c>
      <c r="H35" s="30">
        <v>130</v>
      </c>
    </row>
    <row r="36" spans="2:8" ht="14" x14ac:dyDescent="0.3">
      <c r="B36" s="4" t="s">
        <v>124</v>
      </c>
      <c r="D36" s="30">
        <v>137</v>
      </c>
      <c r="E36" s="30">
        <v>137</v>
      </c>
      <c r="F36" s="30">
        <v>137</v>
      </c>
      <c r="G36" s="30">
        <v>137</v>
      </c>
      <c r="H36" s="30">
        <v>137</v>
      </c>
    </row>
    <row r="38" spans="2:8" ht="14" x14ac:dyDescent="0.3">
      <c r="B38" s="3" t="s">
        <v>195</v>
      </c>
    </row>
    <row r="39" spans="2:8" ht="14" x14ac:dyDescent="0.3">
      <c r="B39" s="4" t="s">
        <v>84</v>
      </c>
      <c r="D39" s="30">
        <v>83</v>
      </c>
      <c r="E39" s="30">
        <v>83</v>
      </c>
      <c r="F39" s="30">
        <v>83</v>
      </c>
      <c r="G39" s="30">
        <v>83</v>
      </c>
      <c r="H39" s="30">
        <v>83</v>
      </c>
    </row>
    <row r="40" spans="2:8" ht="14" x14ac:dyDescent="0.3">
      <c r="B40" s="4" t="s">
        <v>121</v>
      </c>
      <c r="D40" s="30">
        <v>85</v>
      </c>
      <c r="E40" s="30">
        <v>85</v>
      </c>
      <c r="F40" s="30">
        <v>85</v>
      </c>
      <c r="G40" s="30">
        <v>85</v>
      </c>
      <c r="H40" s="30">
        <v>85</v>
      </c>
    </row>
    <row r="41" spans="2:8" ht="14" x14ac:dyDescent="0.3">
      <c r="B41" s="4" t="s">
        <v>122</v>
      </c>
      <c r="D41" s="30">
        <v>83</v>
      </c>
      <c r="E41" s="30">
        <v>83</v>
      </c>
      <c r="F41" s="30">
        <v>83</v>
      </c>
      <c r="G41" s="30">
        <v>83</v>
      </c>
      <c r="H41" s="30">
        <v>83</v>
      </c>
    </row>
    <row r="42" spans="2:8" ht="14" x14ac:dyDescent="0.3">
      <c r="B42" s="4" t="s">
        <v>123</v>
      </c>
      <c r="D42" s="30">
        <v>80</v>
      </c>
      <c r="E42" s="30">
        <v>80</v>
      </c>
      <c r="F42" s="30">
        <v>80</v>
      </c>
      <c r="G42" s="30">
        <v>80</v>
      </c>
      <c r="H42" s="30">
        <v>80</v>
      </c>
    </row>
    <row r="43" spans="2:8" ht="14" x14ac:dyDescent="0.3">
      <c r="B43" s="4" t="s">
        <v>124</v>
      </c>
      <c r="D43" s="30">
        <v>77</v>
      </c>
      <c r="E43" s="30">
        <v>77</v>
      </c>
      <c r="F43" s="30">
        <v>77</v>
      </c>
      <c r="G43" s="30">
        <v>77</v>
      </c>
      <c r="H43" s="30">
        <v>77</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x14ac:dyDescent="0.4">
      <c r="B2" s="2" t="s">
        <v>196</v>
      </c>
    </row>
    <row r="3" spans="2:17" ht="14" x14ac:dyDescent="0.3">
      <c r="B3" s="1" t="s">
        <v>197</v>
      </c>
    </row>
    <row r="4" spans="2:17" ht="28" x14ac:dyDescent="0.3">
      <c r="B4" s="10" t="s">
        <v>3</v>
      </c>
      <c r="C4" s="10" t="s">
        <v>5</v>
      </c>
      <c r="D4" s="10" t="s">
        <v>198</v>
      </c>
      <c r="E4" s="10" t="s">
        <v>199</v>
      </c>
      <c r="F4" s="10" t="s">
        <v>200</v>
      </c>
      <c r="G4" s="10" t="s">
        <v>201</v>
      </c>
      <c r="H4" s="10" t="s">
        <v>202</v>
      </c>
      <c r="I4" s="10" t="s">
        <v>203</v>
      </c>
      <c r="J4" s="10" t="s">
        <v>204</v>
      </c>
      <c r="K4" s="10" t="s">
        <v>205</v>
      </c>
      <c r="L4" s="10" t="s">
        <v>206</v>
      </c>
      <c r="M4" s="10" t="s">
        <v>207</v>
      </c>
      <c r="N4" s="10" t="s">
        <v>208</v>
      </c>
      <c r="O4" s="10" t="s">
        <v>209</v>
      </c>
      <c r="P4" s="10" t="s">
        <v>210</v>
      </c>
      <c r="Q4" s="10" t="s">
        <v>211</v>
      </c>
    </row>
    <row r="5" spans="2:17" ht="14" x14ac:dyDescent="0.3">
      <c r="B5" s="4" t="s">
        <v>212</v>
      </c>
      <c r="C5" t="s">
        <v>213</v>
      </c>
      <c r="D5" s="37">
        <f>'Executive Summary'!C9*C23/1000000</f>
        <v>4908943.6799630001</v>
      </c>
      <c r="E5" s="37">
        <f>D5+C24</f>
        <v>5022148.6799630001</v>
      </c>
      <c r="F5" s="37">
        <v>4429452</v>
      </c>
      <c r="G5" s="37">
        <v>734466</v>
      </c>
      <c r="H5" s="37">
        <v>381237</v>
      </c>
      <c r="I5" s="37">
        <v>327264</v>
      </c>
      <c r="J5" s="38">
        <f>IFERROR(E5/G5,"")</f>
        <v>6.8378232347896297</v>
      </c>
      <c r="K5" s="38">
        <f>IFERROR(E5/F5,"")</f>
        <v>1.1338081279496877</v>
      </c>
      <c r="L5" s="38">
        <f>IFERROR(D5/I5,"")</f>
        <v>14.999950131890461</v>
      </c>
      <c r="M5" s="38">
        <f>IFERROR(D5/P5,"")</f>
        <v>1.3405847026205469</v>
      </c>
      <c r="N5" s="39">
        <f>IFERROR(H5/F5,"")</f>
        <v>8.6068660412168374E-2</v>
      </c>
      <c r="O5" s="39">
        <f>IFERROR(I5/P5,"")</f>
        <v>8.937261063091223E-2</v>
      </c>
      <c r="P5" s="37">
        <v>3661793</v>
      </c>
    </row>
    <row r="6" spans="2:17" ht="14" x14ac:dyDescent="0.3">
      <c r="B6" s="4" t="s">
        <v>214</v>
      </c>
      <c r="C6" t="s">
        <v>215</v>
      </c>
      <c r="D6" s="37">
        <v>1119218</v>
      </c>
      <c r="E6" s="37">
        <v>1547597</v>
      </c>
      <c r="F6" s="37">
        <v>1234959</v>
      </c>
      <c r="G6" s="37">
        <v>226523</v>
      </c>
      <c r="H6" s="37">
        <v>152901</v>
      </c>
      <c r="I6" s="37">
        <v>105398</v>
      </c>
      <c r="J6" s="38">
        <f>IFERROR(E6/G6,"")</f>
        <v>6.8319640831173878</v>
      </c>
      <c r="K6" s="38">
        <f>IFERROR(E6/F6,"")</f>
        <v>1.2531565825262214</v>
      </c>
      <c r="L6" s="38">
        <f>IFERROR(D6/I6,"")</f>
        <v>10.618968101861515</v>
      </c>
      <c r="M6" s="38">
        <f>IFERROR(D6/P6,"")</f>
        <v>1.0857223788888986</v>
      </c>
      <c r="N6" s="39">
        <f>IFERROR(H6/F6,"")</f>
        <v>0.1238105880438136</v>
      </c>
      <c r="O6" s="39">
        <f>IFERROR(I6/P6,"")</f>
        <v>0.1022436802214869</v>
      </c>
      <c r="P6" s="37">
        <v>1030851</v>
      </c>
    </row>
    <row r="7" spans="2:17" ht="14" x14ac:dyDescent="0.3">
      <c r="B7" s="4" t="s">
        <v>216</v>
      </c>
      <c r="C7" t="s">
        <v>217</v>
      </c>
      <c r="D7" s="37">
        <v>562144</v>
      </c>
      <c r="E7" s="37">
        <v>577561</v>
      </c>
      <c r="F7" s="37">
        <v>594923</v>
      </c>
      <c r="G7" s="37">
        <v>132905</v>
      </c>
      <c r="H7" s="37">
        <v>97350</v>
      </c>
      <c r="I7" s="37">
        <v>63614</v>
      </c>
      <c r="J7" s="38">
        <f>IFERROR(E7/G7,"")</f>
        <v>4.3456679583160902</v>
      </c>
      <c r="K7" s="38">
        <f>IFERROR(E7/F7,"")</f>
        <v>0.97081639136493292</v>
      </c>
      <c r="L7" s="38">
        <f>IFERROR(D7/I7,"")</f>
        <v>8.8367969314930672</v>
      </c>
      <c r="M7" s="38">
        <f>IFERROR(D7/P7,"")</f>
        <v>1.1895918332797237</v>
      </c>
      <c r="N7" s="39">
        <f>IFERROR(H7/F7,"")</f>
        <v>0.1636346216233025</v>
      </c>
      <c r="O7" s="39">
        <f>IFERROR(I7/P7,"")</f>
        <v>0.13461798913135486</v>
      </c>
      <c r="P7" s="37">
        <v>472552</v>
      </c>
    </row>
    <row r="8" spans="2:17" ht="14" x14ac:dyDescent="0.3">
      <c r="B8" s="4" t="s">
        <v>218</v>
      </c>
      <c r="C8" t="s">
        <v>219</v>
      </c>
      <c r="D8" s="37">
        <v>551715</v>
      </c>
      <c r="E8" s="37">
        <v>775124</v>
      </c>
      <c r="F8" s="37">
        <v>676415</v>
      </c>
      <c r="G8" s="37">
        <v>115380</v>
      </c>
      <c r="H8" s="37">
        <v>36711</v>
      </c>
      <c r="I8" s="37">
        <v>64984</v>
      </c>
      <c r="J8" s="38">
        <f>IFERROR(E8/G8,"")</f>
        <v>6.7180100537354823</v>
      </c>
      <c r="K8" s="38">
        <f>IFERROR(E8/F8,"")</f>
        <v>1.1459296437837718</v>
      </c>
      <c r="L8" s="38">
        <f>IFERROR(D8/I8,"")</f>
        <v>8.4900129262587711</v>
      </c>
      <c r="M8" s="38">
        <f>IFERROR(D8/P8,"")</f>
        <v>0.77046559043682272</v>
      </c>
      <c r="N8" s="39">
        <f>IFERROR(H8/F8,"")</f>
        <v>5.4272894598730068E-2</v>
      </c>
      <c r="O8" s="39">
        <f>IFERROR(I8/P8,"")</f>
        <v>9.0749636912076867E-2</v>
      </c>
      <c r="P8" s="37">
        <v>716080</v>
      </c>
    </row>
    <row r="14" spans="2:17" ht="14" x14ac:dyDescent="0.3">
      <c r="B14" s="3" t="s">
        <v>220</v>
      </c>
    </row>
    <row r="15" spans="2:17" ht="14" x14ac:dyDescent="0.3">
      <c r="B15" s="4" t="s">
        <v>221</v>
      </c>
      <c r="D15" s="38">
        <f t="shared" ref="D15:I15" si="0">PERCENTILE(J6:J8,0.25)</f>
        <v>5.5318390060257858</v>
      </c>
      <c r="E15" s="38">
        <f t="shared" si="0"/>
        <v>1.0583730175743524</v>
      </c>
      <c r="F15" s="38">
        <f t="shared" si="0"/>
        <v>8.6634049288759201</v>
      </c>
      <c r="G15" s="38">
        <f t="shared" si="0"/>
        <v>0.92809398466286064</v>
      </c>
      <c r="H15" s="39">
        <f t="shared" si="0"/>
        <v>8.9041741321271836E-2</v>
      </c>
      <c r="I15" s="39">
        <f t="shared" si="0"/>
        <v>9.6496658566781884E-2</v>
      </c>
    </row>
    <row r="16" spans="2:17" ht="14" x14ac:dyDescent="0.3">
      <c r="B16" s="4" t="s">
        <v>222</v>
      </c>
      <c r="D16" s="38">
        <f t="shared" ref="D16:I16" si="1">MEDIAN(J6:J8)</f>
        <v>6.7180100537354823</v>
      </c>
      <c r="E16" s="38">
        <f t="shared" si="1"/>
        <v>1.1459296437837718</v>
      </c>
      <c r="F16" s="38">
        <f t="shared" si="1"/>
        <v>8.8367969314930672</v>
      </c>
      <c r="G16" s="38">
        <f t="shared" si="1"/>
        <v>1.0857223788888986</v>
      </c>
      <c r="H16" s="39">
        <f t="shared" si="1"/>
        <v>0.1238105880438136</v>
      </c>
      <c r="I16" s="39">
        <f t="shared" si="1"/>
        <v>0.1022436802214869</v>
      </c>
    </row>
    <row r="17" spans="2:9" ht="14" x14ac:dyDescent="0.3">
      <c r="B17" s="4" t="s">
        <v>223</v>
      </c>
      <c r="D17" s="38">
        <f t="shared" ref="D17:I17" si="2">PERCENTILE(J6:J8,0.75)</f>
        <v>6.7749870684264355</v>
      </c>
      <c r="E17" s="38">
        <f t="shared" si="2"/>
        <v>1.1995431131549967</v>
      </c>
      <c r="F17" s="38">
        <f t="shared" si="2"/>
        <v>9.7278825166772904</v>
      </c>
      <c r="G17" s="38">
        <f t="shared" si="2"/>
        <v>1.137657106084311</v>
      </c>
      <c r="H17" s="39">
        <f t="shared" si="2"/>
        <v>0.14372260483355806</v>
      </c>
      <c r="I17" s="39">
        <f t="shared" si="2"/>
        <v>0.11843083467642088</v>
      </c>
    </row>
    <row r="19" spans="2:9" ht="14" x14ac:dyDescent="0.3">
      <c r="B19" s="22" t="s">
        <v>224</v>
      </c>
      <c r="C19" s="23"/>
      <c r="D19" s="23"/>
      <c r="E19" s="23"/>
      <c r="F19" s="23"/>
      <c r="G19" s="23"/>
      <c r="H19" s="23"/>
      <c r="I19" s="23"/>
    </row>
    <row r="20" spans="2:9" ht="14" x14ac:dyDescent="0.3">
      <c r="B20" s="3" t="s">
        <v>225</v>
      </c>
    </row>
    <row r="21" spans="2:9" ht="14" x14ac:dyDescent="0.3">
      <c r="B21" s="4" t="s">
        <v>226</v>
      </c>
      <c r="C21" s="5">
        <v>734466</v>
      </c>
    </row>
    <row r="22" spans="2:9" ht="14" x14ac:dyDescent="0.3">
      <c r="B22" s="4" t="s">
        <v>227</v>
      </c>
      <c r="C22" s="5">
        <v>327264</v>
      </c>
    </row>
    <row r="23" spans="2:9" ht="14" x14ac:dyDescent="0.3">
      <c r="B23" s="4" t="s">
        <v>228</v>
      </c>
      <c r="C23" s="15">
        <v>1239319283</v>
      </c>
    </row>
    <row r="24" spans="2:9" ht="14" x14ac:dyDescent="0.3">
      <c r="B24" s="4" t="s">
        <v>73</v>
      </c>
      <c r="C24" s="5">
        <v>113205</v>
      </c>
    </row>
    <row r="26" spans="2:9" ht="14" x14ac:dyDescent="0.3">
      <c r="B26" s="3" t="s">
        <v>229</v>
      </c>
    </row>
    <row r="27" spans="2:9" ht="14" x14ac:dyDescent="0.3">
      <c r="B27" s="4" t="s">
        <v>230</v>
      </c>
      <c r="C27" s="24">
        <f>ROUND((C21*D16-C24)*1000000/C23,0)</f>
        <v>3890</v>
      </c>
    </row>
    <row r="28" spans="2:9" ht="14" x14ac:dyDescent="0.3">
      <c r="B28" s="4" t="s">
        <v>231</v>
      </c>
      <c r="C28" s="24">
        <f>ROUND(C22*F16*1000000/C23,0)</f>
        <v>2334</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x14ac:dyDescent="0.4">
      <c r="B2" s="2" t="s">
        <v>232</v>
      </c>
    </row>
    <row r="3" spans="2:9" ht="14" x14ac:dyDescent="0.3">
      <c r="B3" s="4" t="s">
        <v>233</v>
      </c>
      <c r="C3" s="16">
        <f>'DCF Model'!C26</f>
        <v>7.7882660541491552E-2</v>
      </c>
      <c r="E3" s="4" t="s">
        <v>234</v>
      </c>
      <c r="F3" s="16">
        <f>'DCF Model'!C13</f>
        <v>0.01</v>
      </c>
      <c r="H3" s="4" t="s">
        <v>235</v>
      </c>
      <c r="I3" s="14">
        <f>'DCF Model'!C14</f>
        <v>6.7</v>
      </c>
    </row>
    <row r="5" spans="2:9" ht="14" x14ac:dyDescent="0.3">
      <c r="B5" s="3" t="s">
        <v>236</v>
      </c>
    </row>
    <row r="6" spans="2:9" ht="14" x14ac:dyDescent="0.3">
      <c r="B6" s="40" t="s">
        <v>237</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x14ac:dyDescent="0.25">
      <c r="B7" s="39">
        <f>$C$3-0.015</f>
        <v>6.2882660541491553E-2</v>
      </c>
      <c r="C7" s="37">
        <f>IFERROR(ROUND(('DCF Model'!C45/(1+$B7)^('DCF Model'!C19+0)+'DCF Model'!D45/(1+$B7)^('DCF Model'!C19+1)+'DCF Model'!E45/(1+$B7)^('DCF Model'!C19+2)+'DCF Model'!F45/(1+$B7)^('DCF Model'!C19+3)+'DCF Model'!G45/(1+$B7)^('DCF Model'!C19+4)+'DCF Model'!G45*(1+C$6)/($B7-C$6)/(1+$B7)^('DCF Model'!C19+4)-'DCF Model'!C16)*1000000/'DCF Model'!C15,0),"")</f>
        <v>4513</v>
      </c>
      <c r="D7" s="37">
        <f>IFERROR(ROUND(('DCF Model'!C45/(1+$B7)^('DCF Model'!C19+0)+'DCF Model'!D45/(1+$B7)^('DCF Model'!C19+1)+'DCF Model'!E45/(1+$B7)^('DCF Model'!C19+2)+'DCF Model'!F45/(1+$B7)^('DCF Model'!C19+3)+'DCF Model'!G45/(1+$B7)^('DCF Model'!C19+4)+'DCF Model'!G45*(1+D$6)/($B7-D$6)/(1+$B7)^('DCF Model'!C19+4)-'DCF Model'!C16)*1000000/'DCF Model'!C15,0),"")</f>
        <v>4670</v>
      </c>
      <c r="E7" s="37">
        <f>IFERROR(ROUND(('DCF Model'!C45/(1+$B7)^('DCF Model'!C19+0)+'DCF Model'!D45/(1+$B7)^('DCF Model'!C19+1)+'DCF Model'!E45/(1+$B7)^('DCF Model'!C19+2)+'DCF Model'!F45/(1+$B7)^('DCF Model'!C19+3)+'DCF Model'!G45/(1+$B7)^('DCF Model'!C19+4)+'DCF Model'!G45*(1+E$6)/($B7-E$6)/(1+$B7)^('DCF Model'!C19+4)-'DCF Model'!C16)*1000000/'DCF Model'!C15,0),"")</f>
        <v>4840</v>
      </c>
      <c r="F7" s="37">
        <f>IFERROR(ROUND(('DCF Model'!C45/(1+$B7)^('DCF Model'!C19+0)+'DCF Model'!D45/(1+$B7)^('DCF Model'!C19+1)+'DCF Model'!E45/(1+$B7)^('DCF Model'!C19+2)+'DCF Model'!F45/(1+$B7)^('DCF Model'!C19+3)+'DCF Model'!G45/(1+$B7)^('DCF Model'!C19+4)+'DCF Model'!G45*(1+F$6)/($B7-F$6)/(1+$B7)^('DCF Model'!C19+4)-'DCF Model'!C16)*1000000/'DCF Model'!C15,0),"")</f>
        <v>5027</v>
      </c>
      <c r="G7" s="37">
        <f>IFERROR(ROUND(('DCF Model'!C45/(1+$B7)^('DCF Model'!C19+0)+'DCF Model'!D45/(1+$B7)^('DCF Model'!C19+1)+'DCF Model'!E45/(1+$B7)^('DCF Model'!C19+2)+'DCF Model'!F45/(1+$B7)^('DCF Model'!C19+3)+'DCF Model'!G45/(1+$B7)^('DCF Model'!C19+4)+'DCF Model'!G45*(1+G$6)/($B7-G$6)/(1+$B7)^('DCF Model'!C19+4)-'DCF Model'!C16)*1000000/'DCF Model'!C15,0),"")</f>
        <v>5232</v>
      </c>
      <c r="H7" s="37">
        <f>IFERROR(ROUND(('DCF Model'!C45/(1+$B7)^('DCF Model'!C19+0)+'DCF Model'!D45/(1+$B7)^('DCF Model'!C19+1)+'DCF Model'!E45/(1+$B7)^('DCF Model'!C19+2)+'DCF Model'!F45/(1+$B7)^('DCF Model'!C19+3)+'DCF Model'!G45/(1+$B7)^('DCF Model'!C19+4)+'DCF Model'!G45*(1+H$6)/($B7-H$6)/(1+$B7)^('DCF Model'!C19+4)-'DCF Model'!C16)*1000000/'DCF Model'!C15,0),"")</f>
        <v>5458</v>
      </c>
      <c r="I7" s="37">
        <f>IFERROR(ROUND(('DCF Model'!C45/(1+$B7)^('DCF Model'!C19+0)+'DCF Model'!D45/(1+$B7)^('DCF Model'!C19+1)+'DCF Model'!E45/(1+$B7)^('DCF Model'!C19+2)+'DCF Model'!F45/(1+$B7)^('DCF Model'!C19+3)+'DCF Model'!G45/(1+$B7)^('DCF Model'!C19+4)+'DCF Model'!G45*(1+I$6)/($B7-I$6)/(1+$B7)^('DCF Model'!C19+4)-'DCF Model'!C16)*1000000/'DCF Model'!C15,0),"")</f>
        <v>5710</v>
      </c>
    </row>
    <row r="8" spans="2:9" ht="13.5" x14ac:dyDescent="0.25">
      <c r="B8" s="39">
        <f>$C$3-0.01</f>
        <v>6.7882660541491557E-2</v>
      </c>
      <c r="C8" s="37">
        <f>IFERROR(ROUND(('DCF Model'!C45/(1+$B8)^('DCF Model'!C19+0)+'DCF Model'!D45/(1+$B8)^('DCF Model'!C19+1)+'DCF Model'!E45/(1+$B8)^('DCF Model'!C19+2)+'DCF Model'!F45/(1+$B8)^('DCF Model'!C19+3)+'DCF Model'!G45/(1+$B8)^('DCF Model'!C19+4)+'DCF Model'!G45*(1+C$6)/($B8-C$6)/(1+$B8)^('DCF Model'!C19+4)-'DCF Model'!C16)*1000000/'DCF Model'!C15,0),"")</f>
        <v>4173</v>
      </c>
      <c r="D8" s="37">
        <f>IFERROR(ROUND(('DCF Model'!C45/(1+$B8)^('DCF Model'!C19+0)+'DCF Model'!D45/(1+$B8)^('DCF Model'!C19+1)+'DCF Model'!E45/(1+$B8)^('DCF Model'!C19+2)+'DCF Model'!F45/(1+$B8)^('DCF Model'!C19+3)+'DCF Model'!G45/(1+$B8)^('DCF Model'!C19+4)+'DCF Model'!G45*(1+D$6)/($B8-D$6)/(1+$B8)^('DCF Model'!C19+4)-'DCF Model'!C16)*1000000/'DCF Model'!C15,0),"")</f>
        <v>4304</v>
      </c>
      <c r="E8" s="37">
        <f>IFERROR(ROUND(('DCF Model'!C45/(1+$B8)^('DCF Model'!C19+0)+'DCF Model'!D45/(1+$B8)^('DCF Model'!C19+1)+'DCF Model'!E45/(1+$B8)^('DCF Model'!C19+2)+'DCF Model'!F45/(1+$B8)^('DCF Model'!C19+3)+'DCF Model'!G45/(1+$B8)^('DCF Model'!C19+4)+'DCF Model'!G45*(1+E$6)/($B8-E$6)/(1+$B8)^('DCF Model'!C19+4)-'DCF Model'!C16)*1000000/'DCF Model'!C15,0),"")</f>
        <v>4446</v>
      </c>
      <c r="F8" s="37">
        <f>IFERROR(ROUND(('DCF Model'!C45/(1+$B8)^('DCF Model'!C19+0)+'DCF Model'!D45/(1+$B8)^('DCF Model'!C19+1)+'DCF Model'!E45/(1+$B8)^('DCF Model'!C19+2)+'DCF Model'!F45/(1+$B8)^('DCF Model'!C19+3)+'DCF Model'!G45/(1+$B8)^('DCF Model'!C19+4)+'DCF Model'!G45*(1+F$6)/($B8-F$6)/(1+$B8)^('DCF Model'!C19+4)-'DCF Model'!C16)*1000000/'DCF Model'!C15,0),"")</f>
        <v>4599</v>
      </c>
      <c r="G8" s="37">
        <f>IFERROR(ROUND(('DCF Model'!C45/(1+$B8)^('DCF Model'!C19+0)+'DCF Model'!D45/(1+$B8)^('DCF Model'!C19+1)+'DCF Model'!E45/(1+$B8)^('DCF Model'!C19+2)+'DCF Model'!F45/(1+$B8)^('DCF Model'!C19+3)+'DCF Model'!G45/(1+$B8)^('DCF Model'!C19+4)+'DCF Model'!G45*(1+G$6)/($B8-G$6)/(1+$B8)^('DCF Model'!C19+4)-'DCF Model'!C16)*1000000/'DCF Model'!C15,0),"")</f>
        <v>4767</v>
      </c>
      <c r="H8" s="37">
        <f>IFERROR(ROUND(('DCF Model'!C45/(1+$B8)^('DCF Model'!C19+0)+'DCF Model'!D45/(1+$B8)^('DCF Model'!C19+1)+'DCF Model'!E45/(1+$B8)^('DCF Model'!C19+2)+'DCF Model'!F45/(1+$B8)^('DCF Model'!C19+3)+'DCF Model'!G45/(1+$B8)^('DCF Model'!C19+4)+'DCF Model'!G45*(1+H$6)/($B8-H$6)/(1+$B8)^('DCF Model'!C19+4)-'DCF Model'!C16)*1000000/'DCF Model'!C15,0),"")</f>
        <v>4951</v>
      </c>
      <c r="I8" s="37">
        <f>IFERROR(ROUND(('DCF Model'!C45/(1+$B8)^('DCF Model'!C19+0)+'DCF Model'!D45/(1+$B8)^('DCF Model'!C19+1)+'DCF Model'!E45/(1+$B8)^('DCF Model'!C19+2)+'DCF Model'!F45/(1+$B8)^('DCF Model'!C19+3)+'DCF Model'!G45/(1+$B8)^('DCF Model'!C19+4)+'DCF Model'!G45*(1+I$6)/($B8-I$6)/(1+$B8)^('DCF Model'!C19+4)-'DCF Model'!C16)*1000000/'DCF Model'!C15,0),"")</f>
        <v>5152</v>
      </c>
    </row>
    <row r="9" spans="2:9" ht="13.5" x14ac:dyDescent="0.25">
      <c r="B9" s="39">
        <f>$C$3-0.005</f>
        <v>7.2882660541491548E-2</v>
      </c>
      <c r="C9" s="37">
        <f>IFERROR(ROUND(('DCF Model'!C45/(1+$B9)^('DCF Model'!C19+0)+'DCF Model'!D45/(1+$B9)^('DCF Model'!C19+1)+'DCF Model'!E45/(1+$B9)^('DCF Model'!C19+2)+'DCF Model'!F45/(1+$B9)^('DCF Model'!C19+3)+'DCF Model'!G45/(1+$B9)^('DCF Model'!C19+4)+'DCF Model'!G45*(1+C$6)/($B9-C$6)/(1+$B9)^('DCF Model'!C19+4)-'DCF Model'!C16)*1000000/'DCF Model'!C15,0),"")</f>
        <v>3882</v>
      </c>
      <c r="D9" s="37">
        <f>IFERROR(ROUND(('DCF Model'!C45/(1+$B9)^('DCF Model'!C19+0)+'DCF Model'!D45/(1+$B9)^('DCF Model'!C19+1)+'DCF Model'!E45/(1+$B9)^('DCF Model'!C19+2)+'DCF Model'!F45/(1+$B9)^('DCF Model'!C19+3)+'DCF Model'!G45/(1+$B9)^('DCF Model'!C19+4)+'DCF Model'!G45*(1+D$6)/($B9-D$6)/(1+$B9)^('DCF Model'!C19+4)-'DCF Model'!C16)*1000000/'DCF Model'!C15,0),"")</f>
        <v>3992</v>
      </c>
      <c r="E9" s="37">
        <f>IFERROR(ROUND(('DCF Model'!C45/(1+$B9)^('DCF Model'!C19+0)+'DCF Model'!D45/(1+$B9)^('DCF Model'!C19+1)+'DCF Model'!E45/(1+$B9)^('DCF Model'!C19+2)+'DCF Model'!F45/(1+$B9)^('DCF Model'!C19+3)+'DCF Model'!G45/(1+$B9)^('DCF Model'!C19+4)+'DCF Model'!G45*(1+E$6)/($B9-E$6)/(1+$B9)^('DCF Model'!C19+4)-'DCF Model'!C16)*1000000/'DCF Model'!C15,0),"")</f>
        <v>4111</v>
      </c>
      <c r="F9" s="37">
        <f>IFERROR(ROUND(('DCF Model'!C45/(1+$B9)^('DCF Model'!C19+0)+'DCF Model'!D45/(1+$B9)^('DCF Model'!C19+1)+'DCF Model'!E45/(1+$B9)^('DCF Model'!C19+2)+'DCF Model'!F45/(1+$B9)^('DCF Model'!C19+3)+'DCF Model'!G45/(1+$B9)^('DCF Model'!C19+4)+'DCF Model'!G45*(1+F$6)/($B9-F$6)/(1+$B9)^('DCF Model'!C19+4)-'DCF Model'!C16)*1000000/'DCF Model'!C15,0),"")</f>
        <v>4240</v>
      </c>
      <c r="G9" s="37">
        <f>IFERROR(ROUND(('DCF Model'!C45/(1+$B9)^('DCF Model'!C19+0)+'DCF Model'!D45/(1+$B9)^('DCF Model'!C19+1)+'DCF Model'!E45/(1+$B9)^('DCF Model'!C19+2)+'DCF Model'!F45/(1+$B9)^('DCF Model'!C19+3)+'DCF Model'!G45/(1+$B9)^('DCF Model'!C19+4)+'DCF Model'!G45*(1+G$6)/($B9-G$6)/(1+$B9)^('DCF Model'!C19+4)-'DCF Model'!C16)*1000000/'DCF Model'!C15,0),"")</f>
        <v>4379</v>
      </c>
      <c r="H9" s="37">
        <f>IFERROR(ROUND(('DCF Model'!C45/(1+$B9)^('DCF Model'!C19+0)+'DCF Model'!D45/(1+$B9)^('DCF Model'!C19+1)+'DCF Model'!E45/(1+$B9)^('DCF Model'!C19+2)+'DCF Model'!F45/(1+$B9)^('DCF Model'!C19+3)+'DCF Model'!G45/(1+$B9)^('DCF Model'!C19+4)+'DCF Model'!G45*(1+H$6)/($B9-H$6)/(1+$B9)^('DCF Model'!C19+4)-'DCF Model'!C16)*1000000/'DCF Model'!C15,0),"")</f>
        <v>4531</v>
      </c>
      <c r="I9" s="37">
        <f>IFERROR(ROUND(('DCF Model'!C45/(1+$B9)^('DCF Model'!C19+0)+'DCF Model'!D45/(1+$B9)^('DCF Model'!C19+1)+'DCF Model'!E45/(1+$B9)^('DCF Model'!C19+2)+'DCF Model'!F45/(1+$B9)^('DCF Model'!C19+3)+'DCF Model'!G45/(1+$B9)^('DCF Model'!C19+4)+'DCF Model'!G45*(1+I$6)/($B9-I$6)/(1+$B9)^('DCF Model'!C19+4)-'DCF Model'!C16)*1000000/'DCF Model'!C15,0),"")</f>
        <v>4696</v>
      </c>
    </row>
    <row r="10" spans="2:9" ht="13.5" x14ac:dyDescent="0.25">
      <c r="B10" s="39">
        <f>$C$3</f>
        <v>7.7882660541491552E-2</v>
      </c>
      <c r="C10" s="37">
        <f>IFERROR(ROUND(('DCF Model'!C45/(1+$B10)^('DCF Model'!C19+0)+'DCF Model'!D45/(1+$B10)^('DCF Model'!C19+1)+'DCF Model'!E45/(1+$B10)^('DCF Model'!C19+2)+'DCF Model'!F45/(1+$B10)^('DCF Model'!C19+3)+'DCF Model'!G45/(1+$B10)^('DCF Model'!C19+4)+'DCF Model'!G45*(1+C$6)/($B10-C$6)/(1+$B10)^('DCF Model'!C19+4)-'DCF Model'!C16)*1000000/'DCF Model'!C15,0),"")</f>
        <v>3629</v>
      </c>
      <c r="D10" s="37">
        <f>IFERROR(ROUND(('DCF Model'!C45/(1+$B10)^('DCF Model'!C19+0)+'DCF Model'!D45/(1+$B10)^('DCF Model'!C19+1)+'DCF Model'!E45/(1+$B10)^('DCF Model'!C19+2)+'DCF Model'!F45/(1+$B10)^('DCF Model'!C19+3)+'DCF Model'!G45/(1+$B10)^('DCF Model'!C19+4)+'DCF Model'!G45*(1+D$6)/($B10-D$6)/(1+$B10)^('DCF Model'!C19+4)-'DCF Model'!C16)*1000000/'DCF Model'!C15,0),"")</f>
        <v>3723</v>
      </c>
      <c r="E10" s="37">
        <f>IFERROR(ROUND(('DCF Model'!C45/(1+$B10)^('DCF Model'!C19+0)+'DCF Model'!D45/(1+$B10)^('DCF Model'!C19+1)+'DCF Model'!E45/(1+$B10)^('DCF Model'!C19+2)+'DCF Model'!F45/(1+$B10)^('DCF Model'!C19+3)+'DCF Model'!G45/(1+$B10)^('DCF Model'!C19+4)+'DCF Model'!G45*(1+E$6)/($B10-E$6)/(1+$B10)^('DCF Model'!C19+4)-'DCF Model'!C16)*1000000/'DCF Model'!C15,0),"")</f>
        <v>3825</v>
      </c>
      <c r="F10" s="37">
        <f>IFERROR(ROUND(('DCF Model'!C45/(1+$B10)^('DCF Model'!C19+0)+'DCF Model'!D45/(1+$B10)^('DCF Model'!C19+1)+'DCF Model'!E45/(1+$B10)^('DCF Model'!C19+2)+'DCF Model'!F45/(1+$B10)^('DCF Model'!C19+3)+'DCF Model'!G45/(1+$B10)^('DCF Model'!C19+4)+'DCF Model'!G45*(1+F$6)/($B10-F$6)/(1+$B10)^('DCF Model'!C19+4)-'DCF Model'!C16)*1000000/'DCF Model'!C15,0),"")</f>
        <v>3934</v>
      </c>
      <c r="G10" s="37">
        <f>IFERROR(ROUND(('DCF Model'!C45/(1+$B10)^('DCF Model'!C19+0)+'DCF Model'!D45/(1+$B10)^('DCF Model'!C19+1)+'DCF Model'!E45/(1+$B10)^('DCF Model'!C19+2)+'DCF Model'!F45/(1+$B10)^('DCF Model'!C19+3)+'DCF Model'!G45/(1+$B10)^('DCF Model'!C19+4)+'DCF Model'!G45*(1+G$6)/($B10-G$6)/(1+$B10)^('DCF Model'!C19+4)-'DCF Model'!C16)*1000000/'DCF Model'!C15,0),"")</f>
        <v>4051</v>
      </c>
      <c r="H10" s="37">
        <f>IFERROR(ROUND(('DCF Model'!C45/(1+$B10)^('DCF Model'!C19+0)+'DCF Model'!D45/(1+$B10)^('DCF Model'!C19+1)+'DCF Model'!E45/(1+$B10)^('DCF Model'!C19+2)+'DCF Model'!F45/(1+$B10)^('DCF Model'!C19+3)+'DCF Model'!G45/(1+$B10)^('DCF Model'!C19+4)+'DCF Model'!G45*(1+H$6)/($B10-H$6)/(1+$B10)^('DCF Model'!C19+4)-'DCF Model'!C16)*1000000/'DCF Model'!C15,0),"")</f>
        <v>4177</v>
      </c>
      <c r="I10" s="37">
        <f>IFERROR(ROUND(('DCF Model'!C45/(1+$B10)^('DCF Model'!C19+0)+'DCF Model'!D45/(1+$B10)^('DCF Model'!C19+1)+'DCF Model'!E45/(1+$B10)^('DCF Model'!C19+2)+'DCF Model'!F45/(1+$B10)^('DCF Model'!C19+3)+'DCF Model'!G45/(1+$B10)^('DCF Model'!C19+4)+'DCF Model'!G45*(1+I$6)/($B10-I$6)/(1+$B10)^('DCF Model'!C19+4)-'DCF Model'!C16)*1000000/'DCF Model'!C15,0),"")</f>
        <v>4314</v>
      </c>
    </row>
    <row r="11" spans="2:9" ht="13.5" x14ac:dyDescent="0.25">
      <c r="B11" s="39">
        <f>$C$3+0.005</f>
        <v>8.2882660541491557E-2</v>
      </c>
      <c r="C11" s="37">
        <f>IFERROR(ROUND(('DCF Model'!C45/(1+$B11)^('DCF Model'!C19+0)+'DCF Model'!D45/(1+$B11)^('DCF Model'!C19+1)+'DCF Model'!E45/(1+$B11)^('DCF Model'!C19+2)+'DCF Model'!F45/(1+$B11)^('DCF Model'!C19+3)+'DCF Model'!G45/(1+$B11)^('DCF Model'!C19+4)+'DCF Model'!G45*(1+C$6)/($B11-C$6)/(1+$B11)^('DCF Model'!C19+4)-'DCF Model'!C16)*1000000/'DCF Model'!C15,0),"")</f>
        <v>3407</v>
      </c>
      <c r="D11" s="37">
        <f>IFERROR(ROUND(('DCF Model'!C45/(1+$B11)^('DCF Model'!C19+0)+'DCF Model'!D45/(1+$B11)^('DCF Model'!C19+1)+'DCF Model'!E45/(1+$B11)^('DCF Model'!C19+2)+'DCF Model'!F45/(1+$B11)^('DCF Model'!C19+3)+'DCF Model'!G45/(1+$B11)^('DCF Model'!C19+4)+'DCF Model'!G45*(1+D$6)/($B11-D$6)/(1+$B11)^('DCF Model'!C19+4)-'DCF Model'!C16)*1000000/'DCF Model'!C15,0),"")</f>
        <v>3489</v>
      </c>
      <c r="E11" s="37">
        <f>IFERROR(ROUND(('DCF Model'!C45/(1+$B11)^('DCF Model'!C19+0)+'DCF Model'!D45/(1+$B11)^('DCF Model'!C19+1)+'DCF Model'!E45/(1+$B11)^('DCF Model'!C19+2)+'DCF Model'!F45/(1+$B11)^('DCF Model'!C19+3)+'DCF Model'!G45/(1+$B11)^('DCF Model'!C19+4)+'DCF Model'!G45*(1+E$6)/($B11-E$6)/(1+$B11)^('DCF Model'!C19+4)-'DCF Model'!C16)*1000000/'DCF Model'!C15,0),"")</f>
        <v>3576</v>
      </c>
      <c r="F11" s="37">
        <f>IFERROR(ROUND(('DCF Model'!C45/(1+$B11)^('DCF Model'!C19+0)+'DCF Model'!D45/(1+$B11)^('DCF Model'!C19+1)+'DCF Model'!E45/(1+$B11)^('DCF Model'!C19+2)+'DCF Model'!F45/(1+$B11)^('DCF Model'!C19+3)+'DCF Model'!G45/(1+$B11)^('DCF Model'!C19+4)+'DCF Model'!G45*(1+F$6)/($B11-F$6)/(1+$B11)^('DCF Model'!C19+4)-'DCF Model'!C16)*1000000/'DCF Model'!C15,0),"")</f>
        <v>3669</v>
      </c>
      <c r="G11" s="37">
        <f>IFERROR(ROUND(('DCF Model'!C45/(1+$B11)^('DCF Model'!C19+0)+'DCF Model'!D45/(1+$B11)^('DCF Model'!C19+1)+'DCF Model'!E45/(1+$B11)^('DCF Model'!C19+2)+'DCF Model'!F45/(1+$B11)^('DCF Model'!C19+3)+'DCF Model'!G45/(1+$B11)^('DCF Model'!C19+4)+'DCF Model'!G45*(1+G$6)/($B11-G$6)/(1+$B11)^('DCF Model'!C19+4)-'DCF Model'!C16)*1000000/'DCF Model'!C15,0),"")</f>
        <v>3769</v>
      </c>
      <c r="H11" s="37">
        <f>IFERROR(ROUND(('DCF Model'!C45/(1+$B11)^('DCF Model'!C19+0)+'DCF Model'!D45/(1+$B11)^('DCF Model'!C19+1)+'DCF Model'!E45/(1+$B11)^('DCF Model'!C19+2)+'DCF Model'!F45/(1+$B11)^('DCF Model'!C19+3)+'DCF Model'!G45/(1+$B11)^('DCF Model'!C19+4)+'DCF Model'!G45*(1+H$6)/($B11-H$6)/(1+$B11)^('DCF Model'!C19+4)-'DCF Model'!C16)*1000000/'DCF Model'!C15,0),"")</f>
        <v>3876</v>
      </c>
      <c r="I11" s="37">
        <f>IFERROR(ROUND(('DCF Model'!C45/(1+$B11)^('DCF Model'!C19+0)+'DCF Model'!D45/(1+$B11)^('DCF Model'!C19+1)+'DCF Model'!E45/(1+$B11)^('DCF Model'!C19+2)+'DCF Model'!F45/(1+$B11)^('DCF Model'!C19+3)+'DCF Model'!G45/(1+$B11)^('DCF Model'!C19+4)+'DCF Model'!G45*(1+I$6)/($B11-I$6)/(1+$B11)^('DCF Model'!C19+4)-'DCF Model'!C16)*1000000/'DCF Model'!C15,0),"")</f>
        <v>3991</v>
      </c>
    </row>
    <row r="12" spans="2:9" ht="13.5" x14ac:dyDescent="0.25">
      <c r="B12" s="39">
        <f>$C$3+0.01</f>
        <v>8.7882660541491547E-2</v>
      </c>
      <c r="C12" s="37">
        <f>IFERROR(ROUND(('DCF Model'!C45/(1+$B12)^('DCF Model'!C19+0)+'DCF Model'!D45/(1+$B12)^('DCF Model'!C19+1)+'DCF Model'!E45/(1+$B12)^('DCF Model'!C19+2)+'DCF Model'!F45/(1+$B12)^('DCF Model'!C19+3)+'DCF Model'!G45/(1+$B12)^('DCF Model'!C19+4)+'DCF Model'!G45*(1+C$6)/($B12-C$6)/(1+$B12)^('DCF Model'!C19+4)-'DCF Model'!C16)*1000000/'DCF Model'!C15,0),"")</f>
        <v>3211</v>
      </c>
      <c r="D12" s="37">
        <f>IFERROR(ROUND(('DCF Model'!C45/(1+$B12)^('DCF Model'!C19+0)+'DCF Model'!D45/(1+$B12)^('DCF Model'!C19+1)+'DCF Model'!E45/(1+$B12)^('DCF Model'!C19+2)+'DCF Model'!F45/(1+$B12)^('DCF Model'!C19+3)+'DCF Model'!G45/(1+$B12)^('DCF Model'!C19+4)+'DCF Model'!G45*(1+D$6)/($B12-D$6)/(1+$B12)^('DCF Model'!C19+4)-'DCF Model'!C16)*1000000/'DCF Model'!C15,0),"")</f>
        <v>3283</v>
      </c>
      <c r="E12" s="37">
        <f>IFERROR(ROUND(('DCF Model'!C45/(1+$B12)^('DCF Model'!C19+0)+'DCF Model'!D45/(1+$B12)^('DCF Model'!C19+1)+'DCF Model'!E45/(1+$B12)^('DCF Model'!C19+2)+'DCF Model'!F45/(1+$B12)^('DCF Model'!C19+3)+'DCF Model'!G45/(1+$B12)^('DCF Model'!C19+4)+'DCF Model'!G45*(1+E$6)/($B12-E$6)/(1+$B12)^('DCF Model'!C19+4)-'DCF Model'!C16)*1000000/'DCF Model'!C15,0),"")</f>
        <v>3358</v>
      </c>
      <c r="F12" s="37">
        <f>IFERROR(ROUND(('DCF Model'!C45/(1+$B12)^('DCF Model'!C19+0)+'DCF Model'!D45/(1+$B12)^('DCF Model'!C19+1)+'DCF Model'!E45/(1+$B12)^('DCF Model'!C19+2)+'DCF Model'!F45/(1+$B12)^('DCF Model'!C19+3)+'DCF Model'!G45/(1+$B12)^('DCF Model'!C19+4)+'DCF Model'!G45*(1+F$6)/($B12-F$6)/(1+$B12)^('DCF Model'!C19+4)-'DCF Model'!C16)*1000000/'DCF Model'!C15,0),"")</f>
        <v>3439</v>
      </c>
      <c r="G12" s="37">
        <f>IFERROR(ROUND(('DCF Model'!C45/(1+$B12)^('DCF Model'!C19+0)+'DCF Model'!D45/(1+$B12)^('DCF Model'!C19+1)+'DCF Model'!E45/(1+$B12)^('DCF Model'!C19+2)+'DCF Model'!F45/(1+$B12)^('DCF Model'!C19+3)+'DCF Model'!G45/(1+$B12)^('DCF Model'!C19+4)+'DCF Model'!G45*(1+G$6)/($B12-G$6)/(1+$B12)^('DCF Model'!C19+4)-'DCF Model'!C16)*1000000/'DCF Model'!C15,0),"")</f>
        <v>3524</v>
      </c>
      <c r="H12" s="37">
        <f>IFERROR(ROUND(('DCF Model'!C45/(1+$B12)^('DCF Model'!C19+0)+'DCF Model'!D45/(1+$B12)^('DCF Model'!C19+1)+'DCF Model'!E45/(1+$B12)^('DCF Model'!C19+2)+'DCF Model'!F45/(1+$B12)^('DCF Model'!C19+3)+'DCF Model'!G45/(1+$B12)^('DCF Model'!C19+4)+'DCF Model'!G45*(1+H$6)/($B12-H$6)/(1+$B12)^('DCF Model'!C19+4)-'DCF Model'!C16)*1000000/'DCF Model'!C15,0),"")</f>
        <v>3616</v>
      </c>
      <c r="I12" s="37">
        <f>IFERROR(ROUND(('DCF Model'!C45/(1+$B12)^('DCF Model'!C19+0)+'DCF Model'!D45/(1+$B12)^('DCF Model'!C19+1)+'DCF Model'!E45/(1+$B12)^('DCF Model'!C19+2)+'DCF Model'!F45/(1+$B12)^('DCF Model'!C19+3)+'DCF Model'!G45/(1+$B12)^('DCF Model'!C19+4)+'DCF Model'!G45*(1+I$6)/($B12-I$6)/(1+$B12)^('DCF Model'!C19+4)-'DCF Model'!C16)*1000000/'DCF Model'!C15,0),"")</f>
        <v>3714</v>
      </c>
    </row>
    <row r="13" spans="2:9" ht="13.5" x14ac:dyDescent="0.25">
      <c r="B13" s="39">
        <f>$C$3+0.015</f>
        <v>9.2882660541491552E-2</v>
      </c>
      <c r="C13" s="37">
        <f>IFERROR(ROUND(('DCF Model'!C45/(1+$B13)^('DCF Model'!C19+0)+'DCF Model'!D45/(1+$B13)^('DCF Model'!C19+1)+'DCF Model'!E45/(1+$B13)^('DCF Model'!C19+2)+'DCF Model'!F45/(1+$B13)^('DCF Model'!C19+3)+'DCF Model'!G45/(1+$B13)^('DCF Model'!C19+4)+'DCF Model'!G45*(1+C$6)/($B13-C$6)/(1+$B13)^('DCF Model'!C19+4)-'DCF Model'!C16)*1000000/'DCF Model'!C15,0),"")</f>
        <v>3037</v>
      </c>
      <c r="D13" s="37">
        <f>IFERROR(ROUND(('DCF Model'!C45/(1+$B13)^('DCF Model'!C19+0)+'DCF Model'!D45/(1+$B13)^('DCF Model'!C19+1)+'DCF Model'!E45/(1+$B13)^('DCF Model'!C19+2)+'DCF Model'!F45/(1+$B13)^('DCF Model'!C19+3)+'DCF Model'!G45/(1+$B13)^('DCF Model'!C19+4)+'DCF Model'!G45*(1+D$6)/($B13-D$6)/(1+$B13)^('DCF Model'!C19+4)-'DCF Model'!C16)*1000000/'DCF Model'!C15,0),"")</f>
        <v>3100</v>
      </c>
      <c r="E13" s="37">
        <f>IFERROR(ROUND(('DCF Model'!C45/(1+$B13)^('DCF Model'!C19+0)+'DCF Model'!D45/(1+$B13)^('DCF Model'!C19+1)+'DCF Model'!E45/(1+$B13)^('DCF Model'!C19+2)+'DCF Model'!F45/(1+$B13)^('DCF Model'!C19+3)+'DCF Model'!G45/(1+$B13)^('DCF Model'!C19+4)+'DCF Model'!G45*(1+E$6)/($B13-E$6)/(1+$B13)^('DCF Model'!C19+4)-'DCF Model'!C16)*1000000/'DCF Model'!C15,0),"")</f>
        <v>3166</v>
      </c>
      <c r="F13" s="37">
        <f>IFERROR(ROUND(('DCF Model'!C45/(1+$B13)^('DCF Model'!C19+0)+'DCF Model'!D45/(1+$B13)^('DCF Model'!C19+1)+'DCF Model'!E45/(1+$B13)^('DCF Model'!C19+2)+'DCF Model'!F45/(1+$B13)^('DCF Model'!C19+3)+'DCF Model'!G45/(1+$B13)^('DCF Model'!C19+4)+'DCF Model'!G45*(1+F$6)/($B13-F$6)/(1+$B13)^('DCF Model'!C19+4)-'DCF Model'!C16)*1000000/'DCF Model'!C15,0),"")</f>
        <v>3236</v>
      </c>
      <c r="G13" s="37">
        <f>IFERROR(ROUND(('DCF Model'!C45/(1+$B13)^('DCF Model'!C19+0)+'DCF Model'!D45/(1+$B13)^('DCF Model'!C19+1)+'DCF Model'!E45/(1+$B13)^('DCF Model'!C19+2)+'DCF Model'!F45/(1+$B13)^('DCF Model'!C19+3)+'DCF Model'!G45/(1+$B13)^('DCF Model'!C19+4)+'DCF Model'!G45*(1+G$6)/($B13-G$6)/(1+$B13)^('DCF Model'!C19+4)-'DCF Model'!C16)*1000000/'DCF Model'!C15,0),"")</f>
        <v>3310</v>
      </c>
      <c r="H13" s="37">
        <f>IFERROR(ROUND(('DCF Model'!C45/(1+$B13)^('DCF Model'!C19+0)+'DCF Model'!D45/(1+$B13)^('DCF Model'!C19+1)+'DCF Model'!E45/(1+$B13)^('DCF Model'!C19+2)+'DCF Model'!F45/(1+$B13)^('DCF Model'!C19+3)+'DCF Model'!G45/(1+$B13)^('DCF Model'!C19+4)+'DCF Model'!G45*(1+H$6)/($B13-H$6)/(1+$B13)^('DCF Model'!C19+4)-'DCF Model'!C16)*1000000/'DCF Model'!C15,0),"")</f>
        <v>3389</v>
      </c>
      <c r="I13" s="37">
        <f>IFERROR(ROUND(('DCF Model'!C45/(1+$B13)^('DCF Model'!C19+0)+'DCF Model'!D45/(1+$B13)^('DCF Model'!C19+1)+'DCF Model'!E45/(1+$B13)^('DCF Model'!C19+2)+'DCF Model'!F45/(1+$B13)^('DCF Model'!C19+3)+'DCF Model'!G45/(1+$B13)^('DCF Model'!C19+4)+'DCF Model'!G45*(1+I$6)/($B13-I$6)/(1+$B13)^('DCF Model'!C19+4)-'DCF Model'!C16)*1000000/'DCF Model'!C15,0),"")</f>
        <v>3474</v>
      </c>
    </row>
    <row r="16" spans="2:9" ht="14" x14ac:dyDescent="0.3">
      <c r="B16" s="3" t="s">
        <v>238</v>
      </c>
    </row>
    <row r="17" spans="2:9" ht="14" x14ac:dyDescent="0.3">
      <c r="B17" s="40" t="s">
        <v>239</v>
      </c>
      <c r="C17" s="42">
        <f>$I$3-3</f>
        <v>3.7</v>
      </c>
      <c r="D17" s="42">
        <f>$I$3-2</f>
        <v>4.7</v>
      </c>
      <c r="E17" s="42">
        <f>$I$3-1</f>
        <v>5.7</v>
      </c>
      <c r="F17" s="42">
        <f>$I$3</f>
        <v>6.7</v>
      </c>
      <c r="G17" s="42">
        <f>$I$3+1</f>
        <v>7.7</v>
      </c>
      <c r="H17" s="42">
        <f>$I$3+2</f>
        <v>8.6999999999999993</v>
      </c>
      <c r="I17" s="42">
        <f>$I$3+3</f>
        <v>9.6999999999999993</v>
      </c>
    </row>
    <row r="18" spans="2:9" ht="13.5" x14ac:dyDescent="0.25">
      <c r="B18" s="39">
        <f>$C$3-0.015</f>
        <v>6.2882660541491553E-2</v>
      </c>
      <c r="C18" s="37">
        <f>IFERROR(ROUND(('DCF Model'!C45/(1+$B18)^('DCF Model'!C19+0)+'DCF Model'!D45/(1+$B18)^('DCF Model'!C19+1)+'DCF Model'!E45/(1+$B18)^('DCF Model'!C19+2)+'DCF Model'!F45/(1+$B18)^('DCF Model'!C19+3)+'DCF Model'!G45/(1+$B18)^('DCF Model'!C19+4)+('DCF Model'!G39+'DCF Model'!G42)*C$17/(1+$B18)^('DCF Model'!C19+4)-'DCF Model'!C16)*1000000/'DCF Model'!C15,0),"")</f>
        <v>3154</v>
      </c>
      <c r="D18" s="37">
        <f>IFERROR(ROUND(('DCF Model'!C45/(1+$B18)^('DCF Model'!C19+0)+'DCF Model'!D45/(1+$B18)^('DCF Model'!C19+1)+'DCF Model'!E45/(1+$B18)^('DCF Model'!C19+2)+'DCF Model'!F45/(1+$B18)^('DCF Model'!C19+3)+'DCF Model'!G45/(1+$B18)^('DCF Model'!C19+4)+('DCF Model'!G39+'DCF Model'!G42)*D$17/(1+$B18)^('DCF Model'!C19+4)-'DCF Model'!C16)*1000000/'DCF Model'!C15,0),"")</f>
        <v>3710</v>
      </c>
      <c r="E18" s="37">
        <f>IFERROR(ROUND(('DCF Model'!C45/(1+$B18)^('DCF Model'!C19+0)+'DCF Model'!D45/(1+$B18)^('DCF Model'!C19+1)+'DCF Model'!E45/(1+$B18)^('DCF Model'!C19+2)+'DCF Model'!F45/(1+$B18)^('DCF Model'!C19+3)+'DCF Model'!G45/(1+$B18)^('DCF Model'!C19+4)+('DCF Model'!G39+'DCF Model'!G42)*E$17/(1+$B18)^('DCF Model'!C19+4)-'DCF Model'!C16)*1000000/'DCF Model'!C15,0),"")</f>
        <v>4265</v>
      </c>
      <c r="F18" s="37">
        <f>IFERROR(ROUND(('DCF Model'!C45/(1+$B18)^('DCF Model'!C19+0)+'DCF Model'!D45/(1+$B18)^('DCF Model'!C19+1)+'DCF Model'!E45/(1+$B18)^('DCF Model'!C19+2)+'DCF Model'!F45/(1+$B18)^('DCF Model'!C19+3)+'DCF Model'!G45/(1+$B18)^('DCF Model'!C19+4)+('DCF Model'!G39+'DCF Model'!G42)*F$17/(1+$B18)^('DCF Model'!C19+4)-'DCF Model'!C16)*1000000/'DCF Model'!C15,0),"")</f>
        <v>4821</v>
      </c>
      <c r="G18" s="37">
        <f>IFERROR(ROUND(('DCF Model'!C45/(1+$B18)^('DCF Model'!C19+0)+'DCF Model'!D45/(1+$B18)^('DCF Model'!C19+1)+'DCF Model'!E45/(1+$B18)^('DCF Model'!C19+2)+'DCF Model'!F45/(1+$B18)^('DCF Model'!C19+3)+'DCF Model'!G45/(1+$B18)^('DCF Model'!C19+4)+('DCF Model'!G39+'DCF Model'!G42)*G$17/(1+$B18)^('DCF Model'!C19+4)-'DCF Model'!C16)*1000000/'DCF Model'!C15,0),"")</f>
        <v>5376</v>
      </c>
      <c r="H18" s="37">
        <f>IFERROR(ROUND(('DCF Model'!C45/(1+$B18)^('DCF Model'!C19+0)+'DCF Model'!D45/(1+$B18)^('DCF Model'!C19+1)+'DCF Model'!E45/(1+$B18)^('DCF Model'!C19+2)+'DCF Model'!F45/(1+$B18)^('DCF Model'!C19+3)+'DCF Model'!G45/(1+$B18)^('DCF Model'!C19+4)+('DCF Model'!G39+'DCF Model'!G42)*H$17/(1+$B18)^('DCF Model'!C19+4)-'DCF Model'!C16)*1000000/'DCF Model'!C15,0),"")</f>
        <v>5931</v>
      </c>
      <c r="I18" s="37">
        <f>IFERROR(ROUND(('DCF Model'!C45/(1+$B18)^('DCF Model'!C19+0)+'DCF Model'!D45/(1+$B18)^('DCF Model'!C19+1)+'DCF Model'!E45/(1+$B18)^('DCF Model'!C19+2)+'DCF Model'!F45/(1+$B18)^('DCF Model'!C19+3)+'DCF Model'!G45/(1+$B18)^('DCF Model'!C19+4)+('DCF Model'!G39+'DCF Model'!G42)*I$17/(1+$B18)^('DCF Model'!C19+4)-'DCF Model'!C16)*1000000/'DCF Model'!C15,0),"")</f>
        <v>6487</v>
      </c>
    </row>
    <row r="19" spans="2:9" ht="13.5" x14ac:dyDescent="0.25">
      <c r="B19" s="39">
        <f>$C$3-0.01</f>
        <v>6.7882660541491557E-2</v>
      </c>
      <c r="C19" s="37">
        <f>IFERROR(ROUND(('DCF Model'!C45/(1+$B19)^('DCF Model'!C19+0)+'DCF Model'!D45/(1+$B19)^('DCF Model'!C19+1)+'DCF Model'!E45/(1+$B19)^('DCF Model'!C19+2)+'DCF Model'!F45/(1+$B19)^('DCF Model'!C19+3)+'DCF Model'!G45/(1+$B19)^('DCF Model'!C19+4)+('DCF Model'!G39+'DCF Model'!G42)*C$17/(1+$B19)^('DCF Model'!C19+4)-'DCF Model'!C16)*1000000/'DCF Model'!C15,0),"")</f>
        <v>3098</v>
      </c>
      <c r="D19" s="37">
        <f>IFERROR(ROUND(('DCF Model'!C45/(1+$B19)^('DCF Model'!C19+0)+'DCF Model'!D45/(1+$B19)^('DCF Model'!C19+1)+'DCF Model'!E45/(1+$B19)^('DCF Model'!C19+2)+'DCF Model'!F45/(1+$B19)^('DCF Model'!C19+3)+'DCF Model'!G45/(1+$B19)^('DCF Model'!C19+4)+('DCF Model'!G39+'DCF Model'!G42)*D$17/(1+$B19)^('DCF Model'!C19+4)-'DCF Model'!C16)*1000000/'DCF Model'!C15,0),"")</f>
        <v>3642</v>
      </c>
      <c r="E19" s="37">
        <f>IFERROR(ROUND(('DCF Model'!C45/(1+$B19)^('DCF Model'!C19+0)+'DCF Model'!D45/(1+$B19)^('DCF Model'!C19+1)+'DCF Model'!E45/(1+$B19)^('DCF Model'!C19+2)+'DCF Model'!F45/(1+$B19)^('DCF Model'!C19+3)+'DCF Model'!G45/(1+$B19)^('DCF Model'!C19+4)+('DCF Model'!G39+'DCF Model'!G42)*E$17/(1+$B19)^('DCF Model'!C19+4)-'DCF Model'!C16)*1000000/'DCF Model'!C15,0),"")</f>
        <v>4186</v>
      </c>
      <c r="F19" s="37">
        <f>IFERROR(ROUND(('DCF Model'!C45/(1+$B19)^('DCF Model'!C19+0)+'DCF Model'!D45/(1+$B19)^('DCF Model'!C19+1)+'DCF Model'!E45/(1+$B19)^('DCF Model'!C19+2)+'DCF Model'!F45/(1+$B19)^('DCF Model'!C19+3)+'DCF Model'!G45/(1+$B19)^('DCF Model'!C19+4)+('DCF Model'!G39+'DCF Model'!G42)*F$17/(1+$B19)^('DCF Model'!C19+4)-'DCF Model'!C16)*1000000/'DCF Model'!C15,0),"")</f>
        <v>4730</v>
      </c>
      <c r="G19" s="37">
        <f>IFERROR(ROUND(('DCF Model'!C45/(1+$B19)^('DCF Model'!C19+0)+'DCF Model'!D45/(1+$B19)^('DCF Model'!C19+1)+'DCF Model'!E45/(1+$B19)^('DCF Model'!C19+2)+'DCF Model'!F45/(1+$B19)^('DCF Model'!C19+3)+'DCF Model'!G45/(1+$B19)^('DCF Model'!C19+4)+('DCF Model'!G39+'DCF Model'!G42)*G$17/(1+$B19)^('DCF Model'!C19+4)-'DCF Model'!C16)*1000000/'DCF Model'!C15,0),"")</f>
        <v>5274</v>
      </c>
      <c r="H19" s="37">
        <f>IFERROR(ROUND(('DCF Model'!C45/(1+$B19)^('DCF Model'!C19+0)+'DCF Model'!D45/(1+$B19)^('DCF Model'!C19+1)+'DCF Model'!E45/(1+$B19)^('DCF Model'!C19+2)+'DCF Model'!F45/(1+$B19)^('DCF Model'!C19+3)+'DCF Model'!G45/(1+$B19)^('DCF Model'!C19+4)+('DCF Model'!G39+'DCF Model'!G42)*H$17/(1+$B19)^('DCF Model'!C19+4)-'DCF Model'!C16)*1000000/'DCF Model'!C15,0),"")</f>
        <v>5817</v>
      </c>
      <c r="I19" s="37">
        <f>IFERROR(ROUND(('DCF Model'!C45/(1+$B19)^('DCF Model'!C19+0)+'DCF Model'!D45/(1+$B19)^('DCF Model'!C19+1)+'DCF Model'!E45/(1+$B19)^('DCF Model'!C19+2)+'DCF Model'!F45/(1+$B19)^('DCF Model'!C19+3)+'DCF Model'!G45/(1+$B19)^('DCF Model'!C19+4)+('DCF Model'!G39+'DCF Model'!G42)*I$17/(1+$B19)^('DCF Model'!C19+4)-'DCF Model'!C16)*1000000/'DCF Model'!C15,0),"")</f>
        <v>6361</v>
      </c>
    </row>
    <row r="20" spans="2:9" ht="13.5" x14ac:dyDescent="0.25">
      <c r="B20" s="39">
        <f>$C$3-0.005</f>
        <v>7.2882660541491548E-2</v>
      </c>
      <c r="C20" s="37">
        <f>IFERROR(ROUND(('DCF Model'!C45/(1+$B20)^('DCF Model'!C19+0)+'DCF Model'!D45/(1+$B20)^('DCF Model'!C19+1)+'DCF Model'!E45/(1+$B20)^('DCF Model'!C19+2)+'DCF Model'!F45/(1+$B20)^('DCF Model'!C19+3)+'DCF Model'!G45/(1+$B20)^('DCF Model'!C19+4)+('DCF Model'!G39+'DCF Model'!G42)*C$17/(1+$B20)^('DCF Model'!C19+4)-'DCF Model'!C16)*1000000/'DCF Model'!C15,0),"")</f>
        <v>3044</v>
      </c>
      <c r="D20" s="37">
        <f>IFERROR(ROUND(('DCF Model'!C45/(1+$B20)^('DCF Model'!C19+0)+'DCF Model'!D45/(1+$B20)^('DCF Model'!C19+1)+'DCF Model'!E45/(1+$B20)^('DCF Model'!C19+2)+'DCF Model'!F45/(1+$B20)^('DCF Model'!C19+3)+'DCF Model'!G45/(1+$B20)^('DCF Model'!C19+4)+('DCF Model'!G39+'DCF Model'!G42)*D$17/(1+$B20)^('DCF Model'!C19+4)-'DCF Model'!C16)*1000000/'DCF Model'!C15,0),"")</f>
        <v>3576</v>
      </c>
      <c r="E20" s="37">
        <f>IFERROR(ROUND(('DCF Model'!C45/(1+$B20)^('DCF Model'!C19+0)+'DCF Model'!D45/(1+$B20)^('DCF Model'!C19+1)+'DCF Model'!E45/(1+$B20)^('DCF Model'!C19+2)+'DCF Model'!F45/(1+$B20)^('DCF Model'!C19+3)+'DCF Model'!G45/(1+$B20)^('DCF Model'!C19+4)+('DCF Model'!G39+'DCF Model'!G42)*E$17/(1+$B20)^('DCF Model'!C19+4)-'DCF Model'!C16)*1000000/'DCF Model'!C15,0),"")</f>
        <v>4109</v>
      </c>
      <c r="F20" s="37">
        <f>IFERROR(ROUND(('DCF Model'!C45/(1+$B20)^('DCF Model'!C19+0)+'DCF Model'!D45/(1+$B20)^('DCF Model'!C19+1)+'DCF Model'!E45/(1+$B20)^('DCF Model'!C19+2)+'DCF Model'!F45/(1+$B20)^('DCF Model'!C19+3)+'DCF Model'!G45/(1+$B20)^('DCF Model'!C19+4)+('DCF Model'!G39+'DCF Model'!G42)*F$17/(1+$B20)^('DCF Model'!C19+4)-'DCF Model'!C16)*1000000/'DCF Model'!C15,0),"")</f>
        <v>4641</v>
      </c>
      <c r="G20" s="37">
        <f>IFERROR(ROUND(('DCF Model'!C45/(1+$B20)^('DCF Model'!C19+0)+'DCF Model'!D45/(1+$B20)^('DCF Model'!C19+1)+'DCF Model'!E45/(1+$B20)^('DCF Model'!C19+2)+'DCF Model'!F45/(1+$B20)^('DCF Model'!C19+3)+'DCF Model'!G45/(1+$B20)^('DCF Model'!C19+4)+('DCF Model'!G39+'DCF Model'!G42)*G$17/(1+$B20)^('DCF Model'!C19+4)-'DCF Model'!C16)*1000000/'DCF Model'!C15,0),"")</f>
        <v>5174</v>
      </c>
      <c r="H20" s="37">
        <f>IFERROR(ROUND(('DCF Model'!C45/(1+$B20)^('DCF Model'!C19+0)+'DCF Model'!D45/(1+$B20)^('DCF Model'!C19+1)+'DCF Model'!E45/(1+$B20)^('DCF Model'!C19+2)+'DCF Model'!F45/(1+$B20)^('DCF Model'!C19+3)+'DCF Model'!G45/(1+$B20)^('DCF Model'!C19+4)+('DCF Model'!G39+'DCF Model'!G42)*H$17/(1+$B20)^('DCF Model'!C19+4)-'DCF Model'!C16)*1000000/'DCF Model'!C15,0),"")</f>
        <v>5706</v>
      </c>
      <c r="I20" s="37">
        <f>IFERROR(ROUND(('DCF Model'!C45/(1+$B20)^('DCF Model'!C19+0)+'DCF Model'!D45/(1+$B20)^('DCF Model'!C19+1)+'DCF Model'!E45/(1+$B20)^('DCF Model'!C19+2)+'DCF Model'!F45/(1+$B20)^('DCF Model'!C19+3)+'DCF Model'!G45/(1+$B20)^('DCF Model'!C19+4)+('DCF Model'!G39+'DCF Model'!G42)*I$17/(1+$B20)^('DCF Model'!C19+4)-'DCF Model'!C16)*1000000/'DCF Model'!C15,0),"")</f>
        <v>6239</v>
      </c>
    </row>
    <row r="21" spans="2:9" ht="13.5" x14ac:dyDescent="0.25">
      <c r="B21" s="39">
        <f>$C$3</f>
        <v>7.7882660541491552E-2</v>
      </c>
      <c r="C21" s="37">
        <f>IFERROR(ROUND(('DCF Model'!C45/(1+$B21)^('DCF Model'!C19+0)+'DCF Model'!D45/(1+$B21)^('DCF Model'!C19+1)+'DCF Model'!E45/(1+$B21)^('DCF Model'!C19+2)+'DCF Model'!F45/(1+$B21)^('DCF Model'!C19+3)+'DCF Model'!G45/(1+$B21)^('DCF Model'!C19+4)+('DCF Model'!G39+'DCF Model'!G42)*C$17/(1+$B21)^('DCF Model'!C19+4)-'DCF Model'!C16)*1000000/'DCF Model'!C15,0),"")</f>
        <v>2991</v>
      </c>
      <c r="D21" s="37">
        <f>IFERROR(ROUND(('DCF Model'!C45/(1+$B21)^('DCF Model'!C19+0)+'DCF Model'!D45/(1+$B21)^('DCF Model'!C19+1)+'DCF Model'!E45/(1+$B21)^('DCF Model'!C19+2)+'DCF Model'!F45/(1+$B21)^('DCF Model'!C19+3)+'DCF Model'!G45/(1+$B21)^('DCF Model'!C19+4)+('DCF Model'!G39+'DCF Model'!G42)*D$17/(1+$B21)^('DCF Model'!C19+4)-'DCF Model'!C16)*1000000/'DCF Model'!C15,0),"")</f>
        <v>3512</v>
      </c>
      <c r="E21" s="37">
        <f>IFERROR(ROUND(('DCF Model'!C45/(1+$B21)^('DCF Model'!C19+0)+'DCF Model'!D45/(1+$B21)^('DCF Model'!C19+1)+'DCF Model'!E45/(1+$B21)^('DCF Model'!C19+2)+'DCF Model'!F45/(1+$B21)^('DCF Model'!C19+3)+'DCF Model'!G45/(1+$B21)^('DCF Model'!C19+4)+('DCF Model'!G39+'DCF Model'!G42)*E$17/(1+$B21)^('DCF Model'!C19+4)-'DCF Model'!C16)*1000000/'DCF Model'!C15,0),"")</f>
        <v>4034</v>
      </c>
      <c r="F21" s="37">
        <f>IFERROR(ROUND(('DCF Model'!C45/(1+$B21)^('DCF Model'!C19+0)+'DCF Model'!D45/(1+$B21)^('DCF Model'!C19+1)+'DCF Model'!E45/(1+$B21)^('DCF Model'!C19+2)+'DCF Model'!F45/(1+$B21)^('DCF Model'!C19+3)+'DCF Model'!G45/(1+$B21)^('DCF Model'!C19+4)+('DCF Model'!G39+'DCF Model'!G42)*F$17/(1+$B21)^('DCF Model'!C19+4)-'DCF Model'!C16)*1000000/'DCF Model'!C15,0),"")</f>
        <v>4555</v>
      </c>
      <c r="G21" s="37">
        <f>IFERROR(ROUND(('DCF Model'!C45/(1+$B21)^('DCF Model'!C19+0)+'DCF Model'!D45/(1+$B21)^('DCF Model'!C19+1)+'DCF Model'!E45/(1+$B21)^('DCF Model'!C19+2)+'DCF Model'!F45/(1+$B21)^('DCF Model'!C19+3)+'DCF Model'!G45/(1+$B21)^('DCF Model'!C19+4)+('DCF Model'!G39+'DCF Model'!G42)*G$17/(1+$B21)^('DCF Model'!C19+4)-'DCF Model'!C16)*1000000/'DCF Model'!C15,0),"")</f>
        <v>5077</v>
      </c>
      <c r="H21" s="37">
        <f>IFERROR(ROUND(('DCF Model'!C45/(1+$B21)^('DCF Model'!C19+0)+'DCF Model'!D45/(1+$B21)^('DCF Model'!C19+1)+'DCF Model'!E45/(1+$B21)^('DCF Model'!C19+2)+'DCF Model'!F45/(1+$B21)^('DCF Model'!C19+3)+'DCF Model'!G45/(1+$B21)^('DCF Model'!C19+4)+('DCF Model'!G39+'DCF Model'!G42)*H$17/(1+$B21)^('DCF Model'!C19+4)-'DCF Model'!C16)*1000000/'DCF Model'!C15,0),"")</f>
        <v>5598</v>
      </c>
      <c r="I21" s="37">
        <f>IFERROR(ROUND(('DCF Model'!C45/(1+$B21)^('DCF Model'!C19+0)+'DCF Model'!D45/(1+$B21)^('DCF Model'!C19+1)+'DCF Model'!E45/(1+$B21)^('DCF Model'!C19+2)+'DCF Model'!F45/(1+$B21)^('DCF Model'!C19+3)+'DCF Model'!G45/(1+$B21)^('DCF Model'!C19+4)+('DCF Model'!G39+'DCF Model'!G42)*I$17/(1+$B21)^('DCF Model'!C19+4)-'DCF Model'!C16)*1000000/'DCF Model'!C15,0),"")</f>
        <v>6119</v>
      </c>
    </row>
    <row r="22" spans="2:9" ht="13.5" x14ac:dyDescent="0.25">
      <c r="B22" s="39">
        <f>$C$3+0.005</f>
        <v>8.2882660541491557E-2</v>
      </c>
      <c r="C22" s="37">
        <f>IFERROR(ROUND(('DCF Model'!C45/(1+$B22)^('DCF Model'!C19+0)+'DCF Model'!D45/(1+$B22)^('DCF Model'!C19+1)+'DCF Model'!E45/(1+$B22)^('DCF Model'!C19+2)+'DCF Model'!F45/(1+$B22)^('DCF Model'!C19+3)+'DCF Model'!G45/(1+$B22)^('DCF Model'!C19+4)+('DCF Model'!G39+'DCF Model'!G42)*C$17/(1+$B22)^('DCF Model'!C19+4)-'DCF Model'!C16)*1000000/'DCF Model'!C15,0),"")</f>
        <v>2939</v>
      </c>
      <c r="D22" s="37">
        <f>IFERROR(ROUND(('DCF Model'!C45/(1+$B22)^('DCF Model'!C19+0)+'DCF Model'!D45/(1+$B22)^('DCF Model'!C19+1)+'DCF Model'!E45/(1+$B22)^('DCF Model'!C19+2)+'DCF Model'!F45/(1+$B22)^('DCF Model'!C19+3)+'DCF Model'!G45/(1+$B22)^('DCF Model'!C19+4)+('DCF Model'!G39+'DCF Model'!G42)*D$17/(1+$B22)^('DCF Model'!C19+4)-'DCF Model'!C16)*1000000/'DCF Model'!C15,0),"")</f>
        <v>3449</v>
      </c>
      <c r="E22" s="37">
        <f>IFERROR(ROUND(('DCF Model'!C45/(1+$B22)^('DCF Model'!C19+0)+'DCF Model'!D45/(1+$B22)^('DCF Model'!C19+1)+'DCF Model'!E45/(1+$B22)^('DCF Model'!C19+2)+'DCF Model'!F45/(1+$B22)^('DCF Model'!C19+3)+'DCF Model'!G45/(1+$B22)^('DCF Model'!C19+4)+('DCF Model'!G39+'DCF Model'!G42)*E$17/(1+$B22)^('DCF Model'!C19+4)-'DCF Model'!C16)*1000000/'DCF Model'!C15,0),"")</f>
        <v>3960</v>
      </c>
      <c r="F22" s="37">
        <f>IFERROR(ROUND(('DCF Model'!C45/(1+$B22)^('DCF Model'!C19+0)+'DCF Model'!D45/(1+$B22)^('DCF Model'!C19+1)+'DCF Model'!E45/(1+$B22)^('DCF Model'!C19+2)+'DCF Model'!F45/(1+$B22)^('DCF Model'!C19+3)+'DCF Model'!G45/(1+$B22)^('DCF Model'!C19+4)+('DCF Model'!G39+'DCF Model'!G42)*F$17/(1+$B22)^('DCF Model'!C19+4)-'DCF Model'!C16)*1000000/'DCF Model'!C15,0),"")</f>
        <v>4471</v>
      </c>
      <c r="G22" s="37">
        <f>IFERROR(ROUND(('DCF Model'!C45/(1+$B22)^('DCF Model'!C19+0)+'DCF Model'!D45/(1+$B22)^('DCF Model'!C19+1)+'DCF Model'!E45/(1+$B22)^('DCF Model'!C19+2)+'DCF Model'!F45/(1+$B22)^('DCF Model'!C19+3)+'DCF Model'!G45/(1+$B22)^('DCF Model'!C19+4)+('DCF Model'!G39+'DCF Model'!G42)*G$17/(1+$B22)^('DCF Model'!C19+4)-'DCF Model'!C16)*1000000/'DCF Model'!C15,0),"")</f>
        <v>4982</v>
      </c>
      <c r="H22" s="37">
        <f>IFERROR(ROUND(('DCF Model'!C45/(1+$B22)^('DCF Model'!C19+0)+'DCF Model'!D45/(1+$B22)^('DCF Model'!C19+1)+'DCF Model'!E45/(1+$B22)^('DCF Model'!C19+2)+'DCF Model'!F45/(1+$B22)^('DCF Model'!C19+3)+'DCF Model'!G45/(1+$B22)^('DCF Model'!C19+4)+('DCF Model'!G39+'DCF Model'!G42)*H$17/(1+$B22)^('DCF Model'!C19+4)-'DCF Model'!C16)*1000000/'DCF Model'!C15,0),"")</f>
        <v>5492</v>
      </c>
      <c r="I22" s="37">
        <f>IFERROR(ROUND(('DCF Model'!C45/(1+$B22)^('DCF Model'!C19+0)+'DCF Model'!D45/(1+$B22)^('DCF Model'!C19+1)+'DCF Model'!E45/(1+$B22)^('DCF Model'!C19+2)+'DCF Model'!F45/(1+$B22)^('DCF Model'!C19+3)+'DCF Model'!G45/(1+$B22)^('DCF Model'!C19+4)+('DCF Model'!G39+'DCF Model'!G42)*I$17/(1+$B22)^('DCF Model'!C19+4)-'DCF Model'!C16)*1000000/'DCF Model'!C15,0),"")</f>
        <v>6003</v>
      </c>
    </row>
    <row r="23" spans="2:9" ht="13.5" x14ac:dyDescent="0.25">
      <c r="B23" s="39">
        <f>$C$3+0.01</f>
        <v>8.7882660541491547E-2</v>
      </c>
      <c r="C23" s="37">
        <f>IFERROR(ROUND(('DCF Model'!C45/(1+$B23)^('DCF Model'!C19+0)+'DCF Model'!D45/(1+$B23)^('DCF Model'!C19+1)+'DCF Model'!E45/(1+$B23)^('DCF Model'!C19+2)+'DCF Model'!F45/(1+$B23)^('DCF Model'!C19+3)+'DCF Model'!G45/(1+$B23)^('DCF Model'!C19+4)+('DCF Model'!G39+'DCF Model'!G42)*C$17/(1+$B23)^('DCF Model'!C19+4)-'DCF Model'!C16)*1000000/'DCF Model'!C15,0),"")</f>
        <v>2888</v>
      </c>
      <c r="D23" s="37">
        <f>IFERROR(ROUND(('DCF Model'!C45/(1+$B23)^('DCF Model'!C19+0)+'DCF Model'!D45/(1+$B23)^('DCF Model'!C19+1)+'DCF Model'!E45/(1+$B23)^('DCF Model'!C19+2)+'DCF Model'!F45/(1+$B23)^('DCF Model'!C19+3)+'DCF Model'!G45/(1+$B23)^('DCF Model'!C19+4)+('DCF Model'!G39+'DCF Model'!G42)*D$17/(1+$B23)^('DCF Model'!C19+4)-'DCF Model'!C16)*1000000/'DCF Model'!C15,0),"")</f>
        <v>3388</v>
      </c>
      <c r="E23" s="37">
        <f>IFERROR(ROUND(('DCF Model'!C45/(1+$B23)^('DCF Model'!C19+0)+'DCF Model'!D45/(1+$B23)^('DCF Model'!C19+1)+'DCF Model'!E45/(1+$B23)^('DCF Model'!C19+2)+'DCF Model'!F45/(1+$B23)^('DCF Model'!C19+3)+'DCF Model'!G45/(1+$B23)^('DCF Model'!C19+4)+('DCF Model'!G39+'DCF Model'!G42)*E$17/(1+$B23)^('DCF Model'!C19+4)-'DCF Model'!C16)*1000000/'DCF Model'!C15,0),"")</f>
        <v>3888</v>
      </c>
      <c r="F23" s="37">
        <f>IFERROR(ROUND(('DCF Model'!C45/(1+$B23)^('DCF Model'!C19+0)+'DCF Model'!D45/(1+$B23)^('DCF Model'!C19+1)+'DCF Model'!E45/(1+$B23)^('DCF Model'!C19+2)+'DCF Model'!F45/(1+$B23)^('DCF Model'!C19+3)+'DCF Model'!G45/(1+$B23)^('DCF Model'!C19+4)+('DCF Model'!G39+'DCF Model'!G42)*F$17/(1+$B23)^('DCF Model'!C19+4)-'DCF Model'!C16)*1000000/'DCF Model'!C15,0),"")</f>
        <v>4389</v>
      </c>
      <c r="G23" s="37">
        <f>IFERROR(ROUND(('DCF Model'!C45/(1+$B23)^('DCF Model'!C19+0)+'DCF Model'!D45/(1+$B23)^('DCF Model'!C19+1)+'DCF Model'!E45/(1+$B23)^('DCF Model'!C19+2)+'DCF Model'!F45/(1+$B23)^('DCF Model'!C19+3)+'DCF Model'!G45/(1+$B23)^('DCF Model'!C19+4)+('DCF Model'!G39+'DCF Model'!G42)*G$17/(1+$B23)^('DCF Model'!C19+4)-'DCF Model'!C16)*1000000/'DCF Model'!C15,0),"")</f>
        <v>4889</v>
      </c>
      <c r="H23" s="37">
        <f>IFERROR(ROUND(('DCF Model'!C45/(1+$B23)^('DCF Model'!C19+0)+'DCF Model'!D45/(1+$B23)^('DCF Model'!C19+1)+'DCF Model'!E45/(1+$B23)^('DCF Model'!C19+2)+'DCF Model'!F45/(1+$B23)^('DCF Model'!C19+3)+'DCF Model'!G45/(1+$B23)^('DCF Model'!C19+4)+('DCF Model'!G39+'DCF Model'!G42)*H$17/(1+$B23)^('DCF Model'!C19+4)-'DCF Model'!C16)*1000000/'DCF Model'!C15,0),"")</f>
        <v>5389</v>
      </c>
      <c r="I23" s="37">
        <f>IFERROR(ROUND(('DCF Model'!C45/(1+$B23)^('DCF Model'!C19+0)+'DCF Model'!D45/(1+$B23)^('DCF Model'!C19+1)+'DCF Model'!E45/(1+$B23)^('DCF Model'!C19+2)+'DCF Model'!F45/(1+$B23)^('DCF Model'!C19+3)+'DCF Model'!G45/(1+$B23)^('DCF Model'!C19+4)+('DCF Model'!G39+'DCF Model'!G42)*I$17/(1+$B23)^('DCF Model'!C19+4)-'DCF Model'!C16)*1000000/'DCF Model'!C15,0),"")</f>
        <v>5889</v>
      </c>
    </row>
    <row r="24" spans="2:9" ht="13.5" x14ac:dyDescent="0.25">
      <c r="B24" s="39">
        <f>$C$3+0.015</f>
        <v>9.2882660541491552E-2</v>
      </c>
      <c r="C24" s="37">
        <f>IFERROR(ROUND(('DCF Model'!C45/(1+$B24)^('DCF Model'!C19+0)+'DCF Model'!D45/(1+$B24)^('DCF Model'!C19+1)+'DCF Model'!E45/(1+$B24)^('DCF Model'!C19+2)+'DCF Model'!F45/(1+$B24)^('DCF Model'!C19+3)+'DCF Model'!G45/(1+$B24)^('DCF Model'!C19+4)+('DCF Model'!G39+'DCF Model'!G42)*C$17/(1+$B24)^('DCF Model'!C19+4)-'DCF Model'!C16)*1000000/'DCF Model'!C15,0),"")</f>
        <v>2838</v>
      </c>
      <c r="D24" s="37">
        <f>IFERROR(ROUND(('DCF Model'!C45/(1+$B24)^('DCF Model'!C19+0)+'DCF Model'!D45/(1+$B24)^('DCF Model'!C19+1)+'DCF Model'!E45/(1+$B24)^('DCF Model'!C19+2)+'DCF Model'!F45/(1+$B24)^('DCF Model'!C19+3)+'DCF Model'!G45/(1+$B24)^('DCF Model'!C19+4)+('DCF Model'!G39+'DCF Model'!G42)*D$17/(1+$B24)^('DCF Model'!C19+4)-'DCF Model'!C16)*1000000/'DCF Model'!C15,0),"")</f>
        <v>3328</v>
      </c>
      <c r="E24" s="37">
        <f>IFERROR(ROUND(('DCF Model'!C45/(1+$B24)^('DCF Model'!C19+0)+'DCF Model'!D45/(1+$B24)^('DCF Model'!C19+1)+'DCF Model'!E45/(1+$B24)^('DCF Model'!C19+2)+'DCF Model'!F45/(1+$B24)^('DCF Model'!C19+3)+'DCF Model'!G45/(1+$B24)^('DCF Model'!C19+4)+('DCF Model'!G39+'DCF Model'!G42)*E$17/(1+$B24)^('DCF Model'!C19+4)-'DCF Model'!C16)*1000000/'DCF Model'!C15,0),"")</f>
        <v>3818</v>
      </c>
      <c r="F24" s="37">
        <f>IFERROR(ROUND(('DCF Model'!C45/(1+$B24)^('DCF Model'!C19+0)+'DCF Model'!D45/(1+$B24)^('DCF Model'!C19+1)+'DCF Model'!E45/(1+$B24)^('DCF Model'!C19+2)+'DCF Model'!F45/(1+$B24)^('DCF Model'!C19+3)+'DCF Model'!G45/(1+$B24)^('DCF Model'!C19+4)+('DCF Model'!G39+'DCF Model'!G42)*F$17/(1+$B24)^('DCF Model'!C19+4)-'DCF Model'!C16)*1000000/'DCF Model'!C15,0),"")</f>
        <v>4308</v>
      </c>
      <c r="G24" s="37">
        <f>IFERROR(ROUND(('DCF Model'!C45/(1+$B24)^('DCF Model'!C19+0)+'DCF Model'!D45/(1+$B24)^('DCF Model'!C19+1)+'DCF Model'!E45/(1+$B24)^('DCF Model'!C19+2)+'DCF Model'!F45/(1+$B24)^('DCF Model'!C19+3)+'DCF Model'!G45/(1+$B24)^('DCF Model'!C19+4)+('DCF Model'!G39+'DCF Model'!G42)*G$17/(1+$B24)^('DCF Model'!C19+4)-'DCF Model'!C16)*1000000/'DCF Model'!C15,0),"")</f>
        <v>4798</v>
      </c>
      <c r="H24" s="37">
        <f>IFERROR(ROUND(('DCF Model'!C45/(1+$B24)^('DCF Model'!C19+0)+'DCF Model'!D45/(1+$B24)^('DCF Model'!C19+1)+'DCF Model'!E45/(1+$B24)^('DCF Model'!C19+2)+'DCF Model'!F45/(1+$B24)^('DCF Model'!C19+3)+'DCF Model'!G45/(1+$B24)^('DCF Model'!C19+4)+('DCF Model'!G39+'DCF Model'!G42)*H$17/(1+$B24)^('DCF Model'!C19+4)-'DCF Model'!C16)*1000000/'DCF Model'!C15,0),"")</f>
        <v>5288</v>
      </c>
      <c r="I24" s="37">
        <f>IFERROR(ROUND(('DCF Model'!C45/(1+$B24)^('DCF Model'!C19+0)+'DCF Model'!D45/(1+$B24)^('DCF Model'!C19+1)+'DCF Model'!E45/(1+$B24)^('DCF Model'!C19+2)+'DCF Model'!F45/(1+$B24)^('DCF Model'!C19+3)+'DCF Model'!G45/(1+$B24)^('DCF Model'!C19+4)+('DCF Model'!G39+'DCF Model'!G42)*I$17/(1+$B24)^('DCF Model'!C19+4)-'DCF Model'!C16)*1000000/'DCF Model'!C15,0),"")</f>
        <v>5779</v>
      </c>
    </row>
    <row r="26" spans="2:9" ht="14" x14ac:dyDescent="0.3">
      <c r="B26" s="45" t="s">
        <v>240</v>
      </c>
      <c r="C26" s="44"/>
      <c r="D26" s="44"/>
      <c r="E26" s="44"/>
      <c r="F26" s="44"/>
      <c r="G26" s="44"/>
      <c r="H26" s="44"/>
      <c r="I26" s="44"/>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50"/>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x14ac:dyDescent="0.4">
      <c r="B2" s="2" t="s">
        <v>241</v>
      </c>
    </row>
    <row r="4" spans="2:7" ht="14" x14ac:dyDescent="0.3">
      <c r="B4" s="10" t="s">
        <v>242</v>
      </c>
      <c r="C4" s="10" t="s">
        <v>243</v>
      </c>
      <c r="D4" s="10" t="s">
        <v>244</v>
      </c>
      <c r="E4" s="10" t="s">
        <v>245</v>
      </c>
      <c r="F4" s="10" t="s">
        <v>246</v>
      </c>
      <c r="G4" s="10" t="s">
        <v>247</v>
      </c>
    </row>
    <row r="5" spans="2:7" x14ac:dyDescent="0.2">
      <c r="B5" t="s">
        <v>248</v>
      </c>
      <c r="C5" t="s">
        <v>249</v>
      </c>
      <c r="D5" t="s">
        <v>250</v>
      </c>
      <c r="E5" t="s">
        <v>251</v>
      </c>
      <c r="F5" t="s">
        <v>249</v>
      </c>
      <c r="G5" t="s">
        <v>252</v>
      </c>
    </row>
    <row r="6" spans="2:7" ht="30" customHeight="1" x14ac:dyDescent="0.3">
      <c r="B6" t="s">
        <v>248</v>
      </c>
      <c r="C6" s="4" t="s">
        <v>253</v>
      </c>
      <c r="D6" t="s">
        <v>254</v>
      </c>
      <c r="E6" t="s">
        <v>255</v>
      </c>
      <c r="F6" t="s">
        <v>256</v>
      </c>
      <c r="G6" t="s">
        <v>257</v>
      </c>
    </row>
    <row r="12" spans="2:7" ht="14" x14ac:dyDescent="0.3">
      <c r="B12" s="8" t="s">
        <v>258</v>
      </c>
    </row>
    <row r="13" spans="2:7" ht="14" x14ac:dyDescent="0.3">
      <c r="B13" s="10" t="s">
        <v>259</v>
      </c>
      <c r="C13" s="10" t="s">
        <v>260</v>
      </c>
    </row>
    <row r="14" spans="2:7" ht="14" x14ac:dyDescent="0.3">
      <c r="B14" s="4" t="s">
        <v>261</v>
      </c>
      <c r="C14" t="s">
        <v>262</v>
      </c>
    </row>
    <row r="15" spans="2:7" ht="14" x14ac:dyDescent="0.3">
      <c r="B15" s="4" t="s">
        <v>263</v>
      </c>
      <c r="C15" t="s">
        <v>264</v>
      </c>
    </row>
    <row r="16" spans="2:7" ht="14" x14ac:dyDescent="0.3">
      <c r="B16" s="4" t="s">
        <v>265</v>
      </c>
      <c r="C16" t="s">
        <v>266</v>
      </c>
    </row>
    <row r="17" spans="2:3" ht="14" x14ac:dyDescent="0.3">
      <c r="B17" s="4" t="s">
        <v>267</v>
      </c>
      <c r="C17" t="s">
        <v>47</v>
      </c>
    </row>
    <row r="18" spans="2:3" ht="14" x14ac:dyDescent="0.3">
      <c r="B18" s="4" t="s">
        <v>268</v>
      </c>
      <c r="C18" t="s">
        <v>4</v>
      </c>
    </row>
    <row r="19" spans="2:3" ht="14" x14ac:dyDescent="0.3">
      <c r="B19" s="4" t="s">
        <v>269</v>
      </c>
      <c r="C19" t="s">
        <v>248</v>
      </c>
    </row>
    <row r="20" spans="2:3" ht="14" x14ac:dyDescent="0.3">
      <c r="B20" s="4" t="s">
        <v>270</v>
      </c>
      <c r="C20" t="s">
        <v>271</v>
      </c>
    </row>
    <row r="21" spans="2:3" ht="14" x14ac:dyDescent="0.3">
      <c r="B21" s="4" t="s">
        <v>272</v>
      </c>
      <c r="C21" t="s">
        <v>273</v>
      </c>
    </row>
    <row r="22" spans="2:3" ht="14" x14ac:dyDescent="0.3">
      <c r="B22" s="4" t="s">
        <v>274</v>
      </c>
      <c r="C22" t="s">
        <v>275</v>
      </c>
    </row>
    <row r="23" spans="2:3" ht="14" x14ac:dyDescent="0.3">
      <c r="B23" s="4" t="s">
        <v>276</v>
      </c>
      <c r="C23" t="s">
        <v>277</v>
      </c>
    </row>
    <row r="24" spans="2:3" ht="14" x14ac:dyDescent="0.3">
      <c r="B24" s="4" t="s">
        <v>278</v>
      </c>
      <c r="C24" t="s">
        <v>279</v>
      </c>
    </row>
    <row r="25" spans="2:3" ht="14" x14ac:dyDescent="0.3">
      <c r="B25" s="4" t="s">
        <v>280</v>
      </c>
      <c r="C25" t="s">
        <v>275</v>
      </c>
    </row>
    <row r="26" spans="2:3" ht="14" x14ac:dyDescent="0.3">
      <c r="B26" s="4" t="s">
        <v>281</v>
      </c>
      <c r="C26" t="s">
        <v>271</v>
      </c>
    </row>
    <row r="27" spans="2:3" ht="14" x14ac:dyDescent="0.3">
      <c r="B27" s="4" t="s">
        <v>282</v>
      </c>
      <c r="C27" t="s">
        <v>283</v>
      </c>
    </row>
    <row r="28" spans="2:3" ht="14" x14ac:dyDescent="0.3">
      <c r="B28" s="4" t="s">
        <v>284</v>
      </c>
      <c r="C28" t="s">
        <v>285</v>
      </c>
    </row>
    <row r="29" spans="2:3" ht="14" x14ac:dyDescent="0.3">
      <c r="B29" s="4" t="s">
        <v>286</v>
      </c>
      <c r="C29" t="s">
        <v>287</v>
      </c>
    </row>
    <row r="30" spans="2:3" ht="14" x14ac:dyDescent="0.3">
      <c r="B30" s="4" t="s">
        <v>288</v>
      </c>
      <c r="C30" t="s">
        <v>289</v>
      </c>
    </row>
    <row r="31" spans="2:3" ht="14" x14ac:dyDescent="0.3">
      <c r="B31" s="4" t="s">
        <v>290</v>
      </c>
      <c r="C31" t="s">
        <v>291</v>
      </c>
    </row>
    <row r="32" spans="2:3" ht="14" x14ac:dyDescent="0.3">
      <c r="B32" s="4" t="s">
        <v>292</v>
      </c>
      <c r="C32" t="s">
        <v>293</v>
      </c>
    </row>
    <row r="33" spans="2:3" ht="14" x14ac:dyDescent="0.3">
      <c r="B33" s="4" t="s">
        <v>294</v>
      </c>
      <c r="C33" t="s">
        <v>295</v>
      </c>
    </row>
    <row r="34" spans="2:3" ht="14" x14ac:dyDescent="0.3">
      <c r="B34" s="4" t="s">
        <v>296</v>
      </c>
      <c r="C34" t="s">
        <v>297</v>
      </c>
    </row>
    <row r="35" spans="2:3" ht="14" x14ac:dyDescent="0.3">
      <c r="B35" s="4" t="s">
        <v>298</v>
      </c>
      <c r="C35" t="s">
        <v>264</v>
      </c>
    </row>
    <row r="36" spans="2:3" ht="14" x14ac:dyDescent="0.3">
      <c r="B36" s="4" t="s">
        <v>299</v>
      </c>
      <c r="C36" t="s">
        <v>300</v>
      </c>
    </row>
    <row r="37" spans="2:3" ht="14" x14ac:dyDescent="0.3">
      <c r="B37" s="4" t="s">
        <v>301</v>
      </c>
      <c r="C37" t="s">
        <v>302</v>
      </c>
    </row>
    <row r="38" spans="2:3" ht="14" x14ac:dyDescent="0.3">
      <c r="B38" s="4" t="s">
        <v>303</v>
      </c>
      <c r="C38" t="s">
        <v>304</v>
      </c>
    </row>
    <row r="39" spans="2:3" ht="14" x14ac:dyDescent="0.3">
      <c r="B39" s="4" t="s">
        <v>305</v>
      </c>
      <c r="C39" t="s">
        <v>306</v>
      </c>
    </row>
    <row r="40" spans="2:3" ht="14" x14ac:dyDescent="0.3">
      <c r="B40" s="4" t="s">
        <v>307</v>
      </c>
      <c r="C40" t="s">
        <v>308</v>
      </c>
    </row>
    <row r="41" spans="2:3" ht="14" x14ac:dyDescent="0.3">
      <c r="B41" s="4" t="s">
        <v>309</v>
      </c>
      <c r="C41" t="s">
        <v>310</v>
      </c>
    </row>
    <row r="42" spans="2:3" ht="14" x14ac:dyDescent="0.3">
      <c r="B42" s="4" t="s">
        <v>311</v>
      </c>
      <c r="C42" t="s">
        <v>312</v>
      </c>
    </row>
    <row r="43" spans="2:3" ht="14" x14ac:dyDescent="0.3">
      <c r="B43" s="4" t="s">
        <v>313</v>
      </c>
      <c r="C43" t="s">
        <v>314</v>
      </c>
    </row>
    <row r="44" spans="2:3" ht="14" x14ac:dyDescent="0.3">
      <c r="B44" s="4" t="s">
        <v>315</v>
      </c>
      <c r="C44" t="s">
        <v>316</v>
      </c>
    </row>
    <row r="45" spans="2:3" ht="14" x14ac:dyDescent="0.3">
      <c r="B45" s="4" t="s">
        <v>317</v>
      </c>
      <c r="C45" t="s">
        <v>271</v>
      </c>
    </row>
    <row r="46" spans="2:3" ht="14" x14ac:dyDescent="0.3">
      <c r="B46" s="4" t="s">
        <v>318</v>
      </c>
      <c r="C46" t="s">
        <v>319</v>
      </c>
    </row>
    <row r="47" spans="2:3" ht="14" x14ac:dyDescent="0.3">
      <c r="B47" s="4" t="s">
        <v>320</v>
      </c>
      <c r="C47" t="s">
        <v>321</v>
      </c>
    </row>
    <row r="48" spans="2:3" ht="14" x14ac:dyDescent="0.3">
      <c r="B48" s="4" t="s">
        <v>322</v>
      </c>
      <c r="C48" t="s">
        <v>323</v>
      </c>
    </row>
    <row r="49" spans="2:3" ht="14" x14ac:dyDescent="0.3">
      <c r="B49" s="4" t="s">
        <v>324</v>
      </c>
      <c r="C49" t="s">
        <v>325</v>
      </c>
    </row>
    <row r="50" spans="2:3" ht="14" x14ac:dyDescent="0.3">
      <c r="B50" s="4" t="s">
        <v>326</v>
      </c>
      <c r="C50" t="s">
        <v>213</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2026-09-05T17:22:09Z</dcterms:created>
  <dcterms:modified xsi:type="dcterms:W3CDTF">2026-09-05T17:22:12Z</dcterms:modified>
</cp:coreProperties>
</file>