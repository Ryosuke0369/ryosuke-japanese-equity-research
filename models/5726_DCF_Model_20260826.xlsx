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Financial Statements" sheetId="2" state="visible" r:id="rId4"/>
    <sheet name="DCF Model" sheetId="3" state="visible" r:id="rId5"/>
    <sheet name="Reverse DCF" sheetId="4" state="visible" r:id="rId6"/>
    <sheet name="NWC Schedule" sheetId="5" state="visible" r:id="rId7"/>
    <sheet name="Comps Analysis" sheetId="6" state="visible" r:id="rId8"/>
    <sheet name="Sensitivity Analysis" sheetId="7" state="visible" r:id="rId9"/>
    <sheet name="Adjustments Lo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<sst xmlns="http://schemas.openxmlformats.org/spreadsheetml/2006/main" count="579" uniqueCount="451">
  <si>
    <t xml:space="preserve">DISCLAIMER: This is a sample analysis for demonstration purposes only. It does not constitute investment advice.</t>
  </si>
  <si>
    <t xml:space="preserve">Osaka Titanium Technologies (5726.T)</t>
  </si>
  <si>
    <t xml:space="preserve">Equity Research Report</t>
  </si>
  <si>
    <t xml:space="preserve">Company</t>
  </si>
  <si>
    <t xml:space="preserve">Osaka Titanium Technologies</t>
  </si>
  <si>
    <t xml:space="preserve">Ticker</t>
  </si>
  <si>
    <t xml:space="preserve">5726.T (TSE Prime)</t>
  </si>
  <si>
    <t xml:space="preserve">Sector</t>
  </si>
  <si>
    <t xml:space="preserve">Sponge Titanium / Aerospace Materials</t>
  </si>
  <si>
    <t xml:space="preserve">Current Price</t>
  </si>
  <si>
    <t xml:space="preserve">Target Price (DCF Mid)</t>
  </si>
  <si>
    <t xml:space="preserve">Recommendation</t>
  </si>
  <si>
    <t xml:space="preserve">Upside / Downside</t>
  </si>
  <si>
    <t xml:space="preserve">Valuation Summary</t>
  </si>
  <si>
    <t xml:space="preserve">Methodology</t>
  </si>
  <si>
    <t xml:space="preserve">Implied Value (JPY)</t>
  </si>
  <si>
    <t xml:space="preserve">vs Current Price</t>
  </si>
  <si>
    <t xml:space="preserve">DCF - Perpetuity Growth</t>
  </si>
  <si>
    <t xml:space="preserve">DCF - Exit Multiple</t>
  </si>
  <si>
    <r>
      <rPr>
        <sz val="11"/>
        <color theme="1"/>
        <rFont val="ＭＳ Ｐゴシック"/>
        <family val="2"/>
        <charset val="1"/>
      </rPr>
      <t xml:space="preserve">Comps - EV/EBITDA Median [</t>
    </r>
    <r>
      <rPr>
        <sz val="11"/>
        <color theme="1"/>
        <rFont val="Noto Sans CJK SC"/>
        <family val="2"/>
      </rPr>
      <t xml:space="preserve">参考・</t>
    </r>
    <r>
      <rPr>
        <sz val="11"/>
        <color theme="1"/>
        <rFont val="ＭＳ Ｐゴシック"/>
        <family val="2"/>
        <charset val="1"/>
      </rPr>
      <t xml:space="preserve">Target</t>
    </r>
    <r>
      <rPr>
        <sz val="11"/>
        <color theme="1"/>
        <rFont val="Noto Sans CJK SC"/>
        <family val="2"/>
      </rPr>
      <t xml:space="preserve">除外</t>
    </r>
    <r>
      <rPr>
        <sz val="11"/>
        <color theme="1"/>
        <rFont val="ＭＳ Ｐゴシック"/>
        <family val="2"/>
        <charset val="1"/>
      </rPr>
      <t xml:space="preserve">]</t>
    </r>
  </si>
  <si>
    <r>
      <rPr>
        <sz val="11"/>
        <color theme="1"/>
        <rFont val="ＭＳ Ｐゴシック"/>
        <family val="2"/>
        <charset val="1"/>
      </rPr>
      <t xml:space="preserve">Comps - PER Median [</t>
    </r>
    <r>
      <rPr>
        <sz val="11"/>
        <color theme="1"/>
        <rFont val="Noto Sans CJK SC"/>
        <family val="2"/>
      </rPr>
      <t xml:space="preserve">参考・</t>
    </r>
    <r>
      <rPr>
        <sz val="11"/>
        <color theme="1"/>
        <rFont val="ＭＳ Ｐゴシック"/>
        <family val="2"/>
        <charset val="1"/>
      </rPr>
      <t xml:space="preserve">Target</t>
    </r>
    <r>
      <rPr>
        <sz val="11"/>
        <color theme="1"/>
        <rFont val="Noto Sans CJK SC"/>
        <family val="2"/>
      </rPr>
      <t xml:space="preserve">除外</t>
    </r>
    <r>
      <rPr>
        <sz val="11"/>
        <color theme="1"/>
        <rFont val="ＭＳ Ｐゴシック"/>
        <family val="2"/>
        <charset val="1"/>
      </rPr>
      <t xml:space="preserve">/</t>
    </r>
    <r>
      <rPr>
        <sz val="11"/>
        <color theme="1"/>
        <rFont val="Noto Sans CJK SC"/>
        <family val="2"/>
      </rPr>
      <t xml:space="preserve">分母歪み</t>
    </r>
    <r>
      <rPr>
        <sz val="11"/>
        <color theme="1"/>
        <rFont val="ＭＳ Ｐゴシック"/>
        <family val="2"/>
        <charset val="1"/>
      </rPr>
      <t xml:space="preserve">]</t>
    </r>
  </si>
  <si>
    <t xml:space="preserve">DCF Valuation Range (PGM - Exit)</t>
  </si>
  <si>
    <t xml:space="preserve">Key Investment Thesis</t>
  </si>
  <si>
    <t xml:space="preserve">Osaka Titanium is now the only listed pure-play sponge titanium producer in Japan: Toho Titanium, the other half of the domestic duopoly, was delisted on 28 May 2026 when JX Advanced Metals took it over in a share exchange at 0.70 JX shares per Toho share.</t>
  </si>
  <si>
    <t xml:space="preserve">Aerospace build rates, the replacement of Russian VSMPO-AVISMA supply and defence programmes all pull on the same narrow sponge capacity; the company is funding an expansion, with construction in progress up to JPY4.3bn at the end of Q1 FY3/27 after drawing JPY16.4bn of long-term borrowings in FY3/26.</t>
  </si>
  <si>
    <t xml:space="preserve">Key Risks</t>
  </si>
  <si>
    <t xml:space="preserve">Working capital is enormous and sticky: inventory was JPY36.9bn at FY3/26 against JPY35.4bn of annual cost of sales, or 380 days, so a volume recovery consumes cash long before it produces free cash flow.</t>
  </si>
  <si>
    <t xml:space="preserve">Net debt of JPY45.8bn sits against JPY44.3bn of book equity while capex runs at roughly 2.6x depreciation; if the aerospace build rate slips, the expanded capacity turns into fixed cost against a falling sponge price.</t>
  </si>
  <si>
    <t xml:space="preserve">The reverse DCF shows the price already discounts a steady-state operating profit well above the FY3/25 peak of JPY10.1bn, so a return to mid-cycle margins alone does not support it.</t>
  </si>
  <si>
    <t xml:space="preserve">Osaka Titanium Technologies - Historical Financials (JPY mn)</t>
  </si>
  <si>
    <t xml:space="preserve">FY2022/3</t>
  </si>
  <si>
    <t xml:space="preserve">FY2023/3</t>
  </si>
  <si>
    <t xml:space="preserve">FY2024/3</t>
  </si>
  <si>
    <t xml:space="preserve">FY2025/3</t>
  </si>
  <si>
    <t xml:space="preserve">FY2026/3</t>
  </si>
  <si>
    <t xml:space="preserve">Income Statement</t>
  </si>
  <si>
    <t xml:space="preserve">Revenue</t>
  </si>
  <si>
    <t xml:space="preserve">COGS</t>
  </si>
  <si>
    <t xml:space="preserve">Gross Profit</t>
  </si>
  <si>
    <t xml:space="preserve">Gross Margin</t>
  </si>
  <si>
    <t xml:space="preserve">SGA</t>
  </si>
  <si>
    <t xml:space="preserve">Operating Income</t>
  </si>
  <si>
    <t xml:space="preserve">Net Income</t>
  </si>
  <si>
    <t xml:space="preserve">Operating Margin</t>
  </si>
  <si>
    <t xml:space="preserve">Net Margin</t>
  </si>
  <si>
    <t xml:space="preserve">Revenue Growth (YoY)</t>
  </si>
  <si>
    <t xml:space="preserve">n/a</t>
  </si>
  <si>
    <t xml:space="preserve">Operating Income Growth (YoY)</t>
  </si>
  <si>
    <t xml:space="preserve">Cash Flow Statement</t>
  </si>
  <si>
    <t xml:space="preserve">Operating Cash Flow</t>
  </si>
  <si>
    <t xml:space="preserve">Capex</t>
  </si>
  <si>
    <t xml:space="preserve">Free Cash Flow</t>
  </si>
  <si>
    <t xml:space="preserve">FCF Margin</t>
  </si>
  <si>
    <t xml:space="preserve">Capex / Revenue</t>
  </si>
  <si>
    <t xml:space="preserve">Balance Sheet Highlights</t>
  </si>
  <si>
    <t xml:space="preserve">Cash &amp; Deposits</t>
  </si>
  <si>
    <t xml:space="preserve">Total Interest-bearing Debt (short + long)</t>
  </si>
  <si>
    <t xml:space="preserve">Net Debt (Cash)</t>
  </si>
  <si>
    <r>
      <rPr>
        <i val="true"/>
        <sz val="9"/>
        <color rgb="FF808080"/>
        <rFont val="Arial"/>
        <family val="0"/>
        <charset val="1"/>
      </rPr>
      <t xml:space="preserve">Note: OCF / Cash / Debt coverage OCF 5/5, Cash 5/5, Debt 5/5 — blank cells are years with no year-key match in the source data (verify against </t>
    </r>
    <r>
      <rPr>
        <i val="true"/>
        <sz val="9"/>
        <color rgb="FF808080"/>
        <rFont val="Noto Sans CJK SC"/>
        <family val="2"/>
      </rPr>
      <t xml:space="preserve">決算短信 </t>
    </r>
    <r>
      <rPr>
        <i val="true"/>
        <sz val="9"/>
        <color rgb="FF808080"/>
        <rFont val="Arial"/>
        <family val="0"/>
        <charset val="1"/>
      </rPr>
      <t xml:space="preserve">or set hist_ocf / hist_cash / hist_debt in overrides).</t>
    </r>
  </si>
  <si>
    <t xml:space="preserve">DCF Valuation Model - Osaka Titanium Technologies</t>
  </si>
  <si>
    <t xml:space="preserve">Assumptions</t>
  </si>
  <si>
    <t xml:space="preserve">Capex / Revenue (hist 3yr avg, fallback)</t>
  </si>
  <si>
    <t xml:space="preserve">Effective Tax Rate</t>
  </si>
  <si>
    <t xml:space="preserve">Risk-Free Rate</t>
  </si>
  <si>
    <t xml:space="preserve">Beta</t>
  </si>
  <si>
    <t xml:space="preserve">Equity Risk Premium</t>
  </si>
  <si>
    <t xml:space="preserve">Size Premium</t>
  </si>
  <si>
    <t xml:space="preserve">After-tax Cost of Debt</t>
  </si>
  <si>
    <t xml:space="preserve">D/E Ratio</t>
  </si>
  <si>
    <t xml:space="preserve">Terminal Growth Rate</t>
  </si>
  <si>
    <t xml:space="preserve">Exit Multiple (EV/EBITDA)</t>
  </si>
  <si>
    <t xml:space="preserve">Fully Diluted Shares</t>
  </si>
  <si>
    <t xml:space="preserve">Net Debt (JPY mn)</t>
  </si>
  <si>
    <t xml:space="preserve">Base Year Revenue (JPY mn)</t>
  </si>
  <si>
    <t xml:space="preserve">D&amp;A / Revenue (hist 3yr avg, fallback)</t>
  </si>
  <si>
    <t xml:space="preserve">Stub Fraction (yr remaining)</t>
  </si>
  <si>
    <t xml:space="preserve">LTM Revenue (JPY mn) (override)</t>
  </si>
  <si>
    <t xml:space="preserve">WACC Calculation</t>
  </si>
  <si>
    <t xml:space="preserve">Cost of Equity (Ke)</t>
  </si>
  <si>
    <t xml:space="preserve">Weight of Equity</t>
  </si>
  <si>
    <t xml:space="preserve">Weight of Debt</t>
  </si>
  <si>
    <t xml:space="preserve">WACC</t>
  </si>
  <si>
    <t xml:space="preserve">Active Scenario</t>
  </si>
  <si>
    <t xml:space="preserve">Base</t>
  </si>
  <si>
    <t xml:space="preserve">Projected Free Cash Flow</t>
  </si>
  <si>
    <t xml:space="preserve">FY2027(E)</t>
  </si>
  <si>
    <t xml:space="preserve">FY2028(E)</t>
  </si>
  <si>
    <t xml:space="preserve">FY2029(E)</t>
  </si>
  <si>
    <t xml:space="preserve">FY2030(E)</t>
  </si>
  <si>
    <t xml:space="preserve">FY2031(E)</t>
  </si>
  <si>
    <t xml:space="preserve">COGS % of Revenue</t>
  </si>
  <si>
    <t xml:space="preserve">SGA % of Revenue</t>
  </si>
  <si>
    <t xml:space="preserve">SGA Expense</t>
  </si>
  <si>
    <t xml:space="preserve">Implied Operating Margin</t>
  </si>
  <si>
    <t xml:space="preserve">Operating Income (EBIT)</t>
  </si>
  <si>
    <t xml:space="preserve">Less: Tax</t>
  </si>
  <si>
    <t xml:space="preserve">NOPAT</t>
  </si>
  <si>
    <t xml:space="preserve">Plus: D&amp;A</t>
  </si>
  <si>
    <t xml:space="preserve">Less: Capex</t>
  </si>
  <si>
    <t xml:space="preserve">Change in NWC</t>
  </si>
  <si>
    <t xml:space="preserve">Unlevered Free Cash Flow</t>
  </si>
  <si>
    <t xml:space="preserve">Discount Factor</t>
  </si>
  <si>
    <t xml:space="preserve">PV of FCF</t>
  </si>
  <si>
    <t xml:space="preserve">Valuation - Perpetuity Growth Method</t>
  </si>
  <si>
    <t xml:space="preserve">Sum of PV of FCFs</t>
  </si>
  <si>
    <t xml:space="preserve">Terminal Value (PGM)</t>
  </si>
  <si>
    <t xml:space="preserve">PV of Terminal Value</t>
  </si>
  <si>
    <t xml:space="preserve">Enterprise Value</t>
  </si>
  <si>
    <t xml:space="preserve">Equity Value</t>
  </si>
  <si>
    <t xml:space="preserve">Implied Share Price (PGM)</t>
  </si>
  <si>
    <t xml:space="preserve">Valuation - Exit Multiple Method</t>
  </si>
  <si>
    <t xml:space="preserve">Year 5 EBITDA</t>
  </si>
  <si>
    <t xml:space="preserve">Terminal Value (Exit Multiple)</t>
  </si>
  <si>
    <t xml:space="preserve">Implied Share Price (Exit Multiple)</t>
  </si>
  <si>
    <t xml:space="preserve">Scenario Input Matrix</t>
  </si>
  <si>
    <t xml:space="preserve">Year 1</t>
  </si>
  <si>
    <t xml:space="preserve">Year 2</t>
  </si>
  <si>
    <t xml:space="preserve">Year 3</t>
  </si>
  <si>
    <t xml:space="preserve">Year 4</t>
  </si>
  <si>
    <t xml:space="preserve">Year 5</t>
  </si>
  <si>
    <t xml:space="preserve">Upside</t>
  </si>
  <si>
    <t xml:space="preserve">Management</t>
  </si>
  <si>
    <t xml:space="preserve">Downside 1</t>
  </si>
  <si>
    <t xml:space="preserve">Downside 2</t>
  </si>
  <si>
    <t xml:space="preserve">Reverse DCF - Osaka Titanium Technologies (5726.T)</t>
  </si>
  <si>
    <t xml:space="preserve">What is the current share price already assuming? Every value below is a live formula off the other sheets.</t>
  </si>
  <si>
    <t xml:space="preserve">Block 0: Market-implied enterprise value (live)</t>
  </si>
  <si>
    <t xml:space="preserve">Current Share Price (JPY)</t>
  </si>
  <si>
    <t xml:space="preserve">Market Capitalisation (JPY mn)</t>
  </si>
  <si>
    <t xml:space="preserve">Enterprise Value (JPY mn)</t>
  </si>
  <si>
    <t xml:space="preserve">WACC (w)</t>
  </si>
  <si>
    <t xml:space="preserve">Terminal Growth (g)</t>
  </si>
  <si>
    <t xml:space="preserve">Effective Tax Rate (t)</t>
  </si>
  <si>
    <t xml:space="preserve">Starting Operating Profit OP0 (FY2026/3 actual)</t>
  </si>
  <si>
    <t xml:space="preserve">Cycle-peak Operating Profit (FY2025/3 actual)</t>
  </si>
  <si>
    <t xml:space="preserve">Base-case Year 5 Revenue (JPY mn)</t>
  </si>
  <si>
    <t xml:space="preserve">Base-case DCF Enterprise Value, PGM (JPY mn)</t>
  </si>
  <si>
    <t xml:space="preserve">Cycle-peak Operating Margin (FY2025/3 actual)</t>
  </si>
  <si>
    <t xml:space="preserve">Gap: market EV less base-case DCF EV (JPY mn)</t>
  </si>
  <si>
    <t xml:space="preserve">Gap per share (JPY) - the part of the price the base case does not explain</t>
  </si>
  <si>
    <t xml:space="preserve">Block A: Required steady-state operating profit, reached IMMEDIATELY (no ramp)</t>
  </si>
  <si>
    <t xml:space="preserve">The lowest bar the price can clear: today's EV read as a perpetuity of one steady-state profit, capex = D&amp;A, no NWC build.</t>
  </si>
  <si>
    <t xml:space="preserve">Required steady-state NOPAT (JPY mn)</t>
  </si>
  <si>
    <t xml:space="preserve">Required steady-state Operating Profit (JPY mn)</t>
  </si>
  <si>
    <t xml:space="preserve">... as a multiple of the FY2025/3 peak</t>
  </si>
  <si>
    <t xml:space="preserve">... as a multiple of FY2026/3 actual</t>
  </si>
  <si>
    <t xml:space="preserve">... implied OPM on base-case Year 5 revenue</t>
  </si>
  <si>
    <t xml:space="preserve">... revenue needed if margins only reach the cycle peak</t>
  </si>
  <si>
    <t xml:space="preserve">Block B: Required steady-state operating profit by YEARS-TO-REACH (linear ramp) x WACC</t>
  </si>
  <si>
    <t xml:space="preserve">Operating profit ramps linearly from OP0 (C14) to OP* over N years, then grows at g for ever. Column F is the model WACC.</t>
  </si>
  <si>
    <t xml:space="preserve">OP* = ( EV/(1-t) - OP0*(A-B) ) / ( B + TVF ). A longer ramp needs a HIGHER steady state, because more years are spent below it.</t>
  </si>
  <si>
    <t xml:space="preserve">Years to steady state (N)   \   WACC</t>
  </si>
  <si>
    <t xml:space="preserve">N</t>
  </si>
  <si>
    <t xml:space="preserve">B-1  PV weight on the RAMP from OP0   (A - B)</t>
  </si>
  <si>
    <t xml:space="preserve">N = 3 years</t>
  </si>
  <si>
    <t xml:space="preserve">N = 5 years</t>
  </si>
  <si>
    <t xml:space="preserve">N = 7 years</t>
  </si>
  <si>
    <t xml:space="preserve">N = 10 years</t>
  </si>
  <si>
    <t xml:space="preserve">B-2  PV weight on the STEADY STATE OP*   (B + terminal factor)</t>
  </si>
  <si>
    <t xml:space="preserve">B-3  REQUIRED steady-state Operating Profit (JPY mn)</t>
  </si>
  <si>
    <t xml:space="preserve">B-4  ... as a multiple of the FY2025/3 peak operating profit</t>
  </si>
  <si>
    <t xml:space="preserve">Block C: Decomposing the required profit into revenue x margin (N = 5 years, model WACC)</t>
  </si>
  <si>
    <t xml:space="preserve">The revenue the company must run at, for a given steady-state operating margin, to earn the Block B-3 profit.</t>
  </si>
  <si>
    <t xml:space="preserve">Required steady-state Operating Profit (N=5, model WACC)</t>
  </si>
  <si>
    <t xml:space="preserve">Assumed steady-state OPM</t>
  </si>
  <si>
    <t xml:space="preserve">Required Revenue</t>
  </si>
  <si>
    <t xml:space="preserve">x FY base revenue</t>
  </si>
  <si>
    <t xml:space="preserve">cycle-peak OPM (FY2025/3)</t>
  </si>
  <si>
    <t xml:space="preserve">Block D: The same question expressed as multiples</t>
  </si>
  <si>
    <t xml:space="preserve">Current EV / latest-FY EBITDA (actual)</t>
  </si>
  <si>
    <t xml:space="preserve">Current EV / latest-FY Revenue (actual)</t>
  </si>
  <si>
    <t xml:space="preserve">EV / EBITDA if the Block A profit were already earned</t>
  </si>
  <si>
    <t xml:space="preserve">EV / EBITDA if the Block B-3 (N=5) profit were already earned</t>
  </si>
  <si>
    <t xml:space="preserve">Peer median EV / EBITDA (statistics rows)</t>
  </si>
  <si>
    <t xml:space="preserve">Rows 3-4 answer: what multiple would today's EV be paying IF the company already earned the profit the price requires?</t>
  </si>
  <si>
    <t xml:space="preserve">Block E: Transaction benchmark (control price paid for the direct peer)</t>
  </si>
  <si>
    <t xml:space="preserve">Peer row EV / EBITDA at the announced exchange ratio</t>
  </si>
  <si>
    <t xml:space="preserve">Peer row EV / Revenue at the announced exchange ratio</t>
  </si>
  <si>
    <t xml:space="preserve">Subject share price implied by that EV / EBITDA</t>
  </si>
  <si>
    <t xml:space="preserve">Subject share price implied by that EV / Revenue</t>
  </si>
  <si>
    <t xml:space="preserve">Direct peer Toho Titanium (5727) was delisted on 2026-05-28: JX Advanced Metals (5016) took it 100% via a share exchange at 0.70 JX shares per Toho share (effective 2026-06-01).</t>
  </si>
  <si>
    <t xml:space="preserve">Its market cap in the comps sheet is therefore 0.70 x JX price (3,785 yen, 2026-08-26) x 71.19m shares = 188,618 mn JPY - a live control valuation of the other half of the domestic duopoly, not a stale quote.</t>
  </si>
  <si>
    <t xml:space="preserve">The row is excluded from the peer statistics by the pipeline freshness check (no live quote). Read it as a transaction benchmark: it embeds a control premium and JX's own rating.</t>
  </si>
  <si>
    <t xml:space="preserve">CAVEAT: Toho's FY2026/3 operating margin was only 5.3%, so its 22.9x EV/EBITDA is a depressed-earnings multiple. The EV/Revenue read (2.90x -&gt; 2,449 yen) is the more stable of the two.</t>
  </si>
  <si>
    <t xml:space="preserve">Block F: The one-line answer</t>
  </si>
  <si>
    <t xml:space="preserve">NWC Schedule - Osaka Titanium Technologies</t>
  </si>
  <si>
    <t xml:space="preserve">Working Capital Drivers (Days)</t>
  </si>
  <si>
    <t xml:space="preserve">Base Year</t>
  </si>
  <si>
    <t xml:space="preserve">DSO (Days Sales Outstanding)</t>
  </si>
  <si>
    <t xml:space="preserve">DIH (Days Inventory Held)</t>
  </si>
  <si>
    <t xml:space="preserve">DPO (Days Payable Outstanding)</t>
  </si>
  <si>
    <t xml:space="preserve">P&amp;L Reference (JPY mn)</t>
  </si>
  <si>
    <t xml:space="preserve">Working Capital Items (JPY mn)</t>
  </si>
  <si>
    <t xml:space="preserve">Accounts Receivable</t>
  </si>
  <si>
    <t xml:space="preserve">Inventory</t>
  </si>
  <si>
    <t xml:space="preserve">Current Assets (AR + Inv)</t>
  </si>
  <si>
    <t xml:space="preserve">Accounts Payable</t>
  </si>
  <si>
    <t xml:space="preserve">Current Liabilities (AP)</t>
  </si>
  <si>
    <t xml:space="preserve">Net Working Capital (JPY mn)</t>
  </si>
  <si>
    <t xml:space="preserve">Net Working Capital</t>
  </si>
  <si>
    <t xml:space="preserve">Scenario Input Matrix (Working Capital Days)</t>
  </si>
  <si>
    <t xml:space="preserve">DSO (Days)</t>
  </si>
  <si>
    <t xml:space="preserve">DIH (Days)</t>
  </si>
  <si>
    <t xml:space="preserve">DPO (Days)</t>
  </si>
  <si>
    <t xml:space="preserve">Comparable Company Analysis</t>
  </si>
  <si>
    <t xml:space="preserve">Peer prices as of 2026-08-26 (Mkt Cap / EV of peer rows are static CSV values; the subject row is live-linked to Executive Summary)</t>
  </si>
  <si>
    <t xml:space="preserve">Mkt Cap
(JPY mn)</t>
  </si>
  <si>
    <t xml:space="preserve">EV
(JPY mn)</t>
  </si>
  <si>
    <t xml:space="preserve">Revenue
(JPY mn)</t>
  </si>
  <si>
    <t xml:space="preserve">EBITDA
(JPY mn)</t>
  </si>
  <si>
    <t xml:space="preserve">Op Income
(JPY mn)</t>
  </si>
  <si>
    <t xml:space="preserve">Net Income
(JPY mn)</t>
  </si>
  <si>
    <t xml:space="preserve">EV/EBITDA</t>
  </si>
  <si>
    <t xml:space="preserve">EV/Revenue</t>
  </si>
  <si>
    <t xml:space="preserve">PER</t>
  </si>
  <si>
    <t xml:space="preserve">PBR</t>
  </si>
  <si>
    <t xml:space="preserve">Op Margin</t>
  </si>
  <si>
    <t xml:space="preserve">ROE</t>
  </si>
  <si>
    <t xml:space="preserve">Book Value
(JPY mn)</t>
  </si>
  <si>
    <t xml:space="preserve">Note</t>
  </si>
  <si>
    <t xml:space="preserve">5726.T</t>
  </si>
  <si>
    <t xml:space="preserve">Toho Titanium (delisted 2026-05-28)</t>
  </si>
  <si>
    <t xml:space="preserve">5727.T</t>
  </si>
  <si>
    <t xml:space="preserve">(price unavailable — delisted or wrong ticker?)</t>
  </si>
  <si>
    <t xml:space="preserve">ATI Inc.</t>
  </si>
  <si>
    <t xml:space="preserve">ATI</t>
  </si>
  <si>
    <t xml:space="preserve">Carpenter Technology</t>
  </si>
  <si>
    <t xml:space="preserve">CRS</t>
  </si>
  <si>
    <t xml:space="preserve">Baoji Titanium Industry</t>
  </si>
  <si>
    <t xml:space="preserve">600456.SS</t>
  </si>
  <si>
    <t xml:space="preserve">Nippon Yakin Kogyo</t>
  </si>
  <si>
    <t xml:space="preserve">5480.T</t>
  </si>
  <si>
    <t xml:space="preserve">Daido Steel</t>
  </si>
  <si>
    <t xml:space="preserve">5471.T</t>
  </si>
  <si>
    <t xml:space="preserve">Statistics</t>
  </si>
  <si>
    <t xml:space="preserve">25th Percentile</t>
  </si>
  <si>
    <t xml:space="preserve">Median (50th)</t>
  </si>
  <si>
    <t xml:space="preserve">75th Percentile</t>
  </si>
  <si>
    <t xml:space="preserve">Implied Valuation for Osaka Titanium Technologies</t>
  </si>
  <si>
    <t xml:space="preserve">Osaka Titanium Technologies Financials</t>
  </si>
  <si>
    <t xml:space="preserve">EBITDA (JPY mn)</t>
  </si>
  <si>
    <t xml:space="preserve">Net Income (JPY mn)</t>
  </si>
  <si>
    <t xml:space="preserve">Shares Outstanding</t>
  </si>
  <si>
    <t xml:space="preserve">Implied Share Price (Median Multiples)</t>
  </si>
  <si>
    <t xml:space="preserve">Via EV/EBITDA (Median)</t>
  </si>
  <si>
    <t xml:space="preserve">Via PER (Median)</t>
  </si>
  <si>
    <r>
      <rPr>
        <sz val="11"/>
        <color theme="1"/>
        <rFont val="ＭＳ Ｐゴシック"/>
        <family val="2"/>
        <charset val="1"/>
      </rPr>
      <t xml:space="preserve">Net Income normalized (pretax 3,814 + </t>
    </r>
    <r>
      <rPr>
        <sz val="11"/>
        <color theme="1"/>
        <rFont val="Noto Sans CJK SC"/>
        <family val="2"/>
      </rPr>
      <t xml:space="preserve">特損</t>
    </r>
    <r>
      <rPr>
        <sz val="11"/>
        <color theme="1"/>
        <rFont val="ＭＳ Ｐゴシック"/>
        <family val="2"/>
        <charset val="1"/>
      </rPr>
      <t xml:space="preserve">2,619, tax 30.6%)</t>
    </r>
  </si>
  <si>
    <r>
      <rPr>
        <sz val="11"/>
        <color theme="1"/>
        <rFont val="ＭＳ Ｐゴシック"/>
        <family val="2"/>
        <charset val="1"/>
      </rPr>
      <t xml:space="preserve">Via PER (Median, normalized NI) [</t>
    </r>
    <r>
      <rPr>
        <sz val="11"/>
        <color theme="1"/>
        <rFont val="Noto Sans CJK SC"/>
        <family val="2"/>
      </rPr>
      <t xml:space="preserve">参考・</t>
    </r>
    <r>
      <rPr>
        <sz val="11"/>
        <color theme="1"/>
        <rFont val="ＭＳ Ｐゴシック"/>
        <family val="2"/>
        <charset val="1"/>
      </rPr>
      <t xml:space="preserve">Target</t>
    </r>
    <r>
      <rPr>
        <sz val="11"/>
        <color theme="1"/>
        <rFont val="Noto Sans CJK SC"/>
        <family val="2"/>
      </rPr>
      <t xml:space="preserve">不算入</t>
    </r>
    <r>
      <rPr>
        <sz val="11"/>
        <color theme="1"/>
        <rFont val="ＭＳ Ｐゴシック"/>
        <family val="2"/>
        <charset val="1"/>
      </rPr>
      <t xml:space="preserve">]</t>
    </r>
  </si>
  <si>
    <t xml:space="preserve">Sensitivity Analysis</t>
  </si>
  <si>
    <t xml:space="preserve">Current WACC:</t>
  </si>
  <si>
    <t xml:space="preserve">Terminal g:</t>
  </si>
  <si>
    <t xml:space="preserve">Exit Multiple:</t>
  </si>
  <si>
    <t xml:space="preserve">Table 1: WACC vs Terminal Growth Rate (PGM - Implied Share Price, JPY)</t>
  </si>
  <si>
    <t xml:space="preserve">WACC \ Terminal g</t>
  </si>
  <si>
    <t xml:space="preserve">Table 2: WACC vs Exit Multiple (Exit Multiple - Implied Share Price, JPY)</t>
  </si>
  <si>
    <t xml:space="preserve">WACC \ Exit Multiple</t>
  </si>
  <si>
    <t xml:space="preserve">All values dynamically linked to DCF Model. Headers auto-center on current WACC / Terminal g / Exit Multiple.</t>
  </si>
  <si>
    <r>
      <rPr>
        <sz val="11"/>
        <color theme="1"/>
        <rFont val="ＭＳ Ｐゴシック"/>
        <family val="2"/>
        <charset val="1"/>
      </rPr>
      <t xml:space="preserve">Table 3: FX Sensitivity - FY2027(E) Operating Income (USD</t>
    </r>
    <r>
      <rPr>
        <sz val="11"/>
        <color theme="1"/>
        <rFont val="Noto Sans CJK SC"/>
        <family val="2"/>
      </rPr>
      <t xml:space="preserve">連動比率は推定・会社開示なし・要確認</t>
    </r>
    <r>
      <rPr>
        <sz val="11"/>
        <color theme="1"/>
        <rFont val="ＭＳ Ｐゴシック"/>
        <family val="2"/>
        <charset val="1"/>
      </rPr>
      <t xml:space="preserve">)</t>
    </r>
  </si>
  <si>
    <t xml:space="preserve">Company FX assumption (USD/JPY, H2 guidance)</t>
  </si>
  <si>
    <r>
      <rPr>
        <sz val="11"/>
        <color theme="1"/>
        <rFont val="ＭＳ Ｐゴシック"/>
        <family val="2"/>
        <charset val="1"/>
      </rPr>
      <t xml:space="preserve">USD-linked revenue ratio (</t>
    </r>
    <r>
      <rPr>
        <sz val="11"/>
        <color theme="1"/>
        <rFont val="Noto Sans CJK SC"/>
        <family val="2"/>
      </rPr>
      <t xml:space="preserve">推定</t>
    </r>
    <r>
      <rPr>
        <sz val="11"/>
        <color theme="1"/>
        <rFont val="ＭＳ Ｐゴシック"/>
        <family val="2"/>
        <charset val="1"/>
      </rPr>
      <t xml:space="preserve">)</t>
    </r>
  </si>
  <si>
    <r>
      <rPr>
        <sz val="11"/>
        <color theme="1"/>
        <rFont val="ＭＳ Ｐゴシック"/>
        <family val="2"/>
        <charset val="1"/>
      </rPr>
      <t xml:space="preserve">USD-linked COGS ratio (</t>
    </r>
    <r>
      <rPr>
        <sz val="11"/>
        <color theme="1"/>
        <rFont val="Noto Sans CJK SC"/>
        <family val="2"/>
      </rPr>
      <t xml:space="preserve">推定</t>
    </r>
    <r>
      <rPr>
        <sz val="11"/>
        <color theme="1"/>
        <rFont val="ＭＳ Ｐゴシック"/>
        <family val="2"/>
        <charset val="1"/>
      </rPr>
      <t xml:space="preserve">)</t>
    </r>
  </si>
  <si>
    <t xml:space="preserve">FY2027(E) Revenue - active scenario</t>
  </si>
  <si>
    <t xml:space="preserve">FY2027(E) COGS - active scenario</t>
  </si>
  <si>
    <t xml:space="preserve">FY2027(E) Operating Income - active scenario</t>
  </si>
  <si>
    <t xml:space="preserve">OP sensitivity per +/-1 JPY per USD (JPY mn)</t>
  </si>
  <si>
    <t xml:space="preserve">USD/JPY rate</t>
  </si>
  <si>
    <t xml:space="preserve">Implied FY2027(E) OP (JPY mn)</t>
  </si>
  <si>
    <t xml:space="preserve">Implied OPM</t>
  </si>
  <si>
    <r>
      <rPr>
        <sz val="11"/>
        <color theme="1"/>
        <rFont val="Noto Sans CJK SC"/>
        <family val="2"/>
      </rPr>
      <t xml:space="preserve">円高</t>
    </r>
    <r>
      <rPr>
        <sz val="11"/>
        <color theme="1"/>
        <rFont val="ＭＳ Ｐゴシック"/>
        <family val="2"/>
        <charset val="1"/>
      </rPr>
      <t xml:space="preserve">10</t>
    </r>
    <r>
      <rPr>
        <sz val="11"/>
        <color theme="1"/>
        <rFont val="Noto Sans CJK SC"/>
        <family val="2"/>
      </rPr>
      <t xml:space="preserve">円で</t>
    </r>
    <r>
      <rPr>
        <sz val="11"/>
        <color theme="1"/>
        <rFont val="ＭＳ Ｐゴシック"/>
        <family val="2"/>
        <charset val="1"/>
      </rPr>
      <t xml:space="preserve">OP</t>
    </r>
    <r>
      <rPr>
        <sz val="11"/>
        <color theme="1"/>
        <rFont val="Noto Sans CJK SC"/>
        <family val="2"/>
      </rPr>
      <t xml:space="preserve">は約▲</t>
    </r>
    <r>
      <rPr>
        <sz val="11"/>
        <color theme="1"/>
        <rFont val="ＭＳ Ｐゴシック"/>
        <family val="2"/>
        <charset val="1"/>
      </rPr>
      <t xml:space="preserve">1.3bn(</t>
    </r>
    <r>
      <rPr>
        <sz val="11"/>
        <color theme="1"/>
        <rFont val="Noto Sans CJK SC"/>
        <family val="2"/>
      </rPr>
      <t xml:space="preserve">約▲</t>
    </r>
    <r>
      <rPr>
        <sz val="11"/>
        <color theme="1"/>
        <rFont val="ＭＳ Ｐゴシック"/>
        <family val="2"/>
        <charset val="1"/>
      </rPr>
      <t xml:space="preserve">32%)</t>
    </r>
    <r>
      <rPr>
        <sz val="11"/>
        <color theme="1"/>
        <rFont val="Noto Sans CJK SC"/>
        <family val="2"/>
      </rPr>
      <t xml:space="preserve">。円安バフ剥落の</t>
    </r>
    <r>
      <rPr>
        <sz val="11"/>
        <color theme="1"/>
        <rFont val="ＭＳ Ｐゴシック"/>
        <family val="2"/>
        <charset val="1"/>
      </rPr>
      <t xml:space="preserve">Downside</t>
    </r>
    <r>
      <rPr>
        <sz val="11"/>
        <color theme="1"/>
        <rFont val="Noto Sans CJK SC"/>
        <family val="2"/>
      </rPr>
      <t xml:space="preserve">チェックに使用。</t>
    </r>
    <r>
      <rPr>
        <sz val="11"/>
        <color theme="1"/>
        <rFont val="ＭＳ Ｐゴシック"/>
        <family val="2"/>
        <charset val="1"/>
      </rPr>
      <t xml:space="preserve">COGS</t>
    </r>
    <r>
      <rPr>
        <sz val="11"/>
        <color theme="1"/>
        <rFont val="Noto Sans CJK SC"/>
        <family val="2"/>
      </rPr>
      <t xml:space="preserve">側の</t>
    </r>
    <r>
      <rPr>
        <sz val="11"/>
        <color theme="1"/>
        <rFont val="ＭＳ Ｐゴシック"/>
        <family val="2"/>
        <charset val="1"/>
      </rPr>
      <t xml:space="preserve">USD</t>
    </r>
    <r>
      <rPr>
        <sz val="11"/>
        <color theme="1"/>
        <rFont val="Noto Sans CJK SC"/>
        <family val="2"/>
      </rPr>
      <t xml:space="preserve">連動</t>
    </r>
    <r>
      <rPr>
        <sz val="11"/>
        <color theme="1"/>
        <rFont val="ＭＳ Ｐゴシック"/>
        <family val="2"/>
        <charset val="1"/>
      </rPr>
      <t xml:space="preserve">(</t>
    </r>
    <r>
      <rPr>
        <sz val="11"/>
        <color theme="1"/>
        <rFont val="Noto Sans CJK SC"/>
        <family val="2"/>
      </rPr>
      <t xml:space="preserve">原料輸入</t>
    </r>
    <r>
      <rPr>
        <sz val="11"/>
        <color theme="1"/>
        <rFont val="ＭＳ Ｐゴシック"/>
        <family val="2"/>
        <charset val="1"/>
      </rPr>
      <t xml:space="preserve">)</t>
    </r>
    <r>
      <rPr>
        <sz val="11"/>
        <color theme="1"/>
        <rFont val="Noto Sans CJK SC"/>
        <family val="2"/>
      </rPr>
      <t xml:space="preserve">が円高メリットとして一部相殺する構造。</t>
    </r>
  </si>
  <si>
    <t xml:space="preserve">Adjustments Log - Osaka Titanium Technologies</t>
  </si>
  <si>
    <t xml:space="preserve">日付</t>
  </si>
  <si>
    <t xml:space="preserve">セル</t>
  </si>
  <si>
    <t xml:space="preserve">変更内容</t>
  </si>
  <si>
    <t xml:space="preserve">理由</t>
  </si>
  <si>
    <t xml:space="preserve">元の値</t>
  </si>
  <si>
    <t xml:space="preserve">状態</t>
  </si>
  <si>
    <t xml:space="preserve">2026-08-26</t>
  </si>
  <si>
    <t xml:space="preserve">-</t>
  </si>
  <si>
    <t xml:space="preserve">Generated by pipeline on 2026-08-26 11:11, template rev e5effd6</t>
  </si>
  <si>
    <t xml:space="preserve">初期生成（手修正なし）</t>
  </si>
  <si>
    <t xml:space="preserve">generated</t>
  </si>
  <si>
    <t xml:space="preserve">DCF Model!C7</t>
  </si>
  <si>
    <t xml:space="preserve">Risk-Free Rate = 2.90%</t>
  </si>
  <si>
    <t xml:space="preserve">財務省「国債金利情報」10年債 2.897%(基準日2026-08-25)を直接取得。yfinanceでは日本国債利回りが取得できない</t>
  </si>
  <si>
    <t xml:space="preserve">テンプレ既定 2.2%</t>
  </si>
  <si>
    <t xml:space="preserve">確定</t>
  </si>
  <si>
    <t xml:space="preserve">DCF Model!C8</t>
  </si>
  <si>
    <t xml:space="preserve">Beta = 1.55</t>
  </si>
  <si>
    <r>
      <rPr>
        <sz val="10"/>
        <color rgb="FF000000"/>
        <rFont val="Arial"/>
        <family val="0"/>
        <charset val="1"/>
      </rPr>
      <t xml:space="preserve">5726.T </t>
    </r>
    <r>
      <rPr>
        <sz val="10"/>
        <color rgb="FF000000"/>
        <rFont val="Noto Sans CJK SC"/>
        <family val="2"/>
      </rPr>
      <t xml:space="preserve">週次</t>
    </r>
    <r>
      <rPr>
        <sz val="10"/>
        <color rgb="FF000000"/>
        <rFont val="Arial"/>
        <family val="0"/>
        <charset val="1"/>
      </rPr>
      <t xml:space="preserve">2</t>
    </r>
    <r>
      <rPr>
        <sz val="10"/>
        <color rgb="FF000000"/>
        <rFont val="Noto Sans CJK SC"/>
        <family val="2"/>
      </rPr>
      <t xml:space="preserve">年リターン</t>
    </r>
    <r>
      <rPr>
        <sz val="10"/>
        <color rgb="FF000000"/>
        <rFont val="Arial"/>
        <family val="0"/>
        <charset val="1"/>
      </rPr>
      <t xml:space="preserve">(105</t>
    </r>
    <r>
      <rPr>
        <sz val="10"/>
        <color rgb="FF000000"/>
        <rFont val="Noto Sans CJK SC"/>
        <family val="2"/>
      </rPr>
      <t xml:space="preserve">週</t>
    </r>
    <r>
      <rPr>
        <sz val="10"/>
        <color rgb="FF000000"/>
        <rFont val="Arial"/>
        <family val="0"/>
        <charset val="1"/>
      </rPr>
      <t xml:space="preserve">)</t>
    </r>
    <r>
      <rPr>
        <sz val="10"/>
        <color rgb="FF000000"/>
        <rFont val="Noto Sans CJK SC"/>
        <family val="2"/>
      </rPr>
      <t xml:space="preserve">を </t>
    </r>
    <r>
      <rPr>
        <sz val="10"/>
        <color rgb="FF000000"/>
        <rFont val="Arial"/>
        <family val="0"/>
        <charset val="1"/>
      </rPr>
      <t xml:space="preserve">TOPIX</t>
    </r>
    <r>
      <rPr>
        <sz val="10"/>
        <color rgb="FF000000"/>
        <rFont val="Noto Sans CJK SC"/>
        <family val="2"/>
      </rPr>
      <t xml:space="preserve">連動</t>
    </r>
    <r>
      <rPr>
        <sz val="10"/>
        <color rgb="FF000000"/>
        <rFont val="Arial"/>
        <family val="0"/>
        <charset val="1"/>
      </rPr>
      <t xml:space="preserve">ETF 1306.T </t>
    </r>
    <r>
      <rPr>
        <sz val="10"/>
        <color rgb="FF000000"/>
        <rFont val="Noto Sans CJK SC"/>
        <family val="2"/>
      </rPr>
      <t xml:space="preserve">に回帰</t>
    </r>
    <r>
      <rPr>
        <sz val="10"/>
        <color rgb="FF000000"/>
        <rFont val="Arial"/>
        <family val="0"/>
        <charset val="1"/>
      </rPr>
      <t xml:space="preserve">: 1.553</t>
    </r>
    <r>
      <rPr>
        <sz val="10"/>
        <color rgb="FF000000"/>
        <rFont val="Noto Sans CJK SC"/>
        <family val="2"/>
      </rPr>
      <t xml:space="preserve">。相関</t>
    </r>
    <r>
      <rPr>
        <sz val="10"/>
        <color rgb="FF000000"/>
        <rFont val="Arial"/>
        <family val="0"/>
        <charset val="1"/>
      </rPr>
      <t xml:space="preserve">0.442</t>
    </r>
    <r>
      <rPr>
        <sz val="10"/>
        <color rgb="FF000000"/>
        <rFont val="Noto Sans CJK SC"/>
        <family val="2"/>
      </rPr>
      <t xml:space="preserve">と低く統計的信頼度は限定的</t>
    </r>
  </si>
  <si>
    <t xml:space="preserve">自動値 1.0(yfinance info.beta が範囲外のため)</t>
  </si>
  <si>
    <t xml:space="preserve">確定(相関低)</t>
  </si>
  <si>
    <t xml:space="preserve">DCF Model!C10</t>
  </si>
  <si>
    <t xml:space="preserve">Size Premium = 1.5%</t>
  </si>
  <si>
    <t xml:space="preserve">時価総額1,003億円でテンプレの「1,000億円以上」区分。閾値の直上0.3%しか離れておらず、株価2%下落で3.0%区分に落ちる</t>
  </si>
  <si>
    <t xml:space="preserve">自動判定 1.5%(同値)</t>
  </si>
  <si>
    <t xml:space="preserve">要確認</t>
  </si>
  <si>
    <t xml:space="preserve">DCF Model!C11</t>
  </si>
  <si>
    <t xml:space="preserve">After-tax Cost of Debt = 1.94%</t>
  </si>
  <si>
    <t xml:space="preserve">【推定】税引前2.8% ×(1−0.306)。10年JGB2.897%を基準に、短期借入比率45%と安定株主(神戸製鋼所・住友金属鉱山)による薄いスプレッドを勘案。実際の支払利息は本モデルの入力データに無い</t>
  </si>
  <si>
    <t xml:space="preserve">テンプレ既定</t>
  </si>
  <si>
    <t xml:space="preserve">推定・未解決</t>
  </si>
  <si>
    <t xml:space="preserve">DCF Model!C12</t>
  </si>
  <si>
    <t xml:space="preserve">D/E Ratio = 0.4568</t>
  </si>
  <si>
    <t xml:space="preserve">ネット有利子負債45,837 ÷ 時価総額100,346。グロス有利子負債基準なら0.5122でWACCは約0.2pt低下する。EV→株式価値ブリッジがネット控除である点と整合させ、かつ保守側になるネットを採用</t>
  </si>
  <si>
    <t xml:space="preserve">自動計算 0.4568(同値)</t>
  </si>
  <si>
    <t xml:space="preserve">設計判断</t>
  </si>
  <si>
    <t xml:space="preserve">DCF Model!C13</t>
  </si>
  <si>
    <t xml:space="preserve">Terminal Growth = 1.5%</t>
  </si>
  <si>
    <t xml:space="preserve">【推定】10年JGB2.9%の名目環境では控えめ。数量成長が設備投資に律速される装置産業としてミッドサイクル定常を置いた</t>
  </si>
  <si>
    <t xml:space="preserve">テンプレ既定 2.5%</t>
  </si>
  <si>
    <t xml:space="preserve">推定</t>
  </si>
  <si>
    <t xml:space="preserve">DCF Model!C14</t>
  </si>
  <si>
    <t xml:space="preserve">Exit Multiple (EV/EBITDA) = 8.0x</t>
  </si>
  <si>
    <t xml:space="preserve">【設計判断】国内素材ピア水準(大同特殊鋼7.8x / 日本冶金工業8.3x)。peer中央値は12.1x(宝钛股份)だが、ターミナル年は航空機ブームのピーク倍率でなく成熟ミッドサイクル倍率で評価すべきと判断。PGM逆算Exitは5.88xで乖離1.36倍(validator閾値1.8倍内)</t>
  </si>
  <si>
    <t xml:space="preserve">テンプレ既定 10.0x</t>
  </si>
  <si>
    <t xml:space="preserve">DCF Model!C42:G42</t>
  </si>
  <si>
    <t xml:space="preserve">D&amp;A(direct) = 3,400 / 3,700 / 3,900 / 3,950 / 3,950</t>
  </si>
  <si>
    <t xml:space="preserve">【推定】FY2027/3 Q1実績823(前年714)の年換算3,292を起点に、FY2026/3の大型投資(8,072)の稼働開始で逓増させた。会社の償却計画は未開示</t>
  </si>
  <si>
    <t xml:space="preserve">売上比率方式(実績3年平均5.75%)</t>
  </si>
  <si>
    <t xml:space="preserve">DCF Model!C43:G43</t>
  </si>
  <si>
    <t xml:space="preserve">Capex(direct) = 7,500 / 6,000 / 4,800 / 4,100 / 3,900</t>
  </si>
  <si>
    <t xml:space="preserve">【推定・本モデル最大の推定領域】FY2026/3実績8,072(前期の2.8倍、長期借入収入16,400で調達)。2026/6末の建設仮勘定4,339はQ1だけで+1,484増でプログラム継続中。ターミナル年capex/D&amp;A=0.99倍に収束させた。会社の設備投資計画・増設能力・稼働時期はいずれも未開示</t>
  </si>
  <si>
    <t xml:space="preserve">売上比率方式(実績3年平均9.24%)</t>
  </si>
  <si>
    <t xml:space="preserve">DCF Model!C16</t>
  </si>
  <si>
    <r>
      <rPr>
        <sz val="10"/>
        <color rgb="FF000000"/>
        <rFont val="Arial"/>
        <family val="0"/>
        <charset val="1"/>
      </rPr>
      <t xml:space="preserve">Net Debt = 45,837(2026/6</t>
    </r>
    <r>
      <rPr>
        <sz val="10"/>
        <color rgb="FF000000"/>
        <rFont val="Noto Sans CJK SC"/>
        <family val="2"/>
      </rPr>
      <t xml:space="preserve">末</t>
    </r>
    <r>
      <rPr>
        <sz val="10"/>
        <color rgb="FF000000"/>
        <rFont val="Arial"/>
        <family val="0"/>
        <charset val="1"/>
      </rPr>
      <t xml:space="preserve">)</t>
    </r>
  </si>
  <si>
    <t xml:space="preserve">有利子負債51,400 − 現金5,563。FY2026/3末基準なら45,655。【基準混在】book_value / core_ebitda / core_net_income は peer と揃えるためFY2026/3通期末基準であり、net_debtのみQ1末基準。差182(0.4%)で結論に影響しない</t>
  </si>
  <si>
    <r>
      <rPr>
        <sz val="10"/>
        <color rgb="FF000000"/>
        <rFont val="Arial"/>
        <family val="0"/>
        <charset val="1"/>
      </rPr>
      <t xml:space="preserve">EDINET</t>
    </r>
    <r>
      <rPr>
        <sz val="10"/>
        <color rgb="FF000000"/>
        <rFont val="Noto Sans CJK SC"/>
        <family val="2"/>
      </rPr>
      <t xml:space="preserve">自動値 </t>
    </r>
    <r>
      <rPr>
        <sz val="10"/>
        <color rgb="FF000000"/>
        <rFont val="Arial"/>
        <family val="0"/>
        <charset val="1"/>
      </rPr>
      <t xml:space="preserve">45,655(FY2026/3</t>
    </r>
    <r>
      <rPr>
        <sz val="10"/>
        <color rgb="FF000000"/>
        <rFont val="Noto Sans CJK SC"/>
        <family val="2"/>
      </rPr>
      <t xml:space="preserve">末</t>
    </r>
    <r>
      <rPr>
        <sz val="10"/>
        <color rgb="FF000000"/>
        <rFont val="Arial"/>
        <family val="0"/>
        <charset val="1"/>
      </rPr>
      <t xml:space="preserve">)</t>
    </r>
  </si>
  <si>
    <t xml:space="preserve">確定(基準混在を注記)</t>
  </si>
  <si>
    <r>
      <rPr>
        <b val="true"/>
        <sz val="10"/>
        <rFont val="Arial"/>
        <family val="0"/>
        <charset val="1"/>
      </rPr>
      <t xml:space="preserve">NWC Schedule 24-44</t>
    </r>
    <r>
      <rPr>
        <b val="true"/>
        <sz val="10"/>
        <rFont val="Noto Sans CJK SC"/>
        <family val="2"/>
      </rPr>
      <t xml:space="preserve">行</t>
    </r>
  </si>
  <si>
    <r>
      <rPr>
        <sz val="10"/>
        <color rgb="FF000000"/>
        <rFont val="Arial"/>
        <family val="0"/>
        <charset val="1"/>
      </rPr>
      <t xml:space="preserve">DSO/DIH/DPO </t>
    </r>
    <r>
      <rPr>
        <sz val="10"/>
        <color rgb="FF000000"/>
        <rFont val="Noto Sans CJK SC"/>
        <family val="2"/>
      </rPr>
      <t xml:space="preserve">をシナリオ別に設定</t>
    </r>
    <r>
      <rPr>
        <sz val="10"/>
        <color rgb="FF000000"/>
        <rFont val="Arial"/>
        <family val="0"/>
        <charset val="1"/>
      </rPr>
      <t xml:space="preserve">(DIH 260</t>
    </r>
    <r>
      <rPr>
        <sz val="10"/>
        <color rgb="FF000000"/>
        <rFont val="Noto Sans CJK SC"/>
        <family val="2"/>
      </rPr>
      <t xml:space="preserve">〜</t>
    </r>
    <r>
      <rPr>
        <sz val="10"/>
        <color rgb="FF000000"/>
        <rFont val="Arial"/>
        <family val="0"/>
        <charset val="1"/>
      </rPr>
      <t xml:space="preserve">420</t>
    </r>
    <r>
      <rPr>
        <sz val="10"/>
        <color rgb="FF000000"/>
        <rFont val="Noto Sans CJK SC"/>
        <family val="2"/>
      </rPr>
      <t xml:space="preserve">日</t>
    </r>
    <r>
      <rPr>
        <sz val="10"/>
        <color rgb="FF000000"/>
        <rFont val="Arial"/>
        <family val="0"/>
        <charset val="1"/>
      </rPr>
      <t xml:space="preserve">)</t>
    </r>
  </si>
  <si>
    <t xml:space="preserve">【推定・FCF最大のスイングファクター】基準年DIHは380.5日(COGS基準)。歴史的には FY2022/3 238日 / FY2023/3 245日 / FY2024/3 240日 / FY2025/3 351日 と、直近2年の市況調整で在庫が滞留した結果である。数量回復に伴う正常化速度は会社開示が無く全て推定</t>
  </si>
  <si>
    <t xml:space="preserve">自動生成値(基準年日数を横置き)</t>
  </si>
  <si>
    <r>
      <rPr>
        <b val="true"/>
        <sz val="10"/>
        <rFont val="Arial"/>
        <family val="0"/>
        <charset val="1"/>
      </rPr>
      <t xml:space="preserve">DCF Model 69-87</t>
    </r>
    <r>
      <rPr>
        <b val="true"/>
        <sz val="10"/>
        <rFont val="Noto Sans CJK SC"/>
        <family val="2"/>
      </rPr>
      <t xml:space="preserve">行</t>
    </r>
  </si>
  <si>
    <t xml:space="preserve">シナリオ5本の売上成長率 / COGS率 / SGA率</t>
  </si>
  <si>
    <r>
      <rPr>
        <sz val="10"/>
        <color rgb="FF000000"/>
        <rFont val="Arial"/>
        <family val="0"/>
        <charset val="1"/>
      </rPr>
      <t xml:space="preserve">Management Y1</t>
    </r>
    <r>
      <rPr>
        <sz val="10"/>
        <color rgb="FF000000"/>
        <rFont val="Noto Sans CJK SC"/>
        <family val="2"/>
      </rPr>
      <t xml:space="preserve">は会社予想</t>
    </r>
    <r>
      <rPr>
        <sz val="10"/>
        <color rgb="FF000000"/>
        <rFont val="Arial"/>
        <family val="0"/>
        <charset val="1"/>
      </rPr>
      <t xml:space="preserve">(48,000 / 3,700)</t>
    </r>
    <r>
      <rPr>
        <sz val="10"/>
        <color rgb="FF000000"/>
        <rFont val="Noto Sans CJK SC"/>
        <family val="2"/>
      </rPr>
      <t xml:space="preserve">に、</t>
    </r>
    <r>
      <rPr>
        <sz val="10"/>
        <color rgb="FF000000"/>
        <rFont val="Arial"/>
        <family val="0"/>
        <charset val="1"/>
      </rPr>
      <t xml:space="preserve">Base Y1</t>
    </r>
    <r>
      <rPr>
        <sz val="10"/>
        <color rgb="FF000000"/>
        <rFont val="Noto Sans CJK SC"/>
        <family val="2"/>
      </rPr>
      <t xml:space="preserve">はコンセンサス</t>
    </r>
    <r>
      <rPr>
        <sz val="10"/>
        <color rgb="FF000000"/>
        <rFont val="Arial"/>
        <family val="0"/>
        <charset val="1"/>
      </rPr>
      <t xml:space="preserve">(50,050 / 4,150)</t>
    </r>
    <r>
      <rPr>
        <sz val="10"/>
        <color rgb="FF000000"/>
        <rFont val="Noto Sans CJK SC"/>
        <family val="2"/>
      </rPr>
      <t xml:space="preserve">に一致させた。それ以外の年・シナリオは全て推定。営業利益率は </t>
    </r>
    <r>
      <rPr>
        <sz val="10"/>
        <color rgb="FF000000"/>
        <rFont val="Arial"/>
        <family val="0"/>
        <charset val="1"/>
      </rPr>
      <t xml:space="preserve">1−COGS</t>
    </r>
    <r>
      <rPr>
        <sz val="10"/>
        <color rgb="FF000000"/>
        <rFont val="Noto Sans CJK SC"/>
        <family val="2"/>
      </rPr>
      <t xml:space="preserve">率−</t>
    </r>
    <r>
      <rPr>
        <sz val="10"/>
        <color rgb="FF000000"/>
        <rFont val="Arial"/>
        <family val="0"/>
        <charset val="1"/>
      </rPr>
      <t xml:space="preserve">SGA</t>
    </r>
    <r>
      <rPr>
        <sz val="10"/>
        <color rgb="FF000000"/>
        <rFont val="Noto Sans CJK SC"/>
        <family val="2"/>
      </rPr>
      <t xml:space="preserve">率 で決まるため、販管費実額</t>
    </r>
    <r>
      <rPr>
        <sz val="10"/>
        <color rgb="FF000000"/>
        <rFont val="Arial"/>
        <family val="0"/>
        <charset val="1"/>
      </rPr>
      <t xml:space="preserve">(</t>
    </r>
    <r>
      <rPr>
        <sz val="10"/>
        <color rgb="FF000000"/>
        <rFont val="Noto Sans CJK SC"/>
        <family val="2"/>
      </rPr>
      <t xml:space="preserve">約</t>
    </r>
    <r>
      <rPr>
        <sz val="10"/>
        <color rgb="FF000000"/>
        <rFont val="Arial"/>
        <family val="0"/>
        <charset val="1"/>
      </rPr>
      <t xml:space="preserve">60</t>
    </r>
    <r>
      <rPr>
        <sz val="10"/>
        <color rgb="FF000000"/>
        <rFont val="Noto Sans CJK SC"/>
        <family val="2"/>
      </rPr>
      <t xml:space="preserve">億円</t>
    </r>
    <r>
      <rPr>
        <sz val="10"/>
        <color rgb="FF000000"/>
        <rFont val="Arial"/>
        <family val="0"/>
        <charset val="1"/>
      </rPr>
      <t xml:space="preserve">)</t>
    </r>
    <r>
      <rPr>
        <sz val="10"/>
        <color rgb="FF000000"/>
        <rFont val="Noto Sans CJK SC"/>
        <family val="2"/>
      </rPr>
      <t xml:space="preserve">を主ドライバー、売上原価率を残差として分解している</t>
    </r>
  </si>
  <si>
    <t xml:space="preserve">自動生成(直線的減速シナリオ)</t>
  </si>
  <si>
    <r>
      <rPr>
        <b val="true"/>
        <sz val="10"/>
        <rFont val="Arial"/>
        <family val="0"/>
        <charset val="1"/>
      </rPr>
      <t xml:space="preserve">Comps Analysis 6</t>
    </r>
    <r>
      <rPr>
        <b val="true"/>
        <sz val="10"/>
        <rFont val="Noto Sans CJK SC"/>
        <family val="2"/>
      </rPr>
      <t xml:space="preserve">行</t>
    </r>
  </si>
  <si>
    <t xml:space="preserve">東邦チタニウム(5727)を参照行として残置・統計から除外</t>
  </si>
  <si>
    <t xml:space="preserve">【重要な発見】2026-05-28に上場廃止。JX金属(5016)が株式交換(東邦1株:JX0.70株、効力発生2026-06-01)で完全子会社化。時価総額は 0.70 × JX金属3,785円 × 71.19百万株 = 188,618百万円として再構成した推定値。パイプラインの鮮度チェックが yfinance 取得不能を検知して統計から自動除外済(Note欄参照)</t>
  </si>
  <si>
    <t xml:space="preserve">プロンプトは5727を第一比較対象と指定</t>
  </si>
  <si>
    <t xml:space="preserve">要確認・統計除外済</t>
  </si>
  <si>
    <r>
      <rPr>
        <b val="true"/>
        <sz val="10"/>
        <rFont val="Arial"/>
        <family val="0"/>
        <charset val="1"/>
      </rPr>
      <t xml:space="preserve">Comps Analysis 7-9</t>
    </r>
    <r>
      <rPr>
        <b val="true"/>
        <sz val="10"/>
        <rFont val="Noto Sans CJK SC"/>
        <family val="2"/>
      </rPr>
      <t xml:space="preserve">行</t>
    </r>
  </si>
  <si>
    <t xml:space="preserve">海外ピア3社(ATI / Carpenter Technology / 宝钛股份)を追加</t>
  </si>
  <si>
    <t xml:space="preserve">国内唯一の直接比較対象(5727)が上場廃止したため、国内特殊鋼2社だけでは航空機チタンの倍率基準を代表できない。為替換算: USD/JPY 159.03、CNY/JPY 23.635(いずれも2026-08-26 yfinance)。ATI/CRSはstockanalysis.com、宝钛はyfinance income_stmt/balance_sheet/cashflow</t>
  </si>
  <si>
    <t xml:space="preserve">プロンプトはピア未指定(5727のみ指定)</t>
  </si>
  <si>
    <t xml:space="preserve">Comps Analysis C22</t>
  </si>
  <si>
    <r>
      <rPr>
        <sz val="10"/>
        <color rgb="FF000000"/>
        <rFont val="Arial"/>
        <family val="0"/>
        <charset val="1"/>
      </rPr>
      <t xml:space="preserve">core_net_income = 2,576(FY2026/3</t>
    </r>
    <r>
      <rPr>
        <sz val="10"/>
        <color rgb="FF000000"/>
        <rFont val="Noto Sans CJK SC"/>
        <family val="2"/>
      </rPr>
      <t xml:space="preserve">実績</t>
    </r>
    <r>
      <rPr>
        <sz val="10"/>
        <color rgb="FF000000"/>
        <rFont val="Arial"/>
        <family val="0"/>
        <charset val="1"/>
      </rPr>
      <t xml:space="preserve">)</t>
    </r>
  </si>
  <si>
    <t xml:space="preserve">【未解決】特別損失2,619(固定資産除却1,722・減損461・圧縮記帳92・環境対策引当343)で分母が歪んでおり、PER 39.0倍・Comps PER法の2,247円は過大評価の方向。正常化純利益(特損税後影響を戻すと約4,400)なら PER は約23倍。手順書の「無意味な指標をTarget平均に残さない」に照らして要判断だが、赤字ではなく正値のため機械ガードは作動しない</t>
  </si>
  <si>
    <r>
      <rPr>
        <sz val="10"/>
        <color rgb="FF000000"/>
        <rFont val="Arial"/>
        <family val="0"/>
        <charset val="1"/>
      </rPr>
      <t xml:space="preserve">EDINET</t>
    </r>
    <r>
      <rPr>
        <sz val="10"/>
        <color rgb="FF000000"/>
        <rFont val="Noto Sans CJK SC"/>
        <family val="2"/>
      </rPr>
      <t xml:space="preserve">実績値</t>
    </r>
  </si>
  <si>
    <t xml:space="preserve">未解決・要判断</t>
  </si>
  <si>
    <r>
      <rPr>
        <b val="true"/>
        <sz val="10"/>
        <rFont val="Arial"/>
        <family val="0"/>
        <charset val="1"/>
      </rPr>
      <t xml:space="preserve">Reverse DCF </t>
    </r>
    <r>
      <rPr>
        <b val="true"/>
        <sz val="10"/>
        <rFont val="Noto Sans CJK SC"/>
        <family val="2"/>
      </rPr>
      <t xml:space="preserve">シート</t>
    </r>
  </si>
  <si>
    <t xml:space="preserve">シートを新規追加(scripts/add_reverse_dcf_sheet.py)</t>
  </si>
  <si>
    <t xml:space="preserve">標準テンプレートに逆算DCFシートが無いため追加。全セルが 'DCF Model' / 'Executive Summary' / 'Comps Analysis' への生きた数式で、株価・WACC・税率の変更に追随する。B_Nの閉形式は直接和との一致を自己テストで検証済</t>
  </si>
  <si>
    <t xml:space="preserve">テンプレ標準7シート</t>
  </si>
  <si>
    <t xml:space="preserve">追加</t>
  </si>
  <si>
    <r>
      <rPr>
        <b val="true"/>
        <sz val="10"/>
        <rFont val="Arial"/>
        <family val="0"/>
        <charset val="1"/>
      </rPr>
      <t xml:space="preserve">(</t>
    </r>
    <r>
      <rPr>
        <b val="true"/>
        <sz val="10"/>
        <rFont val="Noto Sans CJK SC"/>
        <family val="2"/>
      </rPr>
      <t xml:space="preserve">未解決</t>
    </r>
    <r>
      <rPr>
        <b val="true"/>
        <sz val="10"/>
        <rFont val="Arial"/>
        <family val="0"/>
        <charset val="1"/>
      </rPr>
      <t xml:space="preserve">)</t>
    </r>
  </si>
  <si>
    <r>
      <rPr>
        <sz val="10"/>
        <color rgb="FF000000"/>
        <rFont val="Arial"/>
        <family val="0"/>
        <charset val="1"/>
      </rPr>
      <t xml:space="preserve">FY2027/3 Q1</t>
    </r>
    <r>
      <rPr>
        <sz val="10"/>
        <color rgb="FF000000"/>
        <rFont val="Noto Sans CJK SC"/>
        <family val="2"/>
      </rPr>
      <t xml:space="preserve">進捗率</t>
    </r>
    <r>
      <rPr>
        <sz val="10"/>
        <color rgb="FF000000"/>
        <rFont val="Arial"/>
        <family val="0"/>
        <charset val="1"/>
      </rPr>
      <t xml:space="preserve">34%</t>
    </r>
    <r>
      <rPr>
        <sz val="10"/>
        <color rgb="FF000000"/>
        <rFont val="Noto Sans CJK SC"/>
        <family val="2"/>
      </rPr>
      <t xml:space="preserve">と会社計画の保守性</t>
    </r>
  </si>
  <si>
    <t xml:space="preserve">営業利益進捗 1,250/3,700 = 33.8% と四半期均等25%を大きく上回る。ただしスポンジチタンは価格改定・数量配分で上期/下期偏重が年により入れ替わるため、Q1年換算(5,000)を機械的に当てはめるのは誤り。Q2以降の四半期化前提は本モデルでは置いていない(通期ベースのみ)</t>
  </si>
  <si>
    <t xml:space="preserve">未解決</t>
  </si>
  <si>
    <t xml:space="preserve">増設分の稼働開始時期・能力増分・売上寄与</t>
  </si>
  <si>
    <t xml:space="preserve">建設仮勘定の急増と長期借入16,400は能力増強と解釈したが、会社は増設能力(トン数)・稼働時期・想定売上寄与のいずれも開示していない。本モデルはシナリオの売上成長率に暗黙に織り込んでおり、明示的な前提セルには落とせていない</t>
  </si>
  <si>
    <t xml:space="preserve">DCF Model!C27</t>
  </si>
  <si>
    <r>
      <rPr>
        <sz val="10"/>
        <color rgb="FF000000"/>
        <rFont val="Arial"/>
        <family val="0"/>
        <charset val="1"/>
      </rPr>
      <t xml:space="preserve">Active Scenario = Base </t>
    </r>
    <r>
      <rPr>
        <sz val="10"/>
        <color rgb="FF000000"/>
        <rFont val="Noto Sans CJK SC"/>
        <family val="2"/>
      </rPr>
      <t xml:space="preserve">で納品</t>
    </r>
  </si>
  <si>
    <t xml:space="preserve">【シナリオ切替時の注意・検証済】C27を切り替えたときの PGM/Exit 実装株価: Base 109/525、Upside 1,011/1,545、Management 140/574、Downside 1 △212/185、Downside 2 △1,101/△558。ネット有利子負債が時価総額の46%あるため、Downside では EV &lt; ネット有利子負債となり株式価値がマイナスになる。理論的には株式価値の下限は0(オプション価値)であり、マイナスの『株価』は数式の産物として読むこと</t>
  </si>
  <si>
    <t xml:space="preserve">確認済・注記</t>
  </si>
  <si>
    <t xml:space="preserve">Executive Summary!C10</t>
  </si>
  <si>
    <r>
      <rPr>
        <sz val="10"/>
        <color rgb="FF000000"/>
        <rFont val="Arial"/>
        <family val="0"/>
        <charset val="1"/>
      </rPr>
      <t xml:space="preserve">Target Mid = AVERAGE(C16:C19) </t>
    </r>
    <r>
      <rPr>
        <sz val="10"/>
        <color rgb="FF000000"/>
        <rFont val="Noto Sans CJK SC"/>
        <family val="2"/>
      </rPr>
      <t xml:space="preserve">のシナリオ依存挙動</t>
    </r>
  </si>
  <si>
    <t xml:space="preserve">【テンプレート起因の要報告事項】Downside 1/2 では PGM が負になるためテンプレの負値ガードが働き C16 が "INVALID" テキスト化され平均から自動除外される(正しい挙動)。しかし Downside 2 では Exit 法の △558 が数値のまま平均に残り、Target Mid 1,090 を押し下げている。負のExit実装株価に対する同等のガードが無い。納品状態(Base)では発生しないが、ユーザーがシナリオを切り替えると再現する。手順書§6-6 のテンプレート修正候補として報告</t>
  </si>
  <si>
    <t xml:space="preserve">未解決・テンプレ課題</t>
  </si>
  <si>
    <r>
      <rPr>
        <b val="true"/>
        <sz val="10"/>
        <rFont val="Arial"/>
        <family val="0"/>
        <charset val="1"/>
      </rPr>
      <t xml:space="preserve">(</t>
    </r>
    <r>
      <rPr>
        <b val="true"/>
        <sz val="10"/>
        <rFont val="Noto Sans CJK SC"/>
        <family val="2"/>
      </rPr>
      <t xml:space="preserve">状態</t>
    </r>
    <r>
      <rPr>
        <b val="true"/>
        <sz val="10"/>
        <rFont val="Arial"/>
        <family val="0"/>
        <charset val="1"/>
      </rPr>
      <t xml:space="preserve">)</t>
    </r>
  </si>
  <si>
    <t xml:space="preserve">本ファイルは DRAFT。FINAL 化していない</t>
  </si>
  <si>
    <t xml:space="preserve">手順書v2 §6-3 に従い、ユーザーによる検証・手修正が完了するまで _FINAL サフィックスを付けない。validate_output.py は FAIL 0 / WARN 0</t>
  </si>
  <si>
    <t xml:space="preserve">DRAFT</t>
  </si>
  <si>
    <t xml:space="preserve">Pipeline Metadata (do not edit — read by scripts/validate_output.py)</t>
  </si>
  <si>
    <t xml:space="preserve">key</t>
  </si>
  <si>
    <t xml:space="preserve">value</t>
  </si>
  <si>
    <t xml:space="preserve">capex_pct_basis</t>
  </si>
  <si>
    <t xml:space="preserve">hist_3yr_avg</t>
  </si>
  <si>
    <t xml:space="preserve">capex_pct_c5</t>
  </si>
  <si>
    <t xml:space="preserve">0.0924</t>
  </si>
  <si>
    <t xml:space="preserve">capex_pct_hist3yr</t>
  </si>
  <si>
    <t xml:space="preserve">0.092401</t>
  </si>
  <si>
    <t xml:space="preserve">company_name</t>
  </si>
  <si>
    <t xml:space="preserve">comps_asof</t>
  </si>
  <si>
    <t xml:space="preserve">comps_da_missing</t>
  </si>
  <si>
    <t xml:space="preserve">none</t>
  </si>
  <si>
    <t xml:space="preserve">comps_ev_ebitda_invalid</t>
  </si>
  <si>
    <t xml:space="preserve">no</t>
  </si>
  <si>
    <t xml:space="preserve">comps_ev_ebitda_rows</t>
  </si>
  <si>
    <t xml:space="preserve">7,8,9,10,11</t>
  </si>
  <si>
    <t xml:space="preserve">comps_impl_mult_row</t>
  </si>
  <si>
    <t xml:space="preserve">27</t>
  </si>
  <si>
    <t xml:space="preserve">comps_impl_per_row</t>
  </si>
  <si>
    <t xml:space="preserve">28</t>
  </si>
  <si>
    <t xml:space="preserve">comps_peer_rows</t>
  </si>
  <si>
    <t xml:space="preserve">comps_stale_excluded</t>
  </si>
  <si>
    <t xml:space="preserve">comps_stat_median_row</t>
  </si>
  <si>
    <t xml:space="preserve">16</t>
  </si>
  <si>
    <t xml:space="preserve">comps_subject_row</t>
  </si>
  <si>
    <t xml:space="preserve">5</t>
  </si>
  <si>
    <t xml:space="preserve">da_pct_basis</t>
  </si>
  <si>
    <t xml:space="preserve">da_pct_c18</t>
  </si>
  <si>
    <t xml:space="preserve">0.0575</t>
  </si>
  <si>
    <t xml:space="preserve">da_pct_hist3yr</t>
  </si>
  <si>
    <t xml:space="preserve">0.057487</t>
  </si>
  <si>
    <t xml:space="preserve">fs_year_coverage</t>
  </si>
  <si>
    <t xml:space="preserve">OCF 5/5, Cash 5/5, Debt 5/5</t>
  </si>
  <si>
    <t xml:space="preserve">fs_year_map</t>
  </si>
  <si>
    <t xml:space="preserve">FY2022/3&lt;-FY2022[ocf+cash+debt]; FY2023/3&lt;-FY2023[ocf+cash+debt]; FY2024/3&lt;-FY2024[ocf+cash+debt]; FY2025/3&lt;-FY2025[ocf+cash+debt]; FY2026/3&lt;-FY2026[ocf+cash+debt]</t>
  </si>
  <si>
    <t xml:space="preserve">fs_year_sources</t>
  </si>
  <si>
    <t xml:space="preserve">overrides: hist_ocf, hist_cash, hist_debt, hist_capex, hist_depreciation | EDINET year-key match: none</t>
  </si>
  <si>
    <t xml:space="preserve">generated_at</t>
  </si>
  <si>
    <t xml:space="preserve">2026-08-26 11:11:43</t>
  </si>
  <si>
    <t xml:space="preserve">ltm_revenue_c20</t>
  </si>
  <si>
    <t xml:space="preserve">47228</t>
  </si>
  <si>
    <t xml:space="preserve">ltm_revenue_source</t>
  </si>
  <si>
    <t xml:space="preserve">override</t>
  </si>
  <si>
    <t xml:space="preserve">narrative_tokens_used</t>
  </si>
  <si>
    <t xml:space="preserve">pb,per,price,target_price,upside_pct,wacc</t>
  </si>
  <si>
    <t xml:space="preserve">scenario_index_range</t>
  </si>
  <si>
    <t xml:space="preserve">B69:B73</t>
  </si>
  <si>
    <t xml:space="preserve">template_rev</t>
  </si>
  <si>
    <t xml:space="preserve">e5effd6</t>
  </si>
  <si>
    <t xml:space="preserve">ticker</t>
  </si>
  <si>
    <r>
      <rPr>
        <sz val="11"/>
        <color theme="1"/>
        <rFont val="Noto Sans CJK SC"/>
        <family val="2"/>
      </rPr>
      <t xml:space="preserve">手修正記録 </t>
    </r>
    <r>
      <rPr>
        <sz val="11"/>
        <color theme="1"/>
        <rFont val="ＭＳ Ｐゴシック"/>
        <family val="2"/>
        <charset val="1"/>
      </rPr>
      <t xml:space="preserve">(2026-08-26, </t>
    </r>
    <r>
      <rPr>
        <sz val="11"/>
        <color theme="1"/>
        <rFont val="Noto Sans CJK SC"/>
        <family val="2"/>
      </rPr>
      <t xml:space="preserve">ユーザー委任により</t>
    </r>
    <r>
      <rPr>
        <sz val="11"/>
        <color theme="1"/>
        <rFont val="ＭＳ Ｐゴシック"/>
        <family val="2"/>
        <charset val="1"/>
      </rPr>
      <t xml:space="preserve">Claude chat</t>
    </r>
    <r>
      <rPr>
        <sz val="11"/>
        <color theme="1"/>
        <rFont val="Noto Sans CJK SC"/>
        <family val="2"/>
      </rPr>
      <t xml:space="preserve">が実施。</t>
    </r>
    <r>
      <rPr>
        <sz val="11"/>
        <color theme="1"/>
        <rFont val="ＭＳ Ｐゴシック"/>
        <family val="2"/>
        <charset val="1"/>
      </rPr>
      <t xml:space="preserve">DRAFT</t>
    </r>
    <r>
      <rPr>
        <sz val="11"/>
        <color theme="1"/>
        <rFont val="Noto Sans CJK SC"/>
        <family val="2"/>
      </rPr>
      <t xml:space="preserve">継続</t>
    </r>
    <r>
      <rPr>
        <sz val="11"/>
        <color theme="1"/>
        <rFont val="ＭＳ Ｐゴシック"/>
        <family val="2"/>
        <charset val="1"/>
      </rPr>
      <t xml:space="preserve">)</t>
    </r>
  </si>
  <si>
    <t xml:space="preserve">Executive Summary!C10-C12,C21</t>
  </si>
  <si>
    <r>
      <rPr>
        <sz val="11"/>
        <color theme="1"/>
        <rFont val="ＭＳ Ｐゴシック"/>
        <family val="2"/>
        <charset val="1"/>
      </rPr>
      <t xml:space="preserve">Target</t>
    </r>
    <r>
      <rPr>
        <sz val="11"/>
        <color theme="1"/>
        <rFont val="Noto Sans CJK SC"/>
        <family val="2"/>
      </rPr>
      <t xml:space="preserve">平均を</t>
    </r>
    <r>
      <rPr>
        <sz val="11"/>
        <color theme="1"/>
        <rFont val="ＭＳ Ｐゴシック"/>
        <family val="2"/>
        <charset val="1"/>
      </rPr>
      <t xml:space="preserve">DCF2</t>
    </r>
    <r>
      <rPr>
        <sz val="11"/>
        <color theme="1"/>
        <rFont val="Noto Sans CJK SC"/>
        <family val="2"/>
      </rPr>
      <t xml:space="preserve">本</t>
    </r>
    <r>
      <rPr>
        <sz val="11"/>
        <color theme="1"/>
        <rFont val="ＭＳ Ｐゴシック"/>
        <family val="2"/>
        <charset val="1"/>
      </rPr>
      <t xml:space="preserve">(PGM/Exit)</t>
    </r>
    <r>
      <rPr>
        <sz val="11"/>
        <color theme="1"/>
        <rFont val="Noto Sans CJK SC"/>
        <family val="2"/>
      </rPr>
      <t xml:space="preserve">のみに変更、</t>
    </r>
    <r>
      <rPr>
        <sz val="11"/>
        <color theme="1"/>
        <rFont val="ＭＳ Ｐゴシック"/>
        <family val="2"/>
        <charset val="1"/>
      </rPr>
      <t xml:space="preserve">Comps2</t>
    </r>
    <r>
      <rPr>
        <sz val="11"/>
        <color theme="1"/>
        <rFont val="Noto Sans CJK SC"/>
        <family val="2"/>
      </rPr>
      <t xml:space="preserve">本は</t>
    </r>
    <r>
      <rPr>
        <sz val="11"/>
        <color theme="1"/>
        <rFont val="ＭＳ Ｐゴシック"/>
        <family val="2"/>
        <charset val="1"/>
      </rPr>
      <t xml:space="preserve">[</t>
    </r>
    <r>
      <rPr>
        <sz val="11"/>
        <color theme="1"/>
        <rFont val="Noto Sans CJK SC"/>
        <family val="2"/>
      </rPr>
      <t xml:space="preserve">参考</t>
    </r>
    <r>
      <rPr>
        <sz val="11"/>
        <color theme="1"/>
        <rFont val="ＭＳ Ｐゴシック"/>
        <family val="2"/>
        <charset val="1"/>
      </rPr>
      <t xml:space="preserve">]</t>
    </r>
    <r>
      <rPr>
        <sz val="11"/>
        <color theme="1"/>
        <rFont val="Noto Sans CJK SC"/>
        <family val="2"/>
      </rPr>
      <t xml:space="preserve">に降格</t>
    </r>
  </si>
  <si>
    <r>
      <rPr>
        <sz val="11"/>
        <color theme="1"/>
        <rFont val="Noto Sans CJK SC"/>
        <family val="2"/>
      </rPr>
      <t xml:space="preserve">プロンプト要件</t>
    </r>
    <r>
      <rPr>
        <sz val="11"/>
        <color theme="1"/>
        <rFont val="ＭＳ Ｐゴシック"/>
        <family val="2"/>
        <charset val="1"/>
      </rPr>
      <t xml:space="preserve">9(Comps</t>
    </r>
    <r>
      <rPr>
        <sz val="11"/>
        <color theme="1"/>
        <rFont val="Noto Sans CJK SC"/>
        <family val="2"/>
      </rPr>
      <t xml:space="preserve">は</t>
    </r>
    <r>
      <rPr>
        <sz val="11"/>
        <color theme="1"/>
        <rFont val="ＭＳ Ｐゴシック"/>
        <family val="2"/>
        <charset val="1"/>
      </rPr>
      <t xml:space="preserve">Target</t>
    </r>
    <r>
      <rPr>
        <sz val="11"/>
        <color theme="1"/>
        <rFont val="Noto Sans CJK SC"/>
        <family val="2"/>
      </rPr>
      <t xml:space="preserve">平均不算入</t>
    </r>
    <r>
      <rPr>
        <sz val="11"/>
        <color theme="1"/>
        <rFont val="ＭＳ Ｐゴシック"/>
        <family val="2"/>
        <charset val="1"/>
      </rPr>
      <t xml:space="preserve">)</t>
    </r>
    <r>
      <rPr>
        <sz val="11"/>
        <color theme="1"/>
        <rFont val="Noto Sans CJK SC"/>
        <family val="2"/>
      </rPr>
      <t xml:space="preserve">への準拠。</t>
    </r>
    <r>
      <rPr>
        <sz val="11"/>
        <color theme="1"/>
        <rFont val="ＭＳ Ｐゴシック"/>
        <family val="2"/>
        <charset val="1"/>
      </rPr>
      <t xml:space="preserve">3905</t>
    </r>
    <r>
      <rPr>
        <sz val="11"/>
        <color theme="1"/>
        <rFont val="Noto Sans CJK SC"/>
        <family val="2"/>
      </rPr>
      <t xml:space="preserve">での</t>
    </r>
    <r>
      <rPr>
        <sz val="11"/>
        <color theme="1"/>
        <rFont val="ＭＳ Ｐゴシック"/>
        <family val="2"/>
        <charset val="1"/>
      </rPr>
      <t xml:space="preserve">Comps</t>
    </r>
    <r>
      <rPr>
        <sz val="11"/>
        <color theme="1"/>
        <rFont val="Noto Sans CJK SC"/>
        <family val="2"/>
      </rPr>
      <t xml:space="preserve">除外判断と同型</t>
    </r>
  </si>
  <si>
    <t xml:space="preserve">AVERAGE(C16:C19)=1,116</t>
  </si>
  <si>
    <t xml:space="preserve">Executive Summary!C17,D17</t>
  </si>
  <si>
    <r>
      <rPr>
        <sz val="11"/>
        <color theme="1"/>
        <rFont val="ＭＳ Ｐゴシック"/>
        <family val="2"/>
        <charset val="1"/>
      </rPr>
      <t xml:space="preserve">Downside</t>
    </r>
    <r>
      <rPr>
        <sz val="11"/>
        <color theme="1"/>
        <rFont val="Noto Sans CJK SC"/>
        <family val="2"/>
      </rPr>
      <t xml:space="preserve">時に負の</t>
    </r>
    <r>
      <rPr>
        <sz val="11"/>
        <color theme="1"/>
        <rFont val="ＭＳ Ｐゴシック"/>
        <family val="2"/>
        <charset val="1"/>
      </rPr>
      <t xml:space="preserve">Exit</t>
    </r>
    <r>
      <rPr>
        <sz val="11"/>
        <color theme="1"/>
        <rFont val="Noto Sans CJK SC"/>
        <family val="2"/>
      </rPr>
      <t xml:space="preserve">株価を</t>
    </r>
    <r>
      <rPr>
        <sz val="11"/>
        <color theme="1"/>
        <rFont val="ＭＳ Ｐゴシック"/>
        <family val="2"/>
        <charset val="1"/>
      </rPr>
      <t xml:space="preserve">INVALID</t>
    </r>
    <r>
      <rPr>
        <sz val="11"/>
        <color theme="1"/>
        <rFont val="Noto Sans CJK SC"/>
        <family val="2"/>
      </rPr>
      <t xml:space="preserve">化するガード追加</t>
    </r>
  </si>
  <si>
    <r>
      <rPr>
        <sz val="11"/>
        <color theme="1"/>
        <rFont val="Noto Sans CJK SC"/>
        <family val="2"/>
      </rPr>
      <t xml:space="preserve">ログ</t>
    </r>
    <r>
      <rPr>
        <sz val="11"/>
        <color theme="1"/>
        <rFont val="ＭＳ Ｐゴシック"/>
        <family val="2"/>
        <charset val="1"/>
      </rPr>
      <t xml:space="preserve">B25</t>
    </r>
    <r>
      <rPr>
        <sz val="11"/>
        <color theme="1"/>
        <rFont val="Noto Sans CJK SC"/>
        <family val="2"/>
      </rPr>
      <t xml:space="preserve">のテンプレ課題への暫定対処。株式価値の下限は</t>
    </r>
    <r>
      <rPr>
        <sz val="11"/>
        <color theme="1"/>
        <rFont val="ＭＳ Ｐゴシック"/>
        <family val="2"/>
        <charset val="1"/>
      </rPr>
      <t xml:space="preserve">0</t>
    </r>
  </si>
  <si>
    <t xml:space="preserve">ガードなし</t>
  </si>
  <si>
    <r>
      <rPr>
        <sz val="11"/>
        <color theme="1"/>
        <rFont val="Noto Sans CJK SC"/>
        <family val="2"/>
      </rPr>
      <t xml:space="preserve">税引後負債コスト </t>
    </r>
    <r>
      <rPr>
        <sz val="11"/>
        <color theme="1"/>
        <rFont val="ＭＳ Ｐゴシック"/>
        <family val="2"/>
        <charset val="1"/>
      </rPr>
      <t xml:space="preserve">1.94%→0.59%</t>
    </r>
  </si>
  <si>
    <r>
      <rPr>
        <sz val="11"/>
        <color theme="1"/>
        <rFont val="ＭＳ Ｐゴシック"/>
        <family val="2"/>
        <charset val="1"/>
      </rPr>
      <t xml:space="preserve">FY2026/3</t>
    </r>
    <r>
      <rPr>
        <sz val="11"/>
        <color theme="1"/>
        <rFont val="Noto Sans CJK SC"/>
        <family val="2"/>
      </rPr>
      <t xml:space="preserve">実績</t>
    </r>
    <r>
      <rPr>
        <sz val="11"/>
        <color theme="1"/>
        <rFont val="ＭＳ Ｐゴシック"/>
        <family val="2"/>
        <charset val="1"/>
      </rPr>
      <t xml:space="preserve">: </t>
    </r>
    <r>
      <rPr>
        <sz val="11"/>
        <color theme="1"/>
        <rFont val="Noto Sans CJK SC"/>
        <family val="2"/>
      </rPr>
      <t xml:space="preserve">支払利息</t>
    </r>
    <r>
      <rPr>
        <sz val="11"/>
        <color theme="1"/>
        <rFont val="ＭＳ Ｐゴシック"/>
        <family val="2"/>
        <charset val="1"/>
      </rPr>
      <t xml:space="preserve">342+</t>
    </r>
    <r>
      <rPr>
        <sz val="11"/>
        <color theme="1"/>
        <rFont val="Noto Sans CJK SC"/>
        <family val="2"/>
      </rPr>
      <t xml:space="preserve">ローン手数料</t>
    </r>
    <r>
      <rPr>
        <sz val="11"/>
        <color theme="1"/>
        <rFont val="ＭＳ Ｐゴシック"/>
        <family val="2"/>
        <charset val="1"/>
      </rPr>
      <t xml:space="preserve">57=399 / </t>
    </r>
    <r>
      <rPr>
        <sz val="11"/>
        <color theme="1"/>
        <rFont val="Noto Sans CJK SC"/>
        <family val="2"/>
      </rPr>
      <t xml:space="preserve">平均有利子負債</t>
    </r>
    <r>
      <rPr>
        <sz val="11"/>
        <color theme="1"/>
        <rFont val="ＭＳ Ｐゴシック"/>
        <family val="2"/>
        <charset val="1"/>
      </rPr>
      <t xml:space="preserve">46,750 = </t>
    </r>
    <r>
      <rPr>
        <sz val="11"/>
        <color theme="1"/>
        <rFont val="Noto Sans CJK SC"/>
        <family val="2"/>
      </rPr>
      <t xml:space="preserve">税引前</t>
    </r>
    <r>
      <rPr>
        <sz val="11"/>
        <color theme="1"/>
        <rFont val="ＭＳ Ｐゴシック"/>
        <family val="2"/>
        <charset val="1"/>
      </rPr>
      <t xml:space="preserve">0.85%</t>
    </r>
    <r>
      <rPr>
        <sz val="11"/>
        <color theme="1"/>
        <rFont val="Noto Sans CJK SC"/>
        <family val="2"/>
      </rPr>
      <t xml:space="preserve">。注意</t>
    </r>
    <r>
      <rPr>
        <sz val="11"/>
        <color theme="1"/>
        <rFont val="ＭＳ Ｐゴシック"/>
        <family val="2"/>
        <charset val="1"/>
      </rPr>
      <t xml:space="preserve">: </t>
    </r>
    <r>
      <rPr>
        <sz val="11"/>
        <color theme="1"/>
        <rFont val="Noto Sans CJK SC"/>
        <family val="2"/>
      </rPr>
      <t xml:space="preserve">新規長期借入</t>
    </r>
    <r>
      <rPr>
        <sz val="11"/>
        <color theme="1"/>
        <rFont val="ＭＳ Ｐゴシック"/>
        <family val="2"/>
        <charset val="1"/>
      </rPr>
      <t xml:space="preserve">16,400</t>
    </r>
    <r>
      <rPr>
        <sz val="11"/>
        <color theme="1"/>
        <rFont val="Noto Sans CJK SC"/>
        <family val="2"/>
      </rPr>
      <t xml:space="preserve">のマージナルコストは</t>
    </r>
    <r>
      <rPr>
        <sz val="11"/>
        <color theme="1"/>
        <rFont val="ＭＳ Ｐゴシック"/>
        <family val="2"/>
        <charset val="1"/>
      </rPr>
      <t xml:space="preserve">JGB2.9%</t>
    </r>
    <r>
      <rPr>
        <sz val="11"/>
        <color theme="1"/>
        <rFont val="Noto Sans CJK SC"/>
        <family val="2"/>
      </rPr>
      <t xml:space="preserve">環境でこれより高い可能性→差し戻し判断可。</t>
    </r>
    <r>
      <rPr>
        <sz val="11"/>
        <color theme="1"/>
        <rFont val="ＭＳ Ｐゴシック"/>
        <family val="2"/>
        <charset val="1"/>
      </rPr>
      <t xml:space="preserve">WACC 9.48%→9.06%</t>
    </r>
  </si>
  <si>
    <r>
      <rPr>
        <sz val="11"/>
        <color theme="1"/>
        <rFont val="ＭＳ Ｐゴシック"/>
        <family val="2"/>
        <charset val="1"/>
      </rPr>
      <t xml:space="preserve">0.0194(</t>
    </r>
    <r>
      <rPr>
        <sz val="11"/>
        <color theme="1"/>
        <rFont val="Noto Sans CJK SC"/>
        <family val="2"/>
      </rPr>
      <t xml:space="preserve">推定</t>
    </r>
    <r>
      <rPr>
        <sz val="11"/>
        <color theme="1"/>
        <rFont val="ＭＳ Ｐゴシック"/>
        <family val="2"/>
        <charset val="1"/>
      </rPr>
      <t xml:space="preserve">2.8%</t>
    </r>
    <r>
      <rPr>
        <sz val="11"/>
        <color theme="1"/>
        <rFont val="Noto Sans CJK SC"/>
        <family val="2"/>
      </rPr>
      <t xml:space="preserve">税引前</t>
    </r>
    <r>
      <rPr>
        <sz val="11"/>
        <color theme="1"/>
        <rFont val="ＭＳ Ｐゴシック"/>
        <family val="2"/>
        <charset val="1"/>
      </rPr>
      <t xml:space="preserve">)</t>
    </r>
  </si>
  <si>
    <t xml:space="preserve">Comps Analysis!C29,C30</t>
  </si>
  <si>
    <r>
      <rPr>
        <sz val="11"/>
        <color theme="1"/>
        <rFont val="Noto Sans CJK SC"/>
        <family val="2"/>
      </rPr>
      <t xml:space="preserve">正常化純利益</t>
    </r>
    <r>
      <rPr>
        <sz val="11"/>
        <color theme="1"/>
        <rFont val="ＭＳ Ｐゴシック"/>
        <family val="2"/>
        <charset val="1"/>
      </rPr>
      <t xml:space="preserve">4,465</t>
    </r>
    <r>
      <rPr>
        <sz val="11"/>
        <color theme="1"/>
        <rFont val="Noto Sans CJK SC"/>
        <family val="2"/>
      </rPr>
      <t xml:space="preserve">と参考</t>
    </r>
    <r>
      <rPr>
        <sz val="11"/>
        <color theme="1"/>
        <rFont val="ＭＳ Ｐゴシック"/>
        <family val="2"/>
        <charset val="1"/>
      </rPr>
      <t xml:space="preserve">PER</t>
    </r>
    <r>
      <rPr>
        <sz val="11"/>
        <color theme="1"/>
        <rFont val="Noto Sans CJK SC"/>
        <family val="2"/>
      </rPr>
      <t xml:space="preserve">価格の行を追加</t>
    </r>
  </si>
  <si>
    <r>
      <rPr>
        <sz val="11"/>
        <color theme="1"/>
        <rFont val="Noto Sans CJK SC"/>
        <family val="2"/>
      </rPr>
      <t xml:space="preserve">特損</t>
    </r>
    <r>
      <rPr>
        <sz val="11"/>
        <color theme="1"/>
        <rFont val="ＭＳ Ｐゴシック"/>
        <family val="2"/>
        <charset val="1"/>
      </rPr>
      <t xml:space="preserve">2,619</t>
    </r>
    <r>
      <rPr>
        <sz val="11"/>
        <color theme="1"/>
        <rFont val="Noto Sans CJK SC"/>
        <family val="2"/>
      </rPr>
      <t xml:space="preserve">による分母歪みの補正参考値</t>
    </r>
    <r>
      <rPr>
        <sz val="11"/>
        <color theme="1"/>
        <rFont val="ＭＳ Ｐゴシック"/>
        <family val="2"/>
        <charset val="1"/>
      </rPr>
      <t xml:space="preserve">(</t>
    </r>
    <r>
      <rPr>
        <sz val="11"/>
        <color theme="1"/>
        <rFont val="Noto Sans CJK SC"/>
        <family val="2"/>
      </rPr>
      <t xml:space="preserve">ログ</t>
    </r>
    <r>
      <rPr>
        <sz val="11"/>
        <color theme="1"/>
        <rFont val="ＭＳ Ｐゴシック"/>
        <family val="2"/>
        <charset val="1"/>
      </rPr>
      <t xml:space="preserve">B20</t>
    </r>
    <r>
      <rPr>
        <sz val="11"/>
        <color theme="1"/>
        <rFont val="Noto Sans CJK SC"/>
        <family val="2"/>
      </rPr>
      <t xml:space="preserve">の未解決事項への対応</t>
    </r>
    <r>
      <rPr>
        <sz val="11"/>
        <color theme="1"/>
        <rFont val="ＭＳ Ｐゴシック"/>
        <family val="2"/>
        <charset val="1"/>
      </rPr>
      <t xml:space="preserve">)</t>
    </r>
    <r>
      <rPr>
        <sz val="11"/>
        <color theme="1"/>
        <rFont val="Noto Sans CJK SC"/>
        <family val="2"/>
      </rPr>
      <t xml:space="preserve">。</t>
    </r>
    <r>
      <rPr>
        <sz val="11"/>
        <color theme="1"/>
        <rFont val="ＭＳ Ｐゴシック"/>
        <family val="2"/>
        <charset val="1"/>
      </rPr>
      <t xml:space="preserve">Target</t>
    </r>
    <r>
      <rPr>
        <sz val="11"/>
        <color theme="1"/>
        <rFont val="Noto Sans CJK SC"/>
        <family val="2"/>
      </rPr>
      <t xml:space="preserve">不算入</t>
    </r>
  </si>
  <si>
    <t xml:space="preserve">なし</t>
  </si>
  <si>
    <r>
      <rPr>
        <sz val="11"/>
        <color theme="1"/>
        <rFont val="ＭＳ Ｐゴシック"/>
        <family val="2"/>
        <charset val="1"/>
      </rPr>
      <t xml:space="preserve">Sensitivity!28-40</t>
    </r>
    <r>
      <rPr>
        <sz val="11"/>
        <color theme="1"/>
        <rFont val="Noto Sans CJK SC"/>
        <family val="2"/>
      </rPr>
      <t xml:space="preserve">行</t>
    </r>
  </si>
  <si>
    <r>
      <rPr>
        <sz val="11"/>
        <color theme="1"/>
        <rFont val="ＭＳ Ｐゴシック"/>
        <family val="2"/>
        <charset val="1"/>
      </rPr>
      <t xml:space="preserve">Table3 </t>
    </r>
    <r>
      <rPr>
        <sz val="11"/>
        <color theme="1"/>
        <rFont val="Noto Sans CJK SC"/>
        <family val="2"/>
      </rPr>
      <t xml:space="preserve">為替感応度ブロック追加</t>
    </r>
  </si>
  <si>
    <r>
      <rPr>
        <sz val="11"/>
        <color theme="1"/>
        <rFont val="Noto Sans CJK SC"/>
        <family val="2"/>
      </rPr>
      <t xml:space="preserve">プロンプト要件</t>
    </r>
    <r>
      <rPr>
        <sz val="11"/>
        <color theme="1"/>
        <rFont val="ＭＳ Ｐゴシック"/>
        <family val="2"/>
        <charset val="1"/>
      </rPr>
      <t xml:space="preserve">7</t>
    </r>
    <r>
      <rPr>
        <sz val="11"/>
        <color theme="1"/>
        <rFont val="Noto Sans CJK SC"/>
        <family val="2"/>
      </rPr>
      <t xml:space="preserve">。</t>
    </r>
    <r>
      <rPr>
        <sz val="11"/>
        <color theme="1"/>
        <rFont val="ＭＳ Ｐゴシック"/>
        <family val="2"/>
        <charset val="1"/>
      </rPr>
      <t xml:space="preserve">USD</t>
    </r>
    <r>
      <rPr>
        <sz val="11"/>
        <color theme="1"/>
        <rFont val="Noto Sans CJK SC"/>
        <family val="2"/>
      </rPr>
      <t xml:space="preserve">連動売上比率</t>
    </r>
    <r>
      <rPr>
        <sz val="11"/>
        <color theme="1"/>
        <rFont val="ＭＳ Ｐゴシック"/>
        <family val="2"/>
        <charset val="1"/>
      </rPr>
      <t xml:space="preserve">0.60/</t>
    </r>
    <r>
      <rPr>
        <sz val="11"/>
        <color theme="1"/>
        <rFont val="Noto Sans CJK SC"/>
        <family val="2"/>
      </rPr>
      <t xml:space="preserve">原価比率</t>
    </r>
    <r>
      <rPr>
        <sz val="11"/>
        <color theme="1"/>
        <rFont val="ＭＳ Ｐゴシック"/>
        <family val="2"/>
        <charset val="1"/>
      </rPr>
      <t xml:space="preserve">0.25</t>
    </r>
    <r>
      <rPr>
        <sz val="11"/>
        <color theme="1"/>
        <rFont val="Noto Sans CJK SC"/>
        <family val="2"/>
      </rPr>
      <t xml:space="preserve">は推定</t>
    </r>
    <r>
      <rPr>
        <sz val="11"/>
        <color theme="1"/>
        <rFont val="ＭＳ Ｐゴシック"/>
        <family val="2"/>
        <charset val="1"/>
      </rPr>
      <t xml:space="preserve">(</t>
    </r>
    <r>
      <rPr>
        <sz val="11"/>
        <color theme="1"/>
        <rFont val="Noto Sans CJK SC"/>
        <family val="2"/>
      </rPr>
      <t xml:space="preserve">会社は感応度未開示</t>
    </r>
    <r>
      <rPr>
        <sz val="11"/>
        <color theme="1"/>
        <rFont val="ＭＳ Ｐゴシック"/>
        <family val="2"/>
        <charset val="1"/>
      </rPr>
      <t xml:space="preserve">)→</t>
    </r>
    <r>
      <rPr>
        <sz val="11"/>
        <color theme="1"/>
        <rFont val="Noto Sans CJK SC"/>
        <family val="2"/>
      </rPr>
      <t xml:space="preserve">要確認。感応度は約</t>
    </r>
    <r>
      <rPr>
        <sz val="11"/>
        <color theme="1"/>
        <rFont val="ＭＳ Ｐゴシック"/>
        <family val="2"/>
        <charset val="1"/>
      </rPr>
      <t xml:space="preserve">134</t>
    </r>
    <r>
      <rPr>
        <sz val="11"/>
        <color theme="1"/>
        <rFont val="Noto Sans CJK SC"/>
        <family val="2"/>
      </rPr>
      <t xml:space="preserve">百万円</t>
    </r>
    <r>
      <rPr>
        <sz val="11"/>
        <color theme="1"/>
        <rFont val="ＭＳ Ｐゴシック"/>
        <family val="2"/>
        <charset val="1"/>
      </rPr>
      <t xml:space="preserve">/</t>
    </r>
    <r>
      <rPr>
        <sz val="11"/>
        <color theme="1"/>
        <rFont val="Noto Sans CJK SC"/>
        <family val="2"/>
      </rPr>
      <t xml:space="preserve">円</t>
    </r>
  </si>
  <si>
    <t xml:space="preserve">推定・要確認</t>
  </si>
  <si>
    <t xml:space="preserve">Financial Statements!B27</t>
  </si>
  <si>
    <r>
      <rPr>
        <sz val="11"/>
        <color theme="1"/>
        <rFont val="Noto Sans CJK SC"/>
        <family val="2"/>
      </rPr>
      <t xml:space="preserve">ラベル修正</t>
    </r>
    <r>
      <rPr>
        <sz val="11"/>
        <color theme="1"/>
        <rFont val="ＭＳ Ｐゴシック"/>
        <family val="2"/>
        <charset val="1"/>
      </rPr>
      <t xml:space="preserve">: Short-term Debt→Total Interest-bearing Debt</t>
    </r>
  </si>
  <si>
    <r>
      <rPr>
        <sz val="11"/>
        <color theme="1"/>
        <rFont val="ＭＳ Ｐゴシック"/>
        <family val="2"/>
        <charset val="1"/>
      </rPr>
      <t xml:space="preserve">C27:G27</t>
    </r>
    <r>
      <rPr>
        <sz val="11"/>
        <color theme="1"/>
        <rFont val="Noto Sans CJK SC"/>
        <family val="2"/>
      </rPr>
      <t xml:space="preserve">の値は短期</t>
    </r>
    <r>
      <rPr>
        <sz val="11"/>
        <color theme="1"/>
        <rFont val="ＭＳ Ｐゴシック"/>
        <family val="2"/>
        <charset val="1"/>
      </rPr>
      <t xml:space="preserve">+</t>
    </r>
    <r>
      <rPr>
        <sz val="11"/>
        <color theme="1"/>
        <rFont val="Noto Sans CJK SC"/>
        <family val="2"/>
      </rPr>
      <t xml:space="preserve">長期の合計であり旧ラベルは誤り</t>
    </r>
  </si>
  <si>
    <t xml:space="preserve">Short-term Debt</t>
  </si>
  <si>
    <r>
      <rPr>
        <sz val="11"/>
        <color theme="1"/>
        <rFont val="ＭＳ Ｐゴシック"/>
        <family val="2"/>
        <charset val="1"/>
      </rPr>
      <t xml:space="preserve">(</t>
    </r>
    <r>
      <rPr>
        <sz val="11"/>
        <color theme="1"/>
        <rFont val="Noto Sans CJK SC"/>
        <family val="2"/>
      </rPr>
      <t xml:space="preserve">未対応</t>
    </r>
    <r>
      <rPr>
        <sz val="11"/>
        <color theme="1"/>
        <rFont val="ＭＳ Ｐゴシック"/>
        <family val="2"/>
        <charset val="1"/>
      </rPr>
      <t xml:space="preserve">)</t>
    </r>
  </si>
  <si>
    <r>
      <rPr>
        <sz val="11"/>
        <color theme="1"/>
        <rFont val="Noto Sans CJK SC"/>
        <family val="2"/>
      </rPr>
      <t xml:space="preserve">セグメント分解</t>
    </r>
    <r>
      <rPr>
        <sz val="11"/>
        <color theme="1"/>
        <rFont val="ＭＳ Ｐゴシック"/>
        <family val="2"/>
        <charset val="1"/>
      </rPr>
      <t xml:space="preserve">/DIH</t>
    </r>
    <r>
      <rPr>
        <sz val="11"/>
        <color theme="1"/>
        <rFont val="Noto Sans CJK SC"/>
        <family val="2"/>
      </rPr>
      <t xml:space="preserve">正常化速度</t>
    </r>
    <r>
      <rPr>
        <sz val="11"/>
        <color theme="1"/>
        <rFont val="ＭＳ Ｐゴシック"/>
        <family val="2"/>
        <charset val="1"/>
      </rPr>
      <t xml:space="preserve">/</t>
    </r>
    <r>
      <rPr>
        <sz val="11"/>
        <color theme="1"/>
        <rFont val="Noto Sans CJK SC"/>
        <family val="2"/>
      </rPr>
      <t xml:space="preserve">前倒し四半期化は未対応のまま</t>
    </r>
  </si>
  <si>
    <r>
      <rPr>
        <sz val="11"/>
        <color theme="1"/>
        <rFont val="Noto Sans CJK SC"/>
        <family val="2"/>
      </rPr>
      <t xml:space="preserve">セグメント</t>
    </r>
    <r>
      <rPr>
        <sz val="11"/>
        <color theme="1"/>
        <rFont val="ＭＳ Ｐゴシック"/>
        <family val="2"/>
        <charset val="1"/>
      </rPr>
      <t xml:space="preserve">=</t>
    </r>
    <r>
      <rPr>
        <sz val="11"/>
        <color theme="1"/>
        <rFont val="Noto Sans CJK SC"/>
        <family val="2"/>
      </rPr>
      <t xml:space="preserve">短信セグメント注記の供給待ち。</t>
    </r>
    <r>
      <rPr>
        <sz val="11"/>
        <color theme="1"/>
        <rFont val="ＭＳ Ｐゴシック"/>
        <family val="2"/>
        <charset val="1"/>
      </rPr>
      <t xml:space="preserve">DIH=</t>
    </r>
    <r>
      <rPr>
        <sz val="11"/>
        <color theme="1"/>
        <rFont val="Noto Sans CJK SC"/>
        <family val="2"/>
      </rPr>
      <t xml:space="preserve">ユーザー判断待ち</t>
    </r>
    <r>
      <rPr>
        <sz val="11"/>
        <color theme="1"/>
        <rFont val="ＭＳ Ｐゴシック"/>
        <family val="2"/>
        <charset val="1"/>
      </rPr>
      <t xml:space="preserve">(</t>
    </r>
    <r>
      <rPr>
        <sz val="11"/>
        <color theme="1"/>
        <rFont val="Noto Sans CJK SC"/>
        <family val="2"/>
      </rPr>
      <t xml:space="preserve">ログ</t>
    </r>
    <r>
      <rPr>
        <sz val="11"/>
        <color theme="1"/>
        <rFont val="ＭＳ Ｐゴシック"/>
        <family val="2"/>
        <charset val="1"/>
      </rPr>
      <t xml:space="preserve">B16)</t>
    </r>
    <r>
      <rPr>
        <sz val="11"/>
        <color theme="1"/>
        <rFont val="Noto Sans CJK SC"/>
        <family val="2"/>
      </rPr>
      <t xml:space="preserve">。前倒し</t>
    </r>
    <r>
      <rPr>
        <sz val="11"/>
        <color theme="1"/>
        <rFont val="ＭＳ Ｐゴシック"/>
        <family val="2"/>
        <charset val="1"/>
      </rPr>
      <t xml:space="preserve">=</t>
    </r>
    <r>
      <rPr>
        <sz val="11"/>
        <color theme="1"/>
        <rFont val="Noto Sans CJK SC"/>
        <family val="2"/>
      </rPr>
      <t xml:space="preserve">ログ</t>
    </r>
    <r>
      <rPr>
        <sz val="11"/>
        <color theme="1"/>
        <rFont val="ＭＳ Ｐゴシック"/>
        <family val="2"/>
        <charset val="1"/>
      </rPr>
      <t xml:space="preserve">B22</t>
    </r>
  </si>
</sst>
</file>

<file path=xl/styles.xml><?xml version="1.0" encoding="utf-8"?>
<styleSheet xmlns="http://schemas.openxmlformats.org/spreadsheetml/2006/main">
  <numFmts count="9">
    <numFmt numFmtId="164" formatCode="General"/>
    <numFmt numFmtId="165" formatCode="#,##0;\(#,##0\)"/>
    <numFmt numFmtId="166" formatCode="0.0%;\(0.0%\)"/>
    <numFmt numFmtId="167" formatCode="0.00"/>
    <numFmt numFmtId="168" formatCode="0.000"/>
    <numFmt numFmtId="169" formatCode="0.00\x"/>
    <numFmt numFmtId="170" formatCode="#,##0"/>
    <numFmt numFmtId="171" formatCode="0.00%;\(0.00%\)"/>
    <numFmt numFmtId="172" formatCode="0.0000"/>
  </numFmts>
  <fonts count="19">
    <font>
      <sz val="11"/>
      <color theme="1"/>
      <name val="ＭＳ Ｐゴシック"/>
      <family val="2"/>
      <charset val="1"/>
    </font>
    <font>
      <sz val="10"/>
      <name val="Arial"/>
      <family val="0"/>
    </font>
    <font>
      <sz val="10"/>
      <name val="Arial"/>
      <family val="0"/>
    </font>
    <font>
      <sz val="10"/>
      <name val="Arial"/>
      <family val="0"/>
    </font>
    <font>
      <i val="true"/>
      <sz val="9"/>
      <color rgb="FF808080"/>
      <name val="Arial"/>
      <family val="0"/>
      <charset val="1"/>
    </font>
    <font>
      <b val="true"/>
      <sz val="14"/>
      <name val="Arial"/>
      <family val="0"/>
      <charset val="1"/>
    </font>
    <font>
      <b val="true"/>
      <sz val="11"/>
      <name val="Arial"/>
      <family val="0"/>
      <charset val="1"/>
    </font>
    <font>
      <b val="true"/>
      <sz val="10"/>
      <name val="Arial"/>
      <family val="0"/>
      <charset val="1"/>
    </font>
    <font>
      <sz val="10"/>
      <color rgb="FF000000"/>
      <name val="Arial"/>
      <family val="0"/>
      <charset val="1"/>
    </font>
    <font>
      <b val="true"/>
      <sz val="11"/>
      <color rgb="FFFFFFFF"/>
      <name val="Arial"/>
      <family val="0"/>
      <charset val="1"/>
    </font>
    <font>
      <sz val="10"/>
      <color rgb="FF006600"/>
      <name val="Arial"/>
      <family val="0"/>
      <charset val="1"/>
    </font>
    <font>
      <sz val="11"/>
      <color theme="1"/>
      <name val="Noto Sans CJK SC"/>
      <family val="2"/>
    </font>
    <font>
      <i val="true"/>
      <sz val="9"/>
      <color rgb="FF808080"/>
      <name val="Noto Sans CJK SC"/>
      <family val="2"/>
    </font>
    <font>
      <sz val="11"/>
      <color rgb="FF0000FF"/>
      <name val="Arial"/>
      <family val="0"/>
      <charset val="1"/>
    </font>
    <font>
      <b val="true"/>
      <sz val="11"/>
      <color rgb="FFFFFFFF"/>
      <name val="Noto Sans CJK SC"/>
      <family val="2"/>
      <charset val="1"/>
    </font>
    <font>
      <sz val="11"/>
      <color theme="1"/>
      <name val="Noto Sans CJK SC"/>
      <family val="2"/>
      <charset val="1"/>
    </font>
    <font>
      <sz val="10"/>
      <color rgb="FF000000"/>
      <name val="Noto Sans CJK SC"/>
      <family val="2"/>
      <charset val="1"/>
    </font>
    <font>
      <sz val="10"/>
      <color rgb="FF000000"/>
      <name val="Noto Sans CJK SC"/>
      <family val="2"/>
    </font>
    <font>
      <b val="true"/>
      <sz val="10"/>
      <name val="Noto Sans CJK SC"/>
      <family val="2"/>
    </font>
  </fonts>
  <fills count="6">
    <fill>
      <patternFill patternType="none"/>
    </fill>
    <fill>
      <patternFill patternType="gray125"/>
    </fill>
    <fill>
      <patternFill patternType="solid">
        <fgColor rgb="FFDCE6F1"/>
        <bgColor rgb="FFE2EFDA"/>
      </patternFill>
    </fill>
    <fill>
      <patternFill patternType="solid">
        <fgColor rgb="FF000080"/>
        <bgColor rgb="FF000080"/>
      </patternFill>
    </fill>
    <fill>
      <patternFill patternType="solid">
        <fgColor rgb="FFF2F2F2"/>
        <bgColor rgb="FFE2EFDA"/>
      </patternFill>
    </fill>
    <fill>
      <patternFill patternType="solid">
        <fgColor rgb="FFE2EFDA"/>
        <bgColor rgb="FFDCE6F1"/>
      </patternFill>
    </fill>
  </fills>
  <borders count="7">
    <border diagonalUp="false" diagonalDown="false">
      <left/>
      <right/>
      <top/>
      <bottom/>
      <diagonal/>
    </border>
    <border diagonalUp="false" diagonalDown="false">
      <left/>
      <right/>
      <top/>
      <bottom style="thin"/>
      <diagonal/>
    </border>
    <border diagonalUp="false" diagonalDown="false">
      <left style="thin">
        <color rgb="FFB0B0B0"/>
      </left>
      <right style="thin">
        <color rgb="FFB0B0B0"/>
      </right>
      <top style="thin">
        <color rgb="FFB0B0B0"/>
      </top>
      <bottom style="thin">
        <color rgb="FFB0B0B0"/>
      </bottom>
      <diagonal/>
    </border>
    <border diagonalUp="false" diagonalDown="false">
      <left/>
      <right/>
      <top style="thin"/>
      <bottom style="thin"/>
      <diagonal/>
    </border>
    <border diagonalUp="false" diagonalDown="false">
      <left/>
      <right/>
      <top style="thin"/>
      <bottom style="double"/>
      <diagonal/>
    </border>
    <border diagonalUp="false" diagonalDown="false">
      <left style="hair">
        <color rgb="FFB0B0B0"/>
      </left>
      <right style="hair">
        <color rgb="FFB0B0B0"/>
      </right>
      <top style="hair">
        <color rgb="FFB0B0B0"/>
      </top>
      <bottom style="hair">
        <color rgb="FFB0B0B0"/>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tru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general" vertical="bottom" textRotation="0" wrapText="false" indent="0" shrinkToFit="false"/>
      <protection locked="true" hidden="false"/>
    </xf>
    <xf numFmtId="165" fontId="8" fillId="0" borderId="3" xfId="0" applyFont="true" applyBorder="true" applyAlignment="true" applyProtection="false">
      <alignment horizontal="general" vertical="bottom" textRotation="0" wrapText="false" indent="0" shrinkToFit="false"/>
      <protection locked="true" hidden="false"/>
    </xf>
    <xf numFmtId="165" fontId="8" fillId="4" borderId="3" xfId="0" applyFont="true" applyBorder="tru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5" fontId="8" fillId="0" borderId="4"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6" fontId="8" fillId="0" borderId="2" xfId="0" applyFont="true" applyBorder="true" applyAlignment="tru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71" fontId="9" fillId="3" borderId="0" xfId="0" applyFont="true" applyBorder="false" applyAlignment="true" applyProtection="false">
      <alignment horizontal="center" vertical="bottom" textRotation="0" wrapText="false" indent="0" shrinkToFit="false"/>
      <protection locked="true" hidden="false"/>
    </xf>
    <xf numFmtId="170" fontId="8" fillId="0" borderId="2" xfId="0" applyFont="true" applyBorder="true" applyAlignment="true" applyProtection="false">
      <alignment horizontal="general" vertical="bottom" textRotation="0" wrapText="false" indent="0" shrinkToFit="false"/>
      <protection locked="true" hidden="false"/>
    </xf>
    <xf numFmtId="166" fontId="7" fillId="0" borderId="2"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false" indent="0" shrinkToFit="false"/>
      <protection locked="true" hidden="false"/>
    </xf>
    <xf numFmtId="170" fontId="8" fillId="0" borderId="5" xfId="0" applyFont="true" applyBorder="true" applyAlignment="true" applyProtection="false">
      <alignment horizontal="general" vertical="bottom" textRotation="0" wrapText="false" indent="0" shrinkToFit="false"/>
      <protection locked="true" hidden="false"/>
    </xf>
    <xf numFmtId="165" fontId="8" fillId="0" borderId="5" xfId="0" applyFont="true" applyBorder="true" applyAlignment="tru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general" vertical="bottom" textRotation="0" wrapText="false" indent="0" shrinkToFit="false"/>
      <protection locked="true" hidden="false"/>
    </xf>
    <xf numFmtId="165" fontId="8" fillId="0" borderId="6" xfId="0" applyFont="true" applyBorder="true" applyAlignment="true" applyProtection="false">
      <alignment horizontal="general" vertical="bottom" textRotation="0" wrapText="false" indent="0" shrinkToFit="false"/>
      <protection locked="true" hidden="false"/>
    </xf>
    <xf numFmtId="169" fontId="8" fillId="0" borderId="6" xfId="0" applyFont="true" applyBorder="true" applyAlignment="true" applyProtection="false">
      <alignment horizontal="general" vertical="bottom" textRotation="0" wrapText="false" indent="0" shrinkToFit="false"/>
      <protection locked="true" hidden="false"/>
    </xf>
    <xf numFmtId="166" fontId="8" fillId="0" borderId="6" xfId="0" applyFont="true" applyBorder="true" applyAlignment="true" applyProtection="false">
      <alignment horizontal="general" vertical="bottom" textRotation="0" wrapText="false" indent="0" shrinkToFit="false"/>
      <protection locked="true" hidden="false"/>
    </xf>
    <xf numFmtId="164" fontId="9" fillId="3" borderId="6" xfId="0" applyFont="true" applyBorder="true" applyAlignment="true" applyProtection="false">
      <alignment horizontal="center" vertical="bottom" textRotation="0" wrapText="true" indent="0" shrinkToFit="false"/>
      <protection locked="true" hidden="false"/>
    </xf>
    <xf numFmtId="166" fontId="9" fillId="3" borderId="6" xfId="0" applyFont="true" applyBorder="true" applyAlignment="true" applyProtection="false">
      <alignment horizontal="center" vertical="bottom" textRotation="0" wrapText="false" indent="0" shrinkToFit="false"/>
      <protection locked="true" hidden="false"/>
    </xf>
    <xf numFmtId="169" fontId="9" fillId="3" borderId="6"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600"/>
      <rgbColor rgb="FF000080"/>
      <rgbColor rgb="FF996600"/>
      <rgbColor rgb="FF800080"/>
      <rgbColor rgb="FF008080"/>
      <rgbColor rgb="FFB0B0B0"/>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CC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B1:E31"/>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4" activeCellId="0" sqref="A4"/>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5" min="3" style="1" width="22"/>
  </cols>
  <sheetData>
    <row r="1" customFormat="false" ht="13.5" hidden="false" customHeight="true" outlineLevel="0" collapsed="false">
      <c r="B1" s="2" t="s">
        <v>0</v>
      </c>
      <c r="C1" s="2"/>
      <c r="D1" s="2"/>
      <c r="E1" s="2"/>
    </row>
    <row r="2" customFormat="false" ht="13.5" hidden="false" customHeight="true" outlineLevel="0" collapsed="false"/>
    <row r="3" customFormat="false" ht="18" hidden="false" customHeight="true" outlineLevel="0" collapsed="false">
      <c r="B3" s="3" t="s">
        <v>1</v>
      </c>
      <c r="C3" s="3"/>
      <c r="D3" s="3"/>
    </row>
    <row r="4" customFormat="false" ht="13.5" hidden="false" customHeight="true" outlineLevel="0" collapsed="false">
      <c r="B4" s="4" t="s">
        <v>2</v>
      </c>
    </row>
    <row r="5" customFormat="false" ht="13.5" hidden="false" customHeight="true" outlineLevel="0" collapsed="false"/>
    <row r="6" customFormat="false" ht="13.5" hidden="false" customHeight="true" outlineLevel="0" collapsed="false">
      <c r="B6" s="5" t="s">
        <v>3</v>
      </c>
      <c r="C6" s="1" t="s">
        <v>4</v>
      </c>
    </row>
    <row r="7" customFormat="false" ht="13.5" hidden="false" customHeight="true" outlineLevel="0" collapsed="false">
      <c r="B7" s="5" t="s">
        <v>5</v>
      </c>
      <c r="C7" s="1" t="s">
        <v>6</v>
      </c>
    </row>
    <row r="8" customFormat="false" ht="13.5" hidden="false" customHeight="true" outlineLevel="0" collapsed="false">
      <c r="B8" s="5" t="s">
        <v>7</v>
      </c>
      <c r="C8" s="1" t="s">
        <v>8</v>
      </c>
    </row>
    <row r="9" customFormat="false" ht="13.5" hidden="false" customHeight="true" outlineLevel="0" collapsed="false">
      <c r="B9" s="5" t="s">
        <v>9</v>
      </c>
      <c r="C9" s="6" t="n">
        <v>2727</v>
      </c>
    </row>
    <row r="10" customFormat="false" ht="13.5" hidden="false" customHeight="true" outlineLevel="0" collapsed="false">
      <c r="B10" s="5" t="s">
        <v>10</v>
      </c>
      <c r="C10" s="6" t="n">
        <f aca="false">IFERROR(ROUND(AVERAGE(C16:C17),0),"INVALID")</f>
        <v>379</v>
      </c>
    </row>
    <row r="11" customFormat="false" ht="13.5" hidden="false" customHeight="true" outlineLevel="0" collapsed="false">
      <c r="B11" s="5" t="s">
        <v>11</v>
      </c>
      <c r="C11" s="7" t="str">
        <f aca="false">IF(ISNUMBER(C10),IF(C12&gt;0.15,"BUY",IF(C12&gt;0.05,"HOLD","SELL")),"N/A")</f>
        <v>SELL</v>
      </c>
    </row>
    <row r="12" customFormat="false" ht="13.5" hidden="false" customHeight="true" outlineLevel="0" collapsed="false">
      <c r="B12" s="5" t="s">
        <v>12</v>
      </c>
      <c r="C12" s="8" t="n">
        <f aca="false">IF(ISNUMBER(C10),(C10-C9)/C9,"N/A")</f>
        <v>-0.861019435276861</v>
      </c>
    </row>
    <row r="13" customFormat="false" ht="13.5" hidden="false" customHeight="true" outlineLevel="0" collapsed="false"/>
    <row r="14" customFormat="false" ht="13.5" hidden="false" customHeight="true" outlineLevel="0" collapsed="false">
      <c r="B14" s="9" t="s">
        <v>13</v>
      </c>
      <c r="C14" s="10"/>
      <c r="D14" s="10"/>
    </row>
    <row r="15" customFormat="false" ht="13.5" hidden="false" customHeight="true" outlineLevel="0" collapsed="false">
      <c r="B15" s="11" t="s">
        <v>14</v>
      </c>
      <c r="C15" s="11" t="s">
        <v>15</v>
      </c>
      <c r="D15" s="11" t="s">
        <v>16</v>
      </c>
    </row>
    <row r="16" customFormat="false" ht="13.5" hidden="false" customHeight="true" outlineLevel="0" collapsed="false">
      <c r="B16" s="1" t="s">
        <v>17</v>
      </c>
      <c r="C16" s="12" t="n">
        <f aca="false">IF('DCF Model'!C53&lt;'DCF Model'!C16,"INVALID (EV &lt; net debt)",'DCF Model'!C55)</f>
        <v>200</v>
      </c>
      <c r="D16" s="8" t="n">
        <f aca="false">IF(ISNUMBER(C16),(C16-C9)/C9,"N/A")</f>
        <v>-0.926659332599927</v>
      </c>
    </row>
    <row r="17" customFormat="false" ht="13.5" hidden="false" customHeight="true" outlineLevel="0" collapsed="false">
      <c r="B17" s="1" t="s">
        <v>18</v>
      </c>
      <c r="C17" s="12" t="n">
        <f aca="false">IF('DCF Model'!C63&lt;0,"INVALID (equity &lt; 0)",'DCF Model'!C64)</f>
        <v>558</v>
      </c>
      <c r="D17" s="8" t="n">
        <f aca="false">IF(ISNUMBER(C17),(C17-C9)/C9,"N/A")</f>
        <v>-0.795379537953795</v>
      </c>
    </row>
    <row r="18" customFormat="false" ht="13.5" hidden="false" customHeight="true" outlineLevel="0" collapsed="false">
      <c r="B18" s="1" t="s">
        <v>19</v>
      </c>
      <c r="C18" s="12" t="n">
        <f aca="false">'Comps Analysis'!C27</f>
        <v>1582</v>
      </c>
      <c r="D18" s="8" t="n">
        <f aca="false">IF(ISNUMBER(C18),(C18-C9)/C9,"N/A")</f>
        <v>-0.41987532086542</v>
      </c>
    </row>
    <row r="19" customFormat="false" ht="13.5" hidden="false" customHeight="true" outlineLevel="0" collapsed="false">
      <c r="B19" s="1" t="s">
        <v>20</v>
      </c>
      <c r="C19" s="12" t="n">
        <f aca="false">'Comps Analysis'!C28</f>
        <v>2247</v>
      </c>
      <c r="D19" s="8" t="n">
        <f aca="false">IF(ISNUMBER(C19),(C19-C9)/C9,"N/A")</f>
        <v>-0.176017601760176</v>
      </c>
    </row>
    <row r="20" customFormat="false" ht="13.5" hidden="false" customHeight="true" outlineLevel="0" collapsed="false"/>
    <row r="21" customFormat="false" ht="13.5" hidden="false" customHeight="true" outlineLevel="0" collapsed="false">
      <c r="B21" s="5" t="s">
        <v>21</v>
      </c>
      <c r="C21" s="7" t="str">
        <f aca="false">MIN(C16:C17)&amp;" - "&amp;MAX(C16:C17)</f>
        <v>200 - 558</v>
      </c>
    </row>
    <row r="22" customFormat="false" ht="13.5" hidden="false" customHeight="true" outlineLevel="0" collapsed="false"/>
    <row r="23" customFormat="false" ht="13.5" hidden="false" customHeight="true" outlineLevel="0" collapsed="false">
      <c r="B23" s="9" t="s">
        <v>22</v>
      </c>
      <c r="C23" s="10"/>
      <c r="D23" s="10"/>
    </row>
    <row r="24" customFormat="false" ht="13.5" hidden="false" customHeight="true" outlineLevel="0" collapsed="false">
      <c r="B24" s="1" t="s">
        <v>23</v>
      </c>
    </row>
    <row r="25" customFormat="false" ht="13.5" hidden="false" customHeight="true" outlineLevel="0" collapsed="false">
      <c r="B25" s="1" t="s">
        <v>24</v>
      </c>
    </row>
    <row r="26" customFormat="false" ht="13.5" hidden="false" customHeight="true" outlineLevel="0" collapsed="false">
      <c r="B26" s="1" t="str">
        <f aca="false">"At "&amp;TEXT(C9,"#,##0")&amp;" the shares trade at "&amp;TEXT('Comps Analysis'!L5,"0.0""x""")&amp;" earnings and "&amp;TEXT('Comps Analysis'!M5,"0.00""x""")&amp;" book against a target of "&amp;TEXT(C10,"#,##0")&amp;" ("&amp;TEXT(C12,"+0.0%;-0.0%")&amp;") at a WACC of "&amp;TEXT('DCF Model'!C26,"0.00%")&amp;", so the case has to be argued on the reverse DCF, not on the base case."</f>
        <v>At 2,727 the shares trade at 39.0x earnings and 2.26x book against a target of 379 (-86.1%) at a WACC of 9.06%, so the case has to be argued on the reverse DCF, not on the base case.</v>
      </c>
    </row>
    <row r="27" customFormat="false" ht="13.5" hidden="false" customHeight="true" outlineLevel="0" collapsed="false"/>
    <row r="28" customFormat="false" ht="13.5" hidden="false" customHeight="true" outlineLevel="0" collapsed="false">
      <c r="B28" s="9" t="s">
        <v>25</v>
      </c>
      <c r="C28" s="10"/>
      <c r="D28" s="10"/>
    </row>
    <row r="29" customFormat="false" ht="13.5" hidden="false" customHeight="true" outlineLevel="0" collapsed="false">
      <c r="B29" s="1" t="s">
        <v>26</v>
      </c>
    </row>
    <row r="30" customFormat="false" ht="13.5" hidden="false" customHeight="true" outlineLevel="0" collapsed="false">
      <c r="B30" s="1" t="s">
        <v>27</v>
      </c>
    </row>
    <row r="31" customFormat="false" ht="13.5" hidden="false" customHeight="true" outlineLevel="0" collapsed="false">
      <c r="B31" s="1" t="s">
        <v>28</v>
      </c>
    </row>
  </sheetData>
  <mergeCells count="2">
    <mergeCell ref="B1:E1"/>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B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7" min="3" style="1" width="18"/>
  </cols>
  <sheetData>
    <row r="1" customFormat="false" ht="13.5" hidden="false" customHeight="true" outlineLevel="0" collapsed="false"/>
    <row r="2" customFormat="false" ht="18" hidden="false" customHeight="true" outlineLevel="0" collapsed="false">
      <c r="B2" s="13" t="s">
        <v>29</v>
      </c>
    </row>
    <row r="3" customFormat="false" ht="13.5" hidden="false" customHeight="true" outlineLevel="0" collapsed="false"/>
    <row r="4" customFormat="false" ht="13.5" hidden="false" customHeight="true" outlineLevel="0" collapsed="false">
      <c r="C4" s="11" t="s">
        <v>30</v>
      </c>
      <c r="D4" s="11" t="s">
        <v>31</v>
      </c>
      <c r="E4" s="11" t="s">
        <v>32</v>
      </c>
      <c r="F4" s="11" t="s">
        <v>33</v>
      </c>
      <c r="G4" s="11" t="s">
        <v>34</v>
      </c>
    </row>
    <row r="5" customFormat="false" ht="13.5" hidden="false" customHeight="true" outlineLevel="0" collapsed="false">
      <c r="B5" s="4" t="s">
        <v>35</v>
      </c>
    </row>
    <row r="6" customFormat="false" ht="13.5" hidden="false" customHeight="true" outlineLevel="0" collapsed="false">
      <c r="B6" s="5" t="s">
        <v>36</v>
      </c>
      <c r="C6" s="6" t="n">
        <v>28549</v>
      </c>
      <c r="D6" s="6" t="n">
        <v>43074</v>
      </c>
      <c r="E6" s="6" t="n">
        <v>55322</v>
      </c>
      <c r="F6" s="6" t="n">
        <v>51914</v>
      </c>
      <c r="G6" s="6" t="n">
        <v>46952</v>
      </c>
    </row>
    <row r="7" customFormat="false" ht="13.5" hidden="false" customHeight="true" outlineLevel="0" collapsed="false">
      <c r="B7" s="5" t="s">
        <v>37</v>
      </c>
      <c r="C7" s="6" t="n">
        <v>26229</v>
      </c>
      <c r="D7" s="6" t="n">
        <v>34099</v>
      </c>
      <c r="E7" s="6" t="n">
        <v>41878</v>
      </c>
      <c r="F7" s="6" t="n">
        <v>35783</v>
      </c>
      <c r="G7" s="6" t="n">
        <v>35399</v>
      </c>
    </row>
    <row r="8" customFormat="false" ht="13.5" hidden="false" customHeight="true" outlineLevel="0" collapsed="false">
      <c r="B8" s="5" t="s">
        <v>38</v>
      </c>
      <c r="C8" s="6" t="n">
        <f aca="false">C6-C7</f>
        <v>2320</v>
      </c>
      <c r="D8" s="6" t="n">
        <f aca="false">D6-D7</f>
        <v>8975</v>
      </c>
      <c r="E8" s="6" t="n">
        <f aca="false">E6-E7</f>
        <v>13444</v>
      </c>
      <c r="F8" s="6" t="n">
        <f aca="false">F6-F7</f>
        <v>16131</v>
      </c>
      <c r="G8" s="6" t="n">
        <f aca="false">G6-G7</f>
        <v>11553</v>
      </c>
    </row>
    <row r="9" customFormat="false" ht="13.5" hidden="false" customHeight="true" outlineLevel="0" collapsed="false">
      <c r="B9" s="1" t="s">
        <v>39</v>
      </c>
      <c r="C9" s="8" t="n">
        <f aca="false">C8/C6</f>
        <v>0.0812637920767803</v>
      </c>
      <c r="D9" s="8" t="n">
        <f aca="false">D8/D6</f>
        <v>0.208362353159679</v>
      </c>
      <c r="E9" s="8" t="n">
        <f aca="false">E8/E6</f>
        <v>0.243013629297567</v>
      </c>
      <c r="F9" s="8" t="n">
        <f aca="false">F8/F6</f>
        <v>0.310725430519706</v>
      </c>
      <c r="G9" s="8" t="n">
        <f aca="false">G8/G6</f>
        <v>0.246059805759073</v>
      </c>
    </row>
    <row r="10" customFormat="false" ht="13.5" hidden="false" customHeight="true" outlineLevel="0" collapsed="false">
      <c r="B10" s="5" t="s">
        <v>40</v>
      </c>
      <c r="C10" s="6" t="n">
        <v>4235</v>
      </c>
      <c r="D10" s="6" t="n">
        <v>4195</v>
      </c>
      <c r="E10" s="6" t="n">
        <v>5154</v>
      </c>
      <c r="F10" s="6" t="n">
        <v>6041</v>
      </c>
      <c r="G10" s="6" t="n">
        <v>6028</v>
      </c>
    </row>
    <row r="11" customFormat="false" ht="13.5" hidden="false" customHeight="true" outlineLevel="0" collapsed="false">
      <c r="B11" s="5" t="s">
        <v>41</v>
      </c>
      <c r="C11" s="6" t="n">
        <v>-1914</v>
      </c>
      <c r="D11" s="6" t="n">
        <v>4780</v>
      </c>
      <c r="E11" s="6" t="n">
        <v>8288</v>
      </c>
      <c r="F11" s="6" t="n">
        <v>10088</v>
      </c>
      <c r="G11" s="6" t="n">
        <v>5524</v>
      </c>
    </row>
    <row r="12" customFormat="false" ht="13.5" hidden="false" customHeight="true" outlineLevel="0" collapsed="false">
      <c r="B12" s="5" t="s">
        <v>42</v>
      </c>
      <c r="C12" s="6" t="n">
        <v>-3112</v>
      </c>
      <c r="D12" s="6" t="n">
        <v>4388</v>
      </c>
      <c r="E12" s="6" t="n">
        <v>9689</v>
      </c>
      <c r="F12" s="6" t="n">
        <v>7090</v>
      </c>
      <c r="G12" s="6" t="n">
        <v>2576</v>
      </c>
    </row>
    <row r="13" customFormat="false" ht="13.5" hidden="false" customHeight="true" outlineLevel="0" collapsed="false">
      <c r="B13" s="1" t="s">
        <v>43</v>
      </c>
      <c r="C13" s="8" t="n">
        <f aca="false">C11/C6</f>
        <v>-0.0670426284633437</v>
      </c>
      <c r="D13" s="8" t="n">
        <f aca="false">D11/D6</f>
        <v>0.110971815944653</v>
      </c>
      <c r="E13" s="8" t="n">
        <f aca="false">E11/E6</f>
        <v>0.149813817287878</v>
      </c>
      <c r="F13" s="8" t="n">
        <f aca="false">F11/F6</f>
        <v>0.194321377663058</v>
      </c>
      <c r="G13" s="8" t="n">
        <f aca="false">G11/G6</f>
        <v>0.117652070199353</v>
      </c>
    </row>
    <row r="14" customFormat="false" ht="13.5" hidden="false" customHeight="true" outlineLevel="0" collapsed="false">
      <c r="B14" s="1" t="s">
        <v>44</v>
      </c>
      <c r="C14" s="8" t="n">
        <f aca="false">C12/C6</f>
        <v>-0.109005569371957</v>
      </c>
      <c r="D14" s="8" t="n">
        <f aca="false">D12/D6</f>
        <v>0.101871198402749</v>
      </c>
      <c r="E14" s="8" t="n">
        <f aca="false">E12/E6</f>
        <v>0.175138281334731</v>
      </c>
      <c r="F14" s="8" t="n">
        <f aca="false">F12/F6</f>
        <v>0.136572022961051</v>
      </c>
      <c r="G14" s="8" t="n">
        <f aca="false">G12/G6</f>
        <v>0.0548645425115011</v>
      </c>
    </row>
    <row r="15" customFormat="false" ht="13.5" hidden="false" customHeight="true" outlineLevel="0" collapsed="false">
      <c r="B15" s="1" t="s">
        <v>45</v>
      </c>
      <c r="C15" s="1" t="s">
        <v>46</v>
      </c>
      <c r="D15" s="8" t="n">
        <f aca="false">(D6-C6)/C6</f>
        <v>0.508774387894497</v>
      </c>
      <c r="E15" s="8" t="n">
        <f aca="false">(E6-D6)/D6</f>
        <v>0.284347866462367</v>
      </c>
      <c r="F15" s="8" t="n">
        <f aca="false">(F6-E6)/E6</f>
        <v>-0.061602978923394</v>
      </c>
      <c r="G15" s="8" t="n">
        <f aca="false">(G6-F6)/F6</f>
        <v>-0.0955811534460839</v>
      </c>
    </row>
    <row r="16" customFormat="false" ht="13.5" hidden="false" customHeight="true" outlineLevel="0" collapsed="false">
      <c r="B16" s="1" t="s">
        <v>47</v>
      </c>
      <c r="C16" s="1" t="s">
        <v>46</v>
      </c>
      <c r="D16" s="8" t="n">
        <f aca="false">(D11-C11)/C11</f>
        <v>-3.49738766980146</v>
      </c>
      <c r="E16" s="8" t="n">
        <f aca="false">(E11-D11)/D11</f>
        <v>0.733891213389121</v>
      </c>
      <c r="F16" s="8" t="n">
        <f aca="false">(F11-E11)/E11</f>
        <v>0.217181467181467</v>
      </c>
      <c r="G16" s="8" t="n">
        <f aca="false">(G11-F11)/F11</f>
        <v>-0.452418715305313</v>
      </c>
    </row>
    <row r="17" customFormat="false" ht="13.5" hidden="false" customHeight="true" outlineLevel="0" collapsed="false"/>
    <row r="18" customFormat="false" ht="13.5" hidden="false" customHeight="true" outlineLevel="0" collapsed="false">
      <c r="B18" s="4" t="s">
        <v>48</v>
      </c>
    </row>
    <row r="19" customFormat="false" ht="13.5" hidden="false" customHeight="true" outlineLevel="0" collapsed="false">
      <c r="B19" s="5" t="s">
        <v>49</v>
      </c>
      <c r="C19" s="6" t="n">
        <v>6304</v>
      </c>
      <c r="D19" s="6" t="n">
        <v>741</v>
      </c>
      <c r="E19" s="6" t="n">
        <v>2098</v>
      </c>
      <c r="F19" s="6" t="n">
        <v>2859</v>
      </c>
      <c r="G19" s="6" t="n">
        <v>4169</v>
      </c>
    </row>
    <row r="20" customFormat="false" ht="13.5" hidden="false" customHeight="true" outlineLevel="0" collapsed="false">
      <c r="B20" s="5" t="s">
        <v>50</v>
      </c>
      <c r="C20" s="6" t="n">
        <v>996</v>
      </c>
      <c r="D20" s="6" t="n">
        <v>2357</v>
      </c>
      <c r="E20" s="6" t="n">
        <v>2717</v>
      </c>
      <c r="F20" s="6" t="n">
        <v>2916</v>
      </c>
      <c r="G20" s="6" t="n">
        <v>8072</v>
      </c>
    </row>
    <row r="21" customFormat="false" ht="13.5" hidden="false" customHeight="true" outlineLevel="0" collapsed="false">
      <c r="B21" s="5" t="s">
        <v>51</v>
      </c>
      <c r="C21" s="6" t="n">
        <f aca="false">C19-C20</f>
        <v>5308</v>
      </c>
      <c r="D21" s="6" t="n">
        <f aca="false">D19-D20</f>
        <v>-1616</v>
      </c>
      <c r="E21" s="6" t="n">
        <f aca="false">E19-E20</f>
        <v>-619</v>
      </c>
      <c r="F21" s="6" t="n">
        <f aca="false">F19-F20</f>
        <v>-57</v>
      </c>
      <c r="G21" s="6" t="n">
        <f aca="false">G19-G20</f>
        <v>-3903</v>
      </c>
    </row>
    <row r="22" customFormat="false" ht="13.5" hidden="false" customHeight="true" outlineLevel="0" collapsed="false">
      <c r="B22" s="1" t="s">
        <v>52</v>
      </c>
      <c r="C22" s="8" t="n">
        <f aca="false">C21/C6</f>
        <v>0.18592595187222</v>
      </c>
      <c r="D22" s="8" t="n">
        <f aca="false">D21/D6</f>
        <v>-0.0375168314992803</v>
      </c>
      <c r="E22" s="8" t="n">
        <f aca="false">E21/E6</f>
        <v>-0.0111890387187737</v>
      </c>
      <c r="F22" s="8" t="n">
        <f aca="false">F21/F6</f>
        <v>-0.0010979697191509</v>
      </c>
      <c r="G22" s="8" t="n">
        <f aca="false">G21/G6</f>
        <v>-0.0831274493099335</v>
      </c>
    </row>
    <row r="23" customFormat="false" ht="13.5" hidden="false" customHeight="true" outlineLevel="0" collapsed="false">
      <c r="B23" s="1" t="s">
        <v>53</v>
      </c>
      <c r="C23" s="8" t="n">
        <f aca="false">C20/C6</f>
        <v>0.0348873865984798</v>
      </c>
      <c r="D23" s="8" t="n">
        <f aca="false">D20/D6</f>
        <v>0.0547197845568092</v>
      </c>
      <c r="E23" s="8" t="n">
        <f aca="false">E20/E6</f>
        <v>0.0491124688189147</v>
      </c>
      <c r="F23" s="8" t="n">
        <f aca="false">F20/F6</f>
        <v>0.056169819316562</v>
      </c>
      <c r="G23" s="8" t="n">
        <f aca="false">G20/G6</f>
        <v>0.171920258987903</v>
      </c>
    </row>
    <row r="24" customFormat="false" ht="13.5" hidden="false" customHeight="true" outlineLevel="0" collapsed="false"/>
    <row r="25" customFormat="false" ht="13.5" hidden="false" customHeight="true" outlineLevel="0" collapsed="false">
      <c r="B25" s="4" t="s">
        <v>54</v>
      </c>
    </row>
    <row r="26" customFormat="false" ht="13.5" hidden="false" customHeight="true" outlineLevel="0" collapsed="false">
      <c r="B26" s="5" t="s">
        <v>55</v>
      </c>
      <c r="C26" s="6" t="n">
        <v>10666</v>
      </c>
      <c r="D26" s="6" t="n">
        <v>6971</v>
      </c>
      <c r="E26" s="6" t="n">
        <v>5975</v>
      </c>
      <c r="F26" s="6" t="n">
        <v>4619</v>
      </c>
      <c r="G26" s="6" t="n">
        <v>4145</v>
      </c>
    </row>
    <row r="27" customFormat="false" ht="13.5" hidden="false" customHeight="true" outlineLevel="0" collapsed="false">
      <c r="B27" s="5" t="s">
        <v>56</v>
      </c>
      <c r="C27" s="6" t="n">
        <v>40500</v>
      </c>
      <c r="D27" s="6" t="n">
        <v>40500</v>
      </c>
      <c r="E27" s="6" t="n">
        <v>40100</v>
      </c>
      <c r="F27" s="6" t="n">
        <v>43700</v>
      </c>
      <c r="G27" s="6" t="n">
        <v>49800</v>
      </c>
    </row>
    <row r="28" customFormat="false" ht="13.5" hidden="false" customHeight="true" outlineLevel="0" collapsed="false">
      <c r="B28" s="5" t="s">
        <v>57</v>
      </c>
      <c r="C28" s="6" t="n">
        <f aca="false">C27-C26</f>
        <v>29834</v>
      </c>
      <c r="D28" s="6" t="n">
        <f aca="false">D27-D26</f>
        <v>33529</v>
      </c>
      <c r="E28" s="6" t="n">
        <f aca="false">E27-E26</f>
        <v>34125</v>
      </c>
      <c r="F28" s="6" t="n">
        <f aca="false">F27-F26</f>
        <v>39081</v>
      </c>
      <c r="G28" s="6" t="n">
        <f aca="false">G27-G26</f>
        <v>45655</v>
      </c>
    </row>
    <row r="29" customFormat="false" ht="13.5" hidden="false" customHeight="true" outlineLevel="0" collapsed="false"/>
    <row r="30" customFormat="false" ht="13.5" hidden="false" customHeight="true" outlineLevel="0" collapsed="false">
      <c r="B30" s="14"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600"/>
    <pageSetUpPr fitToPage="false"/>
  </sheetPr>
  <dimension ref="B1:G87"/>
  <sheetViews>
    <sheetView showFormulas="false" showGridLines="true" showRowColHeaders="true" showZeros="true" rightToLeft="false" tabSelected="false" showOutlineSymbols="true" defaultGridColor="true" view="normal" topLeftCell="A67" colorId="64" zoomScale="100" zoomScaleNormal="100" zoomScalePageLayoutView="100" workbookViewId="0">
      <selection pane="topLeft" activeCell="A67" activeCellId="0" sqref="A67"/>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7" min="3" style="1" width="16"/>
  </cols>
  <sheetData>
    <row r="1" customFormat="false" ht="13.5" hidden="false" customHeight="true" outlineLevel="0" collapsed="false"/>
    <row r="2" customFormat="false" ht="18" hidden="false" customHeight="true" outlineLevel="0" collapsed="false">
      <c r="B2" s="13" t="s">
        <v>59</v>
      </c>
    </row>
    <row r="3" customFormat="false" ht="13.5" hidden="false" customHeight="true" outlineLevel="0" collapsed="false"/>
    <row r="4" customFormat="false" ht="13.5" hidden="false" customHeight="true" outlineLevel="0" collapsed="false">
      <c r="B4" s="9" t="s">
        <v>60</v>
      </c>
      <c r="C4" s="10"/>
      <c r="D4" s="10"/>
      <c r="E4" s="10"/>
      <c r="F4" s="10"/>
      <c r="G4" s="10"/>
    </row>
    <row r="5" customFormat="false" ht="13.5" hidden="false" customHeight="true" outlineLevel="0" collapsed="false">
      <c r="B5" s="5" t="s">
        <v>61</v>
      </c>
      <c r="C5" s="8" t="n">
        <v>0.0924</v>
      </c>
    </row>
    <row r="6" customFormat="false" ht="13.5" hidden="false" customHeight="true" outlineLevel="0" collapsed="false">
      <c r="B6" s="5" t="s">
        <v>62</v>
      </c>
      <c r="C6" s="8" t="n">
        <v>0.306</v>
      </c>
    </row>
    <row r="7" customFormat="false" ht="13.5" hidden="false" customHeight="true" outlineLevel="0" collapsed="false">
      <c r="B7" s="5" t="s">
        <v>63</v>
      </c>
      <c r="C7" s="8" t="n">
        <v>0.029</v>
      </c>
    </row>
    <row r="8" customFormat="false" ht="13.5" hidden="false" customHeight="true" outlineLevel="0" collapsed="false">
      <c r="B8" s="5" t="s">
        <v>64</v>
      </c>
      <c r="C8" s="15" t="n">
        <v>1.55</v>
      </c>
    </row>
    <row r="9" customFormat="false" ht="13.5" hidden="false" customHeight="true" outlineLevel="0" collapsed="false">
      <c r="B9" s="5" t="s">
        <v>65</v>
      </c>
      <c r="C9" s="8" t="n">
        <v>0.055</v>
      </c>
    </row>
    <row r="10" customFormat="false" ht="13.5" hidden="false" customHeight="true" outlineLevel="0" collapsed="false">
      <c r="B10" s="5" t="s">
        <v>66</v>
      </c>
      <c r="C10" s="8" t="n">
        <v>0.015</v>
      </c>
    </row>
    <row r="11" customFormat="false" ht="13.5" hidden="false" customHeight="true" outlineLevel="0" collapsed="false">
      <c r="B11" s="5" t="s">
        <v>67</v>
      </c>
      <c r="C11" s="8" t="n">
        <v>0.0059</v>
      </c>
    </row>
    <row r="12" customFormat="false" ht="13.5" hidden="false" customHeight="true" outlineLevel="0" collapsed="false">
      <c r="B12" s="5" t="s">
        <v>68</v>
      </c>
      <c r="C12" s="16" t="n">
        <v>0.4568</v>
      </c>
    </row>
    <row r="13" customFormat="false" ht="13.5" hidden="false" customHeight="true" outlineLevel="0" collapsed="false">
      <c r="B13" s="5" t="s">
        <v>69</v>
      </c>
      <c r="C13" s="8" t="n">
        <v>0.015</v>
      </c>
    </row>
    <row r="14" customFormat="false" ht="13.5" hidden="false" customHeight="true" outlineLevel="0" collapsed="false">
      <c r="B14" s="5" t="s">
        <v>70</v>
      </c>
      <c r="C14" s="17" t="n">
        <v>8</v>
      </c>
    </row>
    <row r="15" customFormat="false" ht="13.5" hidden="false" customHeight="true" outlineLevel="0" collapsed="false">
      <c r="B15" s="5" t="s">
        <v>71</v>
      </c>
      <c r="C15" s="18" t="n">
        <v>36800000</v>
      </c>
    </row>
    <row r="16" customFormat="false" ht="13.5" hidden="false" customHeight="true" outlineLevel="0" collapsed="false">
      <c r="B16" s="5" t="s">
        <v>72</v>
      </c>
      <c r="C16" s="6" t="n">
        <v>45837</v>
      </c>
    </row>
    <row r="17" customFormat="false" ht="13.5" hidden="false" customHeight="true" outlineLevel="0" collapsed="false">
      <c r="B17" s="5" t="s">
        <v>73</v>
      </c>
      <c r="C17" s="6" t="n">
        <v>46952</v>
      </c>
    </row>
    <row r="18" customFormat="false" ht="13.5" hidden="false" customHeight="true" outlineLevel="0" collapsed="false">
      <c r="B18" s="5" t="s">
        <v>74</v>
      </c>
      <c r="C18" s="8" t="n">
        <v>0.0575</v>
      </c>
    </row>
    <row r="19" customFormat="false" ht="13.5" hidden="false" customHeight="true" outlineLevel="0" collapsed="false">
      <c r="B19" s="5" t="s">
        <v>75</v>
      </c>
      <c r="C19" s="15" t="n">
        <v>0.75</v>
      </c>
    </row>
    <row r="20" customFormat="false" ht="13.5" hidden="false" customHeight="true" outlineLevel="0" collapsed="false">
      <c r="B20" s="5" t="s">
        <v>76</v>
      </c>
      <c r="C20" s="6" t="n">
        <v>47228</v>
      </c>
    </row>
    <row r="21" customFormat="false" ht="13.5" hidden="false" customHeight="true" outlineLevel="0" collapsed="false"/>
    <row r="22" customFormat="false" ht="13.5" hidden="false" customHeight="true" outlineLevel="0" collapsed="false">
      <c r="B22" s="9" t="s">
        <v>77</v>
      </c>
      <c r="C22" s="10"/>
      <c r="D22" s="10"/>
      <c r="E22" s="10"/>
      <c r="F22" s="10"/>
      <c r="G22" s="10"/>
    </row>
    <row r="23" customFormat="false" ht="13.5" hidden="false" customHeight="true" outlineLevel="0" collapsed="false">
      <c r="B23" s="5" t="s">
        <v>78</v>
      </c>
      <c r="C23" s="19" t="n">
        <f aca="false">C7+C8*C9+C10</f>
        <v>0.12925</v>
      </c>
    </row>
    <row r="24" customFormat="false" ht="13.5" hidden="false" customHeight="true" outlineLevel="0" collapsed="false">
      <c r="B24" s="5" t="s">
        <v>79</v>
      </c>
      <c r="C24" s="19" t="n">
        <f aca="false">1/(1+C12)</f>
        <v>0.686436024162548</v>
      </c>
    </row>
    <row r="25" customFormat="false" ht="13.5" hidden="false" customHeight="true" outlineLevel="0" collapsed="false">
      <c r="B25" s="5" t="s">
        <v>80</v>
      </c>
      <c r="C25" s="19" t="n">
        <f aca="false">C12/(1+C12)</f>
        <v>0.313563975837452</v>
      </c>
    </row>
    <row r="26" customFormat="false" ht="13.5" hidden="false" customHeight="true" outlineLevel="0" collapsed="false">
      <c r="B26" s="5" t="s">
        <v>81</v>
      </c>
      <c r="C26" s="19" t="n">
        <f aca="false">C23*C24+C11*C25</f>
        <v>0.0905718835804503</v>
      </c>
    </row>
    <row r="27" customFormat="false" ht="13.5" hidden="false" customHeight="true" outlineLevel="0" collapsed="false">
      <c r="B27" s="5" t="s">
        <v>82</v>
      </c>
      <c r="C27" s="20" t="s">
        <v>83</v>
      </c>
      <c r="D27" s="7" t="n">
        <f aca="false">MATCH(C27,B69:B73,0)</f>
        <v>1</v>
      </c>
    </row>
    <row r="28" customFormat="false" ht="13.5" hidden="false" customHeight="true" outlineLevel="0" collapsed="false">
      <c r="B28" s="9" t="s">
        <v>84</v>
      </c>
      <c r="C28" s="10"/>
      <c r="D28" s="10"/>
      <c r="E28" s="10"/>
      <c r="F28" s="10"/>
      <c r="G28" s="10"/>
    </row>
    <row r="29" customFormat="false" ht="13.5" hidden="false" customHeight="true" outlineLevel="0" collapsed="false">
      <c r="C29" s="11" t="s">
        <v>85</v>
      </c>
      <c r="D29" s="11" t="s">
        <v>86</v>
      </c>
      <c r="E29" s="11" t="s">
        <v>87</v>
      </c>
      <c r="F29" s="11" t="s">
        <v>88</v>
      </c>
      <c r="G29" s="11" t="s">
        <v>89</v>
      </c>
    </row>
    <row r="30" customFormat="false" ht="13.5" hidden="false" customHeight="true" outlineLevel="0" collapsed="false">
      <c r="B30" s="5" t="s">
        <v>45</v>
      </c>
      <c r="C30" s="21" t="n">
        <f aca="false">CHOOSE($D$27,C69,C70,C71,C72,C73)</f>
        <v>0.066</v>
      </c>
      <c r="D30" s="21" t="n">
        <f aca="false">CHOOSE($D$27,D69,D70,D71,D72,D73)</f>
        <v>0.06</v>
      </c>
      <c r="E30" s="21" t="n">
        <f aca="false">CHOOSE($D$27,E69,E70,E71,E72,E73)</f>
        <v>0.05</v>
      </c>
      <c r="F30" s="21" t="n">
        <f aca="false">CHOOSE($D$27,F69,F70,F71,F72,F73)</f>
        <v>0.04</v>
      </c>
      <c r="G30" s="21" t="n">
        <f aca="false">CHOOSE($D$27,G69,G70,G71,G72,G73)</f>
        <v>0.03</v>
      </c>
    </row>
    <row r="31" customFormat="false" ht="13.5" hidden="false" customHeight="true" outlineLevel="0" collapsed="false">
      <c r="B31" s="5" t="s">
        <v>90</v>
      </c>
      <c r="C31" s="21" t="n">
        <f aca="false">CHOOSE($D$27,C76,C77,C78,C79,C80)</f>
        <v>0.795</v>
      </c>
      <c r="D31" s="21" t="n">
        <f aca="false">CHOOSE($D$27,D76,D77,D78,D79,D80)</f>
        <v>0.782</v>
      </c>
      <c r="E31" s="21" t="n">
        <f aca="false">CHOOSE($D$27,E76,E77,E78,E79,E80)</f>
        <v>0.77</v>
      </c>
      <c r="F31" s="21" t="n">
        <f aca="false">CHOOSE($D$27,F76,F77,F78,F79,F80)</f>
        <v>0.767</v>
      </c>
      <c r="G31" s="21" t="n">
        <f aca="false">CHOOSE($D$27,G76,G77,G78,G79,G80)</f>
        <v>0.768</v>
      </c>
    </row>
    <row r="32" customFormat="false" ht="13.5" hidden="false" customHeight="true" outlineLevel="0" collapsed="false">
      <c r="B32" s="5" t="s">
        <v>91</v>
      </c>
      <c r="C32" s="21" t="n">
        <f aca="false">CHOOSE($D$27,C83,C84,C85,C86,C87)</f>
        <v>0.122</v>
      </c>
      <c r="D32" s="21" t="n">
        <f aca="false">CHOOSE($D$27,D83,D84,D85,D86,D87)</f>
        <v>0.118</v>
      </c>
      <c r="E32" s="21" t="n">
        <f aca="false">CHOOSE($D$27,E83,E84,E85,E86,E87)</f>
        <v>0.115</v>
      </c>
      <c r="F32" s="21" t="n">
        <f aca="false">CHOOSE($D$27,F83,F84,F85,F86,F87)</f>
        <v>0.113</v>
      </c>
      <c r="G32" s="21" t="n">
        <f aca="false">CHOOSE($D$27,G83,G84,G85,G86,G87)</f>
        <v>0.112</v>
      </c>
    </row>
    <row r="33" customFormat="false" ht="13.5" hidden="false" customHeight="true" outlineLevel="0" collapsed="false">
      <c r="B33" s="5" t="s">
        <v>36</v>
      </c>
      <c r="C33" s="6" t="n">
        <f aca="false">C17*(1+C30)</f>
        <v>50050.832</v>
      </c>
      <c r="D33" s="6" t="n">
        <f aca="false">C33*(1+D30)</f>
        <v>53053.88192</v>
      </c>
      <c r="E33" s="6" t="n">
        <f aca="false">D33*(1+E30)</f>
        <v>55706.576016</v>
      </c>
      <c r="F33" s="6" t="n">
        <f aca="false">E33*(1+F30)</f>
        <v>57934.83905664</v>
      </c>
      <c r="G33" s="6" t="n">
        <f aca="false">F33*(1+G30)</f>
        <v>59672.8842283392</v>
      </c>
    </row>
    <row r="34" customFormat="false" ht="13.5" hidden="false" customHeight="true" outlineLevel="0" collapsed="false">
      <c r="B34" s="5" t="s">
        <v>37</v>
      </c>
      <c r="C34" s="6" t="n">
        <f aca="false">C33*C31</f>
        <v>39790.41144</v>
      </c>
      <c r="D34" s="6" t="n">
        <f aca="false">D33*D31</f>
        <v>41488.13566144</v>
      </c>
      <c r="E34" s="6" t="n">
        <f aca="false">E33*E31</f>
        <v>42894.06353232</v>
      </c>
      <c r="F34" s="6" t="n">
        <f aca="false">F33*F31</f>
        <v>44436.0215564429</v>
      </c>
      <c r="G34" s="6" t="n">
        <f aca="false">G33*G31</f>
        <v>45828.7750873645</v>
      </c>
    </row>
    <row r="35" customFormat="false" ht="13.5" hidden="false" customHeight="true" outlineLevel="0" collapsed="false">
      <c r="B35" s="5" t="s">
        <v>38</v>
      </c>
      <c r="C35" s="22" t="n">
        <f aca="false">C33-C34</f>
        <v>10260.42056</v>
      </c>
      <c r="D35" s="22" t="n">
        <f aca="false">D33-D34</f>
        <v>11565.74625856</v>
      </c>
      <c r="E35" s="22" t="n">
        <f aca="false">E33-E34</f>
        <v>12812.51248368</v>
      </c>
      <c r="F35" s="22" t="n">
        <f aca="false">F33-F34</f>
        <v>13498.8175001971</v>
      </c>
      <c r="G35" s="22" t="n">
        <f aca="false">G33-G34</f>
        <v>13844.1091409747</v>
      </c>
    </row>
    <row r="36" customFormat="false" ht="13.5" hidden="false" customHeight="true" outlineLevel="0" collapsed="false">
      <c r="B36" s="5" t="s">
        <v>39</v>
      </c>
      <c r="C36" s="8" t="n">
        <f aca="false">C35/C33</f>
        <v>0.205</v>
      </c>
      <c r="D36" s="8" t="n">
        <f aca="false">D35/D33</f>
        <v>0.218</v>
      </c>
      <c r="E36" s="8" t="n">
        <f aca="false">E35/E33</f>
        <v>0.23</v>
      </c>
      <c r="F36" s="8" t="n">
        <f aca="false">F35/F33</f>
        <v>0.233</v>
      </c>
      <c r="G36" s="8" t="n">
        <f aca="false">G35/G33</f>
        <v>0.232</v>
      </c>
    </row>
    <row r="37" customFormat="false" ht="13.5" hidden="false" customHeight="true" outlineLevel="0" collapsed="false">
      <c r="B37" s="5" t="s">
        <v>92</v>
      </c>
      <c r="C37" s="6" t="n">
        <f aca="false">C33*C32</f>
        <v>6106.201504</v>
      </c>
      <c r="D37" s="6" t="n">
        <f aca="false">D33*D32</f>
        <v>6260.35806656</v>
      </c>
      <c r="E37" s="6" t="n">
        <f aca="false">E33*E32</f>
        <v>6406.25624184</v>
      </c>
      <c r="F37" s="6" t="n">
        <f aca="false">F33*F32</f>
        <v>6546.63681340032</v>
      </c>
      <c r="G37" s="6" t="n">
        <f aca="false">G33*G32</f>
        <v>6683.36303357399</v>
      </c>
    </row>
    <row r="38" customFormat="false" ht="13.5" hidden="false" customHeight="true" outlineLevel="0" collapsed="false">
      <c r="B38" s="5" t="s">
        <v>93</v>
      </c>
      <c r="C38" s="8" t="n">
        <f aca="false">(C35-C37)/C33</f>
        <v>0.083</v>
      </c>
      <c r="D38" s="8" t="n">
        <f aca="false">(D35-D37)/D33</f>
        <v>0.1</v>
      </c>
      <c r="E38" s="8" t="n">
        <f aca="false">(E35-E37)/E33</f>
        <v>0.115</v>
      </c>
      <c r="F38" s="8" t="n">
        <f aca="false">(F35-F37)/F33</f>
        <v>0.12</v>
      </c>
      <c r="G38" s="8" t="n">
        <f aca="false">(G35-G37)/G33</f>
        <v>0.12</v>
      </c>
    </row>
    <row r="39" customFormat="false" ht="13.5" hidden="false" customHeight="true" outlineLevel="0" collapsed="false">
      <c r="B39" s="5" t="s">
        <v>94</v>
      </c>
      <c r="C39" s="22" t="n">
        <f aca="false">C35-C37</f>
        <v>4154.219056</v>
      </c>
      <c r="D39" s="22" t="n">
        <f aca="false">D35-D37</f>
        <v>5305.388192</v>
      </c>
      <c r="E39" s="22" t="n">
        <f aca="false">E35-E37</f>
        <v>6406.25624184</v>
      </c>
      <c r="F39" s="22" t="n">
        <f aca="false">F35-F37</f>
        <v>6952.1806867968</v>
      </c>
      <c r="G39" s="22" t="n">
        <f aca="false">G35-G37</f>
        <v>7160.7461074007</v>
      </c>
    </row>
    <row r="40" customFormat="false" ht="13.5" hidden="false" customHeight="true" outlineLevel="0" collapsed="false">
      <c r="B40" s="5" t="s">
        <v>95</v>
      </c>
      <c r="C40" s="6" t="n">
        <f aca="false">MAX(0,C39*C6)</f>
        <v>1271.191031136</v>
      </c>
      <c r="D40" s="6" t="n">
        <f aca="false">MAX(0,D39*C6)</f>
        <v>1623.448786752</v>
      </c>
      <c r="E40" s="6" t="n">
        <f aca="false">MAX(0,E39*C6)</f>
        <v>1960.31441000304</v>
      </c>
      <c r="F40" s="6" t="n">
        <f aca="false">MAX(0,F39*C6)</f>
        <v>2127.36729015982</v>
      </c>
      <c r="G40" s="6" t="n">
        <f aca="false">MAX(0,G39*C6)</f>
        <v>2191.18830886462</v>
      </c>
    </row>
    <row r="41" customFormat="false" ht="13.5" hidden="false" customHeight="true" outlineLevel="0" collapsed="false">
      <c r="B41" s="5" t="s">
        <v>96</v>
      </c>
      <c r="C41" s="22" t="n">
        <f aca="false">C39-C40</f>
        <v>2883.028024864</v>
      </c>
      <c r="D41" s="22" t="n">
        <f aca="false">D39-D40</f>
        <v>3681.939405248</v>
      </c>
      <c r="E41" s="22" t="n">
        <f aca="false">E39-E40</f>
        <v>4445.94183183696</v>
      </c>
      <c r="F41" s="22" t="n">
        <f aca="false">F39-F40</f>
        <v>4824.81339663698</v>
      </c>
      <c r="G41" s="22" t="n">
        <f aca="false">G39-G40</f>
        <v>4969.55779853609</v>
      </c>
    </row>
    <row r="42" customFormat="false" ht="13.5" hidden="false" customHeight="true" outlineLevel="0" collapsed="false">
      <c r="B42" s="5" t="s">
        <v>97</v>
      </c>
      <c r="C42" s="6" t="n">
        <v>3400</v>
      </c>
      <c r="D42" s="6" t="n">
        <v>3700</v>
      </c>
      <c r="E42" s="6" t="n">
        <v>3900</v>
      </c>
      <c r="F42" s="6" t="n">
        <v>3950</v>
      </c>
      <c r="G42" s="6" t="n">
        <v>3950</v>
      </c>
    </row>
    <row r="43" customFormat="false" ht="13.5" hidden="false" customHeight="true" outlineLevel="0" collapsed="false">
      <c r="B43" s="5" t="s">
        <v>98</v>
      </c>
      <c r="C43" s="6" t="n">
        <v>7500</v>
      </c>
      <c r="D43" s="6" t="n">
        <v>6000</v>
      </c>
      <c r="E43" s="6" t="n">
        <v>4800</v>
      </c>
      <c r="F43" s="6" t="n">
        <v>4100</v>
      </c>
      <c r="G43" s="6" t="n">
        <v>3900</v>
      </c>
    </row>
    <row r="44" customFormat="false" ht="13.5" hidden="false" customHeight="true" outlineLevel="0" collapsed="false">
      <c r="B44" s="5" t="s">
        <v>99</v>
      </c>
      <c r="C44" s="6" t="n">
        <f aca="false">'NWC Schedule'!D19</f>
        <v>2678.02109479453</v>
      </c>
      <c r="D44" s="6" t="n">
        <f aca="false">'NWC Schedule'!E19</f>
        <v>238.883707974128</v>
      </c>
      <c r="E44" s="6" t="n">
        <f aca="false">'NWC Schedule'!F19</f>
        <v>-394.270286871222</v>
      </c>
      <c r="F44" s="6" t="n">
        <f aca="false">'NWC Schedule'!G19</f>
        <v>-373.835385086662</v>
      </c>
      <c r="G44" s="6" t="n">
        <f aca="false">'NWC Schedule'!H19</f>
        <v>-119.317197851109</v>
      </c>
    </row>
    <row r="45" customFormat="false" ht="13.5" hidden="false" customHeight="true" outlineLevel="0" collapsed="false">
      <c r="B45" s="5" t="s">
        <v>100</v>
      </c>
      <c r="C45" s="23" t="n">
        <f aca="false">C41+C42-C43-C44</f>
        <v>-3894.99306993053</v>
      </c>
      <c r="D45" s="23" t="n">
        <f aca="false">D41+D42-D43-D44</f>
        <v>1143.05569727387</v>
      </c>
      <c r="E45" s="23" t="n">
        <f aca="false">E41+E42-E43-E44</f>
        <v>3940.21211870818</v>
      </c>
      <c r="F45" s="23" t="n">
        <f aca="false">F41+F42-F43-F44</f>
        <v>5048.64878172365</v>
      </c>
      <c r="G45" s="23" t="n">
        <f aca="false">G41+G42-G43-G44</f>
        <v>5138.8749963872</v>
      </c>
    </row>
    <row r="46" customFormat="false" ht="13.5" hidden="false" customHeight="true" outlineLevel="0" collapsed="false">
      <c r="B46" s="5" t="s">
        <v>101</v>
      </c>
      <c r="C46" s="24" t="n">
        <f aca="false">1/(1+C26)^(C19+0)</f>
        <v>0.937042475057839</v>
      </c>
      <c r="D46" s="24" t="n">
        <f aca="false">1/(1+C26)^(C19+1)</f>
        <v>0.859221193179343</v>
      </c>
      <c r="E46" s="24" t="n">
        <f aca="false">1/(1+C26)^(C19+2)</f>
        <v>0.787862960815054</v>
      </c>
      <c r="F46" s="24" t="n">
        <f aca="false">1/(1+C26)^(C19+3)</f>
        <v>0.722431022362712</v>
      </c>
      <c r="G46" s="24" t="n">
        <f aca="false">1/(1+C26)^(C19+4)</f>
        <v>0.662433199718026</v>
      </c>
    </row>
    <row r="47" customFormat="false" ht="13.5" hidden="false" customHeight="true" outlineLevel="0" collapsed="false">
      <c r="B47" s="5" t="s">
        <v>102</v>
      </c>
      <c r="C47" s="22" t="n">
        <f aca="false">C45*C46</f>
        <v>-3649.77394658083</v>
      </c>
      <c r="D47" s="22" t="n">
        <f aca="false">D45*D46</f>
        <v>982.137680082103</v>
      </c>
      <c r="E47" s="22" t="n">
        <f aca="false">E45*E46</f>
        <v>3104.34718608478</v>
      </c>
      <c r="F47" s="22" t="n">
        <f aca="false">F45*F46</f>
        <v>3647.30050093087</v>
      </c>
      <c r="G47" s="22" t="n">
        <f aca="false">G45*G46</f>
        <v>3404.16140680773</v>
      </c>
    </row>
    <row r="48" customFormat="false" ht="13.5" hidden="false" customHeight="true" outlineLevel="0" collapsed="false"/>
    <row r="49" customFormat="false" ht="13.5" hidden="false" customHeight="true" outlineLevel="0" collapsed="false">
      <c r="B49" s="25" t="s">
        <v>103</v>
      </c>
      <c r="C49" s="26"/>
      <c r="D49" s="26"/>
      <c r="E49" s="26"/>
      <c r="F49" s="26"/>
      <c r="G49" s="26"/>
    </row>
    <row r="50" customFormat="false" ht="13.5" hidden="false" customHeight="true" outlineLevel="0" collapsed="false">
      <c r="B50" s="5" t="s">
        <v>104</v>
      </c>
      <c r="C50" s="6" t="n">
        <f aca="false">SUM(C47:G47)</f>
        <v>7488.17282732466</v>
      </c>
    </row>
    <row r="51" customFormat="false" ht="13.5" hidden="false" customHeight="true" outlineLevel="0" collapsed="false">
      <c r="B51" s="5" t="s">
        <v>105</v>
      </c>
      <c r="C51" s="6" t="n">
        <f aca="false">G45*(1+C13)/(C26-C13)</f>
        <v>69019.8242284161</v>
      </c>
    </row>
    <row r="52" customFormat="false" ht="13.5" hidden="false" customHeight="true" outlineLevel="0" collapsed="false">
      <c r="B52" s="5" t="s">
        <v>106</v>
      </c>
      <c r="C52" s="6" t="n">
        <f aca="false">C51*G46</f>
        <v>45721.0230076054</v>
      </c>
    </row>
    <row r="53" customFormat="false" ht="13.5" hidden="false" customHeight="true" outlineLevel="0" collapsed="false">
      <c r="B53" s="5" t="s">
        <v>107</v>
      </c>
      <c r="C53" s="6" t="n">
        <f aca="false">C50+C52</f>
        <v>53209.1958349301</v>
      </c>
    </row>
    <row r="54" customFormat="false" ht="13.5" hidden="false" customHeight="true" outlineLevel="0" collapsed="false">
      <c r="B54" s="5" t="s">
        <v>108</v>
      </c>
      <c r="C54" s="6" t="n">
        <f aca="false">C53-C16</f>
        <v>7372.19583493006</v>
      </c>
    </row>
    <row r="55" customFormat="false" ht="13.5" hidden="false" customHeight="true" outlineLevel="0" collapsed="false">
      <c r="B55" s="5" t="s">
        <v>109</v>
      </c>
      <c r="C55" s="27" t="n">
        <f aca="false">ROUND(C54*1000000/C15,0)</f>
        <v>200</v>
      </c>
    </row>
    <row r="56" customFormat="false" ht="13.5" hidden="false" customHeight="true" outlineLevel="0" collapsed="false"/>
    <row r="57" customFormat="false" ht="13.5" hidden="false" customHeight="true" outlineLevel="0" collapsed="false">
      <c r="B57" s="25" t="s">
        <v>110</v>
      </c>
      <c r="C57" s="26"/>
      <c r="D57" s="26"/>
      <c r="E57" s="26"/>
      <c r="F57" s="26"/>
      <c r="G57" s="26"/>
    </row>
    <row r="58" customFormat="false" ht="13.5" hidden="false" customHeight="true" outlineLevel="0" collapsed="false">
      <c r="B58" s="5" t="s">
        <v>104</v>
      </c>
      <c r="C58" s="6" t="n">
        <f aca="false">C50</f>
        <v>7488.17282732466</v>
      </c>
    </row>
    <row r="59" customFormat="false" ht="13.5" hidden="false" customHeight="true" outlineLevel="0" collapsed="false">
      <c r="B59" s="5" t="s">
        <v>111</v>
      </c>
      <c r="C59" s="6" t="n">
        <f aca="false">G39+G42</f>
        <v>11110.7461074007</v>
      </c>
    </row>
    <row r="60" customFormat="false" ht="13.5" hidden="false" customHeight="true" outlineLevel="0" collapsed="false">
      <c r="B60" s="5" t="s">
        <v>112</v>
      </c>
      <c r="C60" s="6" t="n">
        <f aca="false">C59*C14</f>
        <v>88885.9688592056</v>
      </c>
    </row>
    <row r="61" customFormat="false" ht="13.5" hidden="false" customHeight="true" outlineLevel="0" collapsed="false">
      <c r="B61" s="5" t="s">
        <v>106</v>
      </c>
      <c r="C61" s="6" t="n">
        <f aca="false">C60*G46</f>
        <v>58881.0167614404</v>
      </c>
    </row>
    <row r="62" customFormat="false" ht="13.5" hidden="false" customHeight="true" outlineLevel="0" collapsed="false">
      <c r="B62" s="5" t="s">
        <v>107</v>
      </c>
      <c r="C62" s="6" t="n">
        <f aca="false">C58+C61</f>
        <v>66369.1895887651</v>
      </c>
    </row>
    <row r="63" customFormat="false" ht="13.5" hidden="false" customHeight="true" outlineLevel="0" collapsed="false">
      <c r="B63" s="5" t="s">
        <v>108</v>
      </c>
      <c r="C63" s="6" t="n">
        <f aca="false">C62-C16</f>
        <v>20532.1895887651</v>
      </c>
    </row>
    <row r="64" customFormat="false" ht="13.5" hidden="false" customHeight="true" outlineLevel="0" collapsed="false">
      <c r="B64" s="5" t="s">
        <v>113</v>
      </c>
      <c r="C64" s="27" t="n">
        <f aca="false">ROUND(C63*1000000/C15,0)</f>
        <v>558</v>
      </c>
    </row>
    <row r="65" customFormat="false" ht="13.5" hidden="false" customHeight="true" outlineLevel="0" collapsed="false"/>
    <row r="66" customFormat="false" ht="13.5" hidden="false" customHeight="true" outlineLevel="0" collapsed="false">
      <c r="B66" s="25" t="s">
        <v>114</v>
      </c>
      <c r="C66" s="26"/>
      <c r="D66" s="26"/>
      <c r="E66" s="26"/>
      <c r="F66" s="26"/>
      <c r="G66" s="26"/>
    </row>
    <row r="67" customFormat="false" ht="13.5" hidden="false" customHeight="true" outlineLevel="0" collapsed="false">
      <c r="C67" s="28" t="s">
        <v>115</v>
      </c>
      <c r="D67" s="28" t="s">
        <v>116</v>
      </c>
      <c r="E67" s="28" t="s">
        <v>117</v>
      </c>
      <c r="F67" s="28" t="s">
        <v>118</v>
      </c>
      <c r="G67" s="28" t="s">
        <v>119</v>
      </c>
    </row>
    <row r="68" customFormat="false" ht="13.5" hidden="false" customHeight="true" outlineLevel="0" collapsed="false">
      <c r="B68" s="4" t="s">
        <v>45</v>
      </c>
    </row>
    <row r="69" customFormat="false" ht="13.5" hidden="false" customHeight="true" outlineLevel="0" collapsed="false">
      <c r="B69" s="5" t="s">
        <v>83</v>
      </c>
      <c r="C69" s="29" t="n">
        <v>0.066</v>
      </c>
      <c r="D69" s="29" t="n">
        <v>0.06</v>
      </c>
      <c r="E69" s="29" t="n">
        <v>0.05</v>
      </c>
      <c r="F69" s="29" t="n">
        <v>0.04</v>
      </c>
      <c r="G69" s="29" t="n">
        <v>0.03</v>
      </c>
    </row>
    <row r="70" customFormat="false" ht="13.5" hidden="false" customHeight="true" outlineLevel="0" collapsed="false">
      <c r="B70" s="5" t="s">
        <v>120</v>
      </c>
      <c r="C70" s="29" t="n">
        <v>0.1</v>
      </c>
      <c r="D70" s="29" t="n">
        <v>0.12</v>
      </c>
      <c r="E70" s="29" t="n">
        <v>0.1</v>
      </c>
      <c r="F70" s="29" t="n">
        <v>0.07</v>
      </c>
      <c r="G70" s="29" t="n">
        <v>0.04</v>
      </c>
    </row>
    <row r="71" customFormat="false" ht="13.5" hidden="false" customHeight="true" outlineLevel="0" collapsed="false">
      <c r="B71" s="5" t="s">
        <v>121</v>
      </c>
      <c r="C71" s="29" t="n">
        <v>0.0223</v>
      </c>
      <c r="D71" s="29" t="n">
        <v>0.08</v>
      </c>
      <c r="E71" s="29" t="n">
        <v>0.07</v>
      </c>
      <c r="F71" s="29" t="n">
        <v>0.05</v>
      </c>
      <c r="G71" s="29" t="n">
        <v>0.03</v>
      </c>
    </row>
    <row r="72" customFormat="false" ht="13.5" hidden="false" customHeight="true" outlineLevel="0" collapsed="false">
      <c r="B72" s="5" t="s">
        <v>122</v>
      </c>
      <c r="C72" s="29" t="n">
        <v>0</v>
      </c>
      <c r="D72" s="29" t="n">
        <v>0.02</v>
      </c>
      <c r="E72" s="29" t="n">
        <v>0.03</v>
      </c>
      <c r="F72" s="29" t="n">
        <v>0.03</v>
      </c>
      <c r="G72" s="29" t="n">
        <v>0.02</v>
      </c>
    </row>
    <row r="73" customFormat="false" ht="13.5" hidden="false" customHeight="true" outlineLevel="0" collapsed="false">
      <c r="B73" s="5" t="s">
        <v>123</v>
      </c>
      <c r="C73" s="29" t="n">
        <v>-0.06</v>
      </c>
      <c r="D73" s="29" t="n">
        <v>-0.05</v>
      </c>
      <c r="E73" s="29" t="n">
        <v>0</v>
      </c>
      <c r="F73" s="29" t="n">
        <v>0.02</v>
      </c>
      <c r="G73" s="29" t="n">
        <v>0.02</v>
      </c>
    </row>
    <row r="74" customFormat="false" ht="13.5" hidden="false" customHeight="true" outlineLevel="0" collapsed="false"/>
    <row r="75" customFormat="false" ht="13.5" hidden="false" customHeight="true" outlineLevel="0" collapsed="false">
      <c r="B75" s="4" t="s">
        <v>90</v>
      </c>
    </row>
    <row r="76" customFormat="false" ht="13.5" hidden="false" customHeight="true" outlineLevel="0" collapsed="false">
      <c r="B76" s="5" t="s">
        <v>83</v>
      </c>
      <c r="C76" s="29" t="n">
        <v>0.795</v>
      </c>
      <c r="D76" s="29" t="n">
        <v>0.782</v>
      </c>
      <c r="E76" s="29" t="n">
        <v>0.77</v>
      </c>
      <c r="F76" s="29" t="n">
        <v>0.767</v>
      </c>
      <c r="G76" s="29" t="n">
        <v>0.768</v>
      </c>
    </row>
    <row r="77" customFormat="false" ht="13.5" hidden="false" customHeight="true" outlineLevel="0" collapsed="false">
      <c r="B77" s="5" t="s">
        <v>120</v>
      </c>
      <c r="C77" s="29" t="n">
        <v>0.78</v>
      </c>
      <c r="D77" s="29" t="n">
        <v>0.748</v>
      </c>
      <c r="E77" s="29" t="n">
        <v>0.723</v>
      </c>
      <c r="F77" s="29" t="n">
        <v>0.716</v>
      </c>
      <c r="G77" s="29" t="n">
        <v>0.722</v>
      </c>
    </row>
    <row r="78" customFormat="false" ht="13.5" hidden="false" customHeight="true" outlineLevel="0" collapsed="false">
      <c r="B78" s="5" t="s">
        <v>121</v>
      </c>
      <c r="C78" s="29" t="n">
        <v>0.797</v>
      </c>
      <c r="D78" s="29" t="n">
        <v>0.78</v>
      </c>
      <c r="E78" s="29" t="n">
        <v>0.766</v>
      </c>
      <c r="F78" s="29" t="n">
        <v>0.758</v>
      </c>
      <c r="G78" s="29" t="n">
        <v>0.759</v>
      </c>
    </row>
    <row r="79" customFormat="false" ht="13.5" hidden="false" customHeight="true" outlineLevel="0" collapsed="false">
      <c r="B79" s="5" t="s">
        <v>122</v>
      </c>
      <c r="C79" s="29" t="n">
        <v>0.802</v>
      </c>
      <c r="D79" s="29" t="n">
        <v>0.794</v>
      </c>
      <c r="E79" s="29" t="n">
        <v>0.78</v>
      </c>
      <c r="F79" s="29" t="n">
        <v>0.772</v>
      </c>
      <c r="G79" s="29" t="n">
        <v>0.767</v>
      </c>
    </row>
    <row r="80" customFormat="false" ht="13.5" hidden="false" customHeight="true" outlineLevel="0" collapsed="false">
      <c r="B80" s="5" t="s">
        <v>123</v>
      </c>
      <c r="C80" s="29" t="n">
        <v>0.825</v>
      </c>
      <c r="D80" s="29" t="n">
        <v>0.832</v>
      </c>
      <c r="E80" s="29" t="n">
        <v>0.833</v>
      </c>
      <c r="F80" s="29" t="n">
        <v>0.829</v>
      </c>
      <c r="G80" s="29" t="n">
        <v>0.826</v>
      </c>
    </row>
    <row r="81" customFormat="false" ht="13.5" hidden="false" customHeight="true" outlineLevel="0" collapsed="false"/>
    <row r="82" customFormat="false" ht="13.5" hidden="false" customHeight="true" outlineLevel="0" collapsed="false">
      <c r="B82" s="4" t="s">
        <v>91</v>
      </c>
    </row>
    <row r="83" customFormat="false" ht="13.5" hidden="false" customHeight="true" outlineLevel="0" collapsed="false">
      <c r="B83" s="5" t="s">
        <v>83</v>
      </c>
      <c r="C83" s="29" t="n">
        <v>0.122</v>
      </c>
      <c r="D83" s="29" t="n">
        <v>0.118</v>
      </c>
      <c r="E83" s="29" t="n">
        <v>0.115</v>
      </c>
      <c r="F83" s="29" t="n">
        <v>0.113</v>
      </c>
      <c r="G83" s="29" t="n">
        <v>0.112</v>
      </c>
    </row>
    <row r="84" customFormat="false" ht="13.5" hidden="false" customHeight="true" outlineLevel="0" collapsed="false">
      <c r="B84" s="5" t="s">
        <v>120</v>
      </c>
      <c r="C84" s="29" t="n">
        <v>0.12</v>
      </c>
      <c r="D84" s="29" t="n">
        <v>0.112</v>
      </c>
      <c r="E84" s="29" t="n">
        <v>0.107</v>
      </c>
      <c r="F84" s="29" t="n">
        <v>0.104</v>
      </c>
      <c r="G84" s="29" t="n">
        <v>0.103</v>
      </c>
    </row>
    <row r="85" customFormat="false" ht="13.5" hidden="false" customHeight="true" outlineLevel="0" collapsed="false">
      <c r="B85" s="5" t="s">
        <v>121</v>
      </c>
      <c r="C85" s="29" t="n">
        <v>0.126</v>
      </c>
      <c r="D85" s="29" t="n">
        <v>0.12</v>
      </c>
      <c r="E85" s="29" t="n">
        <v>0.114</v>
      </c>
      <c r="F85" s="29" t="n">
        <v>0.112</v>
      </c>
      <c r="G85" s="29" t="n">
        <v>0.111</v>
      </c>
    </row>
    <row r="86" customFormat="false" ht="13.5" hidden="false" customHeight="true" outlineLevel="0" collapsed="false">
      <c r="B86" s="5" t="s">
        <v>122</v>
      </c>
      <c r="C86" s="29" t="n">
        <v>0.128</v>
      </c>
      <c r="D86" s="29" t="n">
        <v>0.126</v>
      </c>
      <c r="E86" s="29" t="n">
        <v>0.125</v>
      </c>
      <c r="F86" s="29" t="n">
        <v>0.123</v>
      </c>
      <c r="G86" s="29" t="n">
        <v>0.123</v>
      </c>
    </row>
    <row r="87" customFormat="false" ht="13.5" hidden="false" customHeight="true" outlineLevel="0" collapsed="false">
      <c r="B87" s="5" t="s">
        <v>123</v>
      </c>
      <c r="C87" s="29" t="n">
        <v>0.135</v>
      </c>
      <c r="D87" s="29" t="n">
        <v>0.138</v>
      </c>
      <c r="E87" s="29" t="n">
        <v>0.137</v>
      </c>
      <c r="F87" s="29" t="n">
        <v>0.136</v>
      </c>
      <c r="G87" s="29" t="n">
        <v>0.134</v>
      </c>
    </row>
  </sheetData>
  <dataValidations count="1">
    <dataValidation allowBlank="false" errorStyle="stop" operator="between" showDropDown="false" showErrorMessage="false" showInputMessage="false" sqref="C27" type="list">
      <formula1>"Base,Upside,Management,Downside 1,Downside 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I90"/>
  <sheetViews>
    <sheetView showFormulas="false" showGridLines="true" showRowColHeaders="true" showZeros="true" rightToLeft="false" tabSelected="false" showOutlineSymbols="true" defaultGridColor="true" view="normal" topLeftCell="A76" colorId="64" zoomScale="100" zoomScaleNormal="100" zoomScalePageLayoutView="100" workbookViewId="0">
      <selection pane="topLeft" activeCell="A76" activeCellId="0" sqref="A76"/>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9" min="3" style="1" width="15"/>
  </cols>
  <sheetData>
    <row r="1" customFormat="false" ht="13.5" hidden="false" customHeight="true" outlineLevel="0" collapsed="false"/>
    <row r="2" customFormat="false" ht="18" hidden="false" customHeight="true" outlineLevel="0" collapsed="false">
      <c r="B2" s="13" t="s">
        <v>124</v>
      </c>
    </row>
    <row r="3" customFormat="false" ht="13.5" hidden="false" customHeight="true" outlineLevel="0" collapsed="false">
      <c r="B3" s="14" t="s">
        <v>125</v>
      </c>
    </row>
    <row r="4" customFormat="false" ht="13.5" hidden="false" customHeight="true" outlineLevel="0" collapsed="false"/>
    <row r="5" customFormat="false" ht="13.5" hidden="false" customHeight="true" outlineLevel="0" collapsed="false">
      <c r="B5" s="9" t="s">
        <v>126</v>
      </c>
      <c r="C5" s="10"/>
      <c r="D5" s="10"/>
      <c r="E5" s="10"/>
      <c r="F5" s="10"/>
      <c r="G5" s="10"/>
      <c r="H5" s="10"/>
      <c r="I5" s="10"/>
    </row>
    <row r="6" customFormat="false" ht="13.5" hidden="false" customHeight="true" outlineLevel="0" collapsed="false">
      <c r="B6" s="5" t="s">
        <v>127</v>
      </c>
      <c r="C6" s="18" t="n">
        <f aca="false">'Executive Summary'!C9</f>
        <v>2727</v>
      </c>
    </row>
    <row r="7" customFormat="false" ht="13.5" hidden="false" customHeight="true" outlineLevel="0" collapsed="false">
      <c r="B7" s="5" t="s">
        <v>71</v>
      </c>
      <c r="C7" s="18" t="n">
        <f aca="false">'DCF Model'!C15</f>
        <v>36800000</v>
      </c>
    </row>
    <row r="8" customFormat="false" ht="13.5" hidden="false" customHeight="true" outlineLevel="0" collapsed="false">
      <c r="B8" s="5" t="s">
        <v>128</v>
      </c>
      <c r="C8" s="6" t="n">
        <f aca="false">C6*C7/1000000</f>
        <v>100353.6</v>
      </c>
    </row>
    <row r="9" customFormat="false" ht="13.5" hidden="false" customHeight="true" outlineLevel="0" collapsed="false">
      <c r="B9" s="5" t="s">
        <v>72</v>
      </c>
      <c r="C9" s="6" t="n">
        <f aca="false">'DCF Model'!C16</f>
        <v>45837</v>
      </c>
    </row>
    <row r="10" customFormat="false" ht="13.5" hidden="false" customHeight="true" outlineLevel="0" collapsed="false">
      <c r="B10" s="5" t="s">
        <v>129</v>
      </c>
      <c r="C10" s="6" t="n">
        <f aca="false">C8+C9</f>
        <v>146190.6</v>
      </c>
    </row>
    <row r="11" customFormat="false" ht="13.5" hidden="false" customHeight="true" outlineLevel="0" collapsed="false">
      <c r="B11" s="5" t="s">
        <v>130</v>
      </c>
      <c r="C11" s="19" t="n">
        <f aca="false">'DCF Model'!C26</f>
        <v>0.0905718835804503</v>
      </c>
    </row>
    <row r="12" customFormat="false" ht="13.5" hidden="false" customHeight="true" outlineLevel="0" collapsed="false">
      <c r="B12" s="5" t="s">
        <v>131</v>
      </c>
      <c r="C12" s="19" t="n">
        <f aca="false">'DCF Model'!C13</f>
        <v>0.015</v>
      </c>
    </row>
    <row r="13" customFormat="false" ht="13.5" hidden="false" customHeight="true" outlineLevel="0" collapsed="false">
      <c r="B13" s="5" t="s">
        <v>132</v>
      </c>
      <c r="C13" s="19" t="n">
        <f aca="false">'DCF Model'!C6</f>
        <v>0.306</v>
      </c>
    </row>
    <row r="14" customFormat="false" ht="13.5" hidden="false" customHeight="true" outlineLevel="0" collapsed="false">
      <c r="B14" s="5" t="s">
        <v>133</v>
      </c>
      <c r="C14" s="30" t="n">
        <v>5524</v>
      </c>
    </row>
    <row r="15" customFormat="false" ht="13.5" hidden="false" customHeight="true" outlineLevel="0" collapsed="false">
      <c r="B15" s="5" t="s">
        <v>134</v>
      </c>
      <c r="C15" s="30" t="n">
        <v>10088</v>
      </c>
    </row>
    <row r="16" customFormat="false" ht="13.5" hidden="false" customHeight="true" outlineLevel="0" collapsed="false">
      <c r="B16" s="5" t="s">
        <v>135</v>
      </c>
      <c r="C16" s="6" t="n">
        <f aca="false">'DCF Model'!G33</f>
        <v>59672.8842283392</v>
      </c>
    </row>
    <row r="17" customFormat="false" ht="13.5" hidden="false" customHeight="true" outlineLevel="0" collapsed="false">
      <c r="B17" s="5" t="s">
        <v>136</v>
      </c>
      <c r="C17" s="6" t="n">
        <f aca="false">'DCF Model'!C53</f>
        <v>53209.1958349301</v>
      </c>
    </row>
    <row r="18" customFormat="false" ht="13.5" hidden="false" customHeight="true" outlineLevel="0" collapsed="false">
      <c r="B18" s="5" t="s">
        <v>137</v>
      </c>
      <c r="C18" s="29" t="n">
        <v>0.194</v>
      </c>
    </row>
    <row r="19" customFormat="false" ht="13.5" hidden="false" customHeight="true" outlineLevel="0" collapsed="false">
      <c r="B19" s="5" t="s">
        <v>138</v>
      </c>
      <c r="C19" s="6" t="n">
        <f aca="false">C10-C17</f>
        <v>92981.40416507</v>
      </c>
    </row>
    <row r="20" customFormat="false" ht="13.5" hidden="false" customHeight="true" outlineLevel="0" collapsed="false">
      <c r="B20" s="5" t="s">
        <v>139</v>
      </c>
      <c r="C20" s="18" t="n">
        <f aca="false">ROUND(C19*1000000/C7,0)</f>
        <v>2527</v>
      </c>
    </row>
    <row r="21" customFormat="false" ht="13.5" hidden="false" customHeight="true" outlineLevel="0" collapsed="false"/>
    <row r="22" customFormat="false" ht="13.5" hidden="false" customHeight="true" outlineLevel="0" collapsed="false">
      <c r="B22" s="9" t="s">
        <v>140</v>
      </c>
      <c r="C22" s="10"/>
      <c r="D22" s="10"/>
      <c r="E22" s="10"/>
      <c r="F22" s="10"/>
      <c r="G22" s="10"/>
      <c r="H22" s="10"/>
      <c r="I22" s="10"/>
    </row>
    <row r="23" customFormat="false" ht="13.5" hidden="false" customHeight="true" outlineLevel="0" collapsed="false">
      <c r="B23" s="14" t="s">
        <v>141</v>
      </c>
    </row>
    <row r="24" customFormat="false" ht="13.5" hidden="false" customHeight="true" outlineLevel="0" collapsed="false">
      <c r="B24" s="5" t="s">
        <v>142</v>
      </c>
      <c r="C24" s="6" t="n">
        <f aca="false">C10*(C11-C12)</f>
        <v>11047.8990037562</v>
      </c>
    </row>
    <row r="25" customFormat="false" ht="13.5" hidden="false" customHeight="true" outlineLevel="0" collapsed="false">
      <c r="B25" s="5" t="s">
        <v>143</v>
      </c>
      <c r="C25" s="6" t="n">
        <f aca="false">C24/(1-C13)</f>
        <v>15919.1628296199</v>
      </c>
    </row>
    <row r="26" customFormat="false" ht="13.5" hidden="false" customHeight="true" outlineLevel="0" collapsed="false">
      <c r="B26" s="7" t="s">
        <v>144</v>
      </c>
      <c r="C26" s="17" t="n">
        <f aca="false">C25/C15</f>
        <v>1.57802962228587</v>
      </c>
    </row>
    <row r="27" customFormat="false" ht="13.5" hidden="false" customHeight="true" outlineLevel="0" collapsed="false">
      <c r="B27" s="7" t="s">
        <v>145</v>
      </c>
      <c r="C27" s="17" t="n">
        <f aca="false">C25/C14</f>
        <v>2.88181803577477</v>
      </c>
    </row>
    <row r="28" customFormat="false" ht="13.5" hidden="false" customHeight="true" outlineLevel="0" collapsed="false">
      <c r="B28" s="7" t="s">
        <v>146</v>
      </c>
      <c r="C28" s="8" t="n">
        <f aca="false">C25/C16</f>
        <v>0.26677381251935</v>
      </c>
    </row>
    <row r="29" customFormat="false" ht="13.5" hidden="false" customHeight="true" outlineLevel="0" collapsed="false">
      <c r="B29" s="7" t="s">
        <v>147</v>
      </c>
      <c r="C29" s="6" t="n">
        <f aca="false">C25/C18</f>
        <v>82057.5403588652</v>
      </c>
    </row>
    <row r="30" customFormat="false" ht="13.5" hidden="false" customHeight="true" outlineLevel="0" collapsed="false"/>
    <row r="31" customFormat="false" ht="13.5" hidden="false" customHeight="true" outlineLevel="0" collapsed="false"/>
    <row r="32" customFormat="false" ht="13.5" hidden="false" customHeight="true" outlineLevel="0" collapsed="false">
      <c r="B32" s="9" t="s">
        <v>148</v>
      </c>
      <c r="C32" s="10"/>
      <c r="D32" s="10"/>
      <c r="E32" s="10"/>
      <c r="F32" s="10"/>
      <c r="G32" s="10"/>
      <c r="H32" s="10"/>
      <c r="I32" s="10"/>
    </row>
    <row r="33" customFormat="false" ht="13.5" hidden="false" customHeight="true" outlineLevel="0" collapsed="false">
      <c r="B33" s="14" t="s">
        <v>149</v>
      </c>
    </row>
    <row r="34" customFormat="false" ht="13.5" hidden="false" customHeight="true" outlineLevel="0" collapsed="false">
      <c r="B34" s="14" t="s">
        <v>150</v>
      </c>
    </row>
    <row r="35" customFormat="false" ht="13.5" hidden="false" customHeight="true" outlineLevel="0" collapsed="false"/>
    <row r="36" customFormat="false" ht="13.5" hidden="false" customHeight="true" outlineLevel="0" collapsed="false">
      <c r="B36" s="31" t="s">
        <v>151</v>
      </c>
      <c r="C36" s="31" t="s">
        <v>152</v>
      </c>
      <c r="D36" s="32" t="n">
        <f aca="false">'DCF Model'!C26-0.02</f>
        <v>0.0705718835804503</v>
      </c>
      <c r="E36" s="32" t="n">
        <f aca="false">'DCF Model'!C26-0.01</f>
        <v>0.0805718835804503</v>
      </c>
      <c r="F36" s="32" t="n">
        <f aca="false">'DCF Model'!C26</f>
        <v>0.0905718835804503</v>
      </c>
      <c r="G36" s="32" t="n">
        <f aca="false">'DCF Model'!C26+0.01</f>
        <v>0.10057188358045</v>
      </c>
      <c r="H36" s="32" t="n">
        <f aca="false">'DCF Model'!C26+0.02</f>
        <v>0.11057188358045</v>
      </c>
    </row>
    <row r="37" customFormat="false" ht="13.5" hidden="false" customHeight="true" outlineLevel="0" collapsed="false">
      <c r="B37" s="4" t="s">
        <v>153</v>
      </c>
    </row>
    <row r="38" customFormat="false" ht="13.5" hidden="false" customHeight="true" outlineLevel="0" collapsed="false">
      <c r="B38" s="5" t="s">
        <v>154</v>
      </c>
      <c r="C38" s="33" t="n">
        <v>3</v>
      </c>
      <c r="D38" s="16" t="n">
        <f aca="false">(1-(1+D$36)^(-$C38))/D$36-(1+D$36)/(D$36^2*$C38)*(1-($C38+1)/(1+D$36)^$C38+$C38/(1+D$36)^($C38+1))</f>
        <v>0.913555407726143</v>
      </c>
      <c r="E38" s="16" t="n">
        <f aca="false">(1-(1+E$36)^(-$C38))/E$36-(1+E$36)/(E$36^2*$C38)*(1-($C38+1)/(1+E$36)^$C38+$C38/(1+E$36)^($C38+1))</f>
        <v>0.902434452185469</v>
      </c>
      <c r="F38" s="16" t="n">
        <f aca="false">(1-(1+F$36)^(-$C38))/F$36-(1+F$36)/(F$36^2*$C38)*(1-($C38+1)/(1+F$36)^$C38+$C38/(1+F$36)^($C38+1))</f>
        <v>0.891565897984529</v>
      </c>
      <c r="G38" s="16" t="n">
        <f aca="false">(1-(1+G$36)^(-$C38))/G$36-(1+G$36)/(G$36^2*$C38)*(1-($C38+1)/(1+G$36)^$C38+$C38/(1+G$36)^($C38+1))</f>
        <v>0.880941556239124</v>
      </c>
      <c r="H38" s="16" t="n">
        <f aca="false">(1-(1+H$36)^(-$C38))/H$36-(1+H$36)/(H$36^2*$C38)*(1-($C38+1)/(1+H$36)^$C38+$C38/(1+H$36)^($C38+1))</f>
        <v>0.870553579722809</v>
      </c>
    </row>
    <row r="39" customFormat="false" ht="13.5" hidden="false" customHeight="true" outlineLevel="0" collapsed="false">
      <c r="B39" s="5" t="s">
        <v>155</v>
      </c>
      <c r="C39" s="33" t="n">
        <v>5</v>
      </c>
      <c r="D39" s="16" t="n">
        <f aca="false">(1-(1+D$36)^(-$C39))/D$36-(1+D$36)/(D$36^2*$C39)*(1-($C39+1)/(1+D$36)^$C39+$C39/(1+D$36)^($C39+1))</f>
        <v>1.74901710051228</v>
      </c>
      <c r="E39" s="16" t="n">
        <f aca="false">(1-(1+E$36)^(-$C39))/E$36-(1+E$36)/(E$36^2*$C39)*(1-($C39+1)/(1+E$36)^$C39+$C39/(1+E$36)^($C39+1))</f>
        <v>1.71793167813741</v>
      </c>
      <c r="F39" s="16" t="n">
        <f aca="false">(1-(1+F$36)^(-$C39))/F$36-(1+F$36)/(F$36^2*$C39)*(1-($C39+1)/(1+F$36)^$C39+$C39/(1+F$36)^($C39+1))</f>
        <v>1.68781439691255</v>
      </c>
      <c r="G39" s="16" t="n">
        <f aca="false">(1-(1+G$36)^(-$C39))/G$36-(1+G$36)/(G$36^2*$C39)*(1-($C39+1)/(1+G$36)^$C39+$C39/(1+G$36)^($C39+1))</f>
        <v>1.65862405822344</v>
      </c>
      <c r="H39" s="16" t="n">
        <f aca="false">(1-(1+H$36)^(-$C39))/H$36-(1+H$36)/(H$36^2*$C39)*(1-($C39+1)/(1+H$36)^$C39+$C39/(1+H$36)^($C39+1))</f>
        <v>1.63032164209473</v>
      </c>
    </row>
    <row r="40" customFormat="false" ht="13.5" hidden="false" customHeight="true" outlineLevel="0" collapsed="false">
      <c r="B40" s="5" t="s">
        <v>156</v>
      </c>
      <c r="C40" s="33" t="n">
        <v>7</v>
      </c>
      <c r="D40" s="16" t="n">
        <f aca="false">(1-(1+D$36)^(-$C40))/D$36-(1+D$36)/(D$36^2*$C40)*(1-($C40+1)/(1+D$36)^$C40+$C40/(1+D$36)^($C40+1))</f>
        <v>2.51387833194136</v>
      </c>
      <c r="E40" s="16" t="n">
        <f aca="false">(1-(1+E$36)^(-$C40))/E$36-(1+E$36)/(E$36^2*$C40)*(1-($C40+1)/(1+E$36)^$C40+$C40/(1+E$36)^($C40+1))</f>
        <v>2.4558897078697</v>
      </c>
      <c r="F40" s="16" t="n">
        <f aca="false">(1-(1+F$36)^(-$C40))/F$36-(1+F$36)/(F$36^2*$C40)*(1-($C40+1)/(1+F$36)^$C40+$C40/(1+F$36)^($C40+1))</f>
        <v>2.40017694311007</v>
      </c>
      <c r="G40" s="16" t="n">
        <f aca="false">(1-(1+G$36)^(-$C40))/G$36-(1+G$36)/(G$36^2*$C40)*(1-($C40+1)/(1+G$36)^$C40+$C40/(1+G$36)^($C40+1))</f>
        <v>2.34662095783018</v>
      </c>
      <c r="H40" s="16" t="n">
        <f aca="false">(1-(1+H$36)^(-$C40))/H$36-(1+H$36)/(H$36^2*$C40)*(1-($C40+1)/(1+H$36)^$C40+$C40/(1+H$36)^($C40+1))</f>
        <v>2.29511025892787</v>
      </c>
    </row>
    <row r="41" customFormat="false" ht="13.5" hidden="false" customHeight="true" outlineLevel="0" collapsed="false">
      <c r="B41" s="5" t="s">
        <v>157</v>
      </c>
      <c r="C41" s="33" t="n">
        <v>10</v>
      </c>
      <c r="D41" s="16" t="n">
        <f aca="false">(1-(1+D$36)^(-$C41))/D$36-(1+D$36)/(D$36^2*$C41)*(1-($C41+1)/(1+D$36)^$C41+$C41/(1+D$36)^($C41+1))</f>
        <v>3.54332084507397</v>
      </c>
      <c r="E41" s="16" t="n">
        <f aca="false">(1-(1+E$36)^(-$C41))/E$36-(1+E$36)/(E$36^2*$C41)*(1-($C41+1)/(1+E$36)^$C41+$C41/(1+E$36)^($C41+1))</f>
        <v>3.43536781631635</v>
      </c>
      <c r="F41" s="16" t="n">
        <f aca="false">(1-(1+F$36)^(-$C41))/F$36-(1+F$36)/(F$36^2*$C41)*(1-($C41+1)/(1+F$36)^$C41+$C41/(1+F$36)^($C41+1))</f>
        <v>3.33289561498082</v>
      </c>
      <c r="G41" s="16" t="n">
        <f aca="false">(1-(1+G$36)^(-$C41))/G$36-(1+G$36)/(G$36^2*$C41)*(1-($C41+1)/(1+G$36)^$C41+$C41/(1+G$36)^($C41+1))</f>
        <v>3.23554059267081</v>
      </c>
      <c r="H41" s="16" t="n">
        <f aca="false">(1-(1+H$36)^(-$C41))/H$36-(1+H$36)/(H$36^2*$C41)*(1-($C41+1)/(1+H$36)^$C41+$C41/(1+H$36)^($C41+1))</f>
        <v>3.14296795641927</v>
      </c>
    </row>
    <row r="42" customFormat="false" ht="13.5" hidden="false" customHeight="true" outlineLevel="0" collapsed="false">
      <c r="B42" s="4" t="s">
        <v>158</v>
      </c>
    </row>
    <row r="43" customFormat="false" ht="13.5" hidden="false" customHeight="true" outlineLevel="0" collapsed="false">
      <c r="B43" s="5" t="s">
        <v>154</v>
      </c>
      <c r="C43" s="33" t="n">
        <v>3</v>
      </c>
      <c r="D43" s="16" t="n">
        <f aca="false">(1+D$36)/(D$36^2*$C43)*(1-($C43+1)/(1+D$36)^$C43+$C43/(1+D$36)^($C43+1))+(1+$C$12)/((D$36-$C$12)*(1+D$36)^$C43)</f>
        <v>16.5935209586179</v>
      </c>
      <c r="E43" s="16" t="n">
        <f aca="false">(1+E$36)/(E$36^2*$C43)*(1-($C43+1)/(1+E$36)^$C43+$C43/(1+E$36)^($C43+1))+(1+$C$12)/((E$36-$C$12)*(1+E$36)^$C43)</f>
        <v>13.9403904724457</v>
      </c>
      <c r="F43" s="16" t="n">
        <f aca="false">(1+F$36)/(F$36^2*$C43)*(1-($C43+1)/(1+F$36)^$C43+$C43/(1+F$36)^($C43+1))+(1+$C$12)/((F$36-$C$12)*(1+F$36)^$C43)</f>
        <v>11.99197941005</v>
      </c>
      <c r="G43" s="16" t="n">
        <f aca="false">(1+G$36)/(G$36^2*$C43)*(1-($C43+1)/(1+G$36)^$C43+$C43/(1+G$36)^($C43+1))+(1+$C$12)/((G$36-$C$12)*(1+G$36)^$C43)</f>
        <v>10.5011487644431</v>
      </c>
      <c r="H43" s="16" t="n">
        <f aca="false">(1+H$36)/(H$36^2*$C43)*(1-($C43+1)/(1+H$36)^$C43+$C43/(1+H$36)^($C43+1))+(1+$C$12)/((H$36-$C$12)*(1+H$36)^$C43)</f>
        <v>9.32419834109576</v>
      </c>
    </row>
    <row r="44" customFormat="false" ht="13.5" hidden="false" customHeight="true" outlineLevel="0" collapsed="false">
      <c r="B44" s="5" t="s">
        <v>155</v>
      </c>
      <c r="C44" s="33" t="n">
        <v>5</v>
      </c>
      <c r="D44" s="16" t="n">
        <f aca="false">(1+D$36)/(D$36^2*$C44)*(1-($C44+1)/(1+D$36)^$C44+$C44/(1+D$36)^($C44+1))+(1+$C$12)/((D$36-$C$12)*(1+D$36)^$C44)</f>
        <v>15.3325949698362</v>
      </c>
      <c r="E44" s="16" t="n">
        <f aca="false">(1+E$36)/(E$36^2*$C44)*(1-($C44+1)/(1+E$36)^$C44+$C44/(1+E$36)^($C44+1))+(1+$C$12)/((E$36-$C$12)*(1+E$36)^$C44)</f>
        <v>12.7757998184076</v>
      </c>
      <c r="F44" s="16" t="n">
        <f aca="false">(1+F$36)/(F$36^2*$C44)*(1-($C44+1)/(1+F$36)^$C44+$C44/(1+F$36)^($C44+1))+(1+$C$12)/((F$36-$C$12)*(1+F$36)^$C44)</f>
        <v>10.9023857489765</v>
      </c>
      <c r="G44" s="16" t="n">
        <f aca="false">(1+G$36)/(G$36^2*$C44)*(1-($C44+1)/(1+G$36)^$C44+$C44/(1+G$36)^($C44+1))+(1+$C$12)/((G$36-$C$12)*(1+G$36)^$C44)</f>
        <v>9.47249496209182</v>
      </c>
      <c r="H44" s="16" t="n">
        <f aca="false">(1+H$36)/(H$36^2*$C44)*(1-($C44+1)/(1+H$36)^$C44+$C44/(1+H$36)^($C44+1))+(1+$C$12)/((H$36-$C$12)*(1+H$36)^$C44)</f>
        <v>8.34667205509422</v>
      </c>
    </row>
    <row r="45" customFormat="false" ht="13.5" hidden="false" customHeight="true" outlineLevel="0" collapsed="false">
      <c r="B45" s="5" t="s">
        <v>156</v>
      </c>
      <c r="C45" s="33" t="n">
        <v>7</v>
      </c>
      <c r="D45" s="16" t="n">
        <f aca="false">(1+D$36)/(D$36^2*$C45)*(1-($C45+1)/(1+D$36)^$C45+$C45/(1+D$36)^($C45+1))+(1+$C$12)/((D$36-$C$12)*(1+D$36)^$C45)</f>
        <v>14.1965136632885</v>
      </c>
      <c r="E45" s="16" t="n">
        <f aca="false">(1+E$36)/(E$36^2*$C45)*(1-($C45+1)/(1+E$36)^$C45+$C45/(1+E$36)^($C45+1))+(1+$C$12)/((E$36-$C$12)*(1+E$36)^$C45)</f>
        <v>11.7388671518911</v>
      </c>
      <c r="F45" s="16" t="n">
        <f aca="false">(1+F$36)/(F$36^2*$C45)*(1-($C45+1)/(1+F$36)^$C45+$C45/(1+F$36)^($C45+1))+(1+$C$12)/((F$36-$C$12)*(1+F$36)^$C45)</f>
        <v>9.9433793268175</v>
      </c>
      <c r="G45" s="16" t="n">
        <f aca="false">(1+G$36)/(G$36^2*$C45)*(1-($C45+1)/(1+G$36)^$C45+$C45/(1+G$36)^($C45+1))+(1+$C$12)/((G$36-$C$12)*(1+G$36)^$C45)</f>
        <v>8.57729926355765</v>
      </c>
      <c r="H45" s="16" t="n">
        <f aca="false">(1+H$36)/(H$36^2*$C45)*(1-($C45+1)/(1+H$36)^$C45+$C45/(1+H$36)^($C45+1))+(1+$C$12)/((H$36-$C$12)*(1+H$36)^$C45)</f>
        <v>7.50532795226184</v>
      </c>
    </row>
    <row r="46" customFormat="false" ht="13.5" hidden="false" customHeight="true" outlineLevel="0" collapsed="false">
      <c r="B46" s="5" t="s">
        <v>157</v>
      </c>
      <c r="C46" s="33" t="n">
        <v>10</v>
      </c>
      <c r="D46" s="16" t="n">
        <f aca="false">(1+D$36)/(D$36^2*$C46)*(1-($C46+1)/(1+D$36)^$C46+$C46/(1+D$36)^($C46+1))+(1+$C$12)/((D$36-$C$12)*(1+D$36)^$C46)</f>
        <v>12.6970648639774</v>
      </c>
      <c r="E46" s="16" t="n">
        <f aca="false">(1+E$36)/(E$36^2*$C46)*(1-($C46+1)/(1+E$36)^$C46+$C46/(1+E$36)^($C46+1))+(1+$C$12)/((E$36-$C$12)*(1+E$36)^$C46)</f>
        <v>10.3894464007502</v>
      </c>
      <c r="F46" s="16" t="n">
        <f aca="false">(1+F$36)/(F$36^2*$C46)*(1-($C46+1)/(1+F$36)^$C46+$C46/(1+F$36)^($C46+1))+(1+$C$12)/((F$36-$C$12)*(1+F$36)^$C46)</f>
        <v>8.71232480188009</v>
      </c>
      <c r="G46" s="16" t="n">
        <f aca="false">(1+G$36)/(G$36^2*$C46)*(1-($C46+1)/(1+G$36)^$C46+$C46/(1+G$36)^($C46+1))+(1+$C$12)/((G$36-$C$12)*(1+G$36)^$C46)</f>
        <v>7.44332521623438</v>
      </c>
      <c r="H46" s="16" t="n">
        <f aca="false">(1+H$36)/(H$36^2*$C46)*(1-($C46+1)/(1+H$36)^$C46+$C46/(1+H$36)^($C46+1))+(1+$C$12)/((H$36-$C$12)*(1+H$36)^$C46)</f>
        <v>6.45324955742854</v>
      </c>
    </row>
    <row r="47" customFormat="false" ht="13.5" hidden="false" customHeight="true" outlineLevel="0" collapsed="false">
      <c r="B47" s="25" t="s">
        <v>159</v>
      </c>
      <c r="C47" s="26"/>
      <c r="D47" s="26"/>
      <c r="E47" s="26"/>
      <c r="F47" s="26"/>
      <c r="G47" s="26"/>
      <c r="H47" s="26"/>
      <c r="I47" s="26"/>
    </row>
    <row r="48" customFormat="false" ht="13.5" hidden="false" customHeight="true" outlineLevel="0" collapsed="false">
      <c r="B48" s="5" t="s">
        <v>154</v>
      </c>
      <c r="C48" s="33" t="n">
        <v>3</v>
      </c>
      <c r="D48" s="6" t="n">
        <f aca="false">($C$10/(1-$C$13)-$C$14*D38)/D43</f>
        <v>12390.5468875094</v>
      </c>
      <c r="E48" s="6" t="n">
        <f aca="false">($C$10/(1-$C$13)-$C$14*E38)/E43</f>
        <v>14753.1184317645</v>
      </c>
      <c r="F48" s="6" t="n">
        <f aca="false">($C$10/(1-$C$13)-$C$14*F38)/F43</f>
        <v>17155.1553320737</v>
      </c>
      <c r="G48" s="6" t="n">
        <f aca="false">($C$10/(1-$C$13)-$C$14*G38)/G43</f>
        <v>19596.2330406195</v>
      </c>
      <c r="H48" s="6" t="n">
        <f aca="false">($C$10/(1-$C$13)-$C$14*H38)/H43</f>
        <v>22075.9291077378</v>
      </c>
    </row>
    <row r="49" customFormat="false" ht="13.5" hidden="false" customHeight="true" outlineLevel="0" collapsed="false">
      <c r="B49" s="5" t="s">
        <v>155</v>
      </c>
      <c r="C49" s="33" t="n">
        <v>5</v>
      </c>
      <c r="D49" s="6" t="n">
        <f aca="false">($C$10/(1-$C$13)-$C$14*D39)/D44</f>
        <v>13108.5252999299</v>
      </c>
      <c r="E49" s="6" t="n">
        <f aca="false">($C$10/(1-$C$13)-$C$14*E39)/E44</f>
        <v>15745.3488476737</v>
      </c>
      <c r="F49" s="6" t="n">
        <f aca="false">($C$10/(1-$C$13)-$C$14*F39)/F44</f>
        <v>18466.2144090124</v>
      </c>
      <c r="G49" s="6" t="n">
        <f aca="false">($C$10/(1-$C$13)-$C$14*G39)/G44</f>
        <v>21270.7466245814</v>
      </c>
      <c r="H49" s="6" t="n">
        <f aca="false">($C$10/(1-$C$13)-$C$14*H39)/H44</f>
        <v>24158.5366547263</v>
      </c>
    </row>
    <row r="50" customFormat="false" ht="13.5" hidden="false" customHeight="true" outlineLevel="0" collapsed="false">
      <c r="B50" s="5" t="s">
        <v>156</v>
      </c>
      <c r="C50" s="33" t="n">
        <v>7</v>
      </c>
      <c r="D50" s="6" t="n">
        <f aca="false">($C$10/(1-$C$13)-$C$14*D40)/D45</f>
        <v>13859.9250703417</v>
      </c>
      <c r="E50" s="6" t="n">
        <f aca="false">($C$10/(1-$C$13)-$C$14*E40)/E45</f>
        <v>16788.9236876561</v>
      </c>
      <c r="F50" s="6" t="n">
        <f aca="false">($C$10/(1-$C$13)-$C$14*F40)/F45</f>
        <v>19851.4705732686</v>
      </c>
      <c r="G50" s="6" t="n">
        <f aca="false">($C$10/(1-$C$13)-$C$14*G40)/G45</f>
        <v>23047.6446365538</v>
      </c>
      <c r="H50" s="6" t="n">
        <f aca="false">($C$10/(1-$C$13)-$C$14*H40)/H45</f>
        <v>26377.4070537352</v>
      </c>
    </row>
    <row r="51" customFormat="false" ht="13.5" hidden="false" customHeight="true" outlineLevel="0" collapsed="false">
      <c r="B51" s="5" t="s">
        <v>157</v>
      </c>
      <c r="C51" s="33" t="n">
        <v>10</v>
      </c>
      <c r="D51" s="6" t="n">
        <f aca="false">($C$10/(1-$C$13)-$C$14*D41)/D46</f>
        <v>15048.8303586457</v>
      </c>
      <c r="E51" s="6" t="n">
        <f aca="false">($C$10/(1-$C$13)-$C$14*E41)/E46</f>
        <v>18448.7508119522</v>
      </c>
      <c r="F51" s="6" t="n">
        <f aca="false">($C$10/(1-$C$13)-$C$14*F41)/F46</f>
        <v>22065.1053000534</v>
      </c>
      <c r="G51" s="6" t="n">
        <f aca="false">($C$10/(1-$C$13)-$C$14*G41)/G46</f>
        <v>25899.1979665935</v>
      </c>
      <c r="H51" s="6" t="n">
        <f aca="false">($C$10/(1-$C$13)-$C$14*H41)/H46</f>
        <v>29951.9680476552</v>
      </c>
    </row>
    <row r="52" customFormat="false" ht="13.5" hidden="false" customHeight="true" outlineLevel="0" collapsed="false">
      <c r="B52" s="25" t="s">
        <v>160</v>
      </c>
      <c r="C52" s="26"/>
      <c r="D52" s="26"/>
      <c r="E52" s="26"/>
      <c r="F52" s="26"/>
      <c r="G52" s="26"/>
      <c r="H52" s="26"/>
      <c r="I52" s="26"/>
    </row>
    <row r="53" customFormat="false" ht="13.5" hidden="false" customHeight="true" outlineLevel="0" collapsed="false">
      <c r="B53" s="5" t="s">
        <v>154</v>
      </c>
      <c r="C53" s="33" t="n">
        <v>3</v>
      </c>
      <c r="D53" s="17" t="n">
        <f aca="false">D48/$C$15</f>
        <v>1.22824612286969</v>
      </c>
      <c r="E53" s="17" t="n">
        <f aca="false">E48/$C$15</f>
        <v>1.46244235049212</v>
      </c>
      <c r="F53" s="17" t="n">
        <f aca="false">F48/$C$15</f>
        <v>1.70055068716036</v>
      </c>
      <c r="G53" s="17" t="n">
        <f aca="false">G48/$C$15</f>
        <v>1.94252904843572</v>
      </c>
      <c r="H53" s="17" t="n">
        <f aca="false">H48/$C$15</f>
        <v>2.18833555786457</v>
      </c>
    </row>
    <row r="54" customFormat="false" ht="13.5" hidden="false" customHeight="true" outlineLevel="0" collapsed="false">
      <c r="B54" s="5" t="s">
        <v>155</v>
      </c>
      <c r="C54" s="33" t="n">
        <v>5</v>
      </c>
      <c r="D54" s="17" t="n">
        <f aca="false">D49/$C$15</f>
        <v>1.29941765463223</v>
      </c>
      <c r="E54" s="17" t="n">
        <f aca="false">E49/$C$15</f>
        <v>1.5607998461215</v>
      </c>
      <c r="F54" s="17" t="n">
        <f aca="false">F49/$C$15</f>
        <v>1.83051292714238</v>
      </c>
      <c r="G54" s="17" t="n">
        <f aca="false">G49/$C$15</f>
        <v>2.10851968919324</v>
      </c>
      <c r="H54" s="17" t="n">
        <f aca="false">H49/$C$15</f>
        <v>2.39477960494908</v>
      </c>
    </row>
    <row r="55" customFormat="false" ht="13.5" hidden="false" customHeight="true" outlineLevel="0" collapsed="false">
      <c r="B55" s="5" t="s">
        <v>156</v>
      </c>
      <c r="C55" s="33" t="n">
        <v>7</v>
      </c>
      <c r="D55" s="17" t="n">
        <f aca="false">D50/$C$15</f>
        <v>1.37390216795615</v>
      </c>
      <c r="E55" s="17" t="n">
        <f aca="false">E50/$C$15</f>
        <v>1.66424699520778</v>
      </c>
      <c r="F55" s="17" t="n">
        <f aca="false">F50/$C$15</f>
        <v>1.96783015198935</v>
      </c>
      <c r="G55" s="17" t="n">
        <f aca="false">G50/$C$15</f>
        <v>2.28465946040382</v>
      </c>
      <c r="H55" s="17" t="n">
        <f aca="false">H50/$C$15</f>
        <v>2.61473107194044</v>
      </c>
    </row>
    <row r="56" customFormat="false" ht="13.5" hidden="false" customHeight="true" outlineLevel="0" collapsed="false">
      <c r="B56" s="5" t="s">
        <v>157</v>
      </c>
      <c r="C56" s="33" t="n">
        <v>10</v>
      </c>
      <c r="D56" s="17" t="n">
        <f aca="false">D51/$C$15</f>
        <v>1.49175558670159</v>
      </c>
      <c r="E56" s="17" t="n">
        <f aca="false">E51/$C$15</f>
        <v>1.8287818013434</v>
      </c>
      <c r="F56" s="17" t="n">
        <f aca="false">F51/$C$15</f>
        <v>2.1872626189585</v>
      </c>
      <c r="G56" s="17" t="n">
        <f aca="false">G51/$C$15</f>
        <v>2.56732731627612</v>
      </c>
      <c r="H56" s="17" t="n">
        <f aca="false">H51/$C$15</f>
        <v>2.96906899758676</v>
      </c>
    </row>
    <row r="57" customFormat="false" ht="13.5" hidden="false" customHeight="true" outlineLevel="0" collapsed="false"/>
    <row r="58" customFormat="false" ht="13.5" hidden="false" customHeight="true" outlineLevel="0" collapsed="false">
      <c r="B58" s="9" t="s">
        <v>161</v>
      </c>
      <c r="C58" s="10"/>
      <c r="D58" s="10"/>
      <c r="E58" s="10"/>
      <c r="F58" s="10"/>
      <c r="G58" s="10"/>
      <c r="H58" s="10"/>
      <c r="I58" s="10"/>
    </row>
    <row r="59" customFormat="false" ht="13.5" hidden="false" customHeight="true" outlineLevel="0" collapsed="false">
      <c r="B59" s="14" t="s">
        <v>162</v>
      </c>
    </row>
    <row r="60" customFormat="false" ht="13.5" hidden="false" customHeight="true" outlineLevel="0" collapsed="false">
      <c r="B60" s="5" t="s">
        <v>163</v>
      </c>
      <c r="C60" s="6" t="n">
        <f aca="false">F49</f>
        <v>18466.2144090124</v>
      </c>
    </row>
    <row r="61" customFormat="false" ht="13.5" hidden="false" customHeight="true" outlineLevel="0" collapsed="false"/>
    <row r="62" customFormat="false" ht="13.5" hidden="false" customHeight="true" outlineLevel="0" collapsed="false">
      <c r="B62" s="31" t="s">
        <v>164</v>
      </c>
      <c r="C62" s="31" t="s">
        <v>165</v>
      </c>
      <c r="D62" s="31" t="s">
        <v>166</v>
      </c>
    </row>
    <row r="63" customFormat="false" ht="13.5" hidden="false" customHeight="true" outlineLevel="0" collapsed="false">
      <c r="B63" s="34" t="n">
        <v>0.1</v>
      </c>
      <c r="C63" s="6" t="n">
        <f aca="false">$C$60/B63</f>
        <v>184662.144090124</v>
      </c>
      <c r="D63" s="17" t="n">
        <f aca="false">C63/'DCF Model'!C17</f>
        <v>3.93299846843848</v>
      </c>
    </row>
    <row r="64" customFormat="false" ht="13.5" hidden="false" customHeight="true" outlineLevel="0" collapsed="false">
      <c r="B64" s="34" t="n">
        <v>0.12</v>
      </c>
      <c r="C64" s="6" t="n">
        <f aca="false">$C$60/B64</f>
        <v>153885.120075103</v>
      </c>
      <c r="D64" s="17" t="n">
        <f aca="false">C64/'DCF Model'!C17</f>
        <v>3.27749872369873</v>
      </c>
    </row>
    <row r="65" customFormat="false" ht="13.5" hidden="false" customHeight="true" outlineLevel="0" collapsed="false">
      <c r="B65" s="34" t="n">
        <v>0.15</v>
      </c>
      <c r="C65" s="6" t="n">
        <f aca="false">$C$60/B65</f>
        <v>123108.096060082</v>
      </c>
      <c r="D65" s="17" t="n">
        <f aca="false">C65/'DCF Model'!C17</f>
        <v>2.62199897895899</v>
      </c>
    </row>
    <row r="66" customFormat="false" ht="13.5" hidden="false" customHeight="true" outlineLevel="0" collapsed="false">
      <c r="B66" s="5" t="s">
        <v>167</v>
      </c>
      <c r="C66" s="6" t="n">
        <f aca="false">$C$60/$C$18</f>
        <v>95186.6722114039</v>
      </c>
      <c r="D66" s="17" t="n">
        <f aca="false">C66/'DCF Model'!C17</f>
        <v>2.02731879816416</v>
      </c>
    </row>
    <row r="67" customFormat="false" ht="13.5" hidden="false" customHeight="true" outlineLevel="0" collapsed="false">
      <c r="B67" s="34" t="n">
        <v>0.25</v>
      </c>
      <c r="C67" s="6" t="n">
        <f aca="false">$C$60/B67</f>
        <v>73864.8576360494</v>
      </c>
      <c r="D67" s="17" t="n">
        <f aca="false">C67/'DCF Model'!C17</f>
        <v>1.57319938737539</v>
      </c>
    </row>
    <row r="68" customFormat="false" ht="13.5" hidden="false" customHeight="true" outlineLevel="0" collapsed="false"/>
    <row r="69" customFormat="false" ht="13.5" hidden="false" customHeight="true" outlineLevel="0" collapsed="false">
      <c r="B69" s="9" t="s">
        <v>168</v>
      </c>
      <c r="C69" s="10"/>
      <c r="D69" s="10"/>
      <c r="E69" s="10"/>
      <c r="F69" s="10"/>
      <c r="G69" s="10"/>
      <c r="H69" s="10"/>
      <c r="I69" s="10"/>
    </row>
    <row r="70" customFormat="false" ht="13.5" hidden="false" customHeight="true" outlineLevel="0" collapsed="false">
      <c r="B70" s="7" t="s">
        <v>169</v>
      </c>
      <c r="C70" s="17" t="n">
        <f aca="false">C10/'Comps Analysis'!G5</f>
        <v>17.0484664723032</v>
      </c>
    </row>
    <row r="71" customFormat="false" ht="13.5" hidden="false" customHeight="true" outlineLevel="0" collapsed="false">
      <c r="B71" s="7" t="s">
        <v>170</v>
      </c>
      <c r="C71" s="17" t="n">
        <f aca="false">C10/'Comps Analysis'!F5</f>
        <v>3.11361816323053</v>
      </c>
    </row>
    <row r="72" customFormat="false" ht="13.5" hidden="false" customHeight="true" outlineLevel="0" collapsed="false">
      <c r="B72" s="5" t="s">
        <v>171</v>
      </c>
      <c r="C72" s="17" t="n">
        <f aca="false">C10/(C25+'DCF Model'!G42)</f>
        <v>7.35766278899618</v>
      </c>
    </row>
    <row r="73" customFormat="false" ht="13.5" hidden="false" customHeight="true" outlineLevel="0" collapsed="false">
      <c r="B73" s="5" t="s">
        <v>172</v>
      </c>
      <c r="C73" s="17" t="n">
        <f aca="false">C10/(C60+'DCF Model'!G42)</f>
        <v>6.52164532924991</v>
      </c>
    </row>
    <row r="74" customFormat="false" ht="13.5" hidden="false" customHeight="true" outlineLevel="0" collapsed="false">
      <c r="B74" s="5" t="s">
        <v>173</v>
      </c>
      <c r="C74" s="17" t="n">
        <f aca="false">'Comps Analysis'!D16</f>
        <v>12.1354401024541</v>
      </c>
    </row>
    <row r="75" customFormat="false" ht="13.5" hidden="false" customHeight="true" outlineLevel="0" collapsed="false">
      <c r="B75" s="14" t="s">
        <v>174</v>
      </c>
    </row>
    <row r="76" customFormat="false" ht="13.5" hidden="false" customHeight="true" outlineLevel="0" collapsed="false"/>
    <row r="77" customFormat="false" ht="13.5" hidden="false" customHeight="true" outlineLevel="0" collapsed="false">
      <c r="B77" s="9" t="s">
        <v>175</v>
      </c>
      <c r="C77" s="10"/>
      <c r="D77" s="10"/>
      <c r="E77" s="10"/>
      <c r="F77" s="10"/>
      <c r="G77" s="10"/>
      <c r="H77" s="10"/>
      <c r="I77" s="10"/>
    </row>
    <row r="78" customFormat="false" ht="13.5" hidden="false" customHeight="true" outlineLevel="0" collapsed="false">
      <c r="B78" s="7" t="s">
        <v>176</v>
      </c>
      <c r="C78" s="17" t="n">
        <f aca="false">'Comps Analysis'!J6</f>
        <v>22.9134560637692</v>
      </c>
    </row>
    <row r="79" customFormat="false" ht="13.5" hidden="false" customHeight="true" outlineLevel="0" collapsed="false">
      <c r="B79" s="7" t="s">
        <v>177</v>
      </c>
      <c r="C79" s="17" t="n">
        <f aca="false">'Comps Analysis'!K6</f>
        <v>2.89560973269856</v>
      </c>
    </row>
    <row r="80" customFormat="false" ht="13.5" hidden="false" customHeight="true" outlineLevel="0" collapsed="false">
      <c r="B80" s="5" t="s">
        <v>178</v>
      </c>
      <c r="C80" s="18" t="n">
        <f aca="false">ROUND(('Comps Analysis'!G5*'Comps Analysis'!J6-C9)*1000000/C7,0)</f>
        <v>4094</v>
      </c>
    </row>
    <row r="81" customFormat="false" ht="13.5" hidden="false" customHeight="true" outlineLevel="0" collapsed="false">
      <c r="B81" s="5" t="s">
        <v>179</v>
      </c>
      <c r="C81" s="18" t="n">
        <f aca="false">ROUND(('Comps Analysis'!F5*'Comps Analysis'!K6-C9)*1000000/C7,0)</f>
        <v>2449</v>
      </c>
    </row>
    <row r="82" customFormat="false" ht="13.5" hidden="false" customHeight="true" outlineLevel="0" collapsed="false"/>
    <row r="83" customFormat="false" ht="13.5" hidden="false" customHeight="true" outlineLevel="0" collapsed="false">
      <c r="B83" s="14" t="s">
        <v>180</v>
      </c>
    </row>
    <row r="84" customFormat="false" ht="13.5" hidden="false" customHeight="true" outlineLevel="0" collapsed="false">
      <c r="B84" s="14" t="s">
        <v>181</v>
      </c>
    </row>
    <row r="85" customFormat="false" ht="13.5" hidden="false" customHeight="true" outlineLevel="0" collapsed="false">
      <c r="B85" s="14" t="s">
        <v>182</v>
      </c>
    </row>
    <row r="86" customFormat="false" ht="13.5" hidden="false" customHeight="true" outlineLevel="0" collapsed="false">
      <c r="B86" s="14" t="s">
        <v>183</v>
      </c>
    </row>
    <row r="87" customFormat="false" ht="13.5" hidden="false" customHeight="true" outlineLevel="0" collapsed="false"/>
    <row r="88" customFormat="false" ht="13.5" hidden="false" customHeight="true" outlineLevel="0" collapsed="false">
      <c r="B88" s="25" t="s">
        <v>184</v>
      </c>
      <c r="C88" s="26"/>
      <c r="D88" s="26"/>
      <c r="E88" s="26"/>
      <c r="F88" s="26"/>
      <c r="G88" s="26"/>
      <c r="H88" s="26"/>
      <c r="I88" s="26"/>
    </row>
    <row r="89" customFormat="false" ht="13.5" hidden="false" customHeight="true" outlineLevel="0" collapsed="false">
      <c r="B89" s="5" t="str">
        <f aca="false">"At "&amp;TEXT(C6,"#,##0")&amp;" yen the market is paying for a steady-state operating profit of "&amp;TEXT(F49,"#,##0")&amp;" mn JPY - "&amp;TEXT(F54,"0.00")&amp;"x the FY2025/3 cycle peak of "&amp;TEXT(C15,"#,##0")&amp;" mn - reached in 5 years and sustained for ever, against "&amp;TEXT(C14,"#,##0")&amp;" mn actually earned in FY2026/3."</f>
        <v>At 2,727 yen the market is paying for a steady-state operating profit of 18,466 mn JPY - 1.83x the FY2025/3 cycle peak of 10,088 mn - reached in 5 years and sustained for ever, against 5,524 mn actually earned in FY2026/3.</v>
      </c>
    </row>
    <row r="90" customFormat="false" ht="13.5" hidden="false" customHeight="true" outlineLevel="0" collapsed="false">
      <c r="B90" s="5" t="str">
        <f aca="false">"Even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15,919 mn, or 1.58x the peak. The base case supports an EV of only 53,209 mn, leaving 2,527 yen per share of the current price unexplained by mid-cycle economics.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6600"/>
    <pageSetUpPr fitToPage="false"/>
  </sheetPr>
  <dimension ref="B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8" min="3" style="1" width="16"/>
  </cols>
  <sheetData>
    <row r="1" customFormat="false" ht="13.5" hidden="false" customHeight="true" outlineLevel="0" collapsed="false"/>
    <row r="2" customFormat="false" ht="18" hidden="false" customHeight="true" outlineLevel="0" collapsed="false">
      <c r="B2" s="13" t="s">
        <v>185</v>
      </c>
    </row>
    <row r="3" customFormat="false" ht="13.5" hidden="false" customHeight="true" outlineLevel="0" collapsed="false"/>
    <row r="4" customFormat="false" ht="13.5" hidden="false" customHeight="true" outlineLevel="0" collapsed="false">
      <c r="B4" s="9" t="s">
        <v>186</v>
      </c>
      <c r="C4" s="35" t="s">
        <v>187</v>
      </c>
      <c r="D4" s="35" t="s">
        <v>85</v>
      </c>
      <c r="E4" s="35" t="s">
        <v>86</v>
      </c>
      <c r="F4" s="35" t="s">
        <v>87</v>
      </c>
      <c r="G4" s="35" t="s">
        <v>88</v>
      </c>
      <c r="H4" s="35" t="s">
        <v>89</v>
      </c>
    </row>
    <row r="5" customFormat="false" ht="13.5" hidden="false" customHeight="true" outlineLevel="0" collapsed="false">
      <c r="B5" s="36" t="s">
        <v>188</v>
      </c>
      <c r="C5" s="37" t="n">
        <f aca="false">C12/C9*365</f>
        <v>182.779860282842</v>
      </c>
      <c r="D5" s="37" t="n">
        <f aca="false">CHOOSE('DCF Model'!$D$27,D25,D26,D27,D28,D29)</f>
        <v>178</v>
      </c>
      <c r="E5" s="37" t="n">
        <f aca="false">CHOOSE('DCF Model'!$D$27,E25,E26,E27,E28,E29)</f>
        <v>172</v>
      </c>
      <c r="F5" s="37" t="n">
        <f aca="false">CHOOSE('DCF Model'!$D$27,F25,F26,F27,F28,F29)</f>
        <v>166</v>
      </c>
      <c r="G5" s="37" t="n">
        <f aca="false">CHOOSE('DCF Model'!$D$27,G25,G26,G27,G28,G29)</f>
        <v>162</v>
      </c>
      <c r="H5" s="37" t="n">
        <f aca="false">CHOOSE('DCF Model'!$D$27,H25,H26,H27,H28,H29)</f>
        <v>158</v>
      </c>
    </row>
    <row r="6" customFormat="false" ht="13.5" hidden="false" customHeight="true" outlineLevel="0" collapsed="false">
      <c r="B6" s="36" t="s">
        <v>189</v>
      </c>
      <c r="C6" s="37" t="n">
        <f aca="false">C13/C10*365</f>
        <v>380.507782705726</v>
      </c>
      <c r="D6" s="37" t="n">
        <f aca="false">CHOOSE('DCF Model'!$D$27,D32,D33,D34,D35,D36)</f>
        <v>360</v>
      </c>
      <c r="E6" s="37" t="n">
        <f aca="false">CHOOSE('DCF Model'!$D$27,E32,E33,E34,E35,E36)</f>
        <v>345</v>
      </c>
      <c r="F6" s="37" t="n">
        <f aca="false">CHOOSE('DCF Model'!$D$27,F32,F33,F34,F35,F36)</f>
        <v>330</v>
      </c>
      <c r="G6" s="37" t="n">
        <f aca="false">CHOOSE('DCF Model'!$D$27,G32,G33,G34,G35,G36)</f>
        <v>315</v>
      </c>
      <c r="H6" s="37" t="n">
        <f aca="false">CHOOSE('DCF Model'!$D$27,H32,H33,H34,H35,H36)</f>
        <v>305</v>
      </c>
    </row>
    <row r="7" customFormat="false" ht="13.5" hidden="false" customHeight="true" outlineLevel="0" collapsed="false">
      <c r="B7" s="36" t="s">
        <v>190</v>
      </c>
      <c r="C7" s="37" t="n">
        <f aca="false">C15/C10*365</f>
        <v>44.8014068194017</v>
      </c>
      <c r="D7" s="37" t="n">
        <f aca="false">CHOOSE('DCF Model'!$D$27,D39,D40,D41,D42,D43)</f>
        <v>45</v>
      </c>
      <c r="E7" s="37" t="n">
        <f aca="false">CHOOSE('DCF Model'!$D$27,E39,E40,E41,E42,E43)</f>
        <v>46</v>
      </c>
      <c r="F7" s="37" t="n">
        <f aca="false">CHOOSE('DCF Model'!$D$27,F39,F40,F41,F42,F43)</f>
        <v>47</v>
      </c>
      <c r="G7" s="37" t="n">
        <f aca="false">CHOOSE('DCF Model'!$D$27,G39,G40,G41,G42,G43)</f>
        <v>48</v>
      </c>
      <c r="H7" s="37" t="n">
        <f aca="false">CHOOSE('DCF Model'!$D$27,H39,H40,H41,H42,H43)</f>
        <v>48</v>
      </c>
    </row>
    <row r="8" customFormat="false" ht="13.5" hidden="false" customHeight="true" outlineLevel="0" collapsed="false">
      <c r="B8" s="9" t="s">
        <v>191</v>
      </c>
      <c r="C8" s="10"/>
      <c r="D8" s="10"/>
      <c r="E8" s="10"/>
      <c r="F8" s="10"/>
      <c r="G8" s="10"/>
      <c r="H8" s="10"/>
    </row>
    <row r="9" customFormat="false" ht="13.5" hidden="false" customHeight="true" outlineLevel="0" collapsed="false">
      <c r="B9" s="36" t="s">
        <v>36</v>
      </c>
      <c r="C9" s="38" t="n">
        <v>46952</v>
      </c>
      <c r="D9" s="38" t="n">
        <f aca="false">'DCF Model'!C33</f>
        <v>50050.832</v>
      </c>
      <c r="E9" s="38" t="n">
        <f aca="false">'DCF Model'!D33</f>
        <v>53053.88192</v>
      </c>
      <c r="F9" s="38" t="n">
        <f aca="false">'DCF Model'!E33</f>
        <v>55706.576016</v>
      </c>
      <c r="G9" s="38" t="n">
        <f aca="false">'DCF Model'!F33</f>
        <v>57934.83905664</v>
      </c>
      <c r="H9" s="38" t="n">
        <f aca="false">'DCF Model'!G33</f>
        <v>59672.8842283392</v>
      </c>
    </row>
    <row r="10" customFormat="false" ht="13.5" hidden="false" customHeight="true" outlineLevel="0" collapsed="false">
      <c r="B10" s="36" t="s">
        <v>37</v>
      </c>
      <c r="C10" s="38" t="n">
        <v>35399</v>
      </c>
      <c r="D10" s="38" t="n">
        <f aca="false">'DCF Model'!C34</f>
        <v>39790.41144</v>
      </c>
      <c r="E10" s="38" t="n">
        <f aca="false">'DCF Model'!D34</f>
        <v>41488.13566144</v>
      </c>
      <c r="F10" s="38" t="n">
        <f aca="false">'DCF Model'!E34</f>
        <v>42894.06353232</v>
      </c>
      <c r="G10" s="38" t="n">
        <f aca="false">'DCF Model'!F34</f>
        <v>44436.0215564429</v>
      </c>
      <c r="H10" s="38" t="n">
        <f aca="false">'DCF Model'!G34</f>
        <v>45828.7750873645</v>
      </c>
    </row>
    <row r="11" customFormat="false" ht="13.5" hidden="false" customHeight="true" outlineLevel="0" collapsed="false">
      <c r="B11" s="9" t="s">
        <v>192</v>
      </c>
      <c r="C11" s="10"/>
      <c r="D11" s="10"/>
      <c r="E11" s="10"/>
      <c r="F11" s="10"/>
      <c r="G11" s="10"/>
      <c r="H11" s="10"/>
    </row>
    <row r="12" customFormat="false" ht="13.5" hidden="false" customHeight="true" outlineLevel="0" collapsed="false">
      <c r="B12" s="36" t="s">
        <v>193</v>
      </c>
      <c r="C12" s="38" t="n">
        <v>23512</v>
      </c>
      <c r="D12" s="38" t="n">
        <f aca="false">D9*D5/365</f>
        <v>24408.3509479452</v>
      </c>
      <c r="E12" s="38" t="n">
        <f aca="false">E9*E5/365</f>
        <v>25000.7333979178</v>
      </c>
      <c r="F12" s="38" t="n">
        <f aca="false">F9*F5/365</f>
        <v>25335.0455305644</v>
      </c>
      <c r="G12" s="38" t="n">
        <f aca="false">G9*G5/365</f>
        <v>25713.5450059608</v>
      </c>
      <c r="H12" s="38" t="n">
        <f aca="false">H9*H5/365</f>
        <v>25831.0019399386</v>
      </c>
    </row>
    <row r="13" customFormat="false" ht="13.5" hidden="false" customHeight="true" outlineLevel="0" collapsed="false">
      <c r="B13" s="36" t="s">
        <v>194</v>
      </c>
      <c r="C13" s="38" t="n">
        <v>36903</v>
      </c>
      <c r="D13" s="38" t="n">
        <f aca="false">D10*D6/365</f>
        <v>39245.3373106849</v>
      </c>
      <c r="E13" s="38" t="n">
        <f aca="false">E10*E6/365</f>
        <v>39214.8131594433</v>
      </c>
      <c r="F13" s="38" t="n">
        <f aca="false">F10*F6/365</f>
        <v>38780.9341525085</v>
      </c>
      <c r="G13" s="38" t="n">
        <f aca="false">G10*G6/365</f>
        <v>38348.8953158343</v>
      </c>
      <c r="H13" s="38" t="n">
        <f aca="false">H10*H6/365</f>
        <v>38295.2778127293</v>
      </c>
    </row>
    <row r="14" customFormat="false" ht="13.5" hidden="false" customHeight="true" outlineLevel="0" collapsed="false">
      <c r="B14" s="36" t="s">
        <v>195</v>
      </c>
      <c r="C14" s="38" t="n">
        <f aca="false">C12+C13</f>
        <v>60415</v>
      </c>
      <c r="D14" s="38" t="n">
        <f aca="false">D12+D13</f>
        <v>63653.6882586302</v>
      </c>
      <c r="E14" s="38" t="n">
        <f aca="false">E12+E13</f>
        <v>64215.5465573611</v>
      </c>
      <c r="F14" s="38" t="n">
        <f aca="false">F12+F13</f>
        <v>64115.9796830729</v>
      </c>
      <c r="G14" s="38" t="n">
        <f aca="false">G12+G13</f>
        <v>64062.440321795</v>
      </c>
      <c r="H14" s="38" t="n">
        <f aca="false">H12+H13</f>
        <v>64126.2797526679</v>
      </c>
    </row>
    <row r="15" customFormat="false" ht="13.5" hidden="false" customHeight="true" outlineLevel="0" collapsed="false">
      <c r="B15" s="36" t="s">
        <v>196</v>
      </c>
      <c r="C15" s="38" t="n">
        <v>4345</v>
      </c>
      <c r="D15" s="38" t="n">
        <f aca="false">D10*D7/365</f>
        <v>4905.66716383562</v>
      </c>
      <c r="E15" s="38" t="n">
        <f aca="false">E10*E7/365</f>
        <v>5228.64175459244</v>
      </c>
      <c r="F15" s="38" t="n">
        <f aca="false">F10*F7/365</f>
        <v>5523.34516717545</v>
      </c>
      <c r="G15" s="38" t="n">
        <f aca="false">G10*G7/365</f>
        <v>5843.64119098427</v>
      </c>
      <c r="H15" s="38" t="n">
        <f aca="false">H10*H7/365</f>
        <v>6026.79781970821</v>
      </c>
    </row>
    <row r="16" customFormat="false" ht="13.5" hidden="false" customHeight="true" outlineLevel="0" collapsed="false">
      <c r="B16" s="36" t="s">
        <v>197</v>
      </c>
      <c r="C16" s="38" t="n">
        <f aca="false">C15</f>
        <v>4345</v>
      </c>
      <c r="D16" s="38" t="n">
        <f aca="false">D15</f>
        <v>4905.66716383562</v>
      </c>
      <c r="E16" s="38" t="n">
        <f aca="false">E15</f>
        <v>5228.64175459244</v>
      </c>
      <c r="F16" s="38" t="n">
        <f aca="false">F15</f>
        <v>5523.34516717545</v>
      </c>
      <c r="G16" s="38" t="n">
        <f aca="false">G15</f>
        <v>5843.64119098427</v>
      </c>
      <c r="H16" s="38" t="n">
        <f aca="false">H15</f>
        <v>6026.79781970821</v>
      </c>
    </row>
    <row r="17" customFormat="false" ht="13.5" hidden="false" customHeight="true" outlineLevel="0" collapsed="false">
      <c r="B17" s="25" t="s">
        <v>198</v>
      </c>
      <c r="C17" s="26"/>
      <c r="D17" s="26"/>
      <c r="E17" s="26"/>
      <c r="F17" s="26"/>
      <c r="G17" s="26"/>
      <c r="H17" s="26"/>
    </row>
    <row r="18" customFormat="false" ht="13.5" hidden="false" customHeight="true" outlineLevel="0" collapsed="false">
      <c r="B18" s="36" t="s">
        <v>199</v>
      </c>
      <c r="C18" s="23" t="n">
        <f aca="false">C14-C16</f>
        <v>56070</v>
      </c>
      <c r="D18" s="23" t="n">
        <f aca="false">D14-D16</f>
        <v>58748.0210947945</v>
      </c>
      <c r="E18" s="23" t="n">
        <f aca="false">E14-E16</f>
        <v>58986.9048027687</v>
      </c>
      <c r="F18" s="23" t="n">
        <f aca="false">F14-F16</f>
        <v>58592.6345158974</v>
      </c>
      <c r="G18" s="23" t="n">
        <f aca="false">G14-G16</f>
        <v>58218.7991308108</v>
      </c>
      <c r="H18" s="23" t="n">
        <f aca="false">H14-H16</f>
        <v>58099.4819329597</v>
      </c>
    </row>
    <row r="19" customFormat="false" ht="13.5" hidden="false" customHeight="true" outlineLevel="0" collapsed="false">
      <c r="B19" s="36" t="s">
        <v>99</v>
      </c>
      <c r="C19" s="39" t="s">
        <v>46</v>
      </c>
      <c r="D19" s="27" t="n">
        <f aca="false">D18-C18</f>
        <v>2678.02109479453</v>
      </c>
      <c r="E19" s="27" t="n">
        <f aca="false">E18-D18</f>
        <v>238.883707974128</v>
      </c>
      <c r="F19" s="27" t="n">
        <f aca="false">F18-E18</f>
        <v>-394.270286871222</v>
      </c>
      <c r="G19" s="27" t="n">
        <f aca="false">G18-F18</f>
        <v>-373.835385086662</v>
      </c>
      <c r="H19" s="27" t="n">
        <f aca="false">H18-G18</f>
        <v>-119.317197851109</v>
      </c>
    </row>
    <row r="20" customFormat="false" ht="13.5" hidden="false" customHeight="true" outlineLevel="0" collapsed="false"/>
    <row r="21" customFormat="false" ht="13.5" hidden="false" customHeight="true" outlineLevel="0" collapsed="false"/>
    <row r="22" customFormat="false" ht="13.5" hidden="false" customHeight="true" outlineLevel="0" collapsed="false">
      <c r="B22" s="25" t="s">
        <v>200</v>
      </c>
      <c r="C22" s="26"/>
      <c r="D22" s="26"/>
      <c r="E22" s="26"/>
      <c r="F22" s="26"/>
      <c r="G22" s="26"/>
      <c r="H22" s="26"/>
    </row>
    <row r="23" customFormat="false" ht="13.5" hidden="false" customHeight="true" outlineLevel="0" collapsed="false">
      <c r="D23" s="28" t="s">
        <v>85</v>
      </c>
      <c r="E23" s="28" t="s">
        <v>86</v>
      </c>
      <c r="F23" s="28" t="s">
        <v>87</v>
      </c>
      <c r="G23" s="28" t="s">
        <v>88</v>
      </c>
      <c r="H23" s="28" t="s">
        <v>89</v>
      </c>
    </row>
    <row r="24" customFormat="false" ht="13.5" hidden="false" customHeight="true" outlineLevel="0" collapsed="false">
      <c r="B24" s="4" t="s">
        <v>201</v>
      </c>
    </row>
    <row r="25" customFormat="false" ht="13.5" hidden="false" customHeight="true" outlineLevel="0" collapsed="false">
      <c r="B25" s="5" t="s">
        <v>83</v>
      </c>
      <c r="D25" s="33" t="n">
        <v>178</v>
      </c>
      <c r="E25" s="33" t="n">
        <v>172</v>
      </c>
      <c r="F25" s="33" t="n">
        <v>166</v>
      </c>
      <c r="G25" s="33" t="n">
        <v>162</v>
      </c>
      <c r="H25" s="33" t="n">
        <v>158</v>
      </c>
    </row>
    <row r="26" customFormat="false" ht="13.5" hidden="false" customHeight="true" outlineLevel="0" collapsed="false">
      <c r="B26" s="5" t="s">
        <v>120</v>
      </c>
      <c r="D26" s="33" t="n">
        <v>172</v>
      </c>
      <c r="E26" s="33" t="n">
        <v>164</v>
      </c>
      <c r="F26" s="33" t="n">
        <v>156</v>
      </c>
      <c r="G26" s="33" t="n">
        <v>150</v>
      </c>
      <c r="H26" s="33" t="n">
        <v>148</v>
      </c>
    </row>
    <row r="27" customFormat="false" ht="13.5" hidden="false" customHeight="true" outlineLevel="0" collapsed="false">
      <c r="B27" s="5" t="s">
        <v>121</v>
      </c>
      <c r="D27" s="33" t="n">
        <v>180</v>
      </c>
      <c r="E27" s="33" t="n">
        <v>175</v>
      </c>
      <c r="F27" s="33" t="n">
        <v>170</v>
      </c>
      <c r="G27" s="33" t="n">
        <v>166</v>
      </c>
      <c r="H27" s="33" t="n">
        <v>163</v>
      </c>
    </row>
    <row r="28" customFormat="false" ht="13.5" hidden="false" customHeight="true" outlineLevel="0" collapsed="false">
      <c r="B28" s="5" t="s">
        <v>122</v>
      </c>
      <c r="D28" s="33" t="n">
        <v>185</v>
      </c>
      <c r="E28" s="33" t="n">
        <v>184</v>
      </c>
      <c r="F28" s="33" t="n">
        <v>182</v>
      </c>
      <c r="G28" s="33" t="n">
        <v>180</v>
      </c>
      <c r="H28" s="33" t="n">
        <v>178</v>
      </c>
    </row>
    <row r="29" customFormat="false" ht="13.5" hidden="false" customHeight="true" outlineLevel="0" collapsed="false">
      <c r="B29" s="5" t="s">
        <v>123</v>
      </c>
      <c r="D29" s="33" t="n">
        <v>188</v>
      </c>
      <c r="E29" s="33" t="n">
        <v>190</v>
      </c>
      <c r="F29" s="33" t="n">
        <v>190</v>
      </c>
      <c r="G29" s="33" t="n">
        <v>188</v>
      </c>
      <c r="H29" s="33" t="n">
        <v>186</v>
      </c>
    </row>
    <row r="30" customFormat="false" ht="13.5" hidden="false" customHeight="true" outlineLevel="0" collapsed="false"/>
    <row r="31" customFormat="false" ht="13.5" hidden="false" customHeight="true" outlineLevel="0" collapsed="false">
      <c r="B31" s="4" t="s">
        <v>202</v>
      </c>
    </row>
    <row r="32" customFormat="false" ht="13.5" hidden="false" customHeight="true" outlineLevel="0" collapsed="false">
      <c r="B32" s="5" t="s">
        <v>83</v>
      </c>
      <c r="D32" s="33" t="n">
        <v>360</v>
      </c>
      <c r="E32" s="33" t="n">
        <v>345</v>
      </c>
      <c r="F32" s="33" t="n">
        <v>330</v>
      </c>
      <c r="G32" s="33" t="n">
        <v>315</v>
      </c>
      <c r="H32" s="33" t="n">
        <v>305</v>
      </c>
    </row>
    <row r="33" customFormat="false" ht="13.5" hidden="false" customHeight="true" outlineLevel="0" collapsed="false">
      <c r="B33" s="5" t="s">
        <v>120</v>
      </c>
      <c r="D33" s="33" t="n">
        <v>340</v>
      </c>
      <c r="E33" s="33" t="n">
        <v>310</v>
      </c>
      <c r="F33" s="33" t="n">
        <v>285</v>
      </c>
      <c r="G33" s="33" t="n">
        <v>270</v>
      </c>
      <c r="H33" s="33" t="n">
        <v>260</v>
      </c>
    </row>
    <row r="34" customFormat="false" ht="13.5" hidden="false" customHeight="true" outlineLevel="0" collapsed="false">
      <c r="B34" s="5" t="s">
        <v>121</v>
      </c>
      <c r="D34" s="33" t="n">
        <v>368</v>
      </c>
      <c r="E34" s="33" t="n">
        <v>355</v>
      </c>
      <c r="F34" s="33" t="n">
        <v>342</v>
      </c>
      <c r="G34" s="33" t="n">
        <v>330</v>
      </c>
      <c r="H34" s="33" t="n">
        <v>320</v>
      </c>
    </row>
    <row r="35" customFormat="false" ht="13.5" hidden="false" customHeight="true" outlineLevel="0" collapsed="false">
      <c r="B35" s="5" t="s">
        <v>122</v>
      </c>
      <c r="D35" s="33" t="n">
        <v>385</v>
      </c>
      <c r="E35" s="33" t="n">
        <v>382</v>
      </c>
      <c r="F35" s="33" t="n">
        <v>375</v>
      </c>
      <c r="G35" s="33" t="n">
        <v>368</v>
      </c>
      <c r="H35" s="33" t="n">
        <v>360</v>
      </c>
    </row>
    <row r="36" customFormat="false" ht="13.5" hidden="false" customHeight="true" outlineLevel="0" collapsed="false">
      <c r="B36" s="5" t="s">
        <v>123</v>
      </c>
      <c r="D36" s="33" t="n">
        <v>405</v>
      </c>
      <c r="E36" s="33" t="n">
        <v>420</v>
      </c>
      <c r="F36" s="33" t="n">
        <v>420</v>
      </c>
      <c r="G36" s="33" t="n">
        <v>412</v>
      </c>
      <c r="H36" s="33" t="n">
        <v>405</v>
      </c>
    </row>
    <row r="37" customFormat="false" ht="13.5" hidden="false" customHeight="true" outlineLevel="0" collapsed="false"/>
    <row r="38" customFormat="false" ht="13.5" hidden="false" customHeight="true" outlineLevel="0" collapsed="false">
      <c r="B38" s="4" t="s">
        <v>203</v>
      </c>
    </row>
    <row r="39" customFormat="false" ht="13.5" hidden="false" customHeight="true" outlineLevel="0" collapsed="false">
      <c r="B39" s="5" t="s">
        <v>83</v>
      </c>
      <c r="D39" s="33" t="n">
        <v>45</v>
      </c>
      <c r="E39" s="33" t="n">
        <v>46</v>
      </c>
      <c r="F39" s="33" t="n">
        <v>47</v>
      </c>
      <c r="G39" s="33" t="n">
        <v>48</v>
      </c>
      <c r="H39" s="33" t="n">
        <v>48</v>
      </c>
    </row>
    <row r="40" customFormat="false" ht="13.5" hidden="false" customHeight="true" outlineLevel="0" collapsed="false">
      <c r="B40" s="5" t="s">
        <v>120</v>
      </c>
      <c r="D40" s="33" t="n">
        <v>46</v>
      </c>
      <c r="E40" s="33" t="n">
        <v>48</v>
      </c>
      <c r="F40" s="33" t="n">
        <v>50</v>
      </c>
      <c r="G40" s="33" t="n">
        <v>52</v>
      </c>
      <c r="H40" s="33" t="n">
        <v>52</v>
      </c>
    </row>
    <row r="41" customFormat="false" ht="13.5" hidden="false" customHeight="true" outlineLevel="0" collapsed="false">
      <c r="B41" s="5" t="s">
        <v>121</v>
      </c>
      <c r="D41" s="33" t="n">
        <v>45</v>
      </c>
      <c r="E41" s="33" t="n">
        <v>46</v>
      </c>
      <c r="F41" s="33" t="n">
        <v>46</v>
      </c>
      <c r="G41" s="33" t="n">
        <v>47</v>
      </c>
      <c r="H41" s="33" t="n">
        <v>48</v>
      </c>
    </row>
    <row r="42" customFormat="false" ht="13.5" hidden="false" customHeight="true" outlineLevel="0" collapsed="false">
      <c r="B42" s="5" t="s">
        <v>122</v>
      </c>
      <c r="D42" s="33" t="n">
        <v>44</v>
      </c>
      <c r="E42" s="33" t="n">
        <v>44</v>
      </c>
      <c r="F42" s="33" t="n">
        <v>45</v>
      </c>
      <c r="G42" s="33" t="n">
        <v>45</v>
      </c>
      <c r="H42" s="33" t="n">
        <v>46</v>
      </c>
    </row>
    <row r="43" customFormat="false" ht="13.5" hidden="false" customHeight="true" outlineLevel="0" collapsed="false">
      <c r="B43" s="5" t="s">
        <v>123</v>
      </c>
      <c r="D43" s="33" t="n">
        <v>43</v>
      </c>
      <c r="E43" s="33" t="n">
        <v>42</v>
      </c>
      <c r="F43" s="33" t="n">
        <v>42</v>
      </c>
      <c r="G43" s="33" t="n">
        <v>43</v>
      </c>
      <c r="H43" s="33" t="n">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600"/>
    <pageSetUpPr fitToPage="false"/>
  </sheetPr>
  <dimension ref="B1:Q30"/>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A3" activeCellId="0" sqref="A3"/>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10"/>
    <col collapsed="false" customWidth="true" hidden="false" outlineLevel="0" max="16" min="4" style="1" width="12"/>
    <col collapsed="false" customWidth="true" hidden="false" outlineLevel="0" max="17" min="17" style="1" width="26"/>
  </cols>
  <sheetData>
    <row r="1" customFormat="false" ht="13.5" hidden="false" customHeight="true" outlineLevel="0" collapsed="false"/>
    <row r="2" customFormat="false" ht="18" hidden="false" customHeight="true" outlineLevel="0" collapsed="false">
      <c r="B2" s="13" t="s">
        <v>204</v>
      </c>
    </row>
    <row r="3" customFormat="false" ht="13.5" hidden="false" customHeight="true" outlineLevel="0" collapsed="false">
      <c r="B3" s="14" t="s">
        <v>205</v>
      </c>
    </row>
    <row r="4" customFormat="false" ht="27.75" hidden="false" customHeight="true" outlineLevel="0" collapsed="false">
      <c r="B4" s="11" t="s">
        <v>3</v>
      </c>
      <c r="C4" s="11" t="s">
        <v>5</v>
      </c>
      <c r="D4" s="11" t="s">
        <v>206</v>
      </c>
      <c r="E4" s="11" t="s">
        <v>207</v>
      </c>
      <c r="F4" s="11" t="s">
        <v>208</v>
      </c>
      <c r="G4" s="11" t="s">
        <v>209</v>
      </c>
      <c r="H4" s="11" t="s">
        <v>210</v>
      </c>
      <c r="I4" s="11" t="s">
        <v>211</v>
      </c>
      <c r="J4" s="11" t="s">
        <v>212</v>
      </c>
      <c r="K4" s="11" t="s">
        <v>213</v>
      </c>
      <c r="L4" s="11" t="s">
        <v>214</v>
      </c>
      <c r="M4" s="11" t="s">
        <v>215</v>
      </c>
      <c r="N4" s="11" t="s">
        <v>216</v>
      </c>
      <c r="O4" s="11" t="s">
        <v>217</v>
      </c>
      <c r="P4" s="11" t="s">
        <v>218</v>
      </c>
      <c r="Q4" s="11" t="s">
        <v>219</v>
      </c>
    </row>
    <row r="5" customFormat="false" ht="13.5" hidden="false" customHeight="true" outlineLevel="0" collapsed="false">
      <c r="B5" s="5" t="s">
        <v>4</v>
      </c>
      <c r="C5" s="1" t="s">
        <v>220</v>
      </c>
      <c r="D5" s="40" t="n">
        <f aca="false">'Executive Summary'!C9*C23/1000000</f>
        <v>100353.6</v>
      </c>
      <c r="E5" s="40" t="n">
        <f aca="false">D5+C24</f>
        <v>146190.6</v>
      </c>
      <c r="F5" s="40" t="n">
        <v>46952</v>
      </c>
      <c r="G5" s="40" t="n">
        <v>8575</v>
      </c>
      <c r="H5" s="40" t="n">
        <v>5524</v>
      </c>
      <c r="I5" s="40" t="n">
        <v>2576</v>
      </c>
      <c r="J5" s="41" t="n">
        <f aca="false">IFERROR(E5/G5,"")</f>
        <v>17.0484664723032</v>
      </c>
      <c r="K5" s="41" t="n">
        <f aca="false">IFERROR(E5/F5,"")</f>
        <v>3.11361816323053</v>
      </c>
      <c r="L5" s="41" t="n">
        <f aca="false">IFERROR(D5/I5,"")</f>
        <v>38.9571428571429</v>
      </c>
      <c r="M5" s="41" t="n">
        <f aca="false">IFERROR(D5/P5,"")</f>
        <v>2.26475592967886</v>
      </c>
      <c r="N5" s="42" t="n">
        <f aca="false">IFERROR(H5/F5,"")</f>
        <v>0.117652070199353</v>
      </c>
      <c r="O5" s="42" t="n">
        <f aca="false">IFERROR(I5/P5,"")</f>
        <v>0.0581345489833224</v>
      </c>
      <c r="P5" s="40" t="n">
        <v>44311</v>
      </c>
    </row>
    <row r="6" customFormat="false" ht="13.5" hidden="false" customHeight="true" outlineLevel="0" collapsed="false">
      <c r="B6" s="5" t="s">
        <v>221</v>
      </c>
      <c r="C6" s="1" t="s">
        <v>222</v>
      </c>
      <c r="D6" s="40" t="n">
        <v>188618</v>
      </c>
      <c r="E6" s="40" t="n">
        <v>241462</v>
      </c>
      <c r="F6" s="40" t="n">
        <v>83389</v>
      </c>
      <c r="G6" s="40" t="n">
        <v>10538</v>
      </c>
      <c r="H6" s="40" t="n">
        <v>4401</v>
      </c>
      <c r="I6" s="40" t="n">
        <v>2847</v>
      </c>
      <c r="J6" s="41" t="n">
        <f aca="false">IFERROR(E6/G6,"")</f>
        <v>22.9134560637692</v>
      </c>
      <c r="K6" s="41" t="n">
        <f aca="false">IFERROR(E6/F6,"")</f>
        <v>2.89560973269856</v>
      </c>
      <c r="L6" s="41" t="n">
        <f aca="false">IFERROR(D6/I6,"")</f>
        <v>66.251492799438</v>
      </c>
      <c r="M6" s="41" t="n">
        <f aca="false">IFERROR(D6/P6,"")</f>
        <v>3.13688902193617</v>
      </c>
      <c r="N6" s="42" t="n">
        <f aca="false">IFERROR(H6/F6,"")</f>
        <v>0.0527767451342503</v>
      </c>
      <c r="O6" s="42" t="n">
        <f aca="false">IFERROR(I6/P6,"")</f>
        <v>0.0473482013670608</v>
      </c>
      <c r="P6" s="40" t="n">
        <v>60129</v>
      </c>
      <c r="Q6" s="14" t="s">
        <v>223</v>
      </c>
    </row>
    <row r="7" customFormat="false" ht="13.5" hidden="false" customHeight="true" outlineLevel="0" collapsed="false">
      <c r="B7" s="5" t="s">
        <v>224</v>
      </c>
      <c r="C7" s="1" t="s">
        <v>225</v>
      </c>
      <c r="D7" s="40" t="n">
        <v>4660551</v>
      </c>
      <c r="E7" s="40" t="n">
        <v>4886579</v>
      </c>
      <c r="F7" s="40" t="n">
        <v>729471</v>
      </c>
      <c r="G7" s="40" t="n">
        <v>129070</v>
      </c>
      <c r="H7" s="40" t="n">
        <v>104642</v>
      </c>
      <c r="I7" s="40" t="n">
        <v>64297</v>
      </c>
      <c r="J7" s="41" t="n">
        <f aca="false">IFERROR(E7/G7,"")</f>
        <v>37.8599132253816</v>
      </c>
      <c r="K7" s="41" t="n">
        <f aca="false">IFERROR(E7/F7,"")</f>
        <v>6.69879817018086</v>
      </c>
      <c r="L7" s="41" t="n">
        <f aca="false">IFERROR(D7/I7,"")</f>
        <v>72.484734902095</v>
      </c>
      <c r="M7" s="41" t="n">
        <f aca="false">IFERROR(D7/P7,"")</f>
        <v>15.2874621548837</v>
      </c>
      <c r="N7" s="42" t="n">
        <f aca="false">IFERROR(H7/F7,"")</f>
        <v>0.143449156991848</v>
      </c>
      <c r="O7" s="42" t="n">
        <f aca="false">IFERROR(I7/P7,"")</f>
        <v>0.21090595386094</v>
      </c>
      <c r="P7" s="40" t="n">
        <v>304861</v>
      </c>
    </row>
    <row r="8" customFormat="false" ht="13.5" hidden="false" customHeight="true" outlineLevel="0" collapsed="false">
      <c r="B8" s="5" t="s">
        <v>226</v>
      </c>
      <c r="C8" s="1" t="s">
        <v>227</v>
      </c>
      <c r="D8" s="40" t="n">
        <v>3831013</v>
      </c>
      <c r="E8" s="40" t="n">
        <v>3884161</v>
      </c>
      <c r="F8" s="40" t="n">
        <v>496810</v>
      </c>
      <c r="G8" s="40" t="n">
        <v>134032</v>
      </c>
      <c r="H8" s="40" t="n">
        <v>110637</v>
      </c>
      <c r="I8" s="40" t="n">
        <v>84222</v>
      </c>
      <c r="J8" s="41" t="n">
        <f aca="false">IFERROR(E8/G8,"")</f>
        <v>28.9793556762564</v>
      </c>
      <c r="K8" s="41" t="n">
        <f aca="false">IFERROR(E8/F8,"")</f>
        <v>7.81820212958676</v>
      </c>
      <c r="L8" s="41" t="n">
        <f aca="false">IFERROR(D8/I8,"")</f>
        <v>45.4870817601102</v>
      </c>
      <c r="M8" s="41" t="n">
        <f aca="false">IFERROR(D8/P8,"")</f>
        <v>10.8123273095713</v>
      </c>
      <c r="N8" s="42" t="n">
        <f aca="false">IFERROR(H8/F8,"")</f>
        <v>0.222694792777923</v>
      </c>
      <c r="O8" s="42" t="n">
        <f aca="false">IFERROR(I8/P8,"")</f>
        <v>0.237701054699296</v>
      </c>
      <c r="P8" s="40" t="n">
        <v>354319</v>
      </c>
    </row>
    <row r="9" customFormat="false" ht="13.5" hidden="false" customHeight="true" outlineLevel="0" collapsed="false">
      <c r="B9" s="5" t="s">
        <v>228</v>
      </c>
      <c r="C9" s="1" t="s">
        <v>229</v>
      </c>
      <c r="D9" s="40" t="n">
        <v>304214</v>
      </c>
      <c r="E9" s="40" t="n">
        <v>350605</v>
      </c>
      <c r="F9" s="40" t="n">
        <v>144742</v>
      </c>
      <c r="G9" s="40" t="n">
        <v>28891</v>
      </c>
      <c r="H9" s="40" t="n">
        <v>18810</v>
      </c>
      <c r="I9" s="40" t="n">
        <v>9475</v>
      </c>
      <c r="J9" s="41" t="n">
        <f aca="false">IFERROR(E9/G9,"")</f>
        <v>12.1354401024541</v>
      </c>
      <c r="K9" s="41" t="n">
        <f aca="false">IFERROR(E9/F9,"")</f>
        <v>2.42227549709138</v>
      </c>
      <c r="L9" s="41" t="n">
        <f aca="false">IFERROR(D9/I9,"")</f>
        <v>32.107018469657</v>
      </c>
      <c r="M9" s="41" t="n">
        <f aca="false">IFERROR(D9/P9,"")</f>
        <v>1.79308027820347</v>
      </c>
      <c r="N9" s="42" t="n">
        <f aca="false">IFERROR(H9/F9,"")</f>
        <v>0.129955368863219</v>
      </c>
      <c r="O9" s="42" t="n">
        <f aca="false">IFERROR(I9/P9,"")</f>
        <v>0.0558469880938347</v>
      </c>
      <c r="P9" s="40" t="n">
        <v>169660</v>
      </c>
    </row>
    <row r="10" customFormat="false" ht="13.5" hidden="false" customHeight="true" outlineLevel="0" collapsed="false">
      <c r="B10" s="5" t="s">
        <v>230</v>
      </c>
      <c r="C10" s="1" t="s">
        <v>231</v>
      </c>
      <c r="D10" s="40" t="n">
        <v>75919</v>
      </c>
      <c r="E10" s="40" t="n">
        <v>145174</v>
      </c>
      <c r="F10" s="40" t="n">
        <v>150866</v>
      </c>
      <c r="G10" s="40" t="n">
        <v>17508</v>
      </c>
      <c r="H10" s="40" t="n">
        <v>10974</v>
      </c>
      <c r="I10" s="40" t="n">
        <v>7215</v>
      </c>
      <c r="J10" s="41" t="n">
        <f aca="false">IFERROR(E10/G10,"")</f>
        <v>8.29186657527987</v>
      </c>
      <c r="K10" s="41" t="n">
        <f aca="false">IFERROR(E10/F10,"")</f>
        <v>0.962271154534488</v>
      </c>
      <c r="L10" s="41" t="n">
        <f aca="false">IFERROR(D10/I10,"")</f>
        <v>10.5223839223839</v>
      </c>
      <c r="M10" s="41" t="n">
        <f aca="false">IFERROR(D10/P10,"")</f>
        <v>0.750870356450528</v>
      </c>
      <c r="N10" s="42" t="n">
        <f aca="false">IFERROR(H10/F10,"")</f>
        <v>0.0727400474593348</v>
      </c>
      <c r="O10" s="42" t="n">
        <f aca="false">IFERROR(I10/P10,"")</f>
        <v>0.0713593385290976</v>
      </c>
      <c r="P10" s="40" t="n">
        <v>101108</v>
      </c>
    </row>
    <row r="11" customFormat="false" ht="13.5" hidden="false" customHeight="true" outlineLevel="0" collapsed="false">
      <c r="B11" s="5" t="s">
        <v>232</v>
      </c>
      <c r="C11" s="1" t="s">
        <v>233</v>
      </c>
      <c r="D11" s="40" t="n">
        <v>455667</v>
      </c>
      <c r="E11" s="40" t="n">
        <v>574355</v>
      </c>
      <c r="F11" s="40" t="n">
        <v>578129</v>
      </c>
      <c r="G11" s="40" t="n">
        <v>73210</v>
      </c>
      <c r="H11" s="40" t="n">
        <v>42081</v>
      </c>
      <c r="I11" s="40" t="n">
        <v>32605</v>
      </c>
      <c r="J11" s="41" t="n">
        <f aca="false">IFERROR(E11/G11,"")</f>
        <v>7.84530801803032</v>
      </c>
      <c r="K11" s="41" t="n">
        <f aca="false">IFERROR(E11/F11,"")</f>
        <v>0.99347204516639</v>
      </c>
      <c r="L11" s="41" t="n">
        <f aca="false">IFERROR(D11/I11,"")</f>
        <v>13.9753718754792</v>
      </c>
      <c r="M11" s="41" t="n">
        <f aca="false">IFERROR(D11/P11,"")</f>
        <v>0.964241956133019</v>
      </c>
      <c r="N11" s="42" t="n">
        <f aca="false">IFERROR(H11/F11,"")</f>
        <v>0.072788253140735</v>
      </c>
      <c r="O11" s="42" t="n">
        <f aca="false">IFERROR(I11/P11,"")</f>
        <v>0.0689957995196428</v>
      </c>
      <c r="P11" s="40" t="n">
        <v>472565</v>
      </c>
    </row>
    <row r="12" customFormat="false" ht="13.5" hidden="false" customHeight="true" outlineLevel="0" collapsed="false"/>
    <row r="13" customFormat="false" ht="13.5" hidden="false" customHeight="true" outlineLevel="0" collapsed="false"/>
    <row r="14" customFormat="false" ht="13.5" hidden="false" customHeight="true" outlineLevel="0" collapsed="false">
      <c r="B14" s="4" t="s">
        <v>234</v>
      </c>
    </row>
    <row r="15" customFormat="false" ht="13.5" hidden="false" customHeight="true" outlineLevel="0" collapsed="false">
      <c r="B15" s="5" t="s">
        <v>235</v>
      </c>
      <c r="D15" s="41" t="n">
        <f aca="false">PERCENTILE(J7:J11,0.25)</f>
        <v>8.29186657527987</v>
      </c>
      <c r="E15" s="41" t="n">
        <f aca="false">PERCENTILE(K7:K11,0.25)</f>
        <v>0.99347204516639</v>
      </c>
      <c r="F15" s="41" t="n">
        <f aca="false">PERCENTILE(L7:L11,0.25)</f>
        <v>13.9753718754792</v>
      </c>
      <c r="G15" s="41" t="n">
        <f aca="false">PERCENTILE(M7:M11,0.25)</f>
        <v>0.964241956133019</v>
      </c>
      <c r="H15" s="42" t="n">
        <f aca="false">PERCENTILE(N7:N11,0.25)</f>
        <v>0.072788253140735</v>
      </c>
      <c r="I15" s="42" t="n">
        <f aca="false">PERCENTILE(O7:O11,0.25)</f>
        <v>0.0689957995196428</v>
      </c>
    </row>
    <row r="16" customFormat="false" ht="13.5" hidden="false" customHeight="true" outlineLevel="0" collapsed="false">
      <c r="B16" s="5" t="s">
        <v>236</v>
      </c>
      <c r="D16" s="41" t="n">
        <f aca="false">MEDIAN(J7:J11)</f>
        <v>12.1354401024541</v>
      </c>
      <c r="E16" s="41" t="n">
        <f aca="false">MEDIAN(K7:K11)</f>
        <v>2.42227549709138</v>
      </c>
      <c r="F16" s="41" t="n">
        <f aca="false">MEDIAN(L7:L11)</f>
        <v>32.107018469657</v>
      </c>
      <c r="G16" s="41" t="n">
        <f aca="false">MEDIAN(M7:M11)</f>
        <v>1.79308027820347</v>
      </c>
      <c r="H16" s="42" t="n">
        <f aca="false">MEDIAN(N7:N11)</f>
        <v>0.129955368863219</v>
      </c>
      <c r="I16" s="42" t="n">
        <f aca="false">MEDIAN(O7:O11)</f>
        <v>0.0713593385290976</v>
      </c>
    </row>
    <row r="17" customFormat="false" ht="13.5" hidden="false" customHeight="true" outlineLevel="0" collapsed="false">
      <c r="B17" s="5" t="s">
        <v>237</v>
      </c>
      <c r="D17" s="41" t="n">
        <f aca="false">PERCENTILE(J7:J11,0.75)</f>
        <v>28.9793556762564</v>
      </c>
      <c r="E17" s="41" t="n">
        <f aca="false">PERCENTILE(K7:K11,0.75)</f>
        <v>6.69879817018086</v>
      </c>
      <c r="F17" s="41" t="n">
        <f aca="false">PERCENTILE(L7:L11,0.75)</f>
        <v>45.4870817601102</v>
      </c>
      <c r="G17" s="41" t="n">
        <f aca="false">PERCENTILE(M7:M11,0.75)</f>
        <v>10.8123273095713</v>
      </c>
      <c r="H17" s="42" t="n">
        <f aca="false">PERCENTILE(N7:N11,0.75)</f>
        <v>0.143449156991848</v>
      </c>
      <c r="I17" s="42" t="n">
        <f aca="false">PERCENTILE(O7:O11,0.75)</f>
        <v>0.21090595386094</v>
      </c>
    </row>
    <row r="18" customFormat="false" ht="13.5" hidden="false" customHeight="true" outlineLevel="0" collapsed="false"/>
    <row r="19" customFormat="false" ht="13.5" hidden="false" customHeight="true" outlineLevel="0" collapsed="false">
      <c r="B19" s="25" t="s">
        <v>238</v>
      </c>
      <c r="C19" s="26"/>
      <c r="D19" s="26"/>
      <c r="E19" s="26"/>
      <c r="F19" s="26"/>
      <c r="G19" s="26"/>
      <c r="H19" s="26"/>
      <c r="I19" s="26"/>
    </row>
    <row r="20" customFormat="false" ht="13.5" hidden="false" customHeight="true" outlineLevel="0" collapsed="false">
      <c r="B20" s="4" t="s">
        <v>239</v>
      </c>
    </row>
    <row r="21" customFormat="false" ht="13.5" hidden="false" customHeight="true" outlineLevel="0" collapsed="false">
      <c r="B21" s="5" t="s">
        <v>240</v>
      </c>
      <c r="C21" s="6" t="n">
        <v>8575</v>
      </c>
    </row>
    <row r="22" customFormat="false" ht="13.5" hidden="false" customHeight="true" outlineLevel="0" collapsed="false">
      <c r="B22" s="5" t="s">
        <v>241</v>
      </c>
      <c r="C22" s="6" t="n">
        <v>2576</v>
      </c>
    </row>
    <row r="23" customFormat="false" ht="13.5" hidden="false" customHeight="true" outlineLevel="0" collapsed="false">
      <c r="B23" s="5" t="s">
        <v>242</v>
      </c>
      <c r="C23" s="18" t="n">
        <v>36800000</v>
      </c>
    </row>
    <row r="24" customFormat="false" ht="13.5" hidden="false" customHeight="true" outlineLevel="0" collapsed="false">
      <c r="B24" s="5" t="s">
        <v>72</v>
      </c>
      <c r="C24" s="6" t="n">
        <v>45837</v>
      </c>
    </row>
    <row r="25" customFormat="false" ht="13.5" hidden="false" customHeight="true" outlineLevel="0" collapsed="false"/>
    <row r="26" customFormat="false" ht="13.5" hidden="false" customHeight="true" outlineLevel="0" collapsed="false">
      <c r="B26" s="4" t="s">
        <v>243</v>
      </c>
    </row>
    <row r="27" customFormat="false" ht="13.5" hidden="false" customHeight="true" outlineLevel="0" collapsed="false">
      <c r="B27" s="5" t="s">
        <v>244</v>
      </c>
      <c r="C27" s="27" t="n">
        <f aca="false">ROUND((C21*D16-C24)*1000000/C23,0)</f>
        <v>1582</v>
      </c>
    </row>
    <row r="28" customFormat="false" ht="13.5" hidden="false" customHeight="true" outlineLevel="0" collapsed="false">
      <c r="B28" s="5" t="s">
        <v>245</v>
      </c>
      <c r="C28" s="27" t="n">
        <f aca="false">ROUND(C22*F16*1000000/C23,0)</f>
        <v>2247</v>
      </c>
    </row>
    <row r="29" customFormat="false" ht="17.15" hidden="false" customHeight="false" outlineLevel="0" collapsed="false">
      <c r="B29" s="1" t="s">
        <v>246</v>
      </c>
      <c r="C29" s="1" t="n">
        <f aca="false">ROUND((3814+2619)*(1-'DCF Model'!C6),0)</f>
        <v>4465</v>
      </c>
    </row>
    <row r="30" customFormat="false" ht="17.15" hidden="false" customHeight="false" outlineLevel="0" collapsed="false">
      <c r="B30" s="1" t="s">
        <v>247</v>
      </c>
      <c r="C30" s="1" t="n">
        <f aca="false">ROUND(C29*F16*1000000/C23,0)</f>
        <v>3896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6600"/>
    <pageSetUpPr fitToPage="false"/>
  </sheetPr>
  <dimension ref="B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9" min="3" style="1" width="14"/>
  </cols>
  <sheetData>
    <row r="1" customFormat="false" ht="13.5" hidden="false" customHeight="true" outlineLevel="0" collapsed="false"/>
    <row r="2" customFormat="false" ht="18" hidden="false" customHeight="true" outlineLevel="0" collapsed="false">
      <c r="B2" s="13" t="s">
        <v>248</v>
      </c>
    </row>
    <row r="3" customFormat="false" ht="13.5" hidden="false" customHeight="true" outlineLevel="0" collapsed="false">
      <c r="B3" s="5" t="s">
        <v>249</v>
      </c>
      <c r="C3" s="19" t="n">
        <f aca="false">'DCF Model'!C26</f>
        <v>0.0905718835804503</v>
      </c>
      <c r="E3" s="5" t="s">
        <v>250</v>
      </c>
      <c r="F3" s="19" t="n">
        <f aca="false">'DCF Model'!C13</f>
        <v>0.015</v>
      </c>
      <c r="H3" s="5" t="s">
        <v>251</v>
      </c>
      <c r="I3" s="17" t="n">
        <f aca="false">'DCF Model'!C14</f>
        <v>8</v>
      </c>
    </row>
    <row r="4" customFormat="false" ht="13.5" hidden="false" customHeight="true" outlineLevel="0" collapsed="false"/>
    <row r="5" customFormat="false" ht="13.5" hidden="false" customHeight="true" outlineLevel="0" collapsed="false">
      <c r="B5" s="4" t="s">
        <v>252</v>
      </c>
    </row>
    <row r="6" customFormat="false" ht="13.5" hidden="false" customHeight="true" outlineLevel="0" collapsed="false">
      <c r="B6" s="43" t="s">
        <v>253</v>
      </c>
      <c r="C6" s="44" t="n">
        <f aca="false">$F$3-0.0075</f>
        <v>0.0075</v>
      </c>
      <c r="D6" s="44" t="n">
        <f aca="false">$F$3-0.005</f>
        <v>0.01</v>
      </c>
      <c r="E6" s="44" t="n">
        <f aca="false">$F$3-0.0025</f>
        <v>0.0125</v>
      </c>
      <c r="F6" s="44" t="n">
        <f aca="false">$F$3</f>
        <v>0.015</v>
      </c>
      <c r="G6" s="44" t="n">
        <f aca="false">$F$3+0.0025</f>
        <v>0.0175</v>
      </c>
      <c r="H6" s="44" t="n">
        <f aca="false">$F$3+0.005</f>
        <v>0.02</v>
      </c>
      <c r="I6" s="44" t="n">
        <f aca="false">$F$3+0.0075</f>
        <v>0.0225</v>
      </c>
    </row>
    <row r="7" customFormat="false" ht="13.5" hidden="false" customHeight="true" outlineLevel="0" collapsed="false">
      <c r="B7" s="42" t="n">
        <f aca="false">$C$3-0.015</f>
        <v>0.0755718835804503</v>
      </c>
      <c r="C7" s="40" t="n">
        <f aca="false">IFERROR(ROUND(('DCF Model'!C45/(1+$B7)^('DCF Model'!C19+0)+'DCF Model'!D45/(1+$B7)^('DCF Model'!C19+1)+'DCF Model'!E45/(1+$B7)^('DCF Model'!C19+2)+'DCF Model'!F45/(1+$B7)^('DCF Model'!C19+3)+'DCF Model'!G45/(1+$B7)^('DCF Model'!C19+4)+'DCF Model'!G45*(1+C$6)/($B7-C$6)/(1+$B7)^('DCF Model'!C19+4)-'DCF Model'!C16)*1000000/'DCF Model'!C15,0),"")</f>
        <v>435</v>
      </c>
      <c r="D7" s="40" t="n">
        <f aca="false">IFERROR(ROUND(('DCF Model'!C45/(1+$B7)^('DCF Model'!C19+0)+'DCF Model'!D45/(1+$B7)^('DCF Model'!C19+1)+'DCF Model'!E45/(1+$B7)^('DCF Model'!C19+2)+'DCF Model'!F45/(1+$B7)^('DCF Model'!C19+3)+'DCF Model'!G45/(1+$B7)^('DCF Model'!C19+4)+'DCF Model'!G45*(1+D$6)/($B7-D$6)/(1+$B7)^('DCF Model'!C19+4)-'DCF Model'!C16)*1000000/'DCF Model'!C15,0),"")</f>
        <v>494</v>
      </c>
      <c r="E7" s="40" t="n">
        <f aca="false">IFERROR(ROUND(('DCF Model'!C45/(1+$B7)^('DCF Model'!C19+0)+'DCF Model'!D45/(1+$B7)^('DCF Model'!C19+1)+'DCF Model'!E45/(1+$B7)^('DCF Model'!C19+2)+'DCF Model'!F45/(1+$B7)^('DCF Model'!C19+3)+'DCF Model'!G45/(1+$B7)^('DCF Model'!C19+4)+'DCF Model'!G45*(1+E$6)/($B7-E$6)/(1+$B7)^('DCF Model'!C19+4)-'DCF Model'!C16)*1000000/'DCF Model'!C15,0),"")</f>
        <v>558</v>
      </c>
      <c r="F7" s="40" t="n">
        <f aca="false">IFERROR(ROUND(('DCF Model'!C45/(1+$B7)^('DCF Model'!C19+0)+'DCF Model'!D45/(1+$B7)^('DCF Model'!C19+1)+'DCF Model'!E45/(1+$B7)^('DCF Model'!C19+2)+'DCF Model'!F45/(1+$B7)^('DCF Model'!C19+3)+'DCF Model'!G45/(1+$B7)^('DCF Model'!C19+4)+'DCF Model'!G45*(1+F$6)/($B7-F$6)/(1+$B7)^('DCF Model'!C19+4)-'DCF Model'!C16)*1000000/'DCF Model'!C15,0),"")</f>
        <v>628</v>
      </c>
      <c r="G7" s="40" t="n">
        <f aca="false">IFERROR(ROUND(('DCF Model'!C45/(1+$B7)^('DCF Model'!C19+0)+'DCF Model'!D45/(1+$B7)^('DCF Model'!C19+1)+'DCF Model'!E45/(1+$B7)^('DCF Model'!C19+2)+'DCF Model'!F45/(1+$B7)^('DCF Model'!C19+3)+'DCF Model'!G45/(1+$B7)^('DCF Model'!C19+4)+'DCF Model'!G45*(1+G$6)/($B7-G$6)/(1+$B7)^('DCF Model'!C19+4)-'DCF Model'!C16)*1000000/'DCF Model'!C15,0),"")</f>
        <v>703</v>
      </c>
      <c r="H7" s="40" t="n">
        <f aca="false">IFERROR(ROUND(('DCF Model'!C45/(1+$B7)^('DCF Model'!C19+0)+'DCF Model'!D45/(1+$B7)^('DCF Model'!C19+1)+'DCF Model'!E45/(1+$B7)^('DCF Model'!C19+2)+'DCF Model'!F45/(1+$B7)^('DCF Model'!C19+3)+'DCF Model'!G45/(1+$B7)^('DCF Model'!C19+4)+'DCF Model'!G45*(1+H$6)/($B7-H$6)/(1+$B7)^('DCF Model'!C19+4)-'DCF Model'!C16)*1000000/'DCF Model'!C15,0),"")</f>
        <v>786</v>
      </c>
      <c r="I7" s="40" t="n">
        <f aca="false">IFERROR(ROUND(('DCF Model'!C45/(1+$B7)^('DCF Model'!C19+0)+'DCF Model'!D45/(1+$B7)^('DCF Model'!C19+1)+'DCF Model'!E45/(1+$B7)^('DCF Model'!C19+2)+'DCF Model'!F45/(1+$B7)^('DCF Model'!C19+3)+'DCF Model'!G45/(1+$B7)^('DCF Model'!C19+4)+'DCF Model'!G45*(1+I$6)/($B7-I$6)/(1+$B7)^('DCF Model'!C19+4)-'DCF Model'!C16)*1000000/'DCF Model'!C15,0),"")</f>
        <v>876</v>
      </c>
    </row>
    <row r="8" customFormat="false" ht="13.5" hidden="false" customHeight="true" outlineLevel="0" collapsed="false">
      <c r="B8" s="42" t="n">
        <f aca="false">$C$3-0.01</f>
        <v>0.0805718835804503</v>
      </c>
      <c r="C8" s="40" t="n">
        <f aca="false">IFERROR(ROUND(('DCF Model'!C45/(1+$B8)^('DCF Model'!C19+0)+'DCF Model'!D45/(1+$B8)^('DCF Model'!C19+1)+'DCF Model'!E45/(1+$B8)^('DCF Model'!C19+2)+'DCF Model'!F45/(1+$B8)^('DCF Model'!C19+3)+'DCF Model'!G45/(1+$B8)^('DCF Model'!C19+4)+'DCF Model'!G45*(1+C$6)/($B8-C$6)/(1+$B8)^('DCF Model'!C19+4)-'DCF Model'!C16)*1000000/'DCF Model'!C15,0),"")</f>
        <v>300</v>
      </c>
      <c r="D8" s="40" t="n">
        <f aca="false">IFERROR(ROUND(('DCF Model'!C45/(1+$B8)^('DCF Model'!C19+0)+'DCF Model'!D45/(1+$B8)^('DCF Model'!C19+1)+'DCF Model'!E45/(1+$B8)^('DCF Model'!C19+2)+'DCF Model'!F45/(1+$B8)^('DCF Model'!C19+3)+'DCF Model'!G45/(1+$B8)^('DCF Model'!C19+4)+'DCF Model'!G45*(1+D$6)/($B8-D$6)/(1+$B8)^('DCF Model'!C19+4)-'DCF Model'!C16)*1000000/'DCF Model'!C15,0),"")</f>
        <v>351</v>
      </c>
      <c r="E8" s="40" t="n">
        <f aca="false">IFERROR(ROUND(('DCF Model'!C45/(1+$B8)^('DCF Model'!C19+0)+'DCF Model'!D45/(1+$B8)^('DCF Model'!C19+1)+'DCF Model'!E45/(1+$B8)^('DCF Model'!C19+2)+'DCF Model'!F45/(1+$B8)^('DCF Model'!C19+3)+'DCF Model'!G45/(1+$B8)^('DCF Model'!C19+4)+'DCF Model'!G45*(1+E$6)/($B8-E$6)/(1+$B8)^('DCF Model'!C19+4)-'DCF Model'!C16)*1000000/'DCF Model'!C15,0),"")</f>
        <v>405</v>
      </c>
      <c r="F8" s="40" t="n">
        <f aca="false">IFERROR(ROUND(('DCF Model'!C45/(1+$B8)^('DCF Model'!C19+0)+'DCF Model'!D45/(1+$B8)^('DCF Model'!C19+1)+'DCF Model'!E45/(1+$B8)^('DCF Model'!C19+2)+'DCF Model'!F45/(1+$B8)^('DCF Model'!C19+3)+'DCF Model'!G45/(1+$B8)^('DCF Model'!C19+4)+'DCF Model'!G45*(1+F$6)/($B8-F$6)/(1+$B8)^('DCF Model'!C19+4)-'DCF Model'!C16)*1000000/'DCF Model'!C15,0),"")</f>
        <v>463</v>
      </c>
      <c r="G8" s="40" t="n">
        <f aca="false">IFERROR(ROUND(('DCF Model'!C45/(1+$B8)^('DCF Model'!C19+0)+'DCF Model'!D45/(1+$B8)^('DCF Model'!C19+1)+'DCF Model'!E45/(1+$B8)^('DCF Model'!C19+2)+'DCF Model'!F45/(1+$B8)^('DCF Model'!C19+3)+'DCF Model'!G45/(1+$B8)^('DCF Model'!C19+4)+'DCF Model'!G45*(1+G$6)/($B8-G$6)/(1+$B8)^('DCF Model'!C19+4)-'DCF Model'!C16)*1000000/'DCF Model'!C15,0),"")</f>
        <v>527</v>
      </c>
      <c r="H8" s="40" t="n">
        <f aca="false">IFERROR(ROUND(('DCF Model'!C45/(1+$B8)^('DCF Model'!C19+0)+'DCF Model'!D45/(1+$B8)^('DCF Model'!C19+1)+'DCF Model'!E45/(1+$B8)^('DCF Model'!C19+2)+'DCF Model'!F45/(1+$B8)^('DCF Model'!C19+3)+'DCF Model'!G45/(1+$B8)^('DCF Model'!C19+4)+'DCF Model'!G45*(1+H$6)/($B8-H$6)/(1+$B8)^('DCF Model'!C19+4)-'DCF Model'!C16)*1000000/'DCF Model'!C15,0),"")</f>
        <v>595</v>
      </c>
      <c r="I8" s="40" t="n">
        <f aca="false">IFERROR(ROUND(('DCF Model'!C45/(1+$B8)^('DCF Model'!C19+0)+'DCF Model'!D45/(1+$B8)^('DCF Model'!C19+1)+'DCF Model'!E45/(1+$B8)^('DCF Model'!C19+2)+'DCF Model'!F45/(1+$B8)^('DCF Model'!C19+3)+'DCF Model'!G45/(1+$B8)^('DCF Model'!C19+4)+'DCF Model'!G45*(1+I$6)/($B8-I$6)/(1+$B8)^('DCF Model'!C19+4)-'DCF Model'!C16)*1000000/'DCF Model'!C15,0),"")</f>
        <v>669</v>
      </c>
    </row>
    <row r="9" customFormat="false" ht="13.5" hidden="false" customHeight="true" outlineLevel="0" collapsed="false">
      <c r="B9" s="42" t="n">
        <f aca="false">$C$3-0.005</f>
        <v>0.0855718835804503</v>
      </c>
      <c r="C9" s="40" t="n">
        <f aca="false">IFERROR(ROUND(('DCF Model'!C45/(1+$B9)^('DCF Model'!C19+0)+'DCF Model'!D45/(1+$B9)^('DCF Model'!C19+1)+'DCF Model'!E45/(1+$B9)^('DCF Model'!C19+2)+'DCF Model'!F45/(1+$B9)^('DCF Model'!C19+3)+'DCF Model'!G45/(1+$B9)^('DCF Model'!C19+4)+'DCF Model'!G45*(1+C$6)/($B9-C$6)/(1+$B9)^('DCF Model'!C19+4)-'DCF Model'!C16)*1000000/'DCF Model'!C15,0),"")</f>
        <v>183</v>
      </c>
      <c r="D9" s="40" t="n">
        <f aca="false">IFERROR(ROUND(('DCF Model'!C45/(1+$B9)^('DCF Model'!C19+0)+'DCF Model'!D45/(1+$B9)^('DCF Model'!C19+1)+'DCF Model'!E45/(1+$B9)^('DCF Model'!C19+2)+'DCF Model'!F45/(1+$B9)^('DCF Model'!C19+3)+'DCF Model'!G45/(1+$B9)^('DCF Model'!C19+4)+'DCF Model'!G45*(1+D$6)/($B9-D$6)/(1+$B9)^('DCF Model'!C19+4)-'DCF Model'!C16)*1000000/'DCF Model'!C15,0),"")</f>
        <v>226</v>
      </c>
      <c r="E9" s="40" t="n">
        <f aca="false">IFERROR(ROUND(('DCF Model'!C45/(1+$B9)^('DCF Model'!C19+0)+'DCF Model'!D45/(1+$B9)^('DCF Model'!C19+1)+'DCF Model'!E45/(1+$B9)^('DCF Model'!C19+2)+'DCF Model'!F45/(1+$B9)^('DCF Model'!C19+3)+'DCF Model'!G45/(1+$B9)^('DCF Model'!C19+4)+'DCF Model'!G45*(1+E$6)/($B9-E$6)/(1+$B9)^('DCF Model'!C19+4)-'DCF Model'!C16)*1000000/'DCF Model'!C15,0),"")</f>
        <v>273</v>
      </c>
      <c r="F9" s="40" t="n">
        <f aca="false">IFERROR(ROUND(('DCF Model'!C45/(1+$B9)^('DCF Model'!C19+0)+'DCF Model'!D45/(1+$B9)^('DCF Model'!C19+1)+'DCF Model'!E45/(1+$B9)^('DCF Model'!C19+2)+'DCF Model'!F45/(1+$B9)^('DCF Model'!C19+3)+'DCF Model'!G45/(1+$B9)^('DCF Model'!C19+4)+'DCF Model'!G45*(1+F$6)/($B9-F$6)/(1+$B9)^('DCF Model'!C19+4)-'DCF Model'!C16)*1000000/'DCF Model'!C15,0),"")</f>
        <v>322</v>
      </c>
      <c r="G9" s="40" t="n">
        <f aca="false">IFERROR(ROUND(('DCF Model'!C45/(1+$B9)^('DCF Model'!C19+0)+'DCF Model'!D45/(1+$B9)^('DCF Model'!C19+1)+'DCF Model'!E45/(1+$B9)^('DCF Model'!C19+2)+'DCF Model'!F45/(1+$B9)^('DCF Model'!C19+3)+'DCF Model'!G45/(1+$B9)^('DCF Model'!C19+4)+'DCF Model'!G45*(1+G$6)/($B9-G$6)/(1+$B9)^('DCF Model'!C19+4)-'DCF Model'!C16)*1000000/'DCF Model'!C15,0),"")</f>
        <v>376</v>
      </c>
      <c r="H9" s="40" t="n">
        <f aca="false">IFERROR(ROUND(('DCF Model'!C45/(1+$B9)^('DCF Model'!C19+0)+'DCF Model'!D45/(1+$B9)^('DCF Model'!C19+1)+'DCF Model'!E45/(1+$B9)^('DCF Model'!C19+2)+'DCF Model'!F45/(1+$B9)^('DCF Model'!C19+3)+'DCF Model'!G45/(1+$B9)^('DCF Model'!C19+4)+'DCF Model'!G45*(1+H$6)/($B9-H$6)/(1+$B9)^('DCF Model'!C19+4)-'DCF Model'!C16)*1000000/'DCF Model'!C15,0),"")</f>
        <v>433</v>
      </c>
      <c r="I9" s="40" t="n">
        <f aca="false">IFERROR(ROUND(('DCF Model'!C45/(1+$B9)^('DCF Model'!C19+0)+'DCF Model'!D45/(1+$B9)^('DCF Model'!C19+1)+'DCF Model'!E45/(1+$B9)^('DCF Model'!C19+2)+'DCF Model'!F45/(1+$B9)^('DCF Model'!C19+3)+'DCF Model'!G45/(1+$B9)^('DCF Model'!C19+4)+'DCF Model'!G45*(1+I$6)/($B9-I$6)/(1+$B9)^('DCF Model'!C19+4)-'DCF Model'!C16)*1000000/'DCF Model'!C15,0),"")</f>
        <v>495</v>
      </c>
    </row>
    <row r="10" customFormat="false" ht="13.5" hidden="false" customHeight="true" outlineLevel="0" collapsed="false">
      <c r="B10" s="42" t="n">
        <f aca="false">$C$3</f>
        <v>0.0905718835804503</v>
      </c>
      <c r="C10" s="40" t="n">
        <f aca="false">IFERROR(ROUND(('DCF Model'!C45/(1+$B10)^('DCF Model'!C19+0)+'DCF Model'!D45/(1+$B10)^('DCF Model'!C19+1)+'DCF Model'!E45/(1+$B10)^('DCF Model'!C19+2)+'DCF Model'!F45/(1+$B10)^('DCF Model'!C19+3)+'DCF Model'!G45/(1+$B10)^('DCF Model'!C19+4)+'DCF Model'!G45*(1+C$6)/($B10-C$6)/(1+$B10)^('DCF Model'!C19+4)-'DCF Model'!C16)*1000000/'DCF Model'!C15,0),"")</f>
        <v>80</v>
      </c>
      <c r="D10" s="40" t="n">
        <f aca="false">IFERROR(ROUND(('DCF Model'!C45/(1+$B10)^('DCF Model'!C19+0)+'DCF Model'!D45/(1+$B10)^('DCF Model'!C19+1)+'DCF Model'!E45/(1+$B10)^('DCF Model'!C19+2)+'DCF Model'!F45/(1+$B10)^('DCF Model'!C19+3)+'DCF Model'!G45/(1+$B10)^('DCF Model'!C19+4)+'DCF Model'!G45*(1+D$6)/($B10-D$6)/(1+$B10)^('DCF Model'!C19+4)-'DCF Model'!C16)*1000000/'DCF Model'!C15,0),"")</f>
        <v>117</v>
      </c>
      <c r="E10" s="40" t="n">
        <f aca="false">IFERROR(ROUND(('DCF Model'!C45/(1+$B10)^('DCF Model'!C19+0)+'DCF Model'!D45/(1+$B10)^('DCF Model'!C19+1)+'DCF Model'!E45/(1+$B10)^('DCF Model'!C19+2)+'DCF Model'!F45/(1+$B10)^('DCF Model'!C19+3)+'DCF Model'!G45/(1+$B10)^('DCF Model'!C19+4)+'DCF Model'!G45*(1+E$6)/($B10-E$6)/(1+$B10)^('DCF Model'!C19+4)-'DCF Model'!C16)*1000000/'DCF Model'!C15,0),"")</f>
        <v>158</v>
      </c>
      <c r="F10" s="40" t="n">
        <f aca="false">IFERROR(ROUND(('DCF Model'!C45/(1+$B10)^('DCF Model'!C19+0)+'DCF Model'!D45/(1+$B10)^('DCF Model'!C19+1)+'DCF Model'!E45/(1+$B10)^('DCF Model'!C19+2)+'DCF Model'!F45/(1+$B10)^('DCF Model'!C19+3)+'DCF Model'!G45/(1+$B10)^('DCF Model'!C19+4)+'DCF Model'!G45*(1+F$6)/($B10-F$6)/(1+$B10)^('DCF Model'!C19+4)-'DCF Model'!C16)*1000000/'DCF Model'!C15,0),"")</f>
        <v>200</v>
      </c>
      <c r="G10" s="40" t="n">
        <f aca="false">IFERROR(ROUND(('DCF Model'!C45/(1+$B10)^('DCF Model'!C19+0)+'DCF Model'!D45/(1+$B10)^('DCF Model'!C19+1)+'DCF Model'!E45/(1+$B10)^('DCF Model'!C19+2)+'DCF Model'!F45/(1+$B10)^('DCF Model'!C19+3)+'DCF Model'!G45/(1+$B10)^('DCF Model'!C19+4)+'DCF Model'!G45*(1+G$6)/($B10-G$6)/(1+$B10)^('DCF Model'!C19+4)-'DCF Model'!C16)*1000000/'DCF Model'!C15,0),"")</f>
        <v>246</v>
      </c>
      <c r="H10" s="40" t="n">
        <f aca="false">IFERROR(ROUND(('DCF Model'!C45/(1+$B10)^('DCF Model'!C19+0)+'DCF Model'!D45/(1+$B10)^('DCF Model'!C19+1)+'DCF Model'!E45/(1+$B10)^('DCF Model'!C19+2)+'DCF Model'!F45/(1+$B10)^('DCF Model'!C19+3)+'DCF Model'!G45/(1+$B10)^('DCF Model'!C19+4)+'DCF Model'!G45*(1+H$6)/($B10-H$6)/(1+$B10)^('DCF Model'!C19+4)-'DCF Model'!C16)*1000000/'DCF Model'!C15,0),"")</f>
        <v>295</v>
      </c>
      <c r="I10" s="40" t="n">
        <f aca="false">IFERROR(ROUND(('DCF Model'!C45/(1+$B10)^('DCF Model'!C19+0)+'DCF Model'!D45/(1+$B10)^('DCF Model'!C19+1)+'DCF Model'!E45/(1+$B10)^('DCF Model'!C19+2)+'DCF Model'!F45/(1+$B10)^('DCF Model'!C19+3)+'DCF Model'!G45/(1+$B10)^('DCF Model'!C19+4)+'DCF Model'!G45*(1+I$6)/($B10-I$6)/(1+$B10)^('DCF Model'!C19+4)-'DCF Model'!C16)*1000000/'DCF Model'!C15,0),"")</f>
        <v>347</v>
      </c>
    </row>
    <row r="11" customFormat="false" ht="13.5" hidden="false" customHeight="true" outlineLevel="0" collapsed="false">
      <c r="B11" s="42" t="n">
        <f aca="false">$C$3+0.005</f>
        <v>0.0955718835804503</v>
      </c>
      <c r="C11" s="40" t="n">
        <f aca="false">IFERROR(ROUND(('DCF Model'!C45/(1+$B11)^('DCF Model'!C19+0)+'DCF Model'!D45/(1+$B11)^('DCF Model'!C19+1)+'DCF Model'!E45/(1+$B11)^('DCF Model'!C19+2)+'DCF Model'!F45/(1+$B11)^('DCF Model'!C19+3)+'DCF Model'!G45/(1+$B11)^('DCF Model'!C19+4)+'DCF Model'!G45*(1+C$6)/($B11-C$6)/(1+$B11)^('DCF Model'!C19+4)-'DCF Model'!C16)*1000000/'DCF Model'!C15,0),"")</f>
        <v>-11</v>
      </c>
      <c r="D11" s="40" t="n">
        <f aca="false">IFERROR(ROUND(('DCF Model'!C45/(1+$B11)^('DCF Model'!C19+0)+'DCF Model'!D45/(1+$B11)^('DCF Model'!C19+1)+'DCF Model'!E45/(1+$B11)^('DCF Model'!C19+2)+'DCF Model'!F45/(1+$B11)^('DCF Model'!C19+3)+'DCF Model'!G45/(1+$B11)^('DCF Model'!C19+4)+'DCF Model'!G45*(1+D$6)/($B11-D$6)/(1+$B11)^('DCF Model'!C19+4)-'DCF Model'!C16)*1000000/'DCF Model'!C15,0),"")</f>
        <v>22</v>
      </c>
      <c r="E11" s="40" t="n">
        <f aca="false">IFERROR(ROUND(('DCF Model'!C45/(1+$B11)^('DCF Model'!C19+0)+'DCF Model'!D45/(1+$B11)^('DCF Model'!C19+1)+'DCF Model'!E45/(1+$B11)^('DCF Model'!C19+2)+'DCF Model'!F45/(1+$B11)^('DCF Model'!C19+3)+'DCF Model'!G45/(1+$B11)^('DCF Model'!C19+4)+'DCF Model'!G45*(1+E$6)/($B11-E$6)/(1+$B11)^('DCF Model'!C19+4)-'DCF Model'!C16)*1000000/'DCF Model'!C15,0),"")</f>
        <v>57</v>
      </c>
      <c r="F11" s="40" t="n">
        <f aca="false">IFERROR(ROUND(('DCF Model'!C45/(1+$B11)^('DCF Model'!C19+0)+'DCF Model'!D45/(1+$B11)^('DCF Model'!C19+1)+'DCF Model'!E45/(1+$B11)^('DCF Model'!C19+2)+'DCF Model'!F45/(1+$B11)^('DCF Model'!C19+3)+'DCF Model'!G45/(1+$B11)^('DCF Model'!C19+4)+'DCF Model'!G45*(1+F$6)/($B11-F$6)/(1+$B11)^('DCF Model'!C19+4)-'DCF Model'!C16)*1000000/'DCF Model'!C15,0),"")</f>
        <v>94</v>
      </c>
      <c r="G11" s="40" t="n">
        <f aca="false">IFERROR(ROUND(('DCF Model'!C45/(1+$B11)^('DCF Model'!C19+0)+'DCF Model'!D45/(1+$B11)^('DCF Model'!C19+1)+'DCF Model'!E45/(1+$B11)^('DCF Model'!C19+2)+'DCF Model'!F45/(1+$B11)^('DCF Model'!C19+3)+'DCF Model'!G45/(1+$B11)^('DCF Model'!C19+4)+'DCF Model'!G45*(1+G$6)/($B11-G$6)/(1+$B11)^('DCF Model'!C19+4)-'DCF Model'!C16)*1000000/'DCF Model'!C15,0),"")</f>
        <v>133</v>
      </c>
      <c r="H11" s="40" t="n">
        <f aca="false">IFERROR(ROUND(('DCF Model'!C45/(1+$B11)^('DCF Model'!C19+0)+'DCF Model'!D45/(1+$B11)^('DCF Model'!C19+1)+'DCF Model'!E45/(1+$B11)^('DCF Model'!C19+2)+'DCF Model'!F45/(1+$B11)^('DCF Model'!C19+3)+'DCF Model'!G45/(1+$B11)^('DCF Model'!C19+4)+'DCF Model'!G45*(1+H$6)/($B11-H$6)/(1+$B11)^('DCF Model'!C19+4)-'DCF Model'!C16)*1000000/'DCF Model'!C15,0),"")</f>
        <v>175</v>
      </c>
      <c r="I11" s="40" t="n">
        <f aca="false">IFERROR(ROUND(('DCF Model'!C45/(1+$B11)^('DCF Model'!C19+0)+'DCF Model'!D45/(1+$B11)^('DCF Model'!C19+1)+'DCF Model'!E45/(1+$B11)^('DCF Model'!C19+2)+'DCF Model'!F45/(1+$B11)^('DCF Model'!C19+3)+'DCF Model'!G45/(1+$B11)^('DCF Model'!C19+4)+'DCF Model'!G45*(1+I$6)/($B11-I$6)/(1+$B11)^('DCF Model'!C19+4)-'DCF Model'!C16)*1000000/'DCF Model'!C15,0),"")</f>
        <v>220</v>
      </c>
    </row>
    <row r="12" customFormat="false" ht="13.5" hidden="false" customHeight="true" outlineLevel="0" collapsed="false">
      <c r="B12" s="42" t="n">
        <f aca="false">$C$3+0.01</f>
        <v>0.10057188358045</v>
      </c>
      <c r="C12" s="40" t="n">
        <f aca="false">IFERROR(ROUND(('DCF Model'!C45/(1+$B12)^('DCF Model'!C19+0)+'DCF Model'!D45/(1+$B12)^('DCF Model'!C19+1)+'DCF Model'!E45/(1+$B12)^('DCF Model'!C19+2)+'DCF Model'!F45/(1+$B12)^('DCF Model'!C19+3)+'DCF Model'!G45/(1+$B12)^('DCF Model'!C19+4)+'DCF Model'!G45*(1+C$6)/($B12-C$6)/(1+$B12)^('DCF Model'!C19+4)-'DCF Model'!C16)*1000000/'DCF Model'!C15,0),"")</f>
        <v>-92</v>
      </c>
      <c r="D12" s="40" t="n">
        <f aca="false">IFERROR(ROUND(('DCF Model'!C45/(1+$B12)^('DCF Model'!C19+0)+'DCF Model'!D45/(1+$B12)^('DCF Model'!C19+1)+'DCF Model'!E45/(1+$B12)^('DCF Model'!C19+2)+'DCF Model'!F45/(1+$B12)^('DCF Model'!C19+3)+'DCF Model'!G45/(1+$B12)^('DCF Model'!C19+4)+'DCF Model'!G45*(1+D$6)/($B12-D$6)/(1+$B12)^('DCF Model'!C19+4)-'DCF Model'!C16)*1000000/'DCF Model'!C15,0),"")</f>
        <v>-63</v>
      </c>
      <c r="E12" s="40" t="n">
        <f aca="false">IFERROR(ROUND(('DCF Model'!C45/(1+$B12)^('DCF Model'!C19+0)+'DCF Model'!D45/(1+$B12)^('DCF Model'!C19+1)+'DCF Model'!E45/(1+$B12)^('DCF Model'!C19+2)+'DCF Model'!F45/(1+$B12)^('DCF Model'!C19+3)+'DCF Model'!G45/(1+$B12)^('DCF Model'!C19+4)+'DCF Model'!G45*(1+E$6)/($B12-E$6)/(1+$B12)^('DCF Model'!C19+4)-'DCF Model'!C16)*1000000/'DCF Model'!C15,0),"")</f>
        <v>-33</v>
      </c>
      <c r="F12" s="40" t="n">
        <f aca="false">IFERROR(ROUND(('DCF Model'!C45/(1+$B12)^('DCF Model'!C19+0)+'DCF Model'!D45/(1+$B12)^('DCF Model'!C19+1)+'DCF Model'!E45/(1+$B12)^('DCF Model'!C19+2)+'DCF Model'!F45/(1+$B12)^('DCF Model'!C19+3)+'DCF Model'!G45/(1+$B12)^('DCF Model'!C19+4)+'DCF Model'!G45*(1+F$6)/($B12-F$6)/(1+$B12)^('DCF Model'!C19+4)-'DCF Model'!C16)*1000000/'DCF Model'!C15,0),"")</f>
        <v>-1</v>
      </c>
      <c r="G12" s="40" t="n">
        <f aca="false">IFERROR(ROUND(('DCF Model'!C45/(1+$B12)^('DCF Model'!C19+0)+'DCF Model'!D45/(1+$B12)^('DCF Model'!C19+1)+'DCF Model'!E45/(1+$B12)^('DCF Model'!C19+2)+'DCF Model'!F45/(1+$B12)^('DCF Model'!C19+3)+'DCF Model'!G45/(1+$B12)^('DCF Model'!C19+4)+'DCF Model'!G45*(1+G$6)/($B12-G$6)/(1+$B12)^('DCF Model'!C19+4)-'DCF Model'!C16)*1000000/'DCF Model'!C15,0),"")</f>
        <v>34</v>
      </c>
      <c r="H12" s="40" t="n">
        <f aca="false">IFERROR(ROUND(('DCF Model'!C45/(1+$B12)^('DCF Model'!C19+0)+'DCF Model'!D45/(1+$B12)^('DCF Model'!C19+1)+'DCF Model'!E45/(1+$B12)^('DCF Model'!C19+2)+'DCF Model'!F45/(1+$B12)^('DCF Model'!C19+3)+'DCF Model'!G45/(1+$B12)^('DCF Model'!C19+4)+'DCF Model'!G45*(1+H$6)/($B12-H$6)/(1+$B12)^('DCF Model'!C19+4)-'DCF Model'!C16)*1000000/'DCF Model'!C15,0),"")</f>
        <v>70</v>
      </c>
      <c r="I12" s="40" t="n">
        <f aca="false">IFERROR(ROUND(('DCF Model'!C45/(1+$B12)^('DCF Model'!C19+0)+'DCF Model'!D45/(1+$B12)^('DCF Model'!C19+1)+'DCF Model'!E45/(1+$B12)^('DCF Model'!C19+2)+'DCF Model'!F45/(1+$B12)^('DCF Model'!C19+3)+'DCF Model'!G45/(1+$B12)^('DCF Model'!C19+4)+'DCF Model'!G45*(1+I$6)/($B12-I$6)/(1+$B12)^('DCF Model'!C19+4)-'DCF Model'!C16)*1000000/'DCF Model'!C15,0),"")</f>
        <v>109</v>
      </c>
    </row>
    <row r="13" customFormat="false" ht="13.5" hidden="false" customHeight="true" outlineLevel="0" collapsed="false">
      <c r="B13" s="42" t="n">
        <f aca="false">$C$3+0.015</f>
        <v>0.10557188358045</v>
      </c>
      <c r="C13" s="40" t="n">
        <f aca="false">IFERROR(ROUND(('DCF Model'!C45/(1+$B13)^('DCF Model'!C19+0)+'DCF Model'!D45/(1+$B13)^('DCF Model'!C19+1)+'DCF Model'!E45/(1+$B13)^('DCF Model'!C19+2)+'DCF Model'!F45/(1+$B13)^('DCF Model'!C19+3)+'DCF Model'!G45/(1+$B13)^('DCF Model'!C19+4)+'DCF Model'!G45*(1+C$6)/($B13-C$6)/(1+$B13)^('DCF Model'!C19+4)-'DCF Model'!C16)*1000000/'DCF Model'!C15,0),"")</f>
        <v>-165</v>
      </c>
      <c r="D13" s="40" t="n">
        <f aca="false">IFERROR(ROUND(('DCF Model'!C45/(1+$B13)^('DCF Model'!C19+0)+'DCF Model'!D45/(1+$B13)^('DCF Model'!C19+1)+'DCF Model'!E45/(1+$B13)^('DCF Model'!C19+2)+'DCF Model'!F45/(1+$B13)^('DCF Model'!C19+3)+'DCF Model'!G45/(1+$B13)^('DCF Model'!C19+4)+'DCF Model'!G45*(1+D$6)/($B13-D$6)/(1+$B13)^('DCF Model'!C19+4)-'DCF Model'!C16)*1000000/'DCF Model'!C15,0),"")</f>
        <v>-139</v>
      </c>
      <c r="E13" s="40" t="n">
        <f aca="false">IFERROR(ROUND(('DCF Model'!C45/(1+$B13)^('DCF Model'!C19+0)+'DCF Model'!D45/(1+$B13)^('DCF Model'!C19+1)+'DCF Model'!E45/(1+$B13)^('DCF Model'!C19+2)+'DCF Model'!F45/(1+$B13)^('DCF Model'!C19+3)+'DCF Model'!G45/(1+$B13)^('DCF Model'!C19+4)+'DCF Model'!G45*(1+E$6)/($B13-E$6)/(1+$B13)^('DCF Model'!C19+4)-'DCF Model'!C16)*1000000/'DCF Model'!C15,0),"")</f>
        <v>-112</v>
      </c>
      <c r="F13" s="40" t="n">
        <f aca="false">IFERROR(ROUND(('DCF Model'!C45/(1+$B13)^('DCF Model'!C19+0)+'DCF Model'!D45/(1+$B13)^('DCF Model'!C19+1)+'DCF Model'!E45/(1+$B13)^('DCF Model'!C19+2)+'DCF Model'!F45/(1+$B13)^('DCF Model'!C19+3)+'DCF Model'!G45/(1+$B13)^('DCF Model'!C19+4)+'DCF Model'!G45*(1+F$6)/($B13-F$6)/(1+$B13)^('DCF Model'!C19+4)-'DCF Model'!C16)*1000000/'DCF Model'!C15,0),"")</f>
        <v>-84</v>
      </c>
      <c r="G13" s="40" t="n">
        <f aca="false">IFERROR(ROUND(('DCF Model'!C45/(1+$B13)^('DCF Model'!C19+0)+'DCF Model'!D45/(1+$B13)^('DCF Model'!C19+1)+'DCF Model'!E45/(1+$B13)^('DCF Model'!C19+2)+'DCF Model'!F45/(1+$B13)^('DCF Model'!C19+3)+'DCF Model'!G45/(1+$B13)^('DCF Model'!C19+4)+'DCF Model'!G45*(1+G$6)/($B13-G$6)/(1+$B13)^('DCF Model'!C19+4)-'DCF Model'!C16)*1000000/'DCF Model'!C15,0),"")</f>
        <v>-54</v>
      </c>
      <c r="H13" s="40" t="n">
        <f aca="false">IFERROR(ROUND(('DCF Model'!C45/(1+$B13)^('DCF Model'!C19+0)+'DCF Model'!D45/(1+$B13)^('DCF Model'!C19+1)+'DCF Model'!E45/(1+$B13)^('DCF Model'!C19+2)+'DCF Model'!F45/(1+$B13)^('DCF Model'!C19+3)+'DCF Model'!G45/(1+$B13)^('DCF Model'!C19+4)+'DCF Model'!G45*(1+H$6)/($B13-H$6)/(1+$B13)^('DCF Model'!C19+4)-'DCF Model'!C16)*1000000/'DCF Model'!C15,0),"")</f>
        <v>-22</v>
      </c>
      <c r="I13" s="40" t="n">
        <f aca="false">IFERROR(ROUND(('DCF Model'!C45/(1+$B13)^('DCF Model'!C19+0)+'DCF Model'!D45/(1+$B13)^('DCF Model'!C19+1)+'DCF Model'!E45/(1+$B13)^('DCF Model'!C19+2)+'DCF Model'!F45/(1+$B13)^('DCF Model'!C19+3)+'DCF Model'!G45/(1+$B13)^('DCF Model'!C19+4)+'DCF Model'!G45*(1+I$6)/($B13-I$6)/(1+$B13)^('DCF Model'!C19+4)-'DCF Model'!C16)*1000000/'DCF Model'!C15,0),"")</f>
        <v>11</v>
      </c>
    </row>
    <row r="14" customFormat="false" ht="13.5" hidden="false" customHeight="true" outlineLevel="0" collapsed="false"/>
    <row r="15" customFormat="false" ht="13.5" hidden="false" customHeight="true" outlineLevel="0" collapsed="false"/>
    <row r="16" customFormat="false" ht="13.5" hidden="false" customHeight="true" outlineLevel="0" collapsed="false">
      <c r="B16" s="4" t="s">
        <v>254</v>
      </c>
    </row>
    <row r="17" customFormat="false" ht="13.5" hidden="false" customHeight="true" outlineLevel="0" collapsed="false">
      <c r="B17" s="43" t="s">
        <v>255</v>
      </c>
      <c r="C17" s="45" t="n">
        <f aca="false">$I$3-3</f>
        <v>5</v>
      </c>
      <c r="D17" s="45" t="n">
        <f aca="false">$I$3-2</f>
        <v>6</v>
      </c>
      <c r="E17" s="45" t="n">
        <f aca="false">$I$3-1</f>
        <v>7</v>
      </c>
      <c r="F17" s="45" t="n">
        <f aca="false">$I$3</f>
        <v>8</v>
      </c>
      <c r="G17" s="45" t="n">
        <f aca="false">$I$3+1</f>
        <v>9</v>
      </c>
      <c r="H17" s="45" t="n">
        <f aca="false">$I$3+2</f>
        <v>10</v>
      </c>
      <c r="I17" s="45" t="n">
        <f aca="false">$I$3+3</f>
        <v>11</v>
      </c>
    </row>
    <row r="18" customFormat="false" ht="13.5" hidden="false" customHeight="true" outlineLevel="0" collapsed="false">
      <c r="B18" s="42" t="n">
        <f aca="false">$C$3-0.015</f>
        <v>0.0755718835804503</v>
      </c>
      <c r="C18" s="40" t="n">
        <f aca="false">IFERROR(ROUND(('DCF Model'!C45/(1+$B18)^('DCF Model'!C19+0)+'DCF Model'!D45/(1+$B18)^('DCF Model'!C19+1)+'DCF Model'!E45/(1+$B18)^('DCF Model'!C19+2)+'DCF Model'!F45/(1+$B18)^('DCF Model'!C19+3)+'DCF Model'!G45/(1+$B18)^('DCF Model'!C19+4)+('DCF Model'!G39+'DCF Model'!G42)*C$17/(1+$B18)^('DCF Model'!C19+4)-'DCF Model'!C16)*1000000/'DCF Model'!C15,0),"")</f>
        <v>40</v>
      </c>
      <c r="D18" s="40" t="n">
        <f aca="false">IFERROR(ROUND(('DCF Model'!C45/(1+$B18)^('DCF Model'!C19+0)+'DCF Model'!D45/(1+$B18)^('DCF Model'!C19+1)+'DCF Model'!E45/(1+$B18)^('DCF Model'!C19+2)+'DCF Model'!F45/(1+$B18)^('DCF Model'!C19+3)+'DCF Model'!G45/(1+$B18)^('DCF Model'!C19+4)+('DCF Model'!G39+'DCF Model'!G42)*D$17/(1+$B18)^('DCF Model'!C19+4)-'DCF Model'!C16)*1000000/'DCF Model'!C15,0),"")</f>
        <v>254</v>
      </c>
      <c r="E18" s="40" t="n">
        <f aca="false">IFERROR(ROUND(('DCF Model'!C45/(1+$B18)^('DCF Model'!C19+0)+'DCF Model'!D45/(1+$B18)^('DCF Model'!C19+1)+'DCF Model'!E45/(1+$B18)^('DCF Model'!C19+2)+'DCF Model'!F45/(1+$B18)^('DCF Model'!C19+3)+'DCF Model'!G45/(1+$B18)^('DCF Model'!C19+4)+('DCF Model'!G39+'DCF Model'!G42)*E$17/(1+$B18)^('DCF Model'!C19+4)-'DCF Model'!C16)*1000000/'DCF Model'!C15,0),"")</f>
        <v>468</v>
      </c>
      <c r="F18" s="40" t="n">
        <f aca="false">IFERROR(ROUND(('DCF Model'!C45/(1+$B18)^('DCF Model'!C19+0)+'DCF Model'!D45/(1+$B18)^('DCF Model'!C19+1)+'DCF Model'!E45/(1+$B18)^('DCF Model'!C19+2)+'DCF Model'!F45/(1+$B18)^('DCF Model'!C19+3)+'DCF Model'!G45/(1+$B18)^('DCF Model'!C19+4)+('DCF Model'!G39+'DCF Model'!G42)*F$17/(1+$B18)^('DCF Model'!C19+4)-'DCF Model'!C16)*1000000/'DCF Model'!C15,0),"")</f>
        <v>681</v>
      </c>
      <c r="G18" s="40" t="n">
        <f aca="false">IFERROR(ROUND(('DCF Model'!C45/(1+$B18)^('DCF Model'!C19+0)+'DCF Model'!D45/(1+$B18)^('DCF Model'!C19+1)+'DCF Model'!E45/(1+$B18)^('DCF Model'!C19+2)+'DCF Model'!F45/(1+$B18)^('DCF Model'!C19+3)+'DCF Model'!G45/(1+$B18)^('DCF Model'!C19+4)+('DCF Model'!G39+'DCF Model'!G42)*G$17/(1+$B18)^('DCF Model'!C19+4)-'DCF Model'!C16)*1000000/'DCF Model'!C15,0),"")</f>
        <v>895</v>
      </c>
      <c r="H18" s="40" t="n">
        <f aca="false">IFERROR(ROUND(('DCF Model'!C45/(1+$B18)^('DCF Model'!C19+0)+'DCF Model'!D45/(1+$B18)^('DCF Model'!C19+1)+'DCF Model'!E45/(1+$B18)^('DCF Model'!C19+2)+'DCF Model'!F45/(1+$B18)^('DCF Model'!C19+3)+'DCF Model'!G45/(1+$B18)^('DCF Model'!C19+4)+('DCF Model'!G39+'DCF Model'!G42)*H$17/(1+$B18)^('DCF Model'!C19+4)-'DCF Model'!C16)*1000000/'DCF Model'!C15,0),"")</f>
        <v>1108</v>
      </c>
      <c r="I18" s="40" t="n">
        <f aca="false">IFERROR(ROUND(('DCF Model'!C45/(1+$B18)^('DCF Model'!C19+0)+'DCF Model'!D45/(1+$B18)^('DCF Model'!C19+1)+'DCF Model'!E45/(1+$B18)^('DCF Model'!C19+2)+'DCF Model'!F45/(1+$B18)^('DCF Model'!C19+3)+'DCF Model'!G45/(1+$B18)^('DCF Model'!C19+4)+('DCF Model'!G39+'DCF Model'!G42)*I$17/(1+$B18)^('DCF Model'!C19+4)-'DCF Model'!C16)*1000000/'DCF Model'!C15,0),"")</f>
        <v>1322</v>
      </c>
    </row>
    <row r="19" customFormat="false" ht="13.5" hidden="false" customHeight="true" outlineLevel="0" collapsed="false">
      <c r="B19" s="42" t="n">
        <f aca="false">$C$3-0.01</f>
        <v>0.0805718835804503</v>
      </c>
      <c r="C19" s="40" t="n">
        <f aca="false">IFERROR(ROUND(('DCF Model'!C45/(1+$B19)^('DCF Model'!C19+0)+'DCF Model'!D45/(1+$B19)^('DCF Model'!C19+1)+'DCF Model'!E45/(1+$B19)^('DCF Model'!C19+2)+'DCF Model'!F45/(1+$B19)^('DCF Model'!C19+3)+'DCF Model'!G45/(1+$B19)^('DCF Model'!C19+4)+('DCF Model'!G39+'DCF Model'!G42)*C$17/(1+$B19)^('DCF Model'!C19+4)-'DCF Model'!C16)*1000000/'DCF Model'!C15,0),"")</f>
        <v>12</v>
      </c>
      <c r="D19" s="40" t="n">
        <f aca="false">IFERROR(ROUND(('DCF Model'!C45/(1+$B19)^('DCF Model'!C19+0)+'DCF Model'!D45/(1+$B19)^('DCF Model'!C19+1)+'DCF Model'!E45/(1+$B19)^('DCF Model'!C19+2)+'DCF Model'!F45/(1+$B19)^('DCF Model'!C19+3)+'DCF Model'!G45/(1+$B19)^('DCF Model'!C19+4)+('DCF Model'!G39+'DCF Model'!G42)*D$17/(1+$B19)^('DCF Model'!C19+4)-'DCF Model'!C16)*1000000/'DCF Model'!C15,0),"")</f>
        <v>221</v>
      </c>
      <c r="E19" s="40" t="n">
        <f aca="false">IFERROR(ROUND(('DCF Model'!C45/(1+$B19)^('DCF Model'!C19+0)+'DCF Model'!D45/(1+$B19)^('DCF Model'!C19+1)+'DCF Model'!E45/(1+$B19)^('DCF Model'!C19+2)+'DCF Model'!F45/(1+$B19)^('DCF Model'!C19+3)+'DCF Model'!G45/(1+$B19)^('DCF Model'!C19+4)+('DCF Model'!G39+'DCF Model'!G42)*E$17/(1+$B19)^('DCF Model'!C19+4)-'DCF Model'!C16)*1000000/'DCF Model'!C15,0),"")</f>
        <v>430</v>
      </c>
      <c r="F19" s="40" t="n">
        <f aca="false">IFERROR(ROUND(('DCF Model'!C45/(1+$B19)^('DCF Model'!C19+0)+'DCF Model'!D45/(1+$B19)^('DCF Model'!C19+1)+'DCF Model'!E45/(1+$B19)^('DCF Model'!C19+2)+'DCF Model'!F45/(1+$B19)^('DCF Model'!C19+3)+'DCF Model'!G45/(1+$B19)^('DCF Model'!C19+4)+('DCF Model'!G39+'DCF Model'!G42)*F$17/(1+$B19)^('DCF Model'!C19+4)-'DCF Model'!C16)*1000000/'DCF Model'!C15,0),"")</f>
        <v>639</v>
      </c>
      <c r="G19" s="40" t="n">
        <f aca="false">IFERROR(ROUND(('DCF Model'!C45/(1+$B19)^('DCF Model'!C19+0)+'DCF Model'!D45/(1+$B19)^('DCF Model'!C19+1)+'DCF Model'!E45/(1+$B19)^('DCF Model'!C19+2)+'DCF Model'!F45/(1+$B19)^('DCF Model'!C19+3)+'DCF Model'!G45/(1+$B19)^('DCF Model'!C19+4)+('DCF Model'!G39+'DCF Model'!G42)*G$17/(1+$B19)^('DCF Model'!C19+4)-'DCF Model'!C16)*1000000/'DCF Model'!C15,0),"")</f>
        <v>848</v>
      </c>
      <c r="H19" s="40" t="n">
        <f aca="false">IFERROR(ROUND(('DCF Model'!C45/(1+$B19)^('DCF Model'!C19+0)+'DCF Model'!D45/(1+$B19)^('DCF Model'!C19+1)+'DCF Model'!E45/(1+$B19)^('DCF Model'!C19+2)+'DCF Model'!F45/(1+$B19)^('DCF Model'!C19+3)+'DCF Model'!G45/(1+$B19)^('DCF Model'!C19+4)+('DCF Model'!G39+'DCF Model'!G42)*H$17/(1+$B19)^('DCF Model'!C19+4)-'DCF Model'!C16)*1000000/'DCF Model'!C15,0),"")</f>
        <v>1057</v>
      </c>
      <c r="I19" s="40" t="n">
        <f aca="false">IFERROR(ROUND(('DCF Model'!C45/(1+$B19)^('DCF Model'!C19+0)+'DCF Model'!D45/(1+$B19)^('DCF Model'!C19+1)+'DCF Model'!E45/(1+$B19)^('DCF Model'!C19+2)+'DCF Model'!F45/(1+$B19)^('DCF Model'!C19+3)+'DCF Model'!G45/(1+$B19)^('DCF Model'!C19+4)+('DCF Model'!G39+'DCF Model'!G42)*I$17/(1+$B19)^('DCF Model'!C19+4)-'DCF Model'!C16)*1000000/'DCF Model'!C15,0),"")</f>
        <v>1266</v>
      </c>
    </row>
    <row r="20" customFormat="false" ht="13.5" hidden="false" customHeight="true" outlineLevel="0" collapsed="false">
      <c r="B20" s="42" t="n">
        <f aca="false">$C$3-0.005</f>
        <v>0.0855718835804503</v>
      </c>
      <c r="C20" s="40" t="n">
        <f aca="false">IFERROR(ROUND(('DCF Model'!C45/(1+$B20)^('DCF Model'!C19+0)+'DCF Model'!D45/(1+$B20)^('DCF Model'!C19+1)+'DCF Model'!E45/(1+$B20)^('DCF Model'!C19+2)+'DCF Model'!F45/(1+$B20)^('DCF Model'!C19+3)+'DCF Model'!G45/(1+$B20)^('DCF Model'!C19+4)+('DCF Model'!G39+'DCF Model'!G42)*C$17/(1+$B20)^('DCF Model'!C19+4)-'DCF Model'!C16)*1000000/'DCF Model'!C15,0),"")</f>
        <v>-15</v>
      </c>
      <c r="D20" s="40" t="n">
        <f aca="false">IFERROR(ROUND(('DCF Model'!C45/(1+$B20)^('DCF Model'!C19+0)+'DCF Model'!D45/(1+$B20)^('DCF Model'!C19+1)+'DCF Model'!E45/(1+$B20)^('DCF Model'!C19+2)+'DCF Model'!F45/(1+$B20)^('DCF Model'!C19+3)+'DCF Model'!G45/(1+$B20)^('DCF Model'!C19+4)+('DCF Model'!G39+'DCF Model'!G42)*D$17/(1+$B20)^('DCF Model'!C19+4)-'DCF Model'!C16)*1000000/'DCF Model'!C15,0),"")</f>
        <v>189</v>
      </c>
      <c r="E20" s="40" t="n">
        <f aca="false">IFERROR(ROUND(('DCF Model'!C45/(1+$B20)^('DCF Model'!C19+0)+'DCF Model'!D45/(1+$B20)^('DCF Model'!C19+1)+'DCF Model'!E45/(1+$B20)^('DCF Model'!C19+2)+'DCF Model'!F45/(1+$B20)^('DCF Model'!C19+3)+'DCF Model'!G45/(1+$B20)^('DCF Model'!C19+4)+('DCF Model'!G39+'DCF Model'!G42)*E$17/(1+$B20)^('DCF Model'!C19+4)-'DCF Model'!C16)*1000000/'DCF Model'!C15,0),"")</f>
        <v>394</v>
      </c>
      <c r="F20" s="40" t="n">
        <f aca="false">IFERROR(ROUND(('DCF Model'!C45/(1+$B20)^('DCF Model'!C19+0)+'DCF Model'!D45/(1+$B20)^('DCF Model'!C19+1)+'DCF Model'!E45/(1+$B20)^('DCF Model'!C19+2)+'DCF Model'!F45/(1+$B20)^('DCF Model'!C19+3)+'DCF Model'!G45/(1+$B20)^('DCF Model'!C19+4)+('DCF Model'!G39+'DCF Model'!G42)*F$17/(1+$B20)^('DCF Model'!C19+4)-'DCF Model'!C16)*1000000/'DCF Model'!C15,0),"")</f>
        <v>598</v>
      </c>
      <c r="G20" s="40" t="n">
        <f aca="false">IFERROR(ROUND(('DCF Model'!C45/(1+$B20)^('DCF Model'!C19+0)+'DCF Model'!D45/(1+$B20)^('DCF Model'!C19+1)+'DCF Model'!E45/(1+$B20)^('DCF Model'!C19+2)+'DCF Model'!F45/(1+$B20)^('DCF Model'!C19+3)+'DCF Model'!G45/(1+$B20)^('DCF Model'!C19+4)+('DCF Model'!G39+'DCF Model'!G42)*G$17/(1+$B20)^('DCF Model'!C19+4)-'DCF Model'!C16)*1000000/'DCF Model'!C15,0),"")</f>
        <v>802</v>
      </c>
      <c r="H20" s="40" t="n">
        <f aca="false">IFERROR(ROUND(('DCF Model'!C45/(1+$B20)^('DCF Model'!C19+0)+'DCF Model'!D45/(1+$B20)^('DCF Model'!C19+1)+'DCF Model'!E45/(1+$B20)^('DCF Model'!C19+2)+'DCF Model'!F45/(1+$B20)^('DCF Model'!C19+3)+'DCF Model'!G45/(1+$B20)^('DCF Model'!C19+4)+('DCF Model'!G39+'DCF Model'!G42)*H$17/(1+$B20)^('DCF Model'!C19+4)-'DCF Model'!C16)*1000000/'DCF Model'!C15,0),"")</f>
        <v>1007</v>
      </c>
      <c r="I20" s="40" t="n">
        <f aca="false">IFERROR(ROUND(('DCF Model'!C45/(1+$B20)^('DCF Model'!C19+0)+'DCF Model'!D45/(1+$B20)^('DCF Model'!C19+1)+'DCF Model'!E45/(1+$B20)^('DCF Model'!C19+2)+'DCF Model'!F45/(1+$B20)^('DCF Model'!C19+3)+'DCF Model'!G45/(1+$B20)^('DCF Model'!C19+4)+('DCF Model'!G39+'DCF Model'!G42)*I$17/(1+$B20)^('DCF Model'!C19+4)-'DCF Model'!C16)*1000000/'DCF Model'!C15,0),"")</f>
        <v>1211</v>
      </c>
    </row>
    <row r="21" customFormat="false" ht="13.5" hidden="false" customHeight="true" outlineLevel="0" collapsed="false">
      <c r="B21" s="42" t="n">
        <f aca="false">$C$3</f>
        <v>0.0905718835804503</v>
      </c>
      <c r="C21" s="40" t="n">
        <f aca="false">IFERROR(ROUND(('DCF Model'!C45/(1+$B21)^('DCF Model'!C19+0)+'DCF Model'!D45/(1+$B21)^('DCF Model'!C19+1)+'DCF Model'!E45/(1+$B21)^('DCF Model'!C19+2)+'DCF Model'!F45/(1+$B21)^('DCF Model'!C19+3)+'DCF Model'!G45/(1+$B21)^('DCF Model'!C19+4)+('DCF Model'!G39+'DCF Model'!G42)*C$17/(1+$B21)^('DCF Model'!C19+4)-'DCF Model'!C16)*1000000/'DCF Model'!C15,0),"")</f>
        <v>-42</v>
      </c>
      <c r="D21" s="40" t="n">
        <f aca="false">IFERROR(ROUND(('DCF Model'!C45/(1+$B21)^('DCF Model'!C19+0)+'DCF Model'!D45/(1+$B21)^('DCF Model'!C19+1)+'DCF Model'!E45/(1+$B21)^('DCF Model'!C19+2)+'DCF Model'!F45/(1+$B21)^('DCF Model'!C19+3)+'DCF Model'!G45/(1+$B21)^('DCF Model'!C19+4)+('DCF Model'!G39+'DCF Model'!G42)*D$17/(1+$B21)^('DCF Model'!C19+4)-'DCF Model'!C16)*1000000/'DCF Model'!C15,0),"")</f>
        <v>158</v>
      </c>
      <c r="E21" s="40" t="n">
        <f aca="false">IFERROR(ROUND(('DCF Model'!C45/(1+$B21)^('DCF Model'!C19+0)+'DCF Model'!D45/(1+$B21)^('DCF Model'!C19+1)+'DCF Model'!E45/(1+$B21)^('DCF Model'!C19+2)+'DCF Model'!F45/(1+$B21)^('DCF Model'!C19+3)+'DCF Model'!G45/(1+$B21)^('DCF Model'!C19+4)+('DCF Model'!G39+'DCF Model'!G42)*E$17/(1+$B21)^('DCF Model'!C19+4)-'DCF Model'!C16)*1000000/'DCF Model'!C15,0),"")</f>
        <v>358</v>
      </c>
      <c r="F21" s="40" t="n">
        <f aca="false">IFERROR(ROUND(('DCF Model'!C45/(1+$B21)^('DCF Model'!C19+0)+'DCF Model'!D45/(1+$B21)^('DCF Model'!C19+1)+'DCF Model'!E45/(1+$B21)^('DCF Model'!C19+2)+'DCF Model'!F45/(1+$B21)^('DCF Model'!C19+3)+'DCF Model'!G45/(1+$B21)^('DCF Model'!C19+4)+('DCF Model'!G39+'DCF Model'!G42)*F$17/(1+$B21)^('DCF Model'!C19+4)-'DCF Model'!C16)*1000000/'DCF Model'!C15,0),"")</f>
        <v>558</v>
      </c>
      <c r="G21" s="40" t="n">
        <f aca="false">IFERROR(ROUND(('DCF Model'!C45/(1+$B21)^('DCF Model'!C19+0)+'DCF Model'!D45/(1+$B21)^('DCF Model'!C19+1)+'DCF Model'!E45/(1+$B21)^('DCF Model'!C19+2)+'DCF Model'!F45/(1+$B21)^('DCF Model'!C19+3)+'DCF Model'!G45/(1+$B21)^('DCF Model'!C19+4)+('DCF Model'!G39+'DCF Model'!G42)*G$17/(1+$B21)^('DCF Model'!C19+4)-'DCF Model'!C16)*1000000/'DCF Model'!C15,0),"")</f>
        <v>758</v>
      </c>
      <c r="H21" s="40" t="n">
        <f aca="false">IFERROR(ROUND(('DCF Model'!C45/(1+$B21)^('DCF Model'!C19+0)+'DCF Model'!D45/(1+$B21)^('DCF Model'!C19+1)+'DCF Model'!E45/(1+$B21)^('DCF Model'!C19+2)+'DCF Model'!F45/(1+$B21)^('DCF Model'!C19+3)+'DCF Model'!G45/(1+$B21)^('DCF Model'!C19+4)+('DCF Model'!G39+'DCF Model'!G42)*H$17/(1+$B21)^('DCF Model'!C19+4)-'DCF Model'!C16)*1000000/'DCF Model'!C15,0),"")</f>
        <v>958</v>
      </c>
      <c r="I21" s="40" t="n">
        <f aca="false">IFERROR(ROUND(('DCF Model'!C45/(1+$B21)^('DCF Model'!C19+0)+'DCF Model'!D45/(1+$B21)^('DCF Model'!C19+1)+'DCF Model'!E45/(1+$B21)^('DCF Model'!C19+2)+'DCF Model'!F45/(1+$B21)^('DCF Model'!C19+3)+'DCF Model'!G45/(1+$B21)^('DCF Model'!C19+4)+('DCF Model'!G39+'DCF Model'!G42)*I$17/(1+$B21)^('DCF Model'!C19+4)-'DCF Model'!C16)*1000000/'DCF Model'!C15,0),"")</f>
        <v>1158</v>
      </c>
    </row>
    <row r="22" customFormat="false" ht="13.5" hidden="false" customHeight="true" outlineLevel="0" collapsed="false">
      <c r="B22" s="42" t="n">
        <f aca="false">$C$3+0.005</f>
        <v>0.0955718835804503</v>
      </c>
      <c r="C22" s="40" t="n">
        <f aca="false">IFERROR(ROUND(('DCF Model'!C45/(1+$B22)^('DCF Model'!C19+0)+'DCF Model'!D45/(1+$B22)^('DCF Model'!C19+1)+'DCF Model'!E45/(1+$B22)^('DCF Model'!C19+2)+'DCF Model'!F45/(1+$B22)^('DCF Model'!C19+3)+'DCF Model'!G45/(1+$B22)^('DCF Model'!C19+4)+('DCF Model'!G39+'DCF Model'!G42)*C$17/(1+$B22)^('DCF Model'!C19+4)-'DCF Model'!C16)*1000000/'DCF Model'!C15,0),"")</f>
        <v>-68</v>
      </c>
      <c r="D22" s="40" t="n">
        <f aca="false">IFERROR(ROUND(('DCF Model'!C45/(1+$B22)^('DCF Model'!C19+0)+'DCF Model'!D45/(1+$B22)^('DCF Model'!C19+1)+'DCF Model'!E45/(1+$B22)^('DCF Model'!C19+2)+'DCF Model'!F45/(1+$B22)^('DCF Model'!C19+3)+'DCF Model'!G45/(1+$B22)^('DCF Model'!C19+4)+('DCF Model'!G39+'DCF Model'!G42)*D$17/(1+$B22)^('DCF Model'!C19+4)-'DCF Model'!C16)*1000000/'DCF Model'!C15,0),"")</f>
        <v>128</v>
      </c>
      <c r="E22" s="40" t="n">
        <f aca="false">IFERROR(ROUND(('DCF Model'!C45/(1+$B22)^('DCF Model'!C19+0)+'DCF Model'!D45/(1+$B22)^('DCF Model'!C19+1)+'DCF Model'!E45/(1+$B22)^('DCF Model'!C19+2)+'DCF Model'!F45/(1+$B22)^('DCF Model'!C19+3)+'DCF Model'!G45/(1+$B22)^('DCF Model'!C19+4)+('DCF Model'!G39+'DCF Model'!G42)*E$17/(1+$B22)^('DCF Model'!C19+4)-'DCF Model'!C16)*1000000/'DCF Model'!C15,0),"")</f>
        <v>323</v>
      </c>
      <c r="F22" s="40" t="n">
        <f aca="false">IFERROR(ROUND(('DCF Model'!C45/(1+$B22)^('DCF Model'!C19+0)+'DCF Model'!D45/(1+$B22)^('DCF Model'!C19+1)+'DCF Model'!E45/(1+$B22)^('DCF Model'!C19+2)+'DCF Model'!F45/(1+$B22)^('DCF Model'!C19+3)+'DCF Model'!G45/(1+$B22)^('DCF Model'!C19+4)+('DCF Model'!G39+'DCF Model'!G42)*F$17/(1+$B22)^('DCF Model'!C19+4)-'DCF Model'!C16)*1000000/'DCF Model'!C15,0),"")</f>
        <v>519</v>
      </c>
      <c r="G22" s="40" t="n">
        <f aca="false">IFERROR(ROUND(('DCF Model'!C45/(1+$B22)^('DCF Model'!C19+0)+'DCF Model'!D45/(1+$B22)^('DCF Model'!C19+1)+'DCF Model'!E45/(1+$B22)^('DCF Model'!C19+2)+'DCF Model'!F45/(1+$B22)^('DCF Model'!C19+3)+'DCF Model'!G45/(1+$B22)^('DCF Model'!C19+4)+('DCF Model'!G39+'DCF Model'!G42)*G$17/(1+$B22)^('DCF Model'!C19+4)-'DCF Model'!C16)*1000000/'DCF Model'!C15,0),"")</f>
        <v>715</v>
      </c>
      <c r="H22" s="40" t="n">
        <f aca="false">IFERROR(ROUND(('DCF Model'!C45/(1+$B22)^('DCF Model'!C19+0)+'DCF Model'!D45/(1+$B22)^('DCF Model'!C19+1)+'DCF Model'!E45/(1+$B22)^('DCF Model'!C19+2)+'DCF Model'!F45/(1+$B22)^('DCF Model'!C19+3)+'DCF Model'!G45/(1+$B22)^('DCF Model'!C19+4)+('DCF Model'!G39+'DCF Model'!G42)*H$17/(1+$B22)^('DCF Model'!C19+4)-'DCF Model'!C16)*1000000/'DCF Model'!C15,0),"")</f>
        <v>910</v>
      </c>
      <c r="I22" s="40" t="n">
        <f aca="false">IFERROR(ROUND(('DCF Model'!C45/(1+$B22)^('DCF Model'!C19+0)+'DCF Model'!D45/(1+$B22)^('DCF Model'!C19+1)+'DCF Model'!E45/(1+$B22)^('DCF Model'!C19+2)+'DCF Model'!F45/(1+$B22)^('DCF Model'!C19+3)+'DCF Model'!G45/(1+$B22)^('DCF Model'!C19+4)+('DCF Model'!G39+'DCF Model'!G42)*I$17/(1+$B22)^('DCF Model'!C19+4)-'DCF Model'!C16)*1000000/'DCF Model'!C15,0),"")</f>
        <v>1106</v>
      </c>
    </row>
    <row r="23" customFormat="false" ht="13.5" hidden="false" customHeight="true" outlineLevel="0" collapsed="false">
      <c r="B23" s="42" t="n">
        <f aca="false">$C$3+0.01</f>
        <v>0.10057188358045</v>
      </c>
      <c r="C23" s="40" t="n">
        <f aca="false">IFERROR(ROUND(('DCF Model'!C45/(1+$B23)^('DCF Model'!C19+0)+'DCF Model'!D45/(1+$B23)^('DCF Model'!C19+1)+'DCF Model'!E45/(1+$B23)^('DCF Model'!C19+2)+'DCF Model'!F45/(1+$B23)^('DCF Model'!C19+3)+'DCF Model'!G45/(1+$B23)^('DCF Model'!C19+4)+('DCF Model'!G39+'DCF Model'!G42)*C$17/(1+$B23)^('DCF Model'!C19+4)-'DCF Model'!C16)*1000000/'DCF Model'!C15,0),"")</f>
        <v>-94</v>
      </c>
      <c r="D23" s="40" t="n">
        <f aca="false">IFERROR(ROUND(('DCF Model'!C45/(1+$B23)^('DCF Model'!C19+0)+'DCF Model'!D45/(1+$B23)^('DCF Model'!C19+1)+'DCF Model'!E45/(1+$B23)^('DCF Model'!C19+2)+'DCF Model'!F45/(1+$B23)^('DCF Model'!C19+3)+'DCF Model'!G45/(1+$B23)^('DCF Model'!C19+4)+('DCF Model'!G39+'DCF Model'!G42)*D$17/(1+$B23)^('DCF Model'!C19+4)-'DCF Model'!C16)*1000000/'DCF Model'!C15,0),"")</f>
        <v>98</v>
      </c>
      <c r="E23" s="40" t="n">
        <f aca="false">IFERROR(ROUND(('DCF Model'!C45/(1+$B23)^('DCF Model'!C19+0)+'DCF Model'!D45/(1+$B23)^('DCF Model'!C19+1)+'DCF Model'!E45/(1+$B23)^('DCF Model'!C19+2)+'DCF Model'!F45/(1+$B23)^('DCF Model'!C19+3)+'DCF Model'!G45/(1+$B23)^('DCF Model'!C19+4)+('DCF Model'!G39+'DCF Model'!G42)*E$17/(1+$B23)^('DCF Model'!C19+4)-'DCF Model'!C16)*1000000/'DCF Model'!C15,0),"")</f>
        <v>289</v>
      </c>
      <c r="F23" s="40" t="n">
        <f aca="false">IFERROR(ROUND(('DCF Model'!C45/(1+$B23)^('DCF Model'!C19+0)+'DCF Model'!D45/(1+$B23)^('DCF Model'!C19+1)+'DCF Model'!E45/(1+$B23)^('DCF Model'!C19+2)+'DCF Model'!F45/(1+$B23)^('DCF Model'!C19+3)+'DCF Model'!G45/(1+$B23)^('DCF Model'!C19+4)+('DCF Model'!G39+'DCF Model'!G42)*F$17/(1+$B23)^('DCF Model'!C19+4)-'DCF Model'!C16)*1000000/'DCF Model'!C15,0),"")</f>
        <v>481</v>
      </c>
      <c r="G23" s="40" t="n">
        <f aca="false">IFERROR(ROUND(('DCF Model'!C45/(1+$B23)^('DCF Model'!C19+0)+'DCF Model'!D45/(1+$B23)^('DCF Model'!C19+1)+'DCF Model'!E45/(1+$B23)^('DCF Model'!C19+2)+'DCF Model'!F45/(1+$B23)^('DCF Model'!C19+3)+'DCF Model'!G45/(1+$B23)^('DCF Model'!C19+4)+('DCF Model'!G39+'DCF Model'!G42)*G$17/(1+$B23)^('DCF Model'!C19+4)-'DCF Model'!C16)*1000000/'DCF Model'!C15,0),"")</f>
        <v>672</v>
      </c>
      <c r="H23" s="40" t="n">
        <f aca="false">IFERROR(ROUND(('DCF Model'!C45/(1+$B23)^('DCF Model'!C19+0)+'DCF Model'!D45/(1+$B23)^('DCF Model'!C19+1)+'DCF Model'!E45/(1+$B23)^('DCF Model'!C19+2)+'DCF Model'!F45/(1+$B23)^('DCF Model'!C19+3)+'DCF Model'!G45/(1+$B23)^('DCF Model'!C19+4)+('DCF Model'!G39+'DCF Model'!G42)*H$17/(1+$B23)^('DCF Model'!C19+4)-'DCF Model'!C16)*1000000/'DCF Model'!C15,0),"")</f>
        <v>864</v>
      </c>
      <c r="I23" s="40" t="n">
        <f aca="false">IFERROR(ROUND(('DCF Model'!C45/(1+$B23)^('DCF Model'!C19+0)+'DCF Model'!D45/(1+$B23)^('DCF Model'!C19+1)+'DCF Model'!E45/(1+$B23)^('DCF Model'!C19+2)+'DCF Model'!F45/(1+$B23)^('DCF Model'!C19+3)+'DCF Model'!G45/(1+$B23)^('DCF Model'!C19+4)+('DCF Model'!G39+'DCF Model'!G42)*I$17/(1+$B23)^('DCF Model'!C19+4)-'DCF Model'!C16)*1000000/'DCF Model'!C15,0),"")</f>
        <v>1056</v>
      </c>
    </row>
    <row r="24" customFormat="false" ht="13.5" hidden="false" customHeight="true" outlineLevel="0" collapsed="false">
      <c r="B24" s="42" t="n">
        <f aca="false">$C$3+0.015</f>
        <v>0.10557188358045</v>
      </c>
      <c r="C24" s="40" t="n">
        <f aca="false">IFERROR(ROUND(('DCF Model'!C45/(1+$B24)^('DCF Model'!C19+0)+'DCF Model'!D45/(1+$B24)^('DCF Model'!C19+1)+'DCF Model'!E45/(1+$B24)^('DCF Model'!C19+2)+'DCF Model'!F45/(1+$B24)^('DCF Model'!C19+3)+'DCF Model'!G45/(1+$B24)^('DCF Model'!C19+4)+('DCF Model'!G39+'DCF Model'!G42)*C$17/(1+$B24)^('DCF Model'!C19+4)-'DCF Model'!C16)*1000000/'DCF Model'!C15,0),"")</f>
        <v>-118</v>
      </c>
      <c r="D24" s="40" t="n">
        <f aca="false">IFERROR(ROUND(('DCF Model'!C45/(1+$B24)^('DCF Model'!C19+0)+'DCF Model'!D45/(1+$B24)^('DCF Model'!C19+1)+'DCF Model'!E45/(1+$B24)^('DCF Model'!C19+2)+'DCF Model'!F45/(1+$B24)^('DCF Model'!C19+3)+'DCF Model'!G45/(1+$B24)^('DCF Model'!C19+4)+('DCF Model'!G39+'DCF Model'!G42)*D$17/(1+$B24)^('DCF Model'!C19+4)-'DCF Model'!C16)*1000000/'DCF Model'!C15,0),"")</f>
        <v>69</v>
      </c>
      <c r="E24" s="40" t="n">
        <f aca="false">IFERROR(ROUND(('DCF Model'!C45/(1+$B24)^('DCF Model'!C19+0)+'DCF Model'!D45/(1+$B24)^('DCF Model'!C19+1)+'DCF Model'!E45/(1+$B24)^('DCF Model'!C19+2)+'DCF Model'!F45/(1+$B24)^('DCF Model'!C19+3)+'DCF Model'!G45/(1+$B24)^('DCF Model'!C19+4)+('DCF Model'!G39+'DCF Model'!G42)*E$17/(1+$B24)^('DCF Model'!C19+4)-'DCF Model'!C16)*1000000/'DCF Model'!C15,0),"")</f>
        <v>256</v>
      </c>
      <c r="F24" s="40" t="n">
        <f aca="false">IFERROR(ROUND(('DCF Model'!C45/(1+$B24)^('DCF Model'!C19+0)+'DCF Model'!D45/(1+$B24)^('DCF Model'!C19+1)+'DCF Model'!E45/(1+$B24)^('DCF Model'!C19+2)+'DCF Model'!F45/(1+$B24)^('DCF Model'!C19+3)+'DCF Model'!G45/(1+$B24)^('DCF Model'!C19+4)+('DCF Model'!G39+'DCF Model'!G42)*F$17/(1+$B24)^('DCF Model'!C19+4)-'DCF Model'!C16)*1000000/'DCF Model'!C15,0),"")</f>
        <v>444</v>
      </c>
      <c r="G24" s="40" t="n">
        <f aca="false">IFERROR(ROUND(('DCF Model'!C45/(1+$B24)^('DCF Model'!C19+0)+'DCF Model'!D45/(1+$B24)^('DCF Model'!C19+1)+'DCF Model'!E45/(1+$B24)^('DCF Model'!C19+2)+'DCF Model'!F45/(1+$B24)^('DCF Model'!C19+3)+'DCF Model'!G45/(1+$B24)^('DCF Model'!C19+4)+('DCF Model'!G39+'DCF Model'!G42)*G$17/(1+$B24)^('DCF Model'!C19+4)-'DCF Model'!C16)*1000000/'DCF Model'!C15,0),"")</f>
        <v>631</v>
      </c>
      <c r="H24" s="40" t="n">
        <f aca="false">IFERROR(ROUND(('DCF Model'!C45/(1+$B24)^('DCF Model'!C19+0)+'DCF Model'!D45/(1+$B24)^('DCF Model'!C19+1)+'DCF Model'!E45/(1+$B24)^('DCF Model'!C19+2)+'DCF Model'!F45/(1+$B24)^('DCF Model'!C19+3)+'DCF Model'!G45/(1+$B24)^('DCF Model'!C19+4)+('DCF Model'!G39+'DCF Model'!G42)*H$17/(1+$B24)^('DCF Model'!C19+4)-'DCF Model'!C16)*1000000/'DCF Model'!C15,0),"")</f>
        <v>819</v>
      </c>
      <c r="I24" s="40" t="n">
        <f aca="false">IFERROR(ROUND(('DCF Model'!C45/(1+$B24)^('DCF Model'!C19+0)+'DCF Model'!D45/(1+$B24)^('DCF Model'!C19+1)+'DCF Model'!E45/(1+$B24)^('DCF Model'!C19+2)+'DCF Model'!F45/(1+$B24)^('DCF Model'!C19+3)+'DCF Model'!G45/(1+$B24)^('DCF Model'!C19+4)+('DCF Model'!G39+'DCF Model'!G42)*I$17/(1+$B24)^('DCF Model'!C19+4)-'DCF Model'!C16)*1000000/'DCF Model'!C15,0),"")</f>
        <v>1006</v>
      </c>
    </row>
    <row r="25" customFormat="false" ht="13.5" hidden="false" customHeight="true" outlineLevel="0" collapsed="false"/>
    <row r="26" customFormat="false" ht="13.5" hidden="false" customHeight="true" outlineLevel="0" collapsed="false">
      <c r="B26" s="2" t="s">
        <v>256</v>
      </c>
      <c r="C26" s="2"/>
      <c r="D26" s="2"/>
      <c r="E26" s="2"/>
      <c r="F26" s="2"/>
      <c r="G26" s="2"/>
      <c r="H26" s="2"/>
      <c r="I26" s="2"/>
    </row>
    <row r="27" customFormat="false" ht="13.8" hidden="false" customHeight="false" outlineLevel="0" collapsed="false"/>
    <row r="28" customFormat="false" ht="17.15" hidden="false" customHeight="false" outlineLevel="0" collapsed="false">
      <c r="B28" s="1" t="s">
        <v>257</v>
      </c>
    </row>
    <row r="29" customFormat="false" ht="13.8" hidden="false" customHeight="false" outlineLevel="0" collapsed="false">
      <c r="B29" s="1" t="s">
        <v>258</v>
      </c>
      <c r="C29" s="46" t="n">
        <v>150</v>
      </c>
    </row>
    <row r="30" customFormat="false" ht="17.15" hidden="false" customHeight="false" outlineLevel="0" collapsed="false">
      <c r="B30" s="1" t="s">
        <v>259</v>
      </c>
      <c r="C30" s="46" t="n">
        <v>0.6</v>
      </c>
    </row>
    <row r="31" customFormat="false" ht="17.15" hidden="false" customHeight="false" outlineLevel="0" collapsed="false">
      <c r="B31" s="1" t="s">
        <v>260</v>
      </c>
      <c r="C31" s="46" t="n">
        <v>0.25</v>
      </c>
    </row>
    <row r="32" customFormat="false" ht="13.8" hidden="false" customHeight="false" outlineLevel="0" collapsed="false">
      <c r="B32" s="1" t="s">
        <v>261</v>
      </c>
      <c r="C32" s="47" t="n">
        <f aca="false">'DCF Model'!C33</f>
        <v>50050.832</v>
      </c>
    </row>
    <row r="33" customFormat="false" ht="13.8" hidden="false" customHeight="false" outlineLevel="0" collapsed="false">
      <c r="B33" s="1" t="s">
        <v>262</v>
      </c>
      <c r="C33" s="47" t="n">
        <f aca="false">'DCF Model'!C34</f>
        <v>39790.41144</v>
      </c>
    </row>
    <row r="34" customFormat="false" ht="13.8" hidden="false" customHeight="false" outlineLevel="0" collapsed="false">
      <c r="B34" s="1" t="s">
        <v>263</v>
      </c>
      <c r="C34" s="47" t="n">
        <f aca="false">'DCF Model'!C39</f>
        <v>4154.219056</v>
      </c>
    </row>
    <row r="35" customFormat="false" ht="13.8" hidden="false" customHeight="false" outlineLevel="0" collapsed="false">
      <c r="B35" s="1" t="s">
        <v>264</v>
      </c>
      <c r="C35" s="1" t="n">
        <f aca="false">(C32*C30-C33*C31)/C29</f>
        <v>133.8859756</v>
      </c>
    </row>
    <row r="36" customFormat="false" ht="13.8" hidden="false" customHeight="false" outlineLevel="0" collapsed="false"/>
    <row r="37" customFormat="false" ht="13.8" hidden="false" customHeight="false" outlineLevel="0" collapsed="false">
      <c r="B37" s="1" t="s">
        <v>265</v>
      </c>
      <c r="C37" s="1" t="n">
        <f aca="false">$C$29-20</f>
        <v>130</v>
      </c>
      <c r="D37" s="1" t="n">
        <f aca="false">$C$29-10</f>
        <v>140</v>
      </c>
      <c r="E37" s="1" t="n">
        <f aca="false">$C$29-5</f>
        <v>145</v>
      </c>
      <c r="F37" s="1" t="n">
        <f aca="false">$C$29</f>
        <v>150</v>
      </c>
      <c r="G37" s="1" t="n">
        <f aca="false">$C$29+5</f>
        <v>155</v>
      </c>
      <c r="H37" s="1" t="n">
        <f aca="false">$C$29+10</f>
        <v>160</v>
      </c>
      <c r="I37" s="1" t="n">
        <f aca="false">$C$29+20</f>
        <v>170</v>
      </c>
    </row>
    <row r="38" customFormat="false" ht="13.8" hidden="false" customHeight="false" outlineLevel="0" collapsed="false">
      <c r="B38" s="1" t="s">
        <v>266</v>
      </c>
      <c r="C38" s="1" t="n">
        <f aca="false">$C$34+(C37-$C$29)*$C$35</f>
        <v>1476.499544</v>
      </c>
      <c r="D38" s="1" t="n">
        <f aca="false">$C$34+(D37-$C$29)*$C$35</f>
        <v>2815.3593</v>
      </c>
      <c r="E38" s="1" t="n">
        <f aca="false">$C$34+(E37-$C$29)*$C$35</f>
        <v>3484.789178</v>
      </c>
      <c r="F38" s="1" t="n">
        <f aca="false">$C$34+(F37-$C$29)*$C$35</f>
        <v>4154.219056</v>
      </c>
      <c r="G38" s="1" t="n">
        <f aca="false">$C$34+(G37-$C$29)*$C$35</f>
        <v>4823.648934</v>
      </c>
      <c r="H38" s="1" t="n">
        <f aca="false">$C$34+(H37-$C$29)*$C$35</f>
        <v>5493.078812</v>
      </c>
      <c r="I38" s="1" t="n">
        <f aca="false">$C$34+(I37-$C$29)*$C$35</f>
        <v>6831.938568</v>
      </c>
    </row>
    <row r="39" customFormat="false" ht="13.8" hidden="false" customHeight="false" outlineLevel="0" collapsed="false">
      <c r="B39" s="1" t="s">
        <v>267</v>
      </c>
      <c r="C39" s="1" t="n">
        <f aca="false">C38/$C$32</f>
        <v>0.0295</v>
      </c>
      <c r="D39" s="1" t="n">
        <f aca="false">D38/$C$32</f>
        <v>0.05625</v>
      </c>
      <c r="E39" s="1" t="n">
        <f aca="false">E38/$C$32</f>
        <v>0.069625</v>
      </c>
      <c r="F39" s="1" t="n">
        <f aca="false">F38/$C$32</f>
        <v>0.083</v>
      </c>
      <c r="G39" s="1" t="n">
        <f aca="false">G38/$C$32</f>
        <v>0.096375</v>
      </c>
      <c r="H39" s="1" t="n">
        <f aca="false">H38/$C$32</f>
        <v>0.10975</v>
      </c>
      <c r="I39" s="1" t="n">
        <f aca="false">I38/$C$32</f>
        <v>0.1365</v>
      </c>
    </row>
    <row r="40" customFormat="false" ht="17.15" hidden="false" customHeight="false" outlineLevel="0" collapsed="false">
      <c r="B40" s="48" t="s">
        <v>268</v>
      </c>
    </row>
  </sheetData>
  <mergeCells count="1">
    <mergeCell ref="B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16"/>
    <col collapsed="false" customWidth="true" hidden="false" outlineLevel="0" max="5" min="4" style="1" width="46"/>
    <col collapsed="false" customWidth="true" hidden="false" outlineLevel="0" max="6" min="6" style="1" width="20"/>
    <col collapsed="false" customWidth="true" hidden="false" outlineLevel="0" max="7" min="7" style="1" width="12"/>
  </cols>
  <sheetData>
    <row r="1" customFormat="false" ht="13.5" hidden="false" customHeight="true" outlineLevel="0" collapsed="false"/>
    <row r="2" customFormat="false" ht="18" hidden="false" customHeight="true" outlineLevel="0" collapsed="false">
      <c r="B2" s="13" t="s">
        <v>269</v>
      </c>
    </row>
    <row r="3" customFormat="false" ht="13.5" hidden="false" customHeight="true" outlineLevel="0" collapsed="false"/>
    <row r="4" customFormat="false" ht="13.5" hidden="false" customHeight="true" outlineLevel="0" collapsed="false">
      <c r="B4" s="49" t="s">
        <v>270</v>
      </c>
      <c r="C4" s="49" t="s">
        <v>271</v>
      </c>
      <c r="D4" s="49" t="s">
        <v>272</v>
      </c>
      <c r="E4" s="49" t="s">
        <v>273</v>
      </c>
      <c r="F4" s="49" t="s">
        <v>274</v>
      </c>
      <c r="G4" s="49" t="s">
        <v>275</v>
      </c>
    </row>
    <row r="5" customFormat="false" ht="13.5" hidden="false" customHeight="true" outlineLevel="0" collapsed="false">
      <c r="B5" s="1" t="s">
        <v>276</v>
      </c>
      <c r="C5" s="1" t="s">
        <v>277</v>
      </c>
      <c r="D5" s="1" t="s">
        <v>278</v>
      </c>
      <c r="E5" s="50" t="s">
        <v>279</v>
      </c>
      <c r="F5" s="1" t="s">
        <v>277</v>
      </c>
      <c r="G5" s="1" t="s">
        <v>280</v>
      </c>
    </row>
    <row r="6" customFormat="false" ht="30" hidden="false" customHeight="true" outlineLevel="0" collapsed="false">
      <c r="B6" s="7" t="s">
        <v>276</v>
      </c>
      <c r="C6" s="5" t="s">
        <v>281</v>
      </c>
      <c r="D6" s="7" t="s">
        <v>282</v>
      </c>
      <c r="E6" s="51" t="s">
        <v>283</v>
      </c>
      <c r="F6" s="51" t="s">
        <v>284</v>
      </c>
      <c r="G6" s="51" t="s">
        <v>285</v>
      </c>
    </row>
    <row r="7" customFormat="false" ht="30" hidden="false" customHeight="true" outlineLevel="0" collapsed="false">
      <c r="B7" s="7" t="s">
        <v>276</v>
      </c>
      <c r="C7" s="5" t="s">
        <v>286</v>
      </c>
      <c r="D7" s="7" t="s">
        <v>287</v>
      </c>
      <c r="E7" s="7" t="s">
        <v>288</v>
      </c>
      <c r="F7" s="51" t="s">
        <v>289</v>
      </c>
      <c r="G7" s="51" t="s">
        <v>290</v>
      </c>
    </row>
    <row r="8" customFormat="false" ht="30" hidden="false" customHeight="true" outlineLevel="0" collapsed="false">
      <c r="B8" s="7" t="s">
        <v>276</v>
      </c>
      <c r="C8" s="5" t="s">
        <v>291</v>
      </c>
      <c r="D8" s="7" t="s">
        <v>292</v>
      </c>
      <c r="E8" s="51" t="s">
        <v>293</v>
      </c>
      <c r="F8" s="51" t="s">
        <v>294</v>
      </c>
      <c r="G8" s="51" t="s">
        <v>295</v>
      </c>
    </row>
    <row r="9" customFormat="false" ht="30" hidden="false" customHeight="true" outlineLevel="0" collapsed="false">
      <c r="B9" s="7" t="s">
        <v>276</v>
      </c>
      <c r="C9" s="5" t="s">
        <v>296</v>
      </c>
      <c r="D9" s="7" t="s">
        <v>297</v>
      </c>
      <c r="E9" s="51" t="s">
        <v>298</v>
      </c>
      <c r="F9" s="51" t="s">
        <v>299</v>
      </c>
      <c r="G9" s="51" t="s">
        <v>300</v>
      </c>
    </row>
    <row r="10" customFormat="false" ht="30" hidden="false" customHeight="true" outlineLevel="0" collapsed="false">
      <c r="B10" s="7" t="s">
        <v>276</v>
      </c>
      <c r="C10" s="5" t="s">
        <v>301</v>
      </c>
      <c r="D10" s="7" t="s">
        <v>302</v>
      </c>
      <c r="E10" s="51" t="s">
        <v>303</v>
      </c>
      <c r="F10" s="51" t="s">
        <v>304</v>
      </c>
      <c r="G10" s="51" t="s">
        <v>305</v>
      </c>
    </row>
    <row r="11" customFormat="false" ht="30" hidden="false" customHeight="true" outlineLevel="0" collapsed="false">
      <c r="B11" s="7" t="s">
        <v>276</v>
      </c>
      <c r="C11" s="5" t="s">
        <v>306</v>
      </c>
      <c r="D11" s="7" t="s">
        <v>307</v>
      </c>
      <c r="E11" s="51" t="s">
        <v>308</v>
      </c>
      <c r="F11" s="51" t="s">
        <v>309</v>
      </c>
      <c r="G11" s="51" t="s">
        <v>310</v>
      </c>
    </row>
    <row r="12" customFormat="false" ht="30" hidden="false" customHeight="true" outlineLevel="0" collapsed="false">
      <c r="B12" s="7" t="s">
        <v>276</v>
      </c>
      <c r="C12" s="5" t="s">
        <v>311</v>
      </c>
      <c r="D12" s="7" t="s">
        <v>312</v>
      </c>
      <c r="E12" s="51" t="s">
        <v>313</v>
      </c>
      <c r="F12" s="51" t="s">
        <v>314</v>
      </c>
      <c r="G12" s="51" t="s">
        <v>305</v>
      </c>
    </row>
    <row r="13" customFormat="false" ht="30" hidden="false" customHeight="true" outlineLevel="0" collapsed="false">
      <c r="B13" s="7" t="s">
        <v>276</v>
      </c>
      <c r="C13" s="5" t="s">
        <v>315</v>
      </c>
      <c r="D13" s="7" t="s">
        <v>316</v>
      </c>
      <c r="E13" s="51" t="s">
        <v>317</v>
      </c>
      <c r="F13" s="51" t="s">
        <v>318</v>
      </c>
      <c r="G13" s="51" t="s">
        <v>310</v>
      </c>
    </row>
    <row r="14" customFormat="false" ht="30" hidden="false" customHeight="true" outlineLevel="0" collapsed="false">
      <c r="B14" s="7" t="s">
        <v>276</v>
      </c>
      <c r="C14" s="5" t="s">
        <v>319</v>
      </c>
      <c r="D14" s="7" t="s">
        <v>320</v>
      </c>
      <c r="E14" s="51" t="s">
        <v>321</v>
      </c>
      <c r="F14" s="51" t="s">
        <v>322</v>
      </c>
      <c r="G14" s="51" t="s">
        <v>300</v>
      </c>
    </row>
    <row r="15" customFormat="false" ht="30" hidden="false" customHeight="true" outlineLevel="0" collapsed="false">
      <c r="B15" s="7" t="s">
        <v>276</v>
      </c>
      <c r="C15" s="5" t="s">
        <v>323</v>
      </c>
      <c r="D15" s="7" t="s">
        <v>324</v>
      </c>
      <c r="E15" s="51" t="s">
        <v>325</v>
      </c>
      <c r="F15" s="7" t="s">
        <v>326</v>
      </c>
      <c r="G15" s="51" t="s">
        <v>327</v>
      </c>
    </row>
    <row r="16" customFormat="false" ht="30" hidden="false" customHeight="true" outlineLevel="0" collapsed="false">
      <c r="B16" s="7" t="s">
        <v>276</v>
      </c>
      <c r="C16" s="5" t="s">
        <v>328</v>
      </c>
      <c r="D16" s="7" t="s">
        <v>329</v>
      </c>
      <c r="E16" s="51" t="s">
        <v>330</v>
      </c>
      <c r="F16" s="51" t="s">
        <v>331</v>
      </c>
      <c r="G16" s="51" t="s">
        <v>300</v>
      </c>
    </row>
    <row r="17" customFormat="false" ht="30" hidden="false" customHeight="true" outlineLevel="0" collapsed="false">
      <c r="B17" s="7" t="s">
        <v>276</v>
      </c>
      <c r="C17" s="5" t="s">
        <v>332</v>
      </c>
      <c r="D17" s="51" t="s">
        <v>333</v>
      </c>
      <c r="E17" s="7" t="s">
        <v>334</v>
      </c>
      <c r="F17" s="51" t="s">
        <v>335</v>
      </c>
      <c r="G17" s="51" t="s">
        <v>310</v>
      </c>
    </row>
    <row r="18" customFormat="false" ht="30" hidden="false" customHeight="true" outlineLevel="0" collapsed="false">
      <c r="B18" s="7" t="s">
        <v>276</v>
      </c>
      <c r="C18" s="5" t="s">
        <v>336</v>
      </c>
      <c r="D18" s="51" t="s">
        <v>337</v>
      </c>
      <c r="E18" s="51" t="s">
        <v>338</v>
      </c>
      <c r="F18" s="51" t="s">
        <v>339</v>
      </c>
      <c r="G18" s="51" t="s">
        <v>340</v>
      </c>
    </row>
    <row r="19" customFormat="false" ht="30" hidden="false" customHeight="true" outlineLevel="0" collapsed="false">
      <c r="B19" s="7" t="s">
        <v>276</v>
      </c>
      <c r="C19" s="5" t="s">
        <v>341</v>
      </c>
      <c r="D19" s="51" t="s">
        <v>342</v>
      </c>
      <c r="E19" s="51" t="s">
        <v>343</v>
      </c>
      <c r="F19" s="51" t="s">
        <v>344</v>
      </c>
      <c r="G19" s="51" t="s">
        <v>285</v>
      </c>
    </row>
    <row r="20" customFormat="false" ht="30" hidden="false" customHeight="true" outlineLevel="0" collapsed="false">
      <c r="B20" s="7" t="s">
        <v>276</v>
      </c>
      <c r="C20" s="5" t="s">
        <v>345</v>
      </c>
      <c r="D20" s="7" t="s">
        <v>346</v>
      </c>
      <c r="E20" s="51" t="s">
        <v>347</v>
      </c>
      <c r="F20" s="7" t="s">
        <v>348</v>
      </c>
      <c r="G20" s="51" t="s">
        <v>349</v>
      </c>
    </row>
    <row r="21" customFormat="false" ht="30" hidden="false" customHeight="true" outlineLevel="0" collapsed="false">
      <c r="B21" s="7" t="s">
        <v>276</v>
      </c>
      <c r="C21" s="5" t="s">
        <v>350</v>
      </c>
      <c r="D21" s="51" t="s">
        <v>351</v>
      </c>
      <c r="E21" s="51" t="s">
        <v>352</v>
      </c>
      <c r="F21" s="51" t="s">
        <v>353</v>
      </c>
      <c r="G21" s="51" t="s">
        <v>354</v>
      </c>
    </row>
    <row r="22" customFormat="false" ht="30" hidden="false" customHeight="true" outlineLevel="0" collapsed="false">
      <c r="B22" s="7" t="s">
        <v>276</v>
      </c>
      <c r="C22" s="5" t="s">
        <v>355</v>
      </c>
      <c r="D22" s="7" t="s">
        <v>356</v>
      </c>
      <c r="E22" s="51" t="s">
        <v>357</v>
      </c>
      <c r="F22" s="7" t="s">
        <v>46</v>
      </c>
      <c r="G22" s="51" t="s">
        <v>358</v>
      </c>
    </row>
    <row r="23" customFormat="false" ht="30" hidden="false" customHeight="true" outlineLevel="0" collapsed="false">
      <c r="B23" s="7" t="s">
        <v>276</v>
      </c>
      <c r="C23" s="5" t="s">
        <v>355</v>
      </c>
      <c r="D23" s="51" t="s">
        <v>359</v>
      </c>
      <c r="E23" s="51" t="s">
        <v>360</v>
      </c>
      <c r="F23" s="7" t="s">
        <v>46</v>
      </c>
      <c r="G23" s="51" t="s">
        <v>358</v>
      </c>
    </row>
    <row r="24" customFormat="false" ht="30" hidden="false" customHeight="true" outlineLevel="0" collapsed="false">
      <c r="B24" s="7" t="s">
        <v>276</v>
      </c>
      <c r="C24" s="5" t="s">
        <v>361</v>
      </c>
      <c r="D24" s="7" t="s">
        <v>362</v>
      </c>
      <c r="E24" s="51" t="s">
        <v>363</v>
      </c>
      <c r="F24" s="7" t="s">
        <v>46</v>
      </c>
      <c r="G24" s="51" t="s">
        <v>364</v>
      </c>
    </row>
    <row r="25" customFormat="false" ht="30" hidden="false" customHeight="true" outlineLevel="0" collapsed="false">
      <c r="B25" s="7" t="s">
        <v>276</v>
      </c>
      <c r="C25" s="5" t="s">
        <v>365</v>
      </c>
      <c r="D25" s="7" t="s">
        <v>366</v>
      </c>
      <c r="E25" s="51" t="s">
        <v>367</v>
      </c>
      <c r="F25" s="7" t="s">
        <v>46</v>
      </c>
      <c r="G25" s="51" t="s">
        <v>368</v>
      </c>
    </row>
    <row r="26" customFormat="false" ht="30" hidden="false" customHeight="true" outlineLevel="0" collapsed="false">
      <c r="B26" s="7" t="s">
        <v>276</v>
      </c>
      <c r="C26" s="5" t="s">
        <v>369</v>
      </c>
      <c r="D26" s="51" t="s">
        <v>370</v>
      </c>
      <c r="E26" s="51" t="s">
        <v>371</v>
      </c>
      <c r="F26" s="7" t="s">
        <v>46</v>
      </c>
      <c r="G26" s="7" t="s">
        <v>372</v>
      </c>
    </row>
    <row r="27" customFormat="false" ht="13.5" hidden="false" customHeight="true" outlineLevel="0" collapsed="false"/>
    <row r="28" customFormat="false" ht="13.5" hidden="false" customHeight="true" outlineLevel="0" collapsed="false">
      <c r="B28" s="9" t="s">
        <v>373</v>
      </c>
    </row>
    <row r="29" customFormat="false" ht="13.5" hidden="false" customHeight="true" outlineLevel="0" collapsed="false">
      <c r="B29" s="11" t="s">
        <v>374</v>
      </c>
      <c r="C29" s="11" t="s">
        <v>375</v>
      </c>
    </row>
    <row r="30" customFormat="false" ht="13.5" hidden="false" customHeight="true" outlineLevel="0" collapsed="false">
      <c r="B30" s="5" t="s">
        <v>376</v>
      </c>
      <c r="C30" s="1" t="s">
        <v>377</v>
      </c>
    </row>
    <row r="31" customFormat="false" ht="13.5" hidden="false" customHeight="true" outlineLevel="0" collapsed="false">
      <c r="B31" s="5" t="s">
        <v>378</v>
      </c>
      <c r="C31" s="1" t="s">
        <v>379</v>
      </c>
    </row>
    <row r="32" customFormat="false" ht="13.5" hidden="false" customHeight="true" outlineLevel="0" collapsed="false">
      <c r="B32" s="5" t="s">
        <v>380</v>
      </c>
      <c r="C32" s="1" t="s">
        <v>381</v>
      </c>
    </row>
    <row r="33" customFormat="false" ht="13.5" hidden="false" customHeight="true" outlineLevel="0" collapsed="false">
      <c r="B33" s="5" t="s">
        <v>382</v>
      </c>
      <c r="C33" s="1" t="s">
        <v>4</v>
      </c>
    </row>
    <row r="34" customFormat="false" ht="13.5" hidden="false" customHeight="true" outlineLevel="0" collapsed="false">
      <c r="B34" s="5" t="s">
        <v>383</v>
      </c>
      <c r="C34" s="1" t="s">
        <v>276</v>
      </c>
    </row>
    <row r="35" customFormat="false" ht="13.5" hidden="false" customHeight="true" outlineLevel="0" collapsed="false">
      <c r="B35" s="5" t="s">
        <v>384</v>
      </c>
      <c r="C35" s="1" t="s">
        <v>385</v>
      </c>
    </row>
    <row r="36" customFormat="false" ht="13.5" hidden="false" customHeight="true" outlineLevel="0" collapsed="false">
      <c r="B36" s="5" t="s">
        <v>386</v>
      </c>
      <c r="C36" s="1" t="s">
        <v>387</v>
      </c>
    </row>
    <row r="37" customFormat="false" ht="13.5" hidden="false" customHeight="true" outlineLevel="0" collapsed="false">
      <c r="B37" s="5" t="s">
        <v>388</v>
      </c>
      <c r="C37" s="1" t="s">
        <v>389</v>
      </c>
    </row>
    <row r="38" customFormat="false" ht="13.5" hidden="false" customHeight="true" outlineLevel="0" collapsed="false">
      <c r="B38" s="5" t="s">
        <v>390</v>
      </c>
      <c r="C38" s="1" t="s">
        <v>391</v>
      </c>
    </row>
    <row r="39" customFormat="false" ht="13.5" hidden="false" customHeight="true" outlineLevel="0" collapsed="false">
      <c r="B39" s="5" t="s">
        <v>392</v>
      </c>
      <c r="C39" s="1" t="s">
        <v>393</v>
      </c>
    </row>
    <row r="40" customFormat="false" ht="13.5" hidden="false" customHeight="true" outlineLevel="0" collapsed="false">
      <c r="B40" s="5" t="s">
        <v>394</v>
      </c>
      <c r="C40" s="1" t="s">
        <v>389</v>
      </c>
    </row>
    <row r="41" customFormat="false" ht="13.5" hidden="false" customHeight="true" outlineLevel="0" collapsed="false">
      <c r="B41" s="5" t="s">
        <v>395</v>
      </c>
      <c r="C41" s="1" t="s">
        <v>221</v>
      </c>
    </row>
    <row r="42" customFormat="false" ht="13.5" hidden="false" customHeight="true" outlineLevel="0" collapsed="false">
      <c r="B42" s="5" t="s">
        <v>396</v>
      </c>
      <c r="C42" s="1" t="s">
        <v>397</v>
      </c>
    </row>
    <row r="43" customFormat="false" ht="13.5" hidden="false" customHeight="true" outlineLevel="0" collapsed="false">
      <c r="B43" s="5" t="s">
        <v>398</v>
      </c>
      <c r="C43" s="1" t="s">
        <v>399</v>
      </c>
    </row>
    <row r="44" customFormat="false" ht="13.5" hidden="false" customHeight="true" outlineLevel="0" collapsed="false">
      <c r="B44" s="5" t="s">
        <v>400</v>
      </c>
      <c r="C44" s="1" t="s">
        <v>377</v>
      </c>
    </row>
    <row r="45" customFormat="false" ht="13.5" hidden="false" customHeight="true" outlineLevel="0" collapsed="false">
      <c r="B45" s="5" t="s">
        <v>401</v>
      </c>
      <c r="C45" s="1" t="s">
        <v>402</v>
      </c>
    </row>
    <row r="46" customFormat="false" ht="13.5" hidden="false" customHeight="true" outlineLevel="0" collapsed="false">
      <c r="B46" s="5" t="s">
        <v>403</v>
      </c>
      <c r="C46" s="1" t="s">
        <v>404</v>
      </c>
    </row>
    <row r="47" customFormat="false" ht="13.5" hidden="false" customHeight="true" outlineLevel="0" collapsed="false">
      <c r="B47" s="5" t="s">
        <v>405</v>
      </c>
      <c r="C47" s="1" t="s">
        <v>406</v>
      </c>
    </row>
    <row r="48" customFormat="false" ht="13.5" hidden="false" customHeight="true" outlineLevel="0" collapsed="false">
      <c r="B48" s="5" t="s">
        <v>407</v>
      </c>
      <c r="C48" s="1" t="s">
        <v>408</v>
      </c>
    </row>
    <row r="49" customFormat="false" ht="13.5" hidden="false" customHeight="true" outlineLevel="0" collapsed="false">
      <c r="B49" s="5" t="s">
        <v>409</v>
      </c>
      <c r="C49" s="1" t="s">
        <v>410</v>
      </c>
    </row>
    <row r="50" customFormat="false" ht="13.5" hidden="false" customHeight="true" outlineLevel="0" collapsed="false">
      <c r="B50" s="5" t="s">
        <v>411</v>
      </c>
      <c r="C50" s="1" t="s">
        <v>412</v>
      </c>
    </row>
    <row r="51" customFormat="false" ht="13.5" hidden="false" customHeight="true" outlineLevel="0" collapsed="false">
      <c r="B51" s="5" t="s">
        <v>413</v>
      </c>
      <c r="C51" s="1" t="s">
        <v>414</v>
      </c>
    </row>
    <row r="52" customFormat="false" ht="13.5" hidden="false" customHeight="true" outlineLevel="0" collapsed="false">
      <c r="B52" s="5" t="s">
        <v>415</v>
      </c>
      <c r="C52" s="1" t="s">
        <v>416</v>
      </c>
    </row>
    <row r="53" customFormat="false" ht="13.5" hidden="false" customHeight="true" outlineLevel="0" collapsed="false">
      <c r="B53" s="5" t="s">
        <v>417</v>
      </c>
      <c r="C53" s="1" t="s">
        <v>418</v>
      </c>
    </row>
    <row r="54" customFormat="false" ht="13.5" hidden="false" customHeight="true" outlineLevel="0" collapsed="false">
      <c r="B54" s="5" t="s">
        <v>419</v>
      </c>
      <c r="C54" s="1" t="s">
        <v>420</v>
      </c>
    </row>
    <row r="55" customFormat="false" ht="13.5" hidden="false" customHeight="true" outlineLevel="0" collapsed="false">
      <c r="B55" s="5" t="s">
        <v>421</v>
      </c>
      <c r="C55" s="1" t="s">
        <v>422</v>
      </c>
    </row>
    <row r="56" customFormat="false" ht="13.5" hidden="false" customHeight="true" outlineLevel="0" collapsed="false">
      <c r="B56" s="5" t="s">
        <v>423</v>
      </c>
      <c r="C56" s="1" t="s">
        <v>220</v>
      </c>
    </row>
    <row r="57" customFormat="false" ht="13.8" hidden="false" customHeight="false" outlineLevel="0" collapsed="false"/>
    <row r="58" customFormat="false" ht="17.15" hidden="false" customHeight="false" outlineLevel="0" collapsed="false">
      <c r="B58" s="48" t="s">
        <v>424</v>
      </c>
    </row>
    <row r="59" customFormat="false" ht="17.15" hidden="false" customHeight="false" outlineLevel="0" collapsed="false">
      <c r="B59" s="1" t="s">
        <v>276</v>
      </c>
      <c r="C59" s="1" t="s">
        <v>425</v>
      </c>
      <c r="D59" s="1" t="s">
        <v>426</v>
      </c>
      <c r="E59" s="48" t="s">
        <v>427</v>
      </c>
      <c r="F59" s="1" t="s">
        <v>428</v>
      </c>
      <c r="G59" s="48" t="s">
        <v>285</v>
      </c>
    </row>
    <row r="60" customFormat="false" ht="17.15" hidden="false" customHeight="false" outlineLevel="0" collapsed="false">
      <c r="B60" s="1" t="s">
        <v>276</v>
      </c>
      <c r="C60" s="1" t="s">
        <v>429</v>
      </c>
      <c r="D60" s="1" t="s">
        <v>430</v>
      </c>
      <c r="E60" s="48" t="s">
        <v>431</v>
      </c>
      <c r="F60" s="48" t="s">
        <v>432</v>
      </c>
      <c r="G60" s="48" t="s">
        <v>285</v>
      </c>
    </row>
    <row r="61" customFormat="false" ht="17.15" hidden="false" customHeight="false" outlineLevel="0" collapsed="false">
      <c r="B61" s="1" t="s">
        <v>276</v>
      </c>
      <c r="C61" s="1" t="s">
        <v>296</v>
      </c>
      <c r="D61" s="48" t="s">
        <v>433</v>
      </c>
      <c r="E61" s="1" t="s">
        <v>434</v>
      </c>
      <c r="F61" s="1" t="s">
        <v>435</v>
      </c>
      <c r="G61" s="48" t="s">
        <v>295</v>
      </c>
    </row>
    <row r="62" customFormat="false" ht="17.15" hidden="false" customHeight="false" outlineLevel="0" collapsed="false">
      <c r="B62" s="1" t="s">
        <v>276</v>
      </c>
      <c r="C62" s="1" t="s">
        <v>436</v>
      </c>
      <c r="D62" s="48" t="s">
        <v>437</v>
      </c>
      <c r="E62" s="48" t="s">
        <v>438</v>
      </c>
      <c r="F62" s="48" t="s">
        <v>439</v>
      </c>
      <c r="G62" s="48" t="s">
        <v>285</v>
      </c>
    </row>
    <row r="63" customFormat="false" ht="17.15" hidden="false" customHeight="false" outlineLevel="0" collapsed="false">
      <c r="B63" s="1" t="s">
        <v>276</v>
      </c>
      <c r="C63" s="1" t="s">
        <v>440</v>
      </c>
      <c r="D63" s="1" t="s">
        <v>441</v>
      </c>
      <c r="E63" s="48" t="s">
        <v>442</v>
      </c>
      <c r="F63" s="48" t="s">
        <v>439</v>
      </c>
      <c r="G63" s="48" t="s">
        <v>443</v>
      </c>
    </row>
    <row r="64" customFormat="false" ht="17.15" hidden="false" customHeight="false" outlineLevel="0" collapsed="false">
      <c r="B64" s="1" t="s">
        <v>276</v>
      </c>
      <c r="C64" s="1" t="s">
        <v>444</v>
      </c>
      <c r="D64" s="48" t="s">
        <v>445</v>
      </c>
      <c r="E64" s="1" t="s">
        <v>446</v>
      </c>
      <c r="F64" s="1" t="s">
        <v>447</v>
      </c>
      <c r="G64" s="48" t="s">
        <v>285</v>
      </c>
    </row>
    <row r="65" customFormat="false" ht="17.15" hidden="false" customHeight="false" outlineLevel="0" collapsed="false">
      <c r="B65" s="1" t="s">
        <v>276</v>
      </c>
      <c r="C65" s="1" t="s">
        <v>448</v>
      </c>
      <c r="D65" s="48" t="s">
        <v>449</v>
      </c>
      <c r="E65" s="48" t="s">
        <v>450</v>
      </c>
      <c r="F65" s="1" t="s">
        <v>46</v>
      </c>
      <c r="G65" s="48"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2026-08-26T02:11:43Z</dcterms:created>
  <dc:creator>openpyxl</dc:creator>
  <dc:description/>
  <dc:language>en-US</dc:language>
  <cp:lastModifiedBy>良亮 佐藤</cp:lastModifiedBy>
  <dcterms:modified xsi:type="dcterms:W3CDTF">2026-08-26T02:43:06Z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