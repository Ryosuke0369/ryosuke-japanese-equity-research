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893CBE52-517E-4E17-9204-23E0B7604B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8" i="6"/>
  <c r="N8" i="6"/>
  <c r="M8" i="6"/>
  <c r="L8" i="6"/>
  <c r="K8" i="6"/>
  <c r="J8" i="6"/>
  <c r="O7" i="6"/>
  <c r="N7" i="6"/>
  <c r="H16" i="6" s="1"/>
  <c r="M7" i="6"/>
  <c r="L7" i="6"/>
  <c r="K7" i="6"/>
  <c r="J7" i="6"/>
  <c r="O6" i="6"/>
  <c r="N6" i="6"/>
  <c r="M6" i="6"/>
  <c r="L6" i="6"/>
  <c r="K6" i="6"/>
  <c r="J6" i="6"/>
  <c r="O5" i="6"/>
  <c r="N5" i="6"/>
  <c r="L5" i="6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7" i="5" s="1"/>
  <c r="C25" i="3"/>
  <c r="C24" i="3"/>
  <c r="C23" i="3"/>
  <c r="C26" i="3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C9" i="2"/>
  <c r="F8" i="2"/>
  <c r="F9" i="2" s="1"/>
  <c r="E8" i="2"/>
  <c r="E9" i="2" s="1"/>
  <c r="D8" i="2"/>
  <c r="D9" i="2" s="1"/>
  <c r="C8" i="2"/>
  <c r="D17" i="6" l="1"/>
  <c r="E15" i="6"/>
  <c r="F16" i="6"/>
  <c r="C28" i="6" s="1"/>
  <c r="C19" i="1" s="1"/>
  <c r="D19" i="1" s="1"/>
  <c r="F15" i="6"/>
  <c r="G15" i="6"/>
  <c r="H15" i="6"/>
  <c r="I16" i="6"/>
  <c r="C3" i="7"/>
  <c r="C46" i="3"/>
  <c r="H36" i="4"/>
  <c r="G36" i="4"/>
  <c r="C11" i="4"/>
  <c r="G46" i="3"/>
  <c r="F36" i="4"/>
  <c r="F46" i="3"/>
  <c r="E46" i="3"/>
  <c r="E36" i="4"/>
  <c r="D36" i="4"/>
  <c r="D46" i="3"/>
  <c r="C24" i="4"/>
  <c r="C25" i="4" s="1"/>
  <c r="C71" i="4"/>
  <c r="C70" i="4"/>
  <c r="G30" i="3"/>
  <c r="E32" i="3"/>
  <c r="D5" i="5"/>
  <c r="F6" i="5"/>
  <c r="H7" i="5"/>
  <c r="I15" i="6"/>
  <c r="E17" i="6"/>
  <c r="I6" i="7"/>
  <c r="E5" i="5"/>
  <c r="G6" i="5"/>
  <c r="D16" i="6"/>
  <c r="F17" i="6"/>
  <c r="C17" i="7"/>
  <c r="C31" i="3"/>
  <c r="D31" i="3"/>
  <c r="G32" i="3"/>
  <c r="F5" i="5"/>
  <c r="H6" i="5"/>
  <c r="E5" i="6"/>
  <c r="E16" i="6"/>
  <c r="G17" i="6"/>
  <c r="C6" i="7"/>
  <c r="D17" i="7"/>
  <c r="E31" i="3"/>
  <c r="G5" i="5"/>
  <c r="D15" i="6"/>
  <c r="H17" i="6"/>
  <c r="D6" i="7"/>
  <c r="E17" i="7"/>
  <c r="G31" i="3"/>
  <c r="F32" i="3"/>
  <c r="C30" i="3"/>
  <c r="C33" i="3" s="1"/>
  <c r="F31" i="3"/>
  <c r="H5" i="5"/>
  <c r="D7" i="5"/>
  <c r="G16" i="6"/>
  <c r="I17" i="6"/>
  <c r="E6" i="7"/>
  <c r="F17" i="7"/>
  <c r="F6" i="7"/>
  <c r="G17" i="7"/>
  <c r="D30" i="3"/>
  <c r="E7" i="5"/>
  <c r="E30" i="3"/>
  <c r="C32" i="3"/>
  <c r="D6" i="5"/>
  <c r="F7" i="5"/>
  <c r="G6" i="7"/>
  <c r="H17" i="7"/>
  <c r="F30" i="3"/>
  <c r="D32" i="3"/>
  <c r="E6" i="5"/>
  <c r="F38" i="4" l="1"/>
  <c r="F41" i="4"/>
  <c r="F39" i="4"/>
  <c r="F45" i="4"/>
  <c r="F43" i="4"/>
  <c r="F46" i="4"/>
  <c r="F40" i="4"/>
  <c r="F44" i="4"/>
  <c r="D40" i="4"/>
  <c r="D44" i="4"/>
  <c r="D41" i="4"/>
  <c r="D38" i="4"/>
  <c r="D45" i="4"/>
  <c r="D39" i="4"/>
  <c r="D43" i="4"/>
  <c r="D46" i="4"/>
  <c r="K5" i="6"/>
  <c r="J5" i="6"/>
  <c r="C37" i="3"/>
  <c r="D33" i="3"/>
  <c r="D9" i="5"/>
  <c r="D12" i="5" s="1"/>
  <c r="C42" i="3"/>
  <c r="C34" i="3"/>
  <c r="D10" i="5" s="1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29" i="4"/>
  <c r="C27" i="4"/>
  <c r="C26" i="4"/>
  <c r="H45" i="4"/>
  <c r="H39" i="4"/>
  <c r="H43" i="4"/>
  <c r="H46" i="4"/>
  <c r="H40" i="4"/>
  <c r="H44" i="4"/>
  <c r="H38" i="4"/>
  <c r="H48" i="4" s="1"/>
  <c r="H53" i="4" s="1"/>
  <c r="H41" i="4"/>
  <c r="H51" i="4" s="1"/>
  <c r="H56" i="4" s="1"/>
  <c r="C27" i="6"/>
  <c r="C18" i="1" s="1"/>
  <c r="D18" i="1" s="1"/>
  <c r="C74" i="4"/>
  <c r="G41" i="4"/>
  <c r="G45" i="4"/>
  <c r="G39" i="4"/>
  <c r="G43" i="4"/>
  <c r="G46" i="4"/>
  <c r="G40" i="4"/>
  <c r="G50" i="4" s="1"/>
  <c r="G55" i="4" s="1"/>
  <c r="G44" i="4"/>
  <c r="G38" i="4"/>
  <c r="E44" i="4"/>
  <c r="E38" i="4"/>
  <c r="E45" i="4"/>
  <c r="E39" i="4"/>
  <c r="E43" i="4"/>
  <c r="E41" i="4"/>
  <c r="E46" i="4"/>
  <c r="E40" i="4"/>
  <c r="F50" i="4" l="1"/>
  <c r="F55" i="4" s="1"/>
  <c r="G49" i="4"/>
  <c r="G54" i="4" s="1"/>
  <c r="H50" i="4"/>
  <c r="H55" i="4" s="1"/>
  <c r="D51" i="4"/>
  <c r="D56" i="4" s="1"/>
  <c r="F49" i="4"/>
  <c r="E50" i="4"/>
  <c r="E55" i="4" s="1"/>
  <c r="G48" i="4"/>
  <c r="G53" i="4" s="1"/>
  <c r="H49" i="4"/>
  <c r="H54" i="4" s="1"/>
  <c r="F51" i="4"/>
  <c r="F56" i="4" s="1"/>
  <c r="G51" i="4"/>
  <c r="G56" i="4" s="1"/>
  <c r="D49" i="4"/>
  <c r="D54" i="4" s="1"/>
  <c r="E48" i="4"/>
  <c r="E53" i="4" s="1"/>
  <c r="D15" i="5"/>
  <c r="D16" i="5" s="1"/>
  <c r="D13" i="5"/>
  <c r="D14" i="5" s="1"/>
  <c r="D18" i="5" s="1"/>
  <c r="D19" i="5" s="1"/>
  <c r="C44" i="3" s="1"/>
  <c r="C35" i="3"/>
  <c r="E51" i="4"/>
  <c r="E56" i="4" s="1"/>
  <c r="E33" i="3"/>
  <c r="D42" i="3"/>
  <c r="E9" i="5"/>
  <c r="E12" i="5" s="1"/>
  <c r="D34" i="3"/>
  <c r="E10" i="5" s="1"/>
  <c r="D37" i="3"/>
  <c r="D48" i="4"/>
  <c r="D53" i="4" s="1"/>
  <c r="C60" i="4"/>
  <c r="F54" i="4"/>
  <c r="B78" i="4" s="1"/>
  <c r="E49" i="4"/>
  <c r="E54" i="4" s="1"/>
  <c r="D50" i="4"/>
  <c r="D55" i="4" s="1"/>
  <c r="F48" i="4"/>
  <c r="F53" i="4" s="1"/>
  <c r="E15" i="5" l="1"/>
  <c r="E16" i="5" s="1"/>
  <c r="E13" i="5"/>
  <c r="C38" i="3"/>
  <c r="C39" i="3"/>
  <c r="C36" i="3"/>
  <c r="C67" i="4"/>
  <c r="D67" i="4" s="1"/>
  <c r="C63" i="4"/>
  <c r="D63" i="4" s="1"/>
  <c r="C66" i="4"/>
  <c r="D66" i="4" s="1"/>
  <c r="C65" i="4"/>
  <c r="D65" i="4" s="1"/>
  <c r="C64" i="4"/>
  <c r="D64" i="4" s="1"/>
  <c r="E14" i="5"/>
  <c r="F33" i="3"/>
  <c r="F9" i="5"/>
  <c r="F12" i="5" s="1"/>
  <c r="E42" i="3"/>
  <c r="E34" i="3"/>
  <c r="F10" i="5" s="1"/>
  <c r="E37" i="3"/>
  <c r="D35" i="3"/>
  <c r="F15" i="5" l="1"/>
  <c r="F16" i="5" s="1"/>
  <c r="F13" i="5"/>
  <c r="F14" i="5" s="1"/>
  <c r="G33" i="3"/>
  <c r="G9" i="5"/>
  <c r="G12" i="5" s="1"/>
  <c r="F42" i="3"/>
  <c r="F34" i="3"/>
  <c r="G10" i="5" s="1"/>
  <c r="F37" i="3"/>
  <c r="F35" i="3"/>
  <c r="E35" i="3"/>
  <c r="E18" i="5"/>
  <c r="E19" i="5" s="1"/>
  <c r="D44" i="3" s="1"/>
  <c r="C40" i="3"/>
  <c r="C41" i="3" s="1"/>
  <c r="C45" i="3" s="1"/>
  <c r="D38" i="3"/>
  <c r="D36" i="3"/>
  <c r="D39" i="3"/>
  <c r="F18" i="5" l="1"/>
  <c r="F19" i="5" s="1"/>
  <c r="E44" i="3" s="1"/>
  <c r="C47" i="3"/>
  <c r="E38" i="3"/>
  <c r="E36" i="3"/>
  <c r="E39" i="3"/>
  <c r="F38" i="3"/>
  <c r="F39" i="3"/>
  <c r="F36" i="3"/>
  <c r="D40" i="3"/>
  <c r="D41" i="3" s="1"/>
  <c r="D45" i="3" s="1"/>
  <c r="G15" i="5"/>
  <c r="G16" i="5" s="1"/>
  <c r="G13" i="5"/>
  <c r="G14" i="5" s="1"/>
  <c r="C16" i="4"/>
  <c r="C28" i="4" s="1"/>
  <c r="H9" i="5"/>
  <c r="H12" i="5" s="1"/>
  <c r="G42" i="3"/>
  <c r="G34" i="3"/>
  <c r="H10" i="5" s="1"/>
  <c r="G35" i="3"/>
  <c r="G37" i="3"/>
  <c r="D47" i="3" l="1"/>
  <c r="G18" i="5"/>
  <c r="G19" i="5" s="1"/>
  <c r="F44" i="3" s="1"/>
  <c r="G36" i="3"/>
  <c r="G39" i="3"/>
  <c r="G38" i="3"/>
  <c r="H15" i="5"/>
  <c r="H16" i="5" s="1"/>
  <c r="H13" i="5"/>
  <c r="H14" i="5" s="1"/>
  <c r="F41" i="3"/>
  <c r="F40" i="3"/>
  <c r="E40" i="3"/>
  <c r="E41" i="3" s="1"/>
  <c r="E45" i="3" s="1"/>
  <c r="E47" i="3" s="1"/>
  <c r="C72" i="4"/>
  <c r="C73" i="4"/>
  <c r="G40" i="3" l="1"/>
  <c r="G41" i="3" s="1"/>
  <c r="C59" i="3"/>
  <c r="C60" i="3" s="1"/>
  <c r="C61" i="3" s="1"/>
  <c r="H18" i="5"/>
  <c r="H19" i="5" s="1"/>
  <c r="G44" i="3" s="1"/>
  <c r="F45" i="3"/>
  <c r="I7" i="7" l="1"/>
  <c r="G45" i="3"/>
  <c r="C51" i="3"/>
  <c r="C52" i="3" s="1"/>
  <c r="G47" i="3"/>
  <c r="H9" i="7"/>
  <c r="E8" i="7"/>
  <c r="C12" i="7"/>
  <c r="I24" i="7"/>
  <c r="C23" i="7"/>
  <c r="C20" i="7"/>
  <c r="E23" i="7"/>
  <c r="I23" i="7"/>
  <c r="E7" i="7"/>
  <c r="G22" i="7"/>
  <c r="H19" i="7"/>
  <c r="F19" i="7"/>
  <c r="E22" i="7"/>
  <c r="D8" i="7"/>
  <c r="E21" i="7"/>
  <c r="H18" i="7"/>
  <c r="D13" i="7"/>
  <c r="E20" i="7"/>
  <c r="C8" i="7"/>
  <c r="D7" i="7"/>
  <c r="C24" i="7"/>
  <c r="D23" i="7"/>
  <c r="F10" i="7"/>
  <c r="F23" i="7"/>
  <c r="C21" i="7"/>
  <c r="I19" i="7"/>
  <c r="G13" i="7"/>
  <c r="D20" i="7"/>
  <c r="F12" i="7"/>
  <c r="C11" i="7"/>
  <c r="I12" i="7"/>
  <c r="C10" i="7"/>
  <c r="G11" i="7"/>
  <c r="H20" i="7"/>
  <c r="C7" i="7"/>
  <c r="D11" i="7"/>
  <c r="C9" i="7"/>
  <c r="C22" i="7"/>
  <c r="D22" i="7"/>
  <c r="D10" i="7"/>
  <c r="H11" i="7"/>
  <c r="F11" i="7"/>
  <c r="E13" i="7"/>
  <c r="G10" i="7"/>
  <c r="H10" i="7"/>
  <c r="E19" i="7"/>
  <c r="E10" i="7"/>
  <c r="H21" i="7"/>
  <c r="I18" i="7"/>
  <c r="G18" i="7"/>
  <c r="G24" i="7"/>
  <c r="H7" i="7"/>
  <c r="D24" i="7"/>
  <c r="H13" i="7"/>
  <c r="G8" i="7"/>
  <c r="C13" i="7"/>
  <c r="F47" i="3"/>
  <c r="C50" i="3" s="1"/>
  <c r="G7" i="7"/>
  <c r="H24" i="7"/>
  <c r="H8" i="7"/>
  <c r="E9" i="7"/>
  <c r="H22" i="7"/>
  <c r="D12" i="7"/>
  <c r="D19" i="7"/>
  <c r="G12" i="7"/>
  <c r="E24" i="7"/>
  <c r="F21" i="7"/>
  <c r="F7" i="7"/>
  <c r="F24" i="7"/>
  <c r="F13" i="7"/>
  <c r="G20" i="7"/>
  <c r="F9" i="7"/>
  <c r="I8" i="7"/>
  <c r="I11" i="7"/>
  <c r="I21" i="7"/>
  <c r="E18" i="7"/>
  <c r="H23" i="7"/>
  <c r="D21" i="7"/>
  <c r="E12" i="7"/>
  <c r="G21" i="7"/>
  <c r="I13" i="7"/>
  <c r="F18" i="7"/>
  <c r="D18" i="7"/>
  <c r="E11" i="7"/>
  <c r="I9" i="7"/>
  <c r="G19" i="7"/>
  <c r="C19" i="7"/>
  <c r="H12" i="7"/>
  <c r="I20" i="7"/>
  <c r="F8" i="7"/>
  <c r="I10" i="7"/>
  <c r="I22" i="7"/>
  <c r="F20" i="7"/>
  <c r="F22" i="7"/>
  <c r="G23" i="7"/>
  <c r="C18" i="7"/>
  <c r="G9" i="7"/>
  <c r="D9" i="7"/>
  <c r="C58" i="3" l="1"/>
  <c r="C62" i="3" s="1"/>
  <c r="C53" i="3"/>
  <c r="C17" i="4" l="1"/>
  <c r="C54" i="3"/>
  <c r="C55" i="3" s="1"/>
  <c r="C16" i="1"/>
  <c r="C63" i="3"/>
  <c r="C64" i="3" s="1"/>
  <c r="C17" i="1"/>
  <c r="D17" i="1" s="1"/>
  <c r="D16" i="1" l="1"/>
  <c r="C21" i="1"/>
  <c r="C10" i="1"/>
  <c r="C12" i="1" s="1"/>
  <c r="C11" i="1" s="1"/>
  <c r="C19" i="4"/>
  <c r="C20" i="4" s="1"/>
  <c r="B79" i="4" s="1"/>
</calcChain>
</file>

<file path=xl/sharedStrings.xml><?xml version="1.0" encoding="utf-8"?>
<sst xmlns="http://schemas.openxmlformats.org/spreadsheetml/2006/main" count="441" uniqueCount="355">
  <si>
    <t>DISCLAIMER: This is a sample analysis for demonstration purposes only. It does not constitute investment advice.</t>
  </si>
  <si>
    <t>NTT (9432.T)</t>
  </si>
  <si>
    <t>Equity Research Report</t>
  </si>
  <si>
    <t>Company</t>
  </si>
  <si>
    <t>NTT</t>
  </si>
  <si>
    <t>Ticker</t>
  </si>
  <si>
    <t>9432.T (TSE Prime)</t>
  </si>
  <si>
    <t>Sector</t>
  </si>
  <si>
    <t>情報・通信業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</si>
  <si>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</si>
  <si>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</si>
  <si>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</si>
  <si>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</si>
  <si>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</si>
  <si>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</si>
  <si>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</si>
  <si>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</si>
  <si>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</si>
  <si>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</si>
  <si>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</si>
  <si>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</si>
  <si>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</si>
  <si>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</si>
  <si>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</si>
  <si>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</si>
  <si>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</si>
  <si>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</si>
  <si>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</si>
  <si>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</si>
  <si>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</si>
  <si>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</si>
  <si>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NTT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</si>
  <si>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</si>
  <si>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</si>
  <si>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</si>
  <si>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</si>
  <si>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</si>
  <si>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</si>
  <si>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</si>
  <si>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</si>
  <si>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</si>
  <si>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</si>
  <si>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</si>
  <si>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</si>
  <si>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</si>
  <si>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</si>
  <si>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</si>
  <si>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</si>
  <si>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</si>
  <si>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</si>
  <si>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</si>
  <si>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</si>
  <si>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</si>
  <si>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</si>
  <si>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</si>
  <si>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</si>
  <si>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</si>
  <si>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</si>
  <si>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</si>
  <si>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</si>
  <si>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NTT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</si>
  <si>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</si>
  <si>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</si>
  <si>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</si>
  <si>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</si>
  <si>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</si>
  <si>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</si>
  <si>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</si>
  <si>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</si>
  <si>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</si>
  <si>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</si>
  <si>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</si>
  <si>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</si>
  <si>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</si>
  <si>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</si>
  <si>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</si>
  <si>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</si>
  <si>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</si>
  <si>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</si>
  <si>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</si>
  <si>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</si>
  <si>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</si>
  <si>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</si>
  <si>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</si>
  <si>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</si>
  <si>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</si>
  <si>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</si>
  <si>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</si>
  <si>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</si>
  <si>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</si>
  <si>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</si>
  <si>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</si>
  <si>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</si>
  <si>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</si>
  <si>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</si>
  <si>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</si>
  <si>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</si>
  <si>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</si>
  <si>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</si>
  <si>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</si>
  <si>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</si>
  <si>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</si>
  <si>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</si>
  <si>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</si>
  <si>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</si>
  <si>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</si>
  <si>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</si>
  <si>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</si>
  <si>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</si>
  <si>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</si>
  <si>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</si>
  <si>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</si>
  <si>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</si>
  <si>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</si>
  <si>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</si>
  <si>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</si>
  <si>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</si>
  <si>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</si>
  <si>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</si>
  <si>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</si>
  <si>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</si>
  <si>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</si>
  <si>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</si>
  <si>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</si>
  <si>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</si>
  <si>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NTT (9432.T)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</si>
  <si>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</si>
  <si>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</si>
  <si>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</si>
  <si>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</si>
  <si>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</si>
  <si>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</si>
  <si>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</si>
  <si>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</si>
  <si>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</si>
  <si>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</si>
  <si>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</si>
  <si>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</si>
  <si>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</si>
  <si>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</si>
  <si>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</si>
  <si>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</si>
  <si>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</si>
  <si>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</si>
  <si>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</si>
  <si>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</si>
  <si>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</si>
  <si>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</si>
  <si>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</si>
  <si>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</si>
  <si>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</si>
  <si>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</si>
  <si>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</si>
  <si>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</si>
  <si>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</si>
  <si>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</si>
  <si>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</si>
  <si>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</si>
  <si>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</si>
  <si>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</si>
  <si>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</si>
  <si>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</si>
  <si>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</si>
  <si>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</si>
  <si>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</si>
  <si>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</si>
  <si>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</si>
  <si>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</si>
  <si>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</si>
  <si>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</si>
  <si>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</si>
  <si>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</si>
  <si>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</si>
  <si>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</si>
  <si>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</si>
  <si>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</si>
  <si>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</si>
  <si>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NTT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</si>
  <si>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</si>
  <si>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</si>
  <si>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</si>
  <si>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</si>
  <si>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</si>
  <si>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</si>
  <si>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</si>
  <si>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</si>
  <si>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</si>
  <si>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</si>
  <si>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</si>
  <si>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</si>
  <si>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</si>
  <si>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</si>
  <si>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</si>
  <si>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</si>
  <si>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</si>
  <si>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</si>
  <si>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</si>
  <si>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</si>
  <si>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</si>
  <si>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</si>
  <si>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</si>
  <si>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</si>
  <si>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</si>
  <si>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</si>
  <si>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</si>
  <si>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</si>
  <si>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</si>
  <si>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</si>
  <si>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</si>
  <si>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</si>
  <si>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</si>
  <si>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</si>
  <si>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NTT, Inc.</t>
  </si>
  <si>
    <t>9432.T</t>
  </si>
  <si>
    <t>KDDI Corporation</t>
  </si>
  <si>
    <t>9433.T</t>
  </si>
  <si>
    <t>SoftBank Corp.</t>
  </si>
  <si>
    <t>9434.T</t>
  </si>
  <si>
    <t>Okinawa Cellular Telephone Company</t>
  </si>
  <si>
    <t>9436.T</t>
  </si>
  <si>
    <t>Statistics</t>
  </si>
  <si>
    <t>25th Percentile</t>
  </si>
  <si>
    <t>Median (50th)</t>
  </si>
  <si>
    <t>75th Percentile</t>
  </si>
  <si>
    <t>Implied Valuation for NTT</t>
  </si>
  <si>
    <t>NTT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</si>
  <si>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</si>
  <si>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</si>
  <si>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</si>
  <si>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</si>
  <si>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</si>
  <si>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</si>
  <si>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</si>
  <si>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</si>
  <si>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</si>
  <si>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</si>
  <si>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</si>
  <si>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</si>
  <si>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</si>
  <si>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</si>
  <si>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</si>
  <si>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NTT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</si>
  <si>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</si>
  <si>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</si>
  <si>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</si>
  <si>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</si>
  <si>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</si>
  <si>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</si>
  <si>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</si>
  <si>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</si>
  <si>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19:32, template rev 63983ab</t>
  </si>
  <si>
    <t>初期生成（手修正なし）</t>
  </si>
  <si>
    <t>generated</t>
  </si>
  <si>
    <t>DCF Model!C11</t>
  </si>
  <si>
    <t>After-tax Cost of Debt = 1.28% (実績ベース)</t>
  </si>
  <si>
    <t>実績Kd = 支払利息240,068 ÷ 平均有利子負債14,045,376(期首11,171,213/期末16,919,540、debt_beginning/debt_ending) = 税引前1.71% × (1−25.0%) = 1.28%。【マージナルコスト注記】これは既存借入の実績平均コストであり、新規調達の限界コストではない。テンプレ既定(税引前2.8%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</si>
  <si>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</si>
  <si>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</si>
  <si>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</si>
  <si>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0.476（採用値）</t>
  </si>
  <si>
    <t>実測β(raw) = 0.218 → Blume調整 0.67×raw + 0.33×1.00 = 0.476 → 採用 0.476。クランプ域 [0.3, 2.0] の内側。置換なし。回帰βは平均回帰するため Blume 調整を既定とする（2026-09-05 バッチで85件中57件が旧下限 0.60 に張り付き、両裾の歪みが実証された）。</t>
  </si>
  <si>
    <t>実測 0.218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</si>
  <si>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</si>
  <si>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</si>
  <si>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</si>
  <si>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</si>
  <si>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</si>
  <si>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</si>
  <si>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</si>
  <si>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0.4763</t>
  </si>
  <si>
    <t>beta_basis</t>
  </si>
  <si>
    <t>Blume: 0.67 x 0.218 + 0.33 x 1.00 = 0.476</t>
  </si>
  <si>
    <t>beta_blume_adjusted</t>
  </si>
  <si>
    <t>beta_clamped</t>
  </si>
  <si>
    <t>no</t>
  </si>
  <si>
    <t>beta_raw</t>
  </si>
  <si>
    <t>0.2184</t>
  </si>
  <si>
    <t>capex_pct_basis</t>
  </si>
  <si>
    <t>explicit_override</t>
  </si>
  <si>
    <t>capex_pct_c5</t>
  </si>
  <si>
    <t>0.130515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</si>
  <si>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</si>
  <si>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</si>
  <si>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</si>
  <si>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</si>
  <si>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</si>
  <si>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</si>
  <si>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</si>
  <si>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</si>
  <si>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</si>
  <si>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</si>
  <si>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</si>
  <si>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</si>
  <si>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</si>
  <si>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</si>
  <si>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</si>
  <si>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</si>
  <si>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</si>
  <si>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</si>
  <si>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</si>
  <si>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</si>
  <si>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</si>
  <si>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3577393.0</t>
  </si>
  <si>
    <t>core_net_income</t>
  </si>
  <si>
    <t>1037032.0</t>
  </si>
  <si>
    <t>cost_of_debt_actual</t>
  </si>
  <si>
    <t>interest 240,068 (expense 240,068 + fees 0) / avg debt 14,045,376 (debt_beginning/debt_ending) = 0.017092 pre-tax -&gt; 0.012800 after-tax</t>
  </si>
  <si>
    <t>cost_of_debt_at_c11</t>
  </si>
  <si>
    <t>0.0128</t>
  </si>
  <si>
    <t>cost_of_debt_avg_debt</t>
  </si>
  <si>
    <t>14045376.5</t>
  </si>
  <si>
    <t>cost_of_debt_basis</t>
  </si>
  <si>
    <t>actual</t>
  </si>
  <si>
    <t>cost_of_debt_interest</t>
  </si>
  <si>
    <t>240068.0</t>
  </si>
  <si>
    <t>cost_of_debt_pretax</t>
  </si>
  <si>
    <t>0.01709231504046901</t>
  </si>
  <si>
    <t>da_pct_basis</t>
  </si>
  <si>
    <t>da_pct_c18</t>
  </si>
  <si>
    <t>0.1243</t>
  </si>
  <si>
    <t>da_pct_hist3yr</t>
  </si>
  <si>
    <t>fs_year_coverage</t>
  </si>
  <si>
    <t>OCF 4/4, Cash 4/4, Debt 0/4</t>
  </si>
  <si>
    <t>fs_year_map</t>
  </si>
  <si>
    <t>FY2023&lt;-FY2023[ocf+cash]; FY2024&lt;-FY2024[ocf+cash]; 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</si>
  <si>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</si>
  <si>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</si>
  <si>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</si>
  <si>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</si>
  <si>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</si>
  <si>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19:32:21</t>
  </si>
  <si>
    <t>guidance_note</t>
  </si>
  <si>
    <t>TDnet 決算短信 via screener guidance table: FY2027 disclosed 2026-08-06 (net_income=980,000mn, operating_income=1,710,000mn)</t>
  </si>
  <si>
    <t>guidance_source</t>
  </si>
  <si>
    <t>tdnet_screener_db</t>
  </si>
  <si>
    <t>latest_operating_income</t>
  </si>
  <si>
    <t>1786410.0</t>
  </si>
  <si>
    <t>ltm_revenue_c20</t>
  </si>
  <si>
    <t>14409121.0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</si>
  <si>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</si>
  <si>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</si>
  <si>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</si>
  <si>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</si>
  <si>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</si>
  <si>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</si>
  <si>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UNAVAILABLE (no net_debt, and total_debt/cash incomplete)</t>
  </si>
  <si>
    <t>reverse_dcf_sheet</t>
  </si>
  <si>
    <t>op0=1,786,410(FY2026) peak=1,937,382(FY2024) peak_opm=0.1449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</si>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</sst>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172.6000061035156</v>
      </c>
    </row>
    <row r="10" spans="2:5" ht="14" x14ac:dyDescent="0.3">
      <c r="B10" s="4" t="s">
        <v>10</v>
      </c>
      <c r="C10" s="5">
        <f>IF(COUNT(C16:C17)=0,"N/A",ROUND(AVERAGE(C16:C17),0))</f>
        <v>375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1.1726534573532776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434</v>
      </c>
      <c r="D16" s="7">
        <f>IF(ISNUMBER(C16),(C16-C9)/C9,"N/A")</f>
        <v>1.51448426797686</v>
      </c>
    </row>
    <row r="17" spans="2:5" ht="13.5" x14ac:dyDescent="0.25">
      <c r="B17" t="s">
        <v>18</v>
      </c>
      <c r="C17" s="11">
        <f>IF('DCF Model'!C62&lt;'DCF Model'!C16,"INVALID (EV &lt; net debt)",'DCF Model'!C64)</f>
        <v>316</v>
      </c>
      <c r="D17" s="7">
        <f>IF(ISNUMBER(C17),(C17-C9)/C9,"N/A")</f>
        <v>0.83082264672969541</v>
      </c>
    </row>
    <row r="18" spans="2:5" ht="13.5" x14ac:dyDescent="0.25">
      <c r="B18" t="s">
        <v>19</v>
      </c>
      <c r="C18" s="11">
        <f>'Comps Analysis'!C27</f>
        <v>221</v>
      </c>
      <c r="D18" s="7">
        <f>IF(ISNUMBER(C18),(C18-C9)/C9,"N/A")</f>
        <v>0.28041710420019833</v>
      </c>
    </row>
    <row r="19" spans="2:5" ht="13.5" x14ac:dyDescent="0.25">
      <c r="B19" t="s">
        <v>20</v>
      </c>
      <c r="C19" s="11">
        <f>'Comps Analysis'!C28</f>
        <v>266</v>
      </c>
      <c r="D19" s="7">
        <f>IF(ISNUMBER(C19),(C19-C9)/C9,"N/A")</f>
        <v>0.54113551908259172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316 - 434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13136194</v>
      </c>
      <c r="D6" s="5">
        <v>13374569</v>
      </c>
      <c r="E6" s="5">
        <v>13704727</v>
      </c>
      <c r="F6" s="5">
        <v>14409121</v>
      </c>
    </row>
    <row r="7" spans="2:6" ht="14" x14ac:dyDescent="0.3">
      <c r="B7" s="4" t="s">
        <v>38</v>
      </c>
      <c r="C7" s="5">
        <v>2768711</v>
      </c>
      <c r="D7" s="5">
        <v>2935465</v>
      </c>
      <c r="E7" s="5">
        <v>3098603</v>
      </c>
      <c r="F7" s="5">
        <v>3214887</v>
      </c>
    </row>
    <row r="8" spans="2:6" ht="14" x14ac:dyDescent="0.3">
      <c r="B8" s="4" t="s">
        <v>39</v>
      </c>
      <c r="C8" s="5">
        <f>C6-C7</f>
        <v>10367483</v>
      </c>
      <c r="D8" s="5">
        <f>D6-D7</f>
        <v>10439104</v>
      </c>
      <c r="E8" s="5">
        <f>E6-E7</f>
        <v>10606124</v>
      </c>
      <c r="F8" s="5">
        <f>F6-F7</f>
        <v>11194234</v>
      </c>
    </row>
    <row r="9" spans="2:6" ht="13.5" x14ac:dyDescent="0.25">
      <c r="B9" t="s">
        <v>40</v>
      </c>
      <c r="C9" s="7">
        <f>C8/C6</f>
        <v>0.7892303508915901</v>
      </c>
      <c r="D9" s="7">
        <f>D8/D6</f>
        <v>0.78051890868408547</v>
      </c>
      <c r="E9" s="7">
        <f>E8/E6</f>
        <v>0.77390261039129049</v>
      </c>
      <c r="F9" s="7">
        <f>F8/F6</f>
        <v>0.7768852798168604</v>
      </c>
    </row>
    <row r="10" spans="2:6" ht="14" x14ac:dyDescent="0.3">
      <c r="B10" s="4" t="s">
        <v>41</v>
      </c>
      <c r="C10" s="5">
        <v>8522530</v>
      </c>
      <c r="D10" s="5">
        <v>8501722</v>
      </c>
      <c r="E10" s="5">
        <v>8936485</v>
      </c>
      <c r="F10" s="5">
        <v>9407824</v>
      </c>
    </row>
    <row r="11" spans="2:6" ht="14" x14ac:dyDescent="0.3">
      <c r="B11" s="4" t="s">
        <v>42</v>
      </c>
      <c r="C11" s="5">
        <v>1844953</v>
      </c>
      <c r="D11" s="5">
        <v>1937382</v>
      </c>
      <c r="E11" s="5">
        <v>1669639</v>
      </c>
      <c r="F11" s="5">
        <v>1786410</v>
      </c>
    </row>
    <row r="12" spans="2:6" ht="14" x14ac:dyDescent="0.3">
      <c r="B12" s="4" t="s">
        <v>43</v>
      </c>
      <c r="C12" s="5">
        <v>1213116</v>
      </c>
      <c r="D12" s="5">
        <v>1279521</v>
      </c>
      <c r="E12" s="5">
        <v>1000016</v>
      </c>
      <c r="F12" s="5">
        <v>1037032</v>
      </c>
    </row>
    <row r="13" spans="2:6" ht="13.5" x14ac:dyDescent="0.25">
      <c r="B13" t="s">
        <v>44</v>
      </c>
      <c r="C13" s="7">
        <f>C11/C6</f>
        <v>0.14044806281027822</v>
      </c>
      <c r="D13" s="7">
        <f>D11/D6</f>
        <v>0.14485565852626728</v>
      </c>
      <c r="E13" s="7">
        <f>E11/E6</f>
        <v>0.12182942425631682</v>
      </c>
      <c r="F13" s="7">
        <f>F11/F6</f>
        <v>0.12397772216639724</v>
      </c>
    </row>
    <row r="14" spans="2:6" ht="13.5" x14ac:dyDescent="0.25">
      <c r="B14" t="s">
        <v>45</v>
      </c>
      <c r="C14" s="7">
        <f>C12/C6</f>
        <v>9.2349123345772749E-2</v>
      </c>
      <c r="D14" s="7">
        <f>D12/D6</f>
        <v>9.566820433615468E-2</v>
      </c>
      <c r="E14" s="7">
        <f>E12/E6</f>
        <v>7.2968691751393519E-2</v>
      </c>
      <c r="F14" s="7">
        <f>F12/F6</f>
        <v>7.1970524780796824E-2</v>
      </c>
    </row>
    <row r="15" spans="2:6" ht="13.5" x14ac:dyDescent="0.25">
      <c r="B15" t="s">
        <v>46</v>
      </c>
      <c r="C15" t="s">
        <v>47</v>
      </c>
      <c r="D15" s="7">
        <f>(D6-C6)/C6</f>
        <v>1.8146428105431451E-2</v>
      </c>
      <c r="E15" s="7">
        <f>(E6-D6)/D6</f>
        <v>2.4685505753493812E-2</v>
      </c>
      <c r="F15" s="7">
        <f>(F6-E6)/E6</f>
        <v>5.139788629135042E-2</v>
      </c>
    </row>
    <row r="16" spans="2:6" ht="13.5" x14ac:dyDescent="0.25">
      <c r="B16" t="s">
        <v>48</v>
      </c>
      <c r="C16" t="s">
        <v>47</v>
      </c>
      <c r="D16" s="7">
        <f>(D11-C11)/C11</f>
        <v>5.0098295186923464E-2</v>
      </c>
      <c r="E16" s="7">
        <f>(E11-D11)/D11</f>
        <v>-0.13819835220932164</v>
      </c>
      <c r="F16" s="7">
        <f>(F11-E11)/E11</f>
        <v>6.9937872797652664E-2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2261013</v>
      </c>
      <c r="D19" s="5">
        <v>2374159</v>
      </c>
      <c r="E19" s="5">
        <v>2364031</v>
      </c>
      <c r="F19" s="5">
        <v>1485190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793920</v>
      </c>
      <c r="D26" s="5">
        <v>982874</v>
      </c>
      <c r="E26" s="5">
        <v>1000994</v>
      </c>
      <c r="F26" s="5">
        <v>1921882</v>
      </c>
    </row>
    <row r="27" spans="2:6" ht="14" x14ac:dyDescent="0.3">
      <c r="B27" s="4" t="s">
        <v>57</v>
      </c>
      <c r="C27" s="5"/>
      <c r="D27" s="5"/>
      <c r="E27" s="5"/>
      <c r="F27" s="5"/>
    </row>
    <row r="28" spans="2:6" ht="14" x14ac:dyDescent="0.3">
      <c r="B28" s="4" t="s">
        <v>58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0.13051499999999999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0.4763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1.2800000000000001E-2</v>
      </c>
    </row>
    <row r="12" spans="2:7" ht="14" x14ac:dyDescent="0.3">
      <c r="B12" s="4" t="s">
        <v>69</v>
      </c>
      <c r="C12" s="13">
        <v>1.0724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9.1999999999999993</v>
      </c>
    </row>
    <row r="15" spans="2:7" ht="14" x14ac:dyDescent="0.3">
      <c r="B15" s="4" t="s">
        <v>72</v>
      </c>
      <c r="C15" s="15">
        <v>81027939965</v>
      </c>
    </row>
    <row r="16" spans="2:7" ht="14" x14ac:dyDescent="0.3">
      <c r="B16" s="4" t="s">
        <v>73</v>
      </c>
      <c r="C16" s="5">
        <v>14997658</v>
      </c>
    </row>
    <row r="17" spans="2:7" ht="14" x14ac:dyDescent="0.3">
      <c r="B17" s="4" t="s">
        <v>74</v>
      </c>
      <c r="C17" s="5">
        <v>14409121</v>
      </c>
    </row>
    <row r="18" spans="2:7" ht="14" x14ac:dyDescent="0.3">
      <c r="B18" s="4" t="s">
        <v>75</v>
      </c>
      <c r="C18" s="7">
        <v>0.12429999999999999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14409121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7.06595E-2</v>
      </c>
    </row>
    <row r="24" spans="2:7" ht="14" x14ac:dyDescent="0.3">
      <c r="B24" s="4" t="s">
        <v>80</v>
      </c>
      <c r="C24" s="16">
        <f>1/(1+C12)</f>
        <v>0.48253232966608761</v>
      </c>
    </row>
    <row r="25" spans="2:7" ht="14" x14ac:dyDescent="0.3">
      <c r="B25" s="4" t="s">
        <v>81</v>
      </c>
      <c r="C25" s="16">
        <f>C12/(1+C12)</f>
        <v>0.51746767033391239</v>
      </c>
    </row>
    <row r="26" spans="2:7" ht="14" x14ac:dyDescent="0.3">
      <c r="B26" s="4" t="s">
        <v>82</v>
      </c>
      <c r="C26" s="16">
        <f>C23*C24+C11*C25</f>
        <v>4.0719079328314998E-2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0.56999999999999995</v>
      </c>
      <c r="D31" s="18">
        <f>CHOOSE($D$27,D76,D77,D78,D79,D80)</f>
        <v>0.56999999999999995</v>
      </c>
      <c r="E31" s="18">
        <f>CHOOSE($D$27,E76,E77,E78,E79,E80)</f>
        <v>0.56999999999999995</v>
      </c>
      <c r="F31" s="18">
        <f>CHOOSE($D$27,F76,F77,F78,F79,F80)</f>
        <v>0.56999999999999995</v>
      </c>
      <c r="G31" s="18">
        <f>CHOOSE($D$27,G76,G77,G78,G79,G80)</f>
        <v>0.56999999999999995</v>
      </c>
    </row>
    <row r="32" spans="2:7" ht="14" x14ac:dyDescent="0.3">
      <c r="B32" s="4" t="s">
        <v>92</v>
      </c>
      <c r="C32" s="18">
        <f>CHOOSE($D$27,C83,C84,C85,C86,C87)</f>
        <v>0.30399999999999999</v>
      </c>
      <c r="D32" s="18">
        <f>CHOOSE($D$27,D83,D84,D85,D86,D87)</f>
        <v>0.30199999999999999</v>
      </c>
      <c r="E32" s="18">
        <f>CHOOSE($D$27,E83,E84,E85,E86,E87)</f>
        <v>0.30020000000000002</v>
      </c>
      <c r="F32" s="18">
        <f>CHOOSE($D$27,F83,F84,F85,F86,F87)</f>
        <v>0.29880000000000001</v>
      </c>
      <c r="G32" s="18">
        <f>CHOOSE($D$27,G83,G84,G85,G86,G87)</f>
        <v>0.29780000000000001</v>
      </c>
    </row>
    <row r="33" spans="2:7" ht="14" x14ac:dyDescent="0.3">
      <c r="B33" s="4" t="s">
        <v>37</v>
      </c>
      <c r="C33" s="5">
        <f>C17*(1+C30)</f>
        <v>14697303.42</v>
      </c>
      <c r="D33" s="5">
        <f>C33*(1+D30)</f>
        <v>14991249.488400001</v>
      </c>
      <c r="E33" s="5">
        <f>D33*(1+E30)</f>
        <v>15291074.478168001</v>
      </c>
      <c r="F33" s="5">
        <f>E33*(1+F30)</f>
        <v>15596895.967731362</v>
      </c>
      <c r="G33" s="5">
        <f>F33*(1+G30)</f>
        <v>15830849.407247331</v>
      </c>
    </row>
    <row r="34" spans="2:7" ht="14" x14ac:dyDescent="0.3">
      <c r="B34" s="4" t="s">
        <v>38</v>
      </c>
      <c r="C34" s="5">
        <f>C33*C31</f>
        <v>8377462.9493999993</v>
      </c>
      <c r="D34" s="5">
        <f>D33*D31</f>
        <v>8545012.2083880007</v>
      </c>
      <c r="E34" s="5">
        <f>E33*E31</f>
        <v>8715912.4525557607</v>
      </c>
      <c r="F34" s="5">
        <f>F33*F31</f>
        <v>8890230.7016068753</v>
      </c>
      <c r="G34" s="5">
        <f>G33*G31</f>
        <v>9023584.162130978</v>
      </c>
    </row>
    <row r="35" spans="2:7" ht="14" x14ac:dyDescent="0.3">
      <c r="B35" s="4" t="s">
        <v>39</v>
      </c>
      <c r="C35" s="19">
        <f>C33-C34</f>
        <v>6319840.4706000006</v>
      </c>
      <c r="D35" s="19">
        <f>D33-D34</f>
        <v>6446237.2800120004</v>
      </c>
      <c r="E35" s="19">
        <f>E33-E34</f>
        <v>6575162.0256122407</v>
      </c>
      <c r="F35" s="19">
        <f>F33-F34</f>
        <v>6706665.2661244869</v>
      </c>
      <c r="G35" s="19">
        <f>G33-G34</f>
        <v>6807265.245116353</v>
      </c>
    </row>
    <row r="36" spans="2:7" ht="14" x14ac:dyDescent="0.3">
      <c r="B36" s="4" t="s">
        <v>40</v>
      </c>
      <c r="C36" s="7">
        <f>C35/C33</f>
        <v>0.43000000000000005</v>
      </c>
      <c r="D36" s="7">
        <f>D35/D33</f>
        <v>0.43</v>
      </c>
      <c r="E36" s="7">
        <f>E35/E33</f>
        <v>0.43</v>
      </c>
      <c r="F36" s="7">
        <f>F35/F33</f>
        <v>0.43000000000000005</v>
      </c>
      <c r="G36" s="7">
        <f>G35/G33</f>
        <v>0.43000000000000005</v>
      </c>
    </row>
    <row r="37" spans="2:7" ht="14" x14ac:dyDescent="0.3">
      <c r="B37" s="4" t="s">
        <v>93</v>
      </c>
      <c r="C37" s="5">
        <f>C33*C32</f>
        <v>4467980.2396799996</v>
      </c>
      <c r="D37" s="5">
        <f>D33*D32</f>
        <v>4527357.3454967998</v>
      </c>
      <c r="E37" s="5">
        <f>E33*E32</f>
        <v>4590380.558346034</v>
      </c>
      <c r="F37" s="5">
        <f>F33*F32</f>
        <v>4660352.5151581308</v>
      </c>
      <c r="G37" s="5">
        <f>G33*G32</f>
        <v>4714426.9534782553</v>
      </c>
    </row>
    <row r="38" spans="2:7" ht="14" x14ac:dyDescent="0.3">
      <c r="B38" s="4" t="s">
        <v>94</v>
      </c>
      <c r="C38" s="7">
        <f>(C35-C37)/C33</f>
        <v>0.12600000000000006</v>
      </c>
      <c r="D38" s="7">
        <f>(D35-D37)/D33</f>
        <v>0.12800000000000003</v>
      </c>
      <c r="E38" s="7">
        <f>(E35-E37)/E33</f>
        <v>0.1298</v>
      </c>
      <c r="F38" s="7">
        <f>(F35-F37)/F33</f>
        <v>0.13120000000000009</v>
      </c>
      <c r="G38" s="7">
        <f>(G35-G37)/G33</f>
        <v>0.13220000000000004</v>
      </c>
    </row>
    <row r="39" spans="2:7" ht="14" x14ac:dyDescent="0.3">
      <c r="B39" s="4" t="s">
        <v>95</v>
      </c>
      <c r="C39" s="19">
        <f>C35-C37</f>
        <v>1851860.2309200009</v>
      </c>
      <c r="D39" s="19">
        <f>D35-D37</f>
        <v>1918879.9345152006</v>
      </c>
      <c r="E39" s="19">
        <f>E35-E37</f>
        <v>1984781.4672662066</v>
      </c>
      <c r="F39" s="19">
        <f>F35-F37</f>
        <v>2046312.7509663561</v>
      </c>
      <c r="G39" s="19">
        <f>G35-G37</f>
        <v>2092838.2916380977</v>
      </c>
    </row>
    <row r="40" spans="2:7" ht="14" x14ac:dyDescent="0.3">
      <c r="B40" s="4" t="s">
        <v>96</v>
      </c>
      <c r="C40" s="5">
        <f>MAX(0,C39*C6)</f>
        <v>462965.05773000023</v>
      </c>
      <c r="D40" s="5">
        <f>MAX(0,D39*C6)</f>
        <v>479719.98362880014</v>
      </c>
      <c r="E40" s="5">
        <f>MAX(0,E39*C6)</f>
        <v>496195.36681655166</v>
      </c>
      <c r="F40" s="5">
        <f>MAX(0,F39*C6)</f>
        <v>511578.18774158903</v>
      </c>
      <c r="G40" s="5">
        <f>MAX(0,G39*C6)</f>
        <v>523209.57290952443</v>
      </c>
    </row>
    <row r="41" spans="2:7" ht="14" x14ac:dyDescent="0.3">
      <c r="B41" s="4" t="s">
        <v>97</v>
      </c>
      <c r="C41" s="19">
        <f>C39-C40</f>
        <v>1388895.1731900007</v>
      </c>
      <c r="D41" s="19">
        <f>D39-D40</f>
        <v>1439159.9508864004</v>
      </c>
      <c r="E41" s="19">
        <f>E39-E40</f>
        <v>1488586.100449655</v>
      </c>
      <c r="F41" s="19">
        <f>F39-F40</f>
        <v>1534734.5632247671</v>
      </c>
      <c r="G41" s="19">
        <f>G39-G40</f>
        <v>1569628.7187285733</v>
      </c>
    </row>
    <row r="42" spans="2:7" ht="14" x14ac:dyDescent="0.3">
      <c r="B42" s="4" t="s">
        <v>98</v>
      </c>
      <c r="C42" s="5">
        <f>C33*C18</f>
        <v>1826874.8151059998</v>
      </c>
      <c r="D42" s="5">
        <f>D33*C18</f>
        <v>1863412.31140812</v>
      </c>
      <c r="E42" s="5">
        <f>E33*C18</f>
        <v>1900680.5576362824</v>
      </c>
      <c r="F42" s="5">
        <f>F33*C18</f>
        <v>1938694.1687890082</v>
      </c>
      <c r="G42" s="5">
        <f>G33*C18</f>
        <v>1967774.5813208432</v>
      </c>
    </row>
    <row r="43" spans="2:7" ht="14" x14ac:dyDescent="0.3">
      <c r="B43" s="4" t="s">
        <v>99</v>
      </c>
      <c r="C43" s="5">
        <v>2173200</v>
      </c>
      <c r="D43" s="5">
        <v>2146500</v>
      </c>
      <c r="E43" s="5">
        <v>2119700</v>
      </c>
      <c r="F43" s="5">
        <v>2093000</v>
      </c>
      <c r="G43" s="5">
        <v>2066200</v>
      </c>
    </row>
    <row r="44" spans="2:7" ht="14" x14ac:dyDescent="0.3">
      <c r="B44" s="4" t="s">
        <v>100</v>
      </c>
      <c r="C44" s="5">
        <f>'NWC Schedule'!D19</f>
        <v>-4478491.5337731503</v>
      </c>
      <c r="D44" s="5">
        <f>'NWC Schedule'!E19</f>
        <v>-27510.130675463006</v>
      </c>
      <c r="E44" s="5">
        <f>'NWC Schedule'!F19</f>
        <v>-28060.333288973197</v>
      </c>
      <c r="F44" s="5">
        <f>'NWC Schedule'!G19</f>
        <v>-28621.53995475173</v>
      </c>
      <c r="G44" s="5">
        <f>'NWC Schedule'!H19</f>
        <v>-21895.478065383621</v>
      </c>
    </row>
    <row r="45" spans="2:7" ht="14" x14ac:dyDescent="0.3">
      <c r="B45" s="4" t="s">
        <v>101</v>
      </c>
      <c r="C45" s="20">
        <f>C41+C42-C43-C44</f>
        <v>5521061.5220691506</v>
      </c>
      <c r="D45" s="20">
        <f>D41+D42-D43-D44</f>
        <v>1183582.3929699836</v>
      </c>
      <c r="E45" s="20">
        <f>E41+E42-E43-E44</f>
        <v>1297626.9913749108</v>
      </c>
      <c r="F45" s="20">
        <f>F41+F42-F43-F44</f>
        <v>1409050.2719685268</v>
      </c>
      <c r="G45" s="20">
        <f>G41+G42-G43-G44</f>
        <v>1493098.7781148003</v>
      </c>
    </row>
    <row r="46" spans="2:7" ht="14" x14ac:dyDescent="0.3">
      <c r="B46" s="4" t="s">
        <v>102</v>
      </c>
      <c r="C46" s="21">
        <f>1/(1+C26)^(C19+0)</f>
        <v>0.96087409163806692</v>
      </c>
      <c r="D46" s="21">
        <f>1/(1+C26)^(C19+1)</f>
        <v>0.92327901998128037</v>
      </c>
      <c r="E46" s="21">
        <f>1/(1+C26)^(C19+2)</f>
        <v>0.88715488965299749</v>
      </c>
      <c r="F46" s="21">
        <f>1/(1+C26)^(C19+3)</f>
        <v>0.85244414873759344</v>
      </c>
      <c r="G46" s="21">
        <f>1/(1+C26)^(C19+4)</f>
        <v>0.8190914970904204</v>
      </c>
    </row>
    <row r="47" spans="2:7" ht="14" x14ac:dyDescent="0.3">
      <c r="B47" s="4" t="s">
        <v>103</v>
      </c>
      <c r="C47" s="19">
        <f>C45*C46</f>
        <v>5305044.974896078</v>
      </c>
      <c r="D47" s="19">
        <f>D45*D46</f>
        <v>1092776.7918484251</v>
      </c>
      <c r="E47" s="19">
        <f>E45*E46</f>
        <v>1151196.1303439601</v>
      </c>
      <c r="F47" s="19">
        <f>F45*F46</f>
        <v>1201136.6596166852</v>
      </c>
      <c r="G47" s="19">
        <f>G45*G46</f>
        <v>1222984.5134699293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9973139.0701750759</v>
      </c>
    </row>
    <row r="51" spans="2:7" ht="14" x14ac:dyDescent="0.3">
      <c r="B51" s="4" t="s">
        <v>106</v>
      </c>
      <c r="C51" s="5">
        <f>G45*(1+C13)/(C26-C13)</f>
        <v>49090981.854587592</v>
      </c>
    </row>
    <row r="52" spans="2:7" ht="14" x14ac:dyDescent="0.3">
      <c r="B52" s="4" t="s">
        <v>107</v>
      </c>
      <c r="C52" s="5">
        <f>C51*G46</f>
        <v>40210005.820912816</v>
      </c>
    </row>
    <row r="53" spans="2:7" ht="14" x14ac:dyDescent="0.3">
      <c r="B53" s="4" t="s">
        <v>108</v>
      </c>
      <c r="C53" s="5">
        <f>C50+C52</f>
        <v>50183144.89108789</v>
      </c>
    </row>
    <row r="54" spans="2:7" ht="14" x14ac:dyDescent="0.3">
      <c r="B54" s="4" t="s">
        <v>109</v>
      </c>
      <c r="C54" s="5">
        <f>C53-C16</f>
        <v>35185486.89108789</v>
      </c>
    </row>
    <row r="55" spans="2:7" ht="14" x14ac:dyDescent="0.3">
      <c r="B55" s="4" t="s">
        <v>110</v>
      </c>
      <c r="C55" s="24">
        <f>ROUND(C54*1000000/C15,0)</f>
        <v>434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9973139.0701750759</v>
      </c>
    </row>
    <row r="59" spans="2:7" ht="14" x14ac:dyDescent="0.3">
      <c r="B59" s="4" t="s">
        <v>112</v>
      </c>
      <c r="C59" s="5">
        <f>G39+G42</f>
        <v>4060612.8729589409</v>
      </c>
    </row>
    <row r="60" spans="2:7" ht="14" x14ac:dyDescent="0.3">
      <c r="B60" s="4" t="s">
        <v>113</v>
      </c>
      <c r="C60" s="5">
        <f>C59*C14</f>
        <v>37357638.431222253</v>
      </c>
    </row>
    <row r="61" spans="2:7" ht="14" x14ac:dyDescent="0.3">
      <c r="B61" s="4" t="s">
        <v>107</v>
      </c>
      <c r="C61" s="5">
        <f>C60*G46</f>
        <v>30599323.990392458</v>
      </c>
    </row>
    <row r="62" spans="2:7" ht="14" x14ac:dyDescent="0.3">
      <c r="B62" s="4" t="s">
        <v>108</v>
      </c>
      <c r="C62" s="5">
        <f>C58+C61</f>
        <v>40572463.060567535</v>
      </c>
    </row>
    <row r="63" spans="2:7" ht="14" x14ac:dyDescent="0.3">
      <c r="B63" s="4" t="s">
        <v>109</v>
      </c>
      <c r="C63" s="5">
        <f>C62-C16</f>
        <v>25574805.060567535</v>
      </c>
    </row>
    <row r="64" spans="2:7" ht="14" x14ac:dyDescent="0.3">
      <c r="B64" s="4" t="s">
        <v>114</v>
      </c>
      <c r="C64" s="24">
        <f>ROUND(C63*1000000/C15,0)</f>
        <v>316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0.02</v>
      </c>
      <c r="D69" s="26">
        <v>0.02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0.03</v>
      </c>
      <c r="D70" s="26">
        <v>0.03</v>
      </c>
      <c r="E70" s="26">
        <v>2.5000000000000001E-2</v>
      </c>
      <c r="F70" s="26">
        <v>2.5000000000000001E-2</v>
      </c>
      <c r="G70" s="26">
        <v>0.02</v>
      </c>
    </row>
    <row r="71" spans="2:7" ht="14" x14ac:dyDescent="0.3">
      <c r="B71" s="4" t="s">
        <v>122</v>
      </c>
      <c r="C71" s="26">
        <v>0.02</v>
      </c>
      <c r="D71" s="26">
        <v>0.02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0.01</v>
      </c>
      <c r="D72" s="26">
        <v>1.4999999999999999E-2</v>
      </c>
      <c r="E72" s="26">
        <v>1.4999999999999999E-2</v>
      </c>
      <c r="F72" s="26">
        <v>1.4999999999999999E-2</v>
      </c>
      <c r="G72" s="26">
        <v>0.01</v>
      </c>
    </row>
    <row r="73" spans="2:7" ht="14" x14ac:dyDescent="0.3">
      <c r="B73" s="4" t="s">
        <v>124</v>
      </c>
      <c r="C73" s="26">
        <v>-0.05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0.56999999999999995</v>
      </c>
      <c r="D76" s="26">
        <v>0.56999999999999995</v>
      </c>
      <c r="E76" s="26">
        <v>0.56999999999999995</v>
      </c>
      <c r="F76" s="26">
        <v>0.56999999999999995</v>
      </c>
      <c r="G76" s="26">
        <v>0.56999999999999995</v>
      </c>
    </row>
    <row r="77" spans="2:7" ht="14" x14ac:dyDescent="0.3">
      <c r="B77" s="4" t="s">
        <v>121</v>
      </c>
      <c r="C77" s="26">
        <v>0.56000000000000005</v>
      </c>
      <c r="D77" s="26">
        <v>0.56000000000000005</v>
      </c>
      <c r="E77" s="26">
        <v>0.56000000000000005</v>
      </c>
      <c r="F77" s="26">
        <v>0.56000000000000005</v>
      </c>
      <c r="G77" s="26">
        <v>0.56000000000000005</v>
      </c>
    </row>
    <row r="78" spans="2:7" ht="14" x14ac:dyDescent="0.3">
      <c r="B78" s="4" t="s">
        <v>122</v>
      </c>
      <c r="C78" s="26">
        <v>0.56999999999999995</v>
      </c>
      <c r="D78" s="26">
        <v>0.56999999999999995</v>
      </c>
      <c r="E78" s="26">
        <v>0.56999999999999995</v>
      </c>
      <c r="F78" s="26">
        <v>0.56999999999999995</v>
      </c>
      <c r="G78" s="26">
        <v>0.56999999999999995</v>
      </c>
    </row>
    <row r="79" spans="2:7" ht="14" x14ac:dyDescent="0.3">
      <c r="B79" s="4" t="s">
        <v>123</v>
      </c>
      <c r="C79" s="26">
        <v>0.57799999999999996</v>
      </c>
      <c r="D79" s="26">
        <v>0.57799999999999996</v>
      </c>
      <c r="E79" s="26">
        <v>0.57799999999999996</v>
      </c>
      <c r="F79" s="26">
        <v>0.57799999999999996</v>
      </c>
      <c r="G79" s="26">
        <v>0.57799999999999996</v>
      </c>
    </row>
    <row r="80" spans="2:7" ht="14" x14ac:dyDescent="0.3">
      <c r="B80" s="4" t="s">
        <v>124</v>
      </c>
      <c r="C80" s="26">
        <v>0.59499999999999997</v>
      </c>
      <c r="D80" s="26">
        <v>0.59499999999999997</v>
      </c>
      <c r="E80" s="26">
        <v>0.59499999999999997</v>
      </c>
      <c r="F80" s="26">
        <v>0.59499999999999997</v>
      </c>
      <c r="G80" s="26">
        <v>0.59499999999999997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0.30399999999999999</v>
      </c>
      <c r="D83" s="26">
        <v>0.30199999999999999</v>
      </c>
      <c r="E83" s="26">
        <v>0.30020000000000002</v>
      </c>
      <c r="F83" s="26">
        <v>0.29880000000000001</v>
      </c>
      <c r="G83" s="26">
        <v>0.29780000000000001</v>
      </c>
    </row>
    <row r="84" spans="2:7" ht="14" x14ac:dyDescent="0.3">
      <c r="B84" s="4" t="s">
        <v>121</v>
      </c>
      <c r="C84" s="26">
        <v>0.307</v>
      </c>
      <c r="D84" s="26">
        <v>0.30349999999999999</v>
      </c>
      <c r="E84" s="26">
        <v>0.30099999999999999</v>
      </c>
      <c r="F84" s="26">
        <v>0.29949999999999999</v>
      </c>
      <c r="G84" s="26">
        <v>0.29849999999999999</v>
      </c>
    </row>
    <row r="85" spans="2:7" ht="14" x14ac:dyDescent="0.3">
      <c r="B85" s="4" t="s">
        <v>122</v>
      </c>
      <c r="C85" s="26">
        <v>0.30399999999999999</v>
      </c>
      <c r="D85" s="26">
        <v>0.30199999999999999</v>
      </c>
      <c r="E85" s="26">
        <v>0.30020000000000002</v>
      </c>
      <c r="F85" s="26">
        <v>0.29880000000000001</v>
      </c>
      <c r="G85" s="26">
        <v>0.29780000000000001</v>
      </c>
    </row>
    <row r="86" spans="2:7" ht="14" x14ac:dyDescent="0.3">
      <c r="B86" s="4" t="s">
        <v>123</v>
      </c>
      <c r="C86" s="26">
        <v>0.29849999999999999</v>
      </c>
      <c r="D86" s="26">
        <v>0.29859999999999998</v>
      </c>
      <c r="E86" s="26">
        <v>0.29859999999999998</v>
      </c>
      <c r="F86" s="26">
        <v>0.29859999999999998</v>
      </c>
      <c r="G86" s="26">
        <v>0.29859999999999998</v>
      </c>
    </row>
    <row r="87" spans="2:7" ht="14" x14ac:dyDescent="0.3">
      <c r="B87" s="4" t="s">
        <v>124</v>
      </c>
      <c r="C87" s="26">
        <v>0.29699999999999999</v>
      </c>
      <c r="D87" s="26">
        <v>0.30499999999999999</v>
      </c>
      <c r="E87" s="26">
        <v>0.307</v>
      </c>
      <c r="F87" s="26">
        <v>0.307</v>
      </c>
      <c r="G87" s="26">
        <v>0.30599999999999999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172.6000061035156</v>
      </c>
    </row>
    <row r="7" spans="2:9" ht="14" x14ac:dyDescent="0.3">
      <c r="B7" s="4" t="s">
        <v>72</v>
      </c>
      <c r="C7" s="15">
        <f>'DCF Model'!C15</f>
        <v>81027939965</v>
      </c>
    </row>
    <row r="8" spans="2:9" ht="14" x14ac:dyDescent="0.3">
      <c r="B8" s="4" t="s">
        <v>129</v>
      </c>
      <c r="C8" s="5">
        <f>C6*C7/1000000</f>
        <v>13985422.932514295</v>
      </c>
    </row>
    <row r="9" spans="2:9" ht="14" x14ac:dyDescent="0.3">
      <c r="B9" s="4" t="s">
        <v>73</v>
      </c>
      <c r="C9" s="5">
        <f>'DCF Model'!C16</f>
        <v>14997658</v>
      </c>
    </row>
    <row r="10" spans="2:9" ht="14" x14ac:dyDescent="0.3">
      <c r="B10" s="4" t="s">
        <v>130</v>
      </c>
      <c r="C10" s="5">
        <f>C8+C9</f>
        <v>28983080.932514295</v>
      </c>
    </row>
    <row r="11" spans="2:9" ht="14" x14ac:dyDescent="0.3">
      <c r="B11" s="4" t="s">
        <v>131</v>
      </c>
      <c r="C11" s="16">
        <f>'DCF Model'!C26</f>
        <v>4.0719079328314998E-2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1786410</v>
      </c>
    </row>
    <row r="15" spans="2:9" ht="14" x14ac:dyDescent="0.3">
      <c r="B15" s="4" t="s">
        <v>135</v>
      </c>
      <c r="C15" s="27">
        <v>1937382</v>
      </c>
    </row>
    <row r="16" spans="2:9" ht="14" x14ac:dyDescent="0.3">
      <c r="B16" s="4" t="s">
        <v>136</v>
      </c>
      <c r="C16" s="5">
        <f>'DCF Model'!G33</f>
        <v>15830849.407247331</v>
      </c>
    </row>
    <row r="17" spans="2:9" ht="14" x14ac:dyDescent="0.3">
      <c r="B17" s="4" t="s">
        <v>137</v>
      </c>
      <c r="C17" s="5">
        <f>'DCF Model'!C53</f>
        <v>50183144.89108789</v>
      </c>
    </row>
    <row r="18" spans="2:9" ht="14" x14ac:dyDescent="0.3">
      <c r="B18" s="4" t="s">
        <v>138</v>
      </c>
      <c r="C18" s="26">
        <v>0.14485565852626731</v>
      </c>
    </row>
    <row r="19" spans="2:9" ht="14" x14ac:dyDescent="0.3">
      <c r="B19" s="4" t="s">
        <v>139</v>
      </c>
      <c r="C19" s="5">
        <f>C10-C17</f>
        <v>-21200063.958573595</v>
      </c>
    </row>
    <row r="20" spans="2:9" ht="14" x14ac:dyDescent="0.3">
      <c r="B20" s="4" t="s">
        <v>140</v>
      </c>
      <c r="C20" s="15">
        <f>IFERROR(ROUND(C19*1000000/C7,0),"N/A")</f>
        <v>-262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890333.56234488043</v>
      </c>
    </row>
    <row r="25" spans="2:9" ht="14" x14ac:dyDescent="0.3">
      <c r="B25" s="4" t="s">
        <v>144</v>
      </c>
      <c r="C25" s="5">
        <f>IFERROR(C24/(1-C13),"N/A")</f>
        <v>1187111.4164598405</v>
      </c>
    </row>
    <row r="26" spans="2:9" ht="13.5" x14ac:dyDescent="0.25">
      <c r="B26" s="6" t="s">
        <v>145</v>
      </c>
      <c r="C26" s="14">
        <f>IFERROR(C25/C15,"N/A")</f>
        <v>0.61273998440154831</v>
      </c>
    </row>
    <row r="27" spans="2:9" ht="13.5" x14ac:dyDescent="0.25">
      <c r="B27" s="6" t="s">
        <v>146</v>
      </c>
      <c r="C27" s="14">
        <f>IFERROR(C25/C14,"N/A")</f>
        <v>0.66452349486391171</v>
      </c>
    </row>
    <row r="28" spans="2:9" ht="13.5" x14ac:dyDescent="0.25">
      <c r="B28" s="6" t="s">
        <v>147</v>
      </c>
      <c r="C28" s="7">
        <f>IFERROR(C25/C16,"N/A")</f>
        <v>7.4987221842713211E-2</v>
      </c>
    </row>
    <row r="29" spans="2:9" ht="13.5" x14ac:dyDescent="0.25">
      <c r="B29" s="6" t="s">
        <v>148</v>
      </c>
      <c r="C29" s="5">
        <f>IFERROR(C25/C18,"N/A")</f>
        <v>8195133.2004374303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2.0719079328314998E-2</v>
      </c>
      <c r="E36" s="29">
        <f>'DCF Model'!C26-0.01</f>
        <v>3.0719079328314997E-2</v>
      </c>
      <c r="F36" s="29">
        <f>'DCF Model'!C26</f>
        <v>4.0719079328314998E-2</v>
      </c>
      <c r="G36" s="29">
        <f>'DCF Model'!C26+0.01</f>
        <v>5.0719079328315E-2</v>
      </c>
      <c r="H36" s="29">
        <f>'DCF Model'!C26+0.02</f>
        <v>6.0719079328314995E-2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0.97307265943320442</v>
      </c>
      <c r="E38" s="13">
        <f t="shared" si="0"/>
        <v>0.96055802775950538</v>
      </c>
      <c r="F38" s="13">
        <f t="shared" si="0"/>
        <v>0.94834240108578949</v>
      </c>
      <c r="G38" s="13">
        <f t="shared" si="0"/>
        <v>0.93641558772077005</v>
      </c>
      <c r="H38" s="13">
        <f t="shared" si="0"/>
        <v>0.9247678421095662</v>
      </c>
    </row>
    <row r="39" spans="2:9" ht="14" x14ac:dyDescent="0.3">
      <c r="B39" s="4" t="s">
        <v>156</v>
      </c>
      <c r="C39" s="30">
        <v>5</v>
      </c>
      <c r="D39" s="13">
        <f t="shared" si="0"/>
        <v>1.9200320351943794</v>
      </c>
      <c r="E39" s="13">
        <f t="shared" si="0"/>
        <v>1.8834189756683481</v>
      </c>
      <c r="F39" s="13">
        <f t="shared" si="0"/>
        <v>1.848017470908053</v>
      </c>
      <c r="G39" s="13">
        <f t="shared" si="0"/>
        <v>1.8137730251177042</v>
      </c>
      <c r="H39" s="13">
        <f t="shared" si="0"/>
        <v>1.7806341789609528</v>
      </c>
    </row>
    <row r="40" spans="2:9" ht="14" x14ac:dyDescent="0.3">
      <c r="B40" s="4" t="s">
        <v>157</v>
      </c>
      <c r="C40" s="30">
        <v>7</v>
      </c>
      <c r="D40" s="13">
        <f t="shared" si="0"/>
        <v>2.8416659600218037</v>
      </c>
      <c r="E40" s="13">
        <f t="shared" si="0"/>
        <v>2.7702455204154841</v>
      </c>
      <c r="F40" s="13">
        <f t="shared" si="0"/>
        <v>2.7018312067108323</v>
      </c>
      <c r="G40" s="13">
        <f t="shared" si="0"/>
        <v>2.6362557314743205</v>
      </c>
      <c r="H40" s="13">
        <f t="shared" si="0"/>
        <v>2.5733630862254073</v>
      </c>
    </row>
    <row r="41" spans="2:9" ht="14" x14ac:dyDescent="0.3">
      <c r="B41" s="4" t="s">
        <v>158</v>
      </c>
      <c r="C41" s="30">
        <v>10</v>
      </c>
      <c r="D41" s="13">
        <f t="shared" si="0"/>
        <v>4.1782928487913189</v>
      </c>
      <c r="E41" s="13">
        <f t="shared" si="0"/>
        <v>4.0363664772703762</v>
      </c>
      <c r="F41" s="13">
        <f t="shared" si="0"/>
        <v>3.9022782574517398</v>
      </c>
      <c r="G41" s="13">
        <f t="shared" si="0"/>
        <v>3.7754698135453419</v>
      </c>
      <c r="H41" s="13">
        <f t="shared" si="0"/>
        <v>3.6554299724079029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90.509115787327573</v>
      </c>
      <c r="E43" s="13">
        <f t="shared" si="1"/>
        <v>46.381566021504312</v>
      </c>
      <c r="F43" s="13">
        <f t="shared" si="1"/>
        <v>30.991367067336782</v>
      </c>
      <c r="G43" s="13">
        <f t="shared" si="1"/>
        <v>23.165917772549456</v>
      </c>
      <c r="H43" s="13">
        <f t="shared" si="1"/>
        <v>18.430562431224356</v>
      </c>
    </row>
    <row r="44" spans="2:9" ht="14" x14ac:dyDescent="0.3">
      <c r="B44" s="4" t="s">
        <v>156</v>
      </c>
      <c r="C44" s="30">
        <v>5</v>
      </c>
      <c r="D44" s="13">
        <f t="shared" si="1"/>
        <v>87.825461522387656</v>
      </c>
      <c r="E44" s="13">
        <f t="shared" si="1"/>
        <v>44.590308432199478</v>
      </c>
      <c r="F44" s="13">
        <f t="shared" si="1"/>
        <v>29.525399297203304</v>
      </c>
      <c r="G44" s="13">
        <f t="shared" si="1"/>
        <v>21.875358969241201</v>
      </c>
      <c r="H44" s="13">
        <f t="shared" si="1"/>
        <v>17.253739792007281</v>
      </c>
    </row>
    <row r="45" spans="2:9" ht="14" x14ac:dyDescent="0.3">
      <c r="B45" s="4" t="s">
        <v>157</v>
      </c>
      <c r="C45" s="30">
        <v>7</v>
      </c>
      <c r="D45" s="13">
        <f t="shared" si="1"/>
        <v>85.236921785622926</v>
      </c>
      <c r="E45" s="13">
        <f t="shared" si="1"/>
        <v>42.886076483250015</v>
      </c>
      <c r="F45" s="13">
        <f t="shared" si="1"/>
        <v>28.148739392034635</v>
      </c>
      <c r="G45" s="13">
        <f t="shared" si="1"/>
        <v>20.67860325135258</v>
      </c>
      <c r="H45" s="13">
        <f t="shared" si="1"/>
        <v>16.175748080807043</v>
      </c>
    </row>
    <row r="46" spans="2:9" ht="14" x14ac:dyDescent="0.3">
      <c r="B46" s="4" t="s">
        <v>158</v>
      </c>
      <c r="C46" s="30">
        <v>10</v>
      </c>
      <c r="D46" s="13">
        <f t="shared" si="1"/>
        <v>81.524686853245555</v>
      </c>
      <c r="E46" s="13">
        <f t="shared" si="1"/>
        <v>40.482954655921951</v>
      </c>
      <c r="F46" s="13">
        <f t="shared" si="1"/>
        <v>26.238264299082644</v>
      </c>
      <c r="G46" s="13">
        <f t="shared" si="1"/>
        <v>19.043043046380259</v>
      </c>
      <c r="H46" s="13">
        <f t="shared" si="1"/>
        <v>14.724151175212731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407757.83587588946</v>
      </c>
      <c r="E48" s="5">
        <f t="shared" si="2"/>
        <v>796181.77244226425</v>
      </c>
      <c r="F48" s="5">
        <f t="shared" si="2"/>
        <v>1192266.84905548</v>
      </c>
      <c r="G48" s="5">
        <f t="shared" si="2"/>
        <v>1595934.4284545493</v>
      </c>
      <c r="H48" s="5">
        <f t="shared" si="2"/>
        <v>2007106.0515508479</v>
      </c>
    </row>
    <row r="49" spans="2:9" ht="14" x14ac:dyDescent="0.3">
      <c r="B49" s="4" t="s">
        <v>156</v>
      </c>
      <c r="C49" s="30">
        <v>5</v>
      </c>
      <c r="D49" s="5">
        <f t="shared" si="2"/>
        <v>400955.97417442559</v>
      </c>
      <c r="E49" s="5">
        <f t="shared" si="2"/>
        <v>791193.21346114203</v>
      </c>
      <c r="F49" s="5">
        <f t="shared" si="2"/>
        <v>1197030.077867971</v>
      </c>
      <c r="G49" s="5">
        <f t="shared" si="2"/>
        <v>1618440.4420517087</v>
      </c>
      <c r="H49" s="5">
        <f t="shared" si="2"/>
        <v>2055390.0565261557</v>
      </c>
    </row>
    <row r="50" spans="2:9" ht="14" x14ac:dyDescent="0.3">
      <c r="B50" s="4" t="s">
        <v>157</v>
      </c>
      <c r="C50" s="30">
        <v>7</v>
      </c>
      <c r="D50" s="5">
        <f t="shared" si="2"/>
        <v>393816.74888262386</v>
      </c>
      <c r="E50" s="5">
        <f t="shared" si="2"/>
        <v>785693.54841900698</v>
      </c>
      <c r="F50" s="5">
        <f t="shared" si="2"/>
        <v>1201387.0018494772</v>
      </c>
      <c r="G50" s="5">
        <f t="shared" si="2"/>
        <v>1641052.5361057145</v>
      </c>
      <c r="H50" s="5">
        <f t="shared" si="2"/>
        <v>2104819.2756879567</v>
      </c>
    </row>
    <row r="51" spans="2:9" ht="14" x14ac:dyDescent="0.3">
      <c r="B51" s="4" t="s">
        <v>158</v>
      </c>
      <c r="C51" s="30">
        <v>10</v>
      </c>
      <c r="D51" s="5">
        <f t="shared" si="2"/>
        <v>382460.39310935989</v>
      </c>
      <c r="E51" s="5">
        <f t="shared" si="2"/>
        <v>776462.65541935479</v>
      </c>
      <c r="F51" s="5">
        <f t="shared" si="2"/>
        <v>1207131.6397720741</v>
      </c>
      <c r="G51" s="5">
        <f t="shared" si="2"/>
        <v>1675129.9045383958</v>
      </c>
      <c r="H51" s="5">
        <f t="shared" si="2"/>
        <v>2181043.2989218398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0.21046847543535011</v>
      </c>
      <c r="E53" s="14">
        <f t="shared" si="3"/>
        <v>0.41095755635298781</v>
      </c>
      <c r="F53" s="14">
        <f t="shared" si="3"/>
        <v>0.61540101490334898</v>
      </c>
      <c r="G53" s="14">
        <f t="shared" si="3"/>
        <v>0.82375826164099253</v>
      </c>
      <c r="H53" s="14">
        <f t="shared" si="3"/>
        <v>1.0359887990860077</v>
      </c>
    </row>
    <row r="54" spans="2:9" ht="14" x14ac:dyDescent="0.3">
      <c r="B54" s="4" t="s">
        <v>156</v>
      </c>
      <c r="C54" s="30">
        <v>5</v>
      </c>
      <c r="D54" s="14">
        <f t="shared" si="3"/>
        <v>0.20695762331560094</v>
      </c>
      <c r="E54" s="14">
        <f t="shared" si="3"/>
        <v>0.40838265941416924</v>
      </c>
      <c r="F54" s="14">
        <f t="shared" si="3"/>
        <v>0.6178596053168508</v>
      </c>
      <c r="G54" s="14">
        <f t="shared" si="3"/>
        <v>0.83537497615426837</v>
      </c>
      <c r="H54" s="14">
        <f t="shared" si="3"/>
        <v>1.0609110936955932</v>
      </c>
    </row>
    <row r="55" spans="2:9" ht="14" x14ac:dyDescent="0.3">
      <c r="B55" s="4" t="s">
        <v>157</v>
      </c>
      <c r="C55" s="30">
        <v>7</v>
      </c>
      <c r="D55" s="14">
        <f t="shared" si="3"/>
        <v>0.20327263744714458</v>
      </c>
      <c r="E55" s="14">
        <f t="shared" si="3"/>
        <v>0.40554394973165175</v>
      </c>
      <c r="F55" s="14">
        <f t="shared" si="3"/>
        <v>0.62010847723860196</v>
      </c>
      <c r="G55" s="14">
        <f t="shared" si="3"/>
        <v>0.84704644520580585</v>
      </c>
      <c r="H55" s="14">
        <f t="shared" si="3"/>
        <v>1.0864245025957486</v>
      </c>
    </row>
    <row r="56" spans="2:9" ht="14" x14ac:dyDescent="0.3">
      <c r="B56" s="4" t="s">
        <v>158</v>
      </c>
      <c r="C56" s="30">
        <v>10</v>
      </c>
      <c r="D56" s="14">
        <f t="shared" si="3"/>
        <v>0.19741093553535644</v>
      </c>
      <c r="E56" s="14">
        <f t="shared" si="3"/>
        <v>0.40077932768001084</v>
      </c>
      <c r="F56" s="14">
        <f t="shared" si="3"/>
        <v>0.62307363223776935</v>
      </c>
      <c r="G56" s="14">
        <f t="shared" si="3"/>
        <v>0.86463583564748503</v>
      </c>
      <c r="H56" s="14">
        <f t="shared" si="3"/>
        <v>1.1257683301082801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1197030.077867971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7.2400000000000006E-2</v>
      </c>
      <c r="C63" s="5">
        <f>IFERROR($C$60/B63,"N/A")</f>
        <v>16533564.611436063</v>
      </c>
      <c r="D63" s="14">
        <f>IFERROR(C63/'DCF Model'!C17,"N/A")</f>
        <v>1.1474374190789336</v>
      </c>
    </row>
    <row r="64" spans="2:9" ht="14" x14ac:dyDescent="0.3">
      <c r="B64" s="31">
        <v>0.1086</v>
      </c>
      <c r="C64" s="5">
        <f>IFERROR($C$60/B64,"N/A")</f>
        <v>11022376.407624042</v>
      </c>
      <c r="D64" s="14">
        <f>IFERROR(C64/'DCF Model'!C17,"N/A")</f>
        <v>0.76495827938595573</v>
      </c>
    </row>
    <row r="65" spans="2:9" ht="14" x14ac:dyDescent="0.3">
      <c r="B65" s="4" t="s">
        <v>168</v>
      </c>
      <c r="C65" s="5">
        <f>IFERROR($C$60/$C$18,"N/A")</f>
        <v>8263605.9236229863</v>
      </c>
      <c r="D65" s="14">
        <f>IFERROR(C65/'DCF Model'!C17,"N/A")</f>
        <v>0.57349826707840035</v>
      </c>
    </row>
    <row r="66" spans="2:9" ht="14" x14ac:dyDescent="0.3">
      <c r="B66" s="31">
        <v>0.18110000000000001</v>
      </c>
      <c r="C66" s="5">
        <f>IFERROR($C$60/B66,"N/A")</f>
        <v>6609774.0357149141</v>
      </c>
      <c r="D66" s="14">
        <f>IFERROR(C66/'DCF Model'!C17,"N/A")</f>
        <v>0.45872153032200325</v>
      </c>
    </row>
    <row r="67" spans="2:9" ht="14" x14ac:dyDescent="0.3">
      <c r="B67" s="31">
        <v>0.21729999999999999</v>
      </c>
      <c r="C67" s="5">
        <f>IFERROR($C$60/B67,"N/A")</f>
        <v>5508651.9920293195</v>
      </c>
      <c r="D67" s="14">
        <f>IFERROR(C67/'DCF Model'!C17,"N/A")</f>
        <v>0.38230312536270045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8.1017324438534697</v>
      </c>
    </row>
    <row r="71" spans="2:9" ht="13.5" x14ac:dyDescent="0.25">
      <c r="B71" s="6" t="s">
        <v>171</v>
      </c>
      <c r="C71" s="14">
        <f>IFERROR(C10/'Comps Analysis'!F5,"N/A")</f>
        <v>2.01143990202555</v>
      </c>
    </row>
    <row r="72" spans="2:9" ht="14" x14ac:dyDescent="0.3">
      <c r="B72" s="4" t="s">
        <v>172</v>
      </c>
      <c r="C72" s="14">
        <f>IFERROR(C10/(C25+'DCF Model'!G42),"N/A")</f>
        <v>9.1867284437227053</v>
      </c>
    </row>
    <row r="73" spans="2:9" ht="14" x14ac:dyDescent="0.3">
      <c r="B73" s="4" t="s">
        <v>173</v>
      </c>
      <c r="C73" s="14">
        <f>IFERROR(C10/(C60+'DCF Model'!G42),"N/A")</f>
        <v>9.1579367618673437</v>
      </c>
    </row>
    <row r="74" spans="2:9" ht="14" x14ac:dyDescent="0.3">
      <c r="B74" s="4" t="s">
        <v>174</v>
      </c>
      <c r="C74" s="14">
        <f>IFERROR('Comps Analysis'!D16,"N/A")</f>
        <v>9.2079191774778142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FY2026."</f>
        <v>At 173 yen the market is paying for a steady-state operating profit of 1,197,030 mn JPY - 0.62x the FY2024 cycle peak of 1,937,382 mn - reached in 5 years and sustained for ever, against 1,786,410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1,187,111 mn, or 0.61x the peak. The base case supports an EV of only 50,183,145 mn, leaving -262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140.61784927755136</v>
      </c>
      <c r="D5" s="34">
        <f>CHOOSE('DCF Model'!$D$27,D25,D26,D27,D28,D29)</f>
        <v>130</v>
      </c>
      <c r="E5" s="34">
        <f>CHOOSE('DCF Model'!$D$27,E25,E26,E27,E28,E29)</f>
        <v>130</v>
      </c>
      <c r="F5" s="34">
        <f>CHOOSE('DCF Model'!$D$27,F25,F26,F27,F28,F29)</f>
        <v>130</v>
      </c>
      <c r="G5" s="34">
        <f>CHOOSE('DCF Model'!$D$27,G25,G26,G27,G28,G29)</f>
        <v>130</v>
      </c>
      <c r="H5" s="34">
        <f>CHOOSE('DCF Model'!$D$27,H25,H26,H27,H28,H29)</f>
        <v>130</v>
      </c>
    </row>
    <row r="6" spans="2:8" ht="14" x14ac:dyDescent="0.3">
      <c r="B6" s="33" t="s">
        <v>181</v>
      </c>
      <c r="C6" s="34">
        <f>C13/C10*365</f>
        <v>70.939306731465209</v>
      </c>
      <c r="D6" s="34">
        <f>CHOOSE('DCF Model'!$D$27,D32,D33,D34,D35,D36)</f>
        <v>67</v>
      </c>
      <c r="E6" s="34">
        <f>CHOOSE('DCF Model'!$D$27,E32,E33,E34,E35,E36)</f>
        <v>67</v>
      </c>
      <c r="F6" s="34">
        <f>CHOOSE('DCF Model'!$D$27,F32,F33,F34,F35,F36)</f>
        <v>67</v>
      </c>
      <c r="G6" s="34">
        <f>CHOOSE('DCF Model'!$D$27,G32,G33,G34,G35,G36)</f>
        <v>67</v>
      </c>
      <c r="H6" s="34">
        <f>CHOOSE('DCF Model'!$D$27,H32,H33,H34,H35,H36)</f>
        <v>67</v>
      </c>
    </row>
    <row r="7" spans="2:8" ht="14" x14ac:dyDescent="0.3">
      <c r="B7" s="33" t="s">
        <v>182</v>
      </c>
      <c r="C7" s="34">
        <f>C15/C10*365</f>
        <v>348.89311350601128</v>
      </c>
      <c r="D7" s="34">
        <f>CHOOSE('DCF Model'!$D$27,D39,D40,D41,D42,D43)</f>
        <v>355</v>
      </c>
      <c r="E7" s="34">
        <f>CHOOSE('DCF Model'!$D$27,E39,E40,E41,E42,E43)</f>
        <v>355</v>
      </c>
      <c r="F7" s="34">
        <f>CHOOSE('DCF Model'!$D$27,F39,F40,F41,F42,F43)</f>
        <v>355</v>
      </c>
      <c r="G7" s="34">
        <f>CHOOSE('DCF Model'!$D$27,G39,G40,G41,G42,G43)</f>
        <v>355</v>
      </c>
      <c r="H7" s="34">
        <f>CHOOSE('DCF Model'!$D$27,H39,H40,H41,H42,H43)</f>
        <v>355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14409121</v>
      </c>
      <c r="D9" s="35">
        <f>'DCF Model'!C33</f>
        <v>14697303.42</v>
      </c>
      <c r="E9" s="35">
        <f>'DCF Model'!D33</f>
        <v>14991249.488400001</v>
      </c>
      <c r="F9" s="35">
        <f>'DCF Model'!E33</f>
        <v>15291074.478168001</v>
      </c>
      <c r="G9" s="35">
        <f>'DCF Model'!F33</f>
        <v>15596895.967731362</v>
      </c>
      <c r="H9" s="35">
        <f>'DCF Model'!G33</f>
        <v>15830849.407247331</v>
      </c>
    </row>
    <row r="10" spans="2:8" ht="14" x14ac:dyDescent="0.3">
      <c r="B10" s="33" t="s">
        <v>38</v>
      </c>
      <c r="C10" s="35">
        <v>3214887</v>
      </c>
      <c r="D10" s="35">
        <f>'DCF Model'!C34</f>
        <v>8377462.9493999993</v>
      </c>
      <c r="E10" s="35">
        <f>'DCF Model'!D34</f>
        <v>8545012.2083880007</v>
      </c>
      <c r="F10" s="35">
        <f>'DCF Model'!E34</f>
        <v>8715912.4525557607</v>
      </c>
      <c r="G10" s="35">
        <f>'DCF Model'!F34</f>
        <v>8890230.7016068753</v>
      </c>
      <c r="H10" s="35">
        <f>'DCF Model'!G34</f>
        <v>9023584.162130978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5551177</v>
      </c>
      <c r="D12" s="35">
        <f t="shared" ref="D12:H13" si="0">D9*D5/365</f>
        <v>5234656.012602739</v>
      </c>
      <c r="E12" s="35">
        <f t="shared" si="0"/>
        <v>5339349.1328547951</v>
      </c>
      <c r="F12" s="35">
        <f t="shared" si="0"/>
        <v>5446136.1155118905</v>
      </c>
      <c r="G12" s="35">
        <f t="shared" si="0"/>
        <v>5555058.837822129</v>
      </c>
      <c r="H12" s="35">
        <f t="shared" si="0"/>
        <v>5638384.7203894602</v>
      </c>
    </row>
    <row r="13" spans="2:8" ht="14" x14ac:dyDescent="0.3">
      <c r="B13" s="33" t="s">
        <v>186</v>
      </c>
      <c r="C13" s="35">
        <v>624827</v>
      </c>
      <c r="D13" s="35">
        <f t="shared" si="0"/>
        <v>1537780.8701638356</v>
      </c>
      <c r="E13" s="35">
        <f t="shared" si="0"/>
        <v>1568536.4875671125</v>
      </c>
      <c r="F13" s="35">
        <f t="shared" si="0"/>
        <v>1599907.2173184548</v>
      </c>
      <c r="G13" s="35">
        <f t="shared" si="0"/>
        <v>1631905.3616648237</v>
      </c>
      <c r="H13" s="35">
        <f t="shared" si="0"/>
        <v>1656383.9420897961</v>
      </c>
    </row>
    <row r="14" spans="2:8" ht="14" x14ac:dyDescent="0.3">
      <c r="B14" s="33" t="s">
        <v>187</v>
      </c>
      <c r="C14" s="35">
        <f t="shared" ref="C14:H14" si="1">C12+C13</f>
        <v>6176004</v>
      </c>
      <c r="D14" s="35">
        <f t="shared" si="1"/>
        <v>6772436.8827665746</v>
      </c>
      <c r="E14" s="35">
        <f t="shared" si="1"/>
        <v>6907885.6204219079</v>
      </c>
      <c r="F14" s="35">
        <f t="shared" si="1"/>
        <v>7046043.3328303453</v>
      </c>
      <c r="G14" s="35">
        <f t="shared" si="1"/>
        <v>7186964.1994869523</v>
      </c>
      <c r="H14" s="35">
        <f t="shared" si="1"/>
        <v>7294768.6624792563</v>
      </c>
    </row>
    <row r="15" spans="2:8" ht="14" x14ac:dyDescent="0.3">
      <c r="B15" s="33" t="s">
        <v>188</v>
      </c>
      <c r="C15" s="35">
        <v>3073019</v>
      </c>
      <c r="D15" s="35">
        <f>D10*D7/365</f>
        <v>8147943.4165397249</v>
      </c>
      <c r="E15" s="35">
        <f>E10*E7/365</f>
        <v>8310902.2848705212</v>
      </c>
      <c r="F15" s="35">
        <f>F10*F7/365</f>
        <v>8477120.3305679318</v>
      </c>
      <c r="G15" s="35">
        <f>G10*G7/365</f>
        <v>8646662.7371792905</v>
      </c>
      <c r="H15" s="35">
        <f>H10*H7/365</f>
        <v>8776362.6782369781</v>
      </c>
    </row>
    <row r="16" spans="2:8" ht="14" x14ac:dyDescent="0.3">
      <c r="B16" s="33" t="s">
        <v>189</v>
      </c>
      <c r="C16" s="35">
        <f t="shared" ref="C16:H16" si="2">C15</f>
        <v>3073019</v>
      </c>
      <c r="D16" s="35">
        <f t="shared" si="2"/>
        <v>8147943.4165397249</v>
      </c>
      <c r="E16" s="35">
        <f t="shared" si="2"/>
        <v>8310902.2848705212</v>
      </c>
      <c r="F16" s="35">
        <f t="shared" si="2"/>
        <v>8477120.3305679318</v>
      </c>
      <c r="G16" s="35">
        <f t="shared" si="2"/>
        <v>8646662.7371792905</v>
      </c>
      <c r="H16" s="35">
        <f t="shared" si="2"/>
        <v>8776362.6782369781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3102985</v>
      </c>
      <c r="D18" s="20">
        <f t="shared" si="3"/>
        <v>-1375506.5337731503</v>
      </c>
      <c r="E18" s="20">
        <f t="shared" si="3"/>
        <v>-1403016.6644486133</v>
      </c>
      <c r="F18" s="20">
        <f t="shared" si="3"/>
        <v>-1431076.9977375865</v>
      </c>
      <c r="G18" s="20">
        <f t="shared" si="3"/>
        <v>-1459698.5376923382</v>
      </c>
      <c r="H18" s="20">
        <f t="shared" si="3"/>
        <v>-1481594.0157577218</v>
      </c>
    </row>
    <row r="19" spans="2:8" ht="14" x14ac:dyDescent="0.3">
      <c r="B19" s="33" t="s">
        <v>100</v>
      </c>
      <c r="C19" s="36" t="s">
        <v>47</v>
      </c>
      <c r="D19" s="24">
        <f>D18-C18</f>
        <v>-4478491.5337731503</v>
      </c>
      <c r="E19" s="24">
        <f>E18-D18</f>
        <v>-27510.130675463006</v>
      </c>
      <c r="F19" s="24">
        <f>F18-E18</f>
        <v>-28060.333288973197</v>
      </c>
      <c r="G19" s="24">
        <f>G18-F18</f>
        <v>-28621.53995475173</v>
      </c>
      <c r="H19" s="24">
        <f>H18-G18</f>
        <v>-21895.478065383621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130</v>
      </c>
      <c r="E25" s="30">
        <v>130</v>
      </c>
      <c r="F25" s="30">
        <v>130</v>
      </c>
      <c r="G25" s="30">
        <v>130</v>
      </c>
      <c r="H25" s="30">
        <v>130</v>
      </c>
    </row>
    <row r="26" spans="2:8" ht="14" x14ac:dyDescent="0.3">
      <c r="B26" s="4" t="s">
        <v>121</v>
      </c>
      <c r="D26" s="30">
        <v>127</v>
      </c>
      <c r="E26" s="30">
        <v>127</v>
      </c>
      <c r="F26" s="30">
        <v>127</v>
      </c>
      <c r="G26" s="30">
        <v>127</v>
      </c>
      <c r="H26" s="30">
        <v>127</v>
      </c>
    </row>
    <row r="27" spans="2:8" ht="14" x14ac:dyDescent="0.3">
      <c r="B27" s="4" t="s">
        <v>122</v>
      </c>
      <c r="D27" s="30">
        <v>130</v>
      </c>
      <c r="E27" s="30">
        <v>130</v>
      </c>
      <c r="F27" s="30">
        <v>130</v>
      </c>
      <c r="G27" s="30">
        <v>130</v>
      </c>
      <c r="H27" s="30">
        <v>130</v>
      </c>
    </row>
    <row r="28" spans="2:8" ht="14" x14ac:dyDescent="0.3">
      <c r="B28" s="4" t="s">
        <v>123</v>
      </c>
      <c r="D28" s="30">
        <v>134</v>
      </c>
      <c r="E28" s="30">
        <v>134</v>
      </c>
      <c r="F28" s="30">
        <v>134</v>
      </c>
      <c r="G28" s="30">
        <v>134</v>
      </c>
      <c r="H28" s="30">
        <v>134</v>
      </c>
    </row>
    <row r="29" spans="2:8" ht="14" x14ac:dyDescent="0.3">
      <c r="B29" s="4" t="s">
        <v>124</v>
      </c>
      <c r="D29" s="30">
        <v>138</v>
      </c>
      <c r="E29" s="30">
        <v>138</v>
      </c>
      <c r="F29" s="30">
        <v>138</v>
      </c>
      <c r="G29" s="30">
        <v>138</v>
      </c>
      <c r="H29" s="30">
        <v>138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67</v>
      </c>
      <c r="E32" s="30">
        <v>67</v>
      </c>
      <c r="F32" s="30">
        <v>67</v>
      </c>
      <c r="G32" s="30">
        <v>67</v>
      </c>
      <c r="H32" s="30">
        <v>67</v>
      </c>
    </row>
    <row r="33" spans="2:8" ht="14" x14ac:dyDescent="0.3">
      <c r="B33" s="4" t="s">
        <v>121</v>
      </c>
      <c r="D33" s="30">
        <v>61</v>
      </c>
      <c r="E33" s="30">
        <v>61</v>
      </c>
      <c r="F33" s="30">
        <v>61</v>
      </c>
      <c r="G33" s="30">
        <v>61</v>
      </c>
      <c r="H33" s="30">
        <v>61</v>
      </c>
    </row>
    <row r="34" spans="2:8" ht="14" x14ac:dyDescent="0.3">
      <c r="B34" s="4" t="s">
        <v>122</v>
      </c>
      <c r="D34" s="30">
        <v>67</v>
      </c>
      <c r="E34" s="30">
        <v>67</v>
      </c>
      <c r="F34" s="30">
        <v>67</v>
      </c>
      <c r="G34" s="30">
        <v>67</v>
      </c>
      <c r="H34" s="30">
        <v>67</v>
      </c>
    </row>
    <row r="35" spans="2:8" ht="14" x14ac:dyDescent="0.3">
      <c r="B35" s="4" t="s">
        <v>123</v>
      </c>
      <c r="D35" s="30">
        <v>74</v>
      </c>
      <c r="E35" s="30">
        <v>74</v>
      </c>
      <c r="F35" s="30">
        <v>74</v>
      </c>
      <c r="G35" s="30">
        <v>74</v>
      </c>
      <c r="H35" s="30">
        <v>74</v>
      </c>
    </row>
    <row r="36" spans="2:8" ht="14" x14ac:dyDescent="0.3">
      <c r="B36" s="4" t="s">
        <v>124</v>
      </c>
      <c r="D36" s="30">
        <v>81</v>
      </c>
      <c r="E36" s="30">
        <v>81</v>
      </c>
      <c r="F36" s="30">
        <v>81</v>
      </c>
      <c r="G36" s="30">
        <v>81</v>
      </c>
      <c r="H36" s="30">
        <v>81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355</v>
      </c>
      <c r="E39" s="30">
        <v>355</v>
      </c>
      <c r="F39" s="30">
        <v>355</v>
      </c>
      <c r="G39" s="30">
        <v>355</v>
      </c>
      <c r="H39" s="30">
        <v>355</v>
      </c>
    </row>
    <row r="40" spans="2:8" ht="14" x14ac:dyDescent="0.3">
      <c r="B40" s="4" t="s">
        <v>121</v>
      </c>
      <c r="D40" s="30">
        <v>357</v>
      </c>
      <c r="E40" s="30">
        <v>357</v>
      </c>
      <c r="F40" s="30">
        <v>357</v>
      </c>
      <c r="G40" s="30">
        <v>357</v>
      </c>
      <c r="H40" s="30">
        <v>357</v>
      </c>
    </row>
    <row r="41" spans="2:8" ht="14" x14ac:dyDescent="0.3">
      <c r="B41" s="4" t="s">
        <v>122</v>
      </c>
      <c r="D41" s="30">
        <v>355</v>
      </c>
      <c r="E41" s="30">
        <v>355</v>
      </c>
      <c r="F41" s="30">
        <v>355</v>
      </c>
      <c r="G41" s="30">
        <v>355</v>
      </c>
      <c r="H41" s="30">
        <v>355</v>
      </c>
    </row>
    <row r="42" spans="2:8" ht="14" x14ac:dyDescent="0.3">
      <c r="B42" s="4" t="s">
        <v>123</v>
      </c>
      <c r="D42" s="30">
        <v>352</v>
      </c>
      <c r="E42" s="30">
        <v>352</v>
      </c>
      <c r="F42" s="30">
        <v>352</v>
      </c>
      <c r="G42" s="30">
        <v>352</v>
      </c>
      <c r="H42" s="30">
        <v>352</v>
      </c>
    </row>
    <row r="43" spans="2:8" ht="14" x14ac:dyDescent="0.3">
      <c r="B43" s="4" t="s">
        <v>124</v>
      </c>
      <c r="D43" s="30">
        <v>349</v>
      </c>
      <c r="E43" s="30">
        <v>349</v>
      </c>
      <c r="F43" s="30">
        <v>349</v>
      </c>
      <c r="G43" s="30">
        <v>349</v>
      </c>
      <c r="H43" s="30">
        <v>349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13985422.932514295</v>
      </c>
      <c r="E5" s="37">
        <f>D5+C24</f>
        <v>28983080.932514295</v>
      </c>
      <c r="F5" s="37">
        <v>14409121</v>
      </c>
      <c r="G5" s="37">
        <v>3577393</v>
      </c>
      <c r="H5" s="37">
        <v>1786410</v>
      </c>
      <c r="I5" s="37">
        <v>1037032</v>
      </c>
      <c r="J5" s="38">
        <f>IFERROR(E5/G5,"")</f>
        <v>8.1017324438534697</v>
      </c>
      <c r="K5" s="38">
        <f>IFERROR(E5/F5,"")</f>
        <v>2.01143990202555</v>
      </c>
      <c r="L5" s="38">
        <f>IFERROR(D5/I5,"")</f>
        <v>13.486009045539863</v>
      </c>
      <c r="M5" s="38">
        <f>IFERROR(D5/P5,"")</f>
        <v>1.4377019887092968</v>
      </c>
      <c r="N5" s="39">
        <f>IFERROR(H5/F5,"")</f>
        <v>0.12397772216639724</v>
      </c>
      <c r="O5" s="39">
        <f>IFERROR(I5/P5,"")</f>
        <v>0.10660692750942342</v>
      </c>
      <c r="P5" s="37">
        <v>9727623</v>
      </c>
    </row>
    <row r="6" spans="2:17" ht="14" x14ac:dyDescent="0.3">
      <c r="B6" s="4" t="s">
        <v>214</v>
      </c>
      <c r="C6" t="s">
        <v>215</v>
      </c>
      <c r="D6" s="37">
        <v>11017665</v>
      </c>
      <c r="E6" s="37">
        <v>15744495</v>
      </c>
      <c r="F6" s="37">
        <v>6071915</v>
      </c>
      <c r="G6" s="37">
        <v>1747505</v>
      </c>
      <c r="H6" s="37">
        <v>1059234</v>
      </c>
      <c r="I6" s="37">
        <v>707112</v>
      </c>
      <c r="J6" s="38">
        <f>IFERROR(E6/G6,"")</f>
        <v>9.0096995430628244</v>
      </c>
      <c r="K6" s="38">
        <f>IFERROR(E6/F6,"")</f>
        <v>2.593003195861602</v>
      </c>
      <c r="L6" s="38">
        <f>IFERROR(D6/I6,"")</f>
        <v>15.581216271255473</v>
      </c>
      <c r="M6" s="38">
        <f>IFERROR(D6/P6,"")</f>
        <v>2.1702252509386932</v>
      </c>
      <c r="N6" s="39">
        <f>IFERROR(H6/F6,"")</f>
        <v>0.17444809421739271</v>
      </c>
      <c r="O6" s="39">
        <f>IFERROR(I6/P6,"")</f>
        <v>0.13928471392457126</v>
      </c>
      <c r="P6" s="37">
        <v>5076738</v>
      </c>
    </row>
    <row r="7" spans="2:17" ht="14" x14ac:dyDescent="0.3">
      <c r="B7" s="4" t="s">
        <v>216</v>
      </c>
      <c r="C7" t="s">
        <v>217</v>
      </c>
      <c r="D7" s="37">
        <v>11441825</v>
      </c>
      <c r="E7" s="37">
        <v>16487608</v>
      </c>
      <c r="F7" s="37">
        <v>7038680</v>
      </c>
      <c r="G7" s="37">
        <v>1790590</v>
      </c>
      <c r="H7" s="37">
        <v>1042576</v>
      </c>
      <c r="I7" s="37">
        <v>550759</v>
      </c>
      <c r="J7" s="38">
        <f>IFERROR(E7/G7,"")</f>
        <v>9.2079191774778142</v>
      </c>
      <c r="K7" s="38">
        <f>IFERROR(E7/F7,"")</f>
        <v>2.3424289781606777</v>
      </c>
      <c r="L7" s="38">
        <f>IFERROR(D7/I7,"")</f>
        <v>20.774649165969144</v>
      </c>
      <c r="M7" s="38">
        <f>IFERROR(D7/P7,"")</f>
        <v>3.8682793872189309</v>
      </c>
      <c r="N7" s="39">
        <f>IFERROR(H7/F7,"")</f>
        <v>0.14812095449715004</v>
      </c>
      <c r="O7" s="39">
        <f>IFERROR(I7/P7,"")</f>
        <v>0.18620191158537308</v>
      </c>
      <c r="P7" s="37">
        <v>2957859</v>
      </c>
    </row>
    <row r="8" spans="2:17" ht="14" x14ac:dyDescent="0.3">
      <c r="B8" s="4" t="s">
        <v>218</v>
      </c>
      <c r="C8" t="s">
        <v>219</v>
      </c>
      <c r="D8" s="37">
        <v>382283</v>
      </c>
      <c r="E8" s="37">
        <v>378881</v>
      </c>
      <c r="F8" s="37">
        <v>86348</v>
      </c>
      <c r="G8" s="37">
        <v>25048</v>
      </c>
      <c r="H8" s="37">
        <v>18697</v>
      </c>
      <c r="I8" s="37">
        <v>13217</v>
      </c>
      <c r="J8" s="38">
        <f>IFERROR(E8/G8,"")</f>
        <v>15.126197700415203</v>
      </c>
      <c r="K8" s="38">
        <f>IFERROR(E8/F8,"")</f>
        <v>4.3878375874368833</v>
      </c>
      <c r="L8" s="38">
        <f>IFERROR(D8/I8,"")</f>
        <v>28.923583263978209</v>
      </c>
      <c r="M8" s="38">
        <f>IFERROR(D8/P8,"")</f>
        <v>3.8628100843732631</v>
      </c>
      <c r="N8" s="39">
        <f>IFERROR(H8/F8,"")</f>
        <v>0.21653078241534257</v>
      </c>
      <c r="O8" s="39">
        <f>IFERROR(I8/P8,"")</f>
        <v>0.13355226595260949</v>
      </c>
      <c r="P8" s="37">
        <v>98965</v>
      </c>
    </row>
    <row r="14" spans="2:17" ht="14" x14ac:dyDescent="0.3">
      <c r="B14" s="3" t="s">
        <v>220</v>
      </c>
    </row>
    <row r="15" spans="2:17" ht="14" x14ac:dyDescent="0.3">
      <c r="B15" s="4" t="s">
        <v>221</v>
      </c>
      <c r="D15" s="38">
        <f t="shared" ref="D15:I15" si="0">PERCENTILE(J6:J8,0.25)</f>
        <v>9.1088093602703193</v>
      </c>
      <c r="E15" s="38">
        <f t="shared" si="0"/>
        <v>2.4677160870111399</v>
      </c>
      <c r="F15" s="38">
        <f t="shared" si="0"/>
        <v>18.177932718612308</v>
      </c>
      <c r="G15" s="38">
        <f t="shared" si="0"/>
        <v>3.016517667655978</v>
      </c>
      <c r="H15" s="39">
        <f t="shared" si="0"/>
        <v>0.16128452435727136</v>
      </c>
      <c r="I15" s="39">
        <f t="shared" si="0"/>
        <v>0.13641848993859038</v>
      </c>
    </row>
    <row r="16" spans="2:17" ht="14" x14ac:dyDescent="0.3">
      <c r="B16" s="4" t="s">
        <v>222</v>
      </c>
      <c r="D16" s="38">
        <f t="shared" ref="D16:I16" si="1">MEDIAN(J6:J8)</f>
        <v>9.2079191774778142</v>
      </c>
      <c r="E16" s="38">
        <f t="shared" si="1"/>
        <v>2.593003195861602</v>
      </c>
      <c r="F16" s="38">
        <f t="shared" si="1"/>
        <v>20.774649165969144</v>
      </c>
      <c r="G16" s="38">
        <f t="shared" si="1"/>
        <v>3.8628100843732631</v>
      </c>
      <c r="H16" s="39">
        <f t="shared" si="1"/>
        <v>0.17444809421739271</v>
      </c>
      <c r="I16" s="39">
        <f t="shared" si="1"/>
        <v>0.13928471392457126</v>
      </c>
    </row>
    <row r="17" spans="2:9" ht="14" x14ac:dyDescent="0.3">
      <c r="B17" s="4" t="s">
        <v>223</v>
      </c>
      <c r="D17" s="38">
        <f t="shared" ref="D17:I17" si="2">PERCENTILE(J6:J8,0.75)</f>
        <v>12.167058438946508</v>
      </c>
      <c r="E17" s="38">
        <f t="shared" si="2"/>
        <v>3.4904203916492427</v>
      </c>
      <c r="F17" s="38">
        <f t="shared" si="2"/>
        <v>24.849116214973677</v>
      </c>
      <c r="G17" s="38">
        <f t="shared" si="2"/>
        <v>3.8655447357960968</v>
      </c>
      <c r="H17" s="39">
        <f t="shared" si="2"/>
        <v>0.19548943831636764</v>
      </c>
      <c r="I17" s="39">
        <f t="shared" si="2"/>
        <v>0.16274331275497217</v>
      </c>
    </row>
    <row r="19" spans="2:9" ht="14" x14ac:dyDescent="0.3">
      <c r="B19" s="22" t="s">
        <v>224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225</v>
      </c>
    </row>
    <row r="21" spans="2:9" ht="14" x14ac:dyDescent="0.3">
      <c r="B21" s="4" t="s">
        <v>226</v>
      </c>
      <c r="C21" s="5">
        <v>3577393</v>
      </c>
    </row>
    <row r="22" spans="2:9" ht="14" x14ac:dyDescent="0.3">
      <c r="B22" s="4" t="s">
        <v>227</v>
      </c>
      <c r="C22" s="5">
        <v>1037032</v>
      </c>
    </row>
    <row r="23" spans="2:9" ht="14" x14ac:dyDescent="0.3">
      <c r="B23" s="4" t="s">
        <v>228</v>
      </c>
      <c r="C23" s="15">
        <v>81027939965</v>
      </c>
    </row>
    <row r="24" spans="2:9" ht="14" x14ac:dyDescent="0.3">
      <c r="B24" s="4" t="s">
        <v>73</v>
      </c>
      <c r="C24" s="5">
        <v>14997658</v>
      </c>
    </row>
    <row r="26" spans="2:9" ht="14" x14ac:dyDescent="0.3">
      <c r="B26" s="3" t="s">
        <v>229</v>
      </c>
    </row>
    <row r="27" spans="2:9" ht="14" x14ac:dyDescent="0.3">
      <c r="B27" s="4" t="s">
        <v>230</v>
      </c>
      <c r="C27" s="24">
        <f>ROUND((C21*D16-C24)*1000000/C23,0)</f>
        <v>221</v>
      </c>
    </row>
    <row r="28" spans="2:9" ht="14" x14ac:dyDescent="0.3">
      <c r="B28" s="4" t="s">
        <v>231</v>
      </c>
      <c r="C28" s="24">
        <f>ROUND(C22*F16*1000000/C23,0)</f>
        <v>266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232</v>
      </c>
    </row>
    <row r="3" spans="2:9" ht="14" x14ac:dyDescent="0.3">
      <c r="B3" s="4" t="s">
        <v>233</v>
      </c>
      <c r="C3" s="16">
        <f>'DCF Model'!C26</f>
        <v>4.0719079328314998E-2</v>
      </c>
      <c r="E3" s="4" t="s">
        <v>234</v>
      </c>
      <c r="F3" s="16">
        <f>'DCF Model'!C13</f>
        <v>0.01</v>
      </c>
      <c r="H3" s="4" t="s">
        <v>235</v>
      </c>
      <c r="I3" s="14">
        <f>'DCF Model'!C14</f>
        <v>9.1999999999999993</v>
      </c>
    </row>
    <row r="5" spans="2:9" ht="14" x14ac:dyDescent="0.3">
      <c r="B5" s="3" t="s">
        <v>236</v>
      </c>
    </row>
    <row r="6" spans="2:9" ht="14" x14ac:dyDescent="0.3">
      <c r="B6" s="40" t="s">
        <v>237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2.5719079328314999E-2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643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729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839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985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1185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1479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1951</v>
      </c>
    </row>
    <row r="8" spans="2:9" ht="13.5" x14ac:dyDescent="0.25">
      <c r="B8" s="39">
        <f>$C$3-0.01</f>
        <v>3.0719079328314997E-2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503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560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628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713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821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963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1160</v>
      </c>
    </row>
    <row r="9" spans="2:9" ht="13.5" x14ac:dyDescent="0.25">
      <c r="B9" s="39">
        <f>$C$3-0.005</f>
        <v>3.5719079328315001E-2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406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445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491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546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614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697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803</v>
      </c>
    </row>
    <row r="10" spans="2:9" ht="13.5" x14ac:dyDescent="0.25">
      <c r="B10" s="39">
        <f>$C$3</f>
        <v>4.0719079328314998E-2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334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363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396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434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480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534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599</v>
      </c>
    </row>
    <row r="11" spans="2:9" ht="13.5" x14ac:dyDescent="0.25">
      <c r="B11" s="39">
        <f>$C$3+0.005</f>
        <v>4.5719079328314996E-2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279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300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325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353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386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424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468</v>
      </c>
    </row>
    <row r="12" spans="2:9" ht="13.5" x14ac:dyDescent="0.25">
      <c r="B12" s="39">
        <f>$C$3+0.01</f>
        <v>5.0719079328315E-2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235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252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271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292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317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344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376</v>
      </c>
    </row>
    <row r="13" spans="2:9" ht="13.5" x14ac:dyDescent="0.25">
      <c r="B13" s="39">
        <f>$C$3+0.015</f>
        <v>5.5719079328314998E-2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199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213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228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245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263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284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308</v>
      </c>
    </row>
    <row r="16" spans="2:9" ht="14" x14ac:dyDescent="0.3">
      <c r="B16" s="3" t="s">
        <v>238</v>
      </c>
    </row>
    <row r="17" spans="2:9" ht="14" x14ac:dyDescent="0.3">
      <c r="B17" s="40" t="s">
        <v>239</v>
      </c>
      <c r="C17" s="42">
        <f>$I$3-3</f>
        <v>6.1999999999999993</v>
      </c>
      <c r="D17" s="42">
        <f>$I$3-2</f>
        <v>7.1999999999999993</v>
      </c>
      <c r="E17" s="42">
        <f>$I$3-1</f>
        <v>8.1999999999999993</v>
      </c>
      <c r="F17" s="42">
        <f>$I$3</f>
        <v>9.1999999999999993</v>
      </c>
      <c r="G17" s="42">
        <f>$I$3+1</f>
        <v>10.199999999999999</v>
      </c>
      <c r="H17" s="42">
        <f>$I$3+2</f>
        <v>11.2</v>
      </c>
      <c r="I17" s="42">
        <f>$I$3+3</f>
        <v>12.2</v>
      </c>
    </row>
    <row r="18" spans="2:9" ht="13.5" x14ac:dyDescent="0.25">
      <c r="B18" s="39">
        <f>$C$3-0.015</f>
        <v>2.5719079328314999E-2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216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260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304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348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392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436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480</v>
      </c>
    </row>
    <row r="19" spans="2:9" ht="13.5" x14ac:dyDescent="0.25">
      <c r="B19" s="39">
        <f>$C$3-0.01</f>
        <v>3.0719079328314997E-2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208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251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294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337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380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423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466</v>
      </c>
    </row>
    <row r="20" spans="2:9" ht="13.5" x14ac:dyDescent="0.25">
      <c r="B20" s="39">
        <f>$C$3-0.005</f>
        <v>3.5719079328315001E-2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200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242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284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326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368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410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452</v>
      </c>
    </row>
    <row r="21" spans="2:9" ht="13.5" x14ac:dyDescent="0.25">
      <c r="B21" s="39">
        <f>$C$3</f>
        <v>4.0719079328314998E-2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192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234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275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316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357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398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439</v>
      </c>
    </row>
    <row r="22" spans="2:9" ht="13.5" x14ac:dyDescent="0.25">
      <c r="B22" s="39">
        <f>$C$3+0.005</f>
        <v>4.5719079328314996E-2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185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225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265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305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345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386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426</v>
      </c>
    </row>
    <row r="23" spans="2:9" ht="13.5" x14ac:dyDescent="0.25">
      <c r="B23" s="39">
        <f>$C$3+0.01</f>
        <v>5.0719079328315E-2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178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217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256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295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335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374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413</v>
      </c>
    </row>
    <row r="24" spans="2:9" ht="13.5" x14ac:dyDescent="0.25">
      <c r="B24" s="39">
        <f>$C$3+0.015</f>
        <v>5.5719079328314998E-2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171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209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248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286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324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362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400</v>
      </c>
    </row>
    <row r="26" spans="2:9" ht="14" x14ac:dyDescent="0.3">
      <c r="B26" s="45" t="s">
        <v>240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241</v>
      </c>
    </row>
    <row r="4" spans="2:7" ht="14" x14ac:dyDescent="0.3">
      <c r="B4" s="10" t="s">
        <v>242</v>
      </c>
      <c r="C4" s="10" t="s">
        <v>243</v>
      </c>
      <c r="D4" s="10" t="s">
        <v>244</v>
      </c>
      <c r="E4" s="10" t="s">
        <v>245</v>
      </c>
      <c r="F4" s="10" t="s">
        <v>246</v>
      </c>
      <c r="G4" s="10" t="s">
        <v>247</v>
      </c>
    </row>
    <row r="5" spans="2:7" x14ac:dyDescent="0.2">
      <c r="B5" t="s">
        <v>248</v>
      </c>
      <c r="C5" t="s">
        <v>249</v>
      </c>
      <c r="D5" t="s">
        <v>250</v>
      </c>
      <c r="E5" t="s">
        <v>251</v>
      </c>
      <c r="F5" t="s">
        <v>249</v>
      </c>
      <c r="G5" t="s">
        <v>252</v>
      </c>
    </row>
    <row r="6" spans="2:7" ht="30" customHeight="1" x14ac:dyDescent="0.3">
      <c r="B6" t="s">
        <v>248</v>
      </c>
      <c r="C6" s="4" t="s">
        <v>253</v>
      </c>
      <c r="D6" t="s">
        <v>254</v>
      </c>
      <c r="E6" t="s">
        <v>255</v>
      </c>
      <c r="F6" t="s">
        <v>256</v>
      </c>
      <c r="G6" t="s">
        <v>257</v>
      </c>
    </row>
    <row r="7" spans="2:7" ht="30" customHeight="1" x14ac:dyDescent="0.3">
      <c r="B7" t="s">
        <v>248</v>
      </c>
      <c r="C7" s="4" t="s">
        <v>258</v>
      </c>
      <c r="D7" t="s">
        <v>259</v>
      </c>
      <c r="E7" t="s">
        <v>260</v>
      </c>
      <c r="F7" t="s">
        <v>261</v>
      </c>
      <c r="G7" t="s">
        <v>262</v>
      </c>
    </row>
    <row r="12" spans="2:7" ht="14" x14ac:dyDescent="0.3">
      <c r="B12" s="8" t="s">
        <v>263</v>
      </c>
    </row>
    <row r="13" spans="2:7" ht="14" x14ac:dyDescent="0.3">
      <c r="B13" s="10" t="s">
        <v>264</v>
      </c>
      <c r="C13" s="10" t="s">
        <v>265</v>
      </c>
    </row>
    <row r="14" spans="2:7" ht="14" x14ac:dyDescent="0.3">
      <c r="B14" s="4" t="s">
        <v>266</v>
      </c>
      <c r="C14" t="s">
        <v>267</v>
      </c>
    </row>
    <row r="15" spans="2:7" ht="14" x14ac:dyDescent="0.3">
      <c r="B15" s="4" t="s">
        <v>268</v>
      </c>
      <c r="C15" t="s">
        <v>269</v>
      </c>
    </row>
    <row r="16" spans="2:7" ht="14" x14ac:dyDescent="0.3">
      <c r="B16" s="4" t="s">
        <v>270</v>
      </c>
      <c r="C16" t="s">
        <v>271</v>
      </c>
    </row>
    <row r="17" spans="2:3" ht="14" x14ac:dyDescent="0.3">
      <c r="B17" s="4" t="s">
        <v>272</v>
      </c>
      <c r="C17" t="s">
        <v>269</v>
      </c>
    </row>
    <row r="18" spans="2:3" ht="14" x14ac:dyDescent="0.3">
      <c r="B18" s="4" t="s">
        <v>273</v>
      </c>
      <c r="C18" t="s">
        <v>274</v>
      </c>
    </row>
    <row r="19" spans="2:3" ht="14" x14ac:dyDescent="0.3">
      <c r="B19" s="4" t="s">
        <v>275</v>
      </c>
      <c r="C19" t="s">
        <v>276</v>
      </c>
    </row>
    <row r="20" spans="2:3" ht="14" x14ac:dyDescent="0.3">
      <c r="B20" s="4" t="s">
        <v>277</v>
      </c>
      <c r="C20" t="s">
        <v>278</v>
      </c>
    </row>
    <row r="21" spans="2:3" ht="14" x14ac:dyDescent="0.3">
      <c r="B21" s="4" t="s">
        <v>279</v>
      </c>
      <c r="C21" t="s">
        <v>280</v>
      </c>
    </row>
    <row r="22" spans="2:3" ht="14" x14ac:dyDescent="0.3">
      <c r="B22" s="4" t="s">
        <v>281</v>
      </c>
      <c r="C22" t="s">
        <v>47</v>
      </c>
    </row>
    <row r="23" spans="2:3" ht="14" x14ac:dyDescent="0.3">
      <c r="B23" s="4" t="s">
        <v>282</v>
      </c>
      <c r="C23" t="s">
        <v>4</v>
      </c>
    </row>
    <row r="24" spans="2:3" ht="14" x14ac:dyDescent="0.3">
      <c r="B24" s="4" t="s">
        <v>283</v>
      </c>
      <c r="C24" t="s">
        <v>248</v>
      </c>
    </row>
    <row r="25" spans="2:3" ht="14" x14ac:dyDescent="0.3">
      <c r="B25" s="4" t="s">
        <v>284</v>
      </c>
      <c r="C25" t="s">
        <v>285</v>
      </c>
    </row>
    <row r="26" spans="2:3" ht="14" x14ac:dyDescent="0.3">
      <c r="B26" s="4" t="s">
        <v>286</v>
      </c>
      <c r="C26" t="s">
        <v>274</v>
      </c>
    </row>
    <row r="27" spans="2:3" ht="14" x14ac:dyDescent="0.3">
      <c r="B27" s="4" t="s">
        <v>287</v>
      </c>
      <c r="C27" t="s">
        <v>274</v>
      </c>
    </row>
    <row r="28" spans="2:3" ht="14" x14ac:dyDescent="0.3">
      <c r="B28" s="4" t="s">
        <v>288</v>
      </c>
      <c r="C28" t="s">
        <v>289</v>
      </c>
    </row>
    <row r="29" spans="2:3" ht="14" x14ac:dyDescent="0.3">
      <c r="B29" s="4" t="s">
        <v>290</v>
      </c>
      <c r="C29" t="s">
        <v>291</v>
      </c>
    </row>
    <row r="30" spans="2:3" ht="14" x14ac:dyDescent="0.3">
      <c r="B30" s="4" t="s">
        <v>292</v>
      </c>
      <c r="C30" t="s">
        <v>293</v>
      </c>
    </row>
    <row r="31" spans="2:3" ht="14" x14ac:dyDescent="0.3">
      <c r="B31" s="4" t="s">
        <v>294</v>
      </c>
      <c r="C31" t="s">
        <v>289</v>
      </c>
    </row>
    <row r="32" spans="2:3" ht="14" x14ac:dyDescent="0.3">
      <c r="B32" s="4" t="s">
        <v>295</v>
      </c>
      <c r="C32" t="s">
        <v>274</v>
      </c>
    </row>
    <row r="33" spans="2:3" ht="14" x14ac:dyDescent="0.3">
      <c r="B33" s="4" t="s">
        <v>296</v>
      </c>
      <c r="C33" t="s">
        <v>285</v>
      </c>
    </row>
    <row r="34" spans="2:3" ht="14" x14ac:dyDescent="0.3">
      <c r="B34" s="4" t="s">
        <v>297</v>
      </c>
      <c r="C34" t="s">
        <v>298</v>
      </c>
    </row>
    <row r="35" spans="2:3" ht="14" x14ac:dyDescent="0.3">
      <c r="B35" s="4" t="s">
        <v>299</v>
      </c>
      <c r="C35" t="s">
        <v>300</v>
      </c>
    </row>
    <row r="36" spans="2:3" ht="14" x14ac:dyDescent="0.3">
      <c r="B36" s="4" t="s">
        <v>301</v>
      </c>
      <c r="C36" t="s">
        <v>302</v>
      </c>
    </row>
    <row r="37" spans="2:3" ht="14" x14ac:dyDescent="0.3">
      <c r="B37" s="4" t="s">
        <v>303</v>
      </c>
      <c r="C37" t="s">
        <v>304</v>
      </c>
    </row>
    <row r="38" spans="2:3" ht="14" x14ac:dyDescent="0.3">
      <c r="B38" s="4" t="s">
        <v>305</v>
      </c>
      <c r="C38" t="s">
        <v>306</v>
      </c>
    </row>
    <row r="39" spans="2:3" ht="14" x14ac:dyDescent="0.3">
      <c r="B39" s="4" t="s">
        <v>307</v>
      </c>
      <c r="C39" t="s">
        <v>308</v>
      </c>
    </row>
    <row r="40" spans="2:3" ht="14" x14ac:dyDescent="0.3">
      <c r="B40" s="4" t="s">
        <v>309</v>
      </c>
      <c r="C40" t="s">
        <v>310</v>
      </c>
    </row>
    <row r="41" spans="2:3" ht="14" x14ac:dyDescent="0.3">
      <c r="B41" s="4" t="s">
        <v>311</v>
      </c>
      <c r="C41" t="s">
        <v>312</v>
      </c>
    </row>
    <row r="42" spans="2:3" ht="14" x14ac:dyDescent="0.3">
      <c r="B42" s="4" t="s">
        <v>313</v>
      </c>
      <c r="C42" t="s">
        <v>314</v>
      </c>
    </row>
    <row r="43" spans="2:3" ht="14" x14ac:dyDescent="0.3">
      <c r="B43" s="4" t="s">
        <v>315</v>
      </c>
      <c r="C43" t="s">
        <v>316</v>
      </c>
    </row>
    <row r="44" spans="2:3" ht="14" x14ac:dyDescent="0.3">
      <c r="B44" s="4" t="s">
        <v>317</v>
      </c>
      <c r="C44" t="s">
        <v>278</v>
      </c>
    </row>
    <row r="45" spans="2:3" ht="14" x14ac:dyDescent="0.3">
      <c r="B45" s="4" t="s">
        <v>318</v>
      </c>
      <c r="C45" t="s">
        <v>319</v>
      </c>
    </row>
    <row r="46" spans="2:3" ht="14" x14ac:dyDescent="0.3">
      <c r="B46" s="4" t="s">
        <v>320</v>
      </c>
      <c r="C46" t="s">
        <v>47</v>
      </c>
    </row>
    <row r="47" spans="2:3" ht="14" x14ac:dyDescent="0.3">
      <c r="B47" s="4" t="s">
        <v>321</v>
      </c>
      <c r="C47" t="s">
        <v>322</v>
      </c>
    </row>
    <row r="48" spans="2:3" ht="14" x14ac:dyDescent="0.3">
      <c r="B48" s="4" t="s">
        <v>323</v>
      </c>
      <c r="C48" t="s">
        <v>324</v>
      </c>
    </row>
    <row r="49" spans="2:3" ht="14" x14ac:dyDescent="0.3">
      <c r="B49" s="4" t="s">
        <v>325</v>
      </c>
      <c r="C49" t="s">
        <v>326</v>
      </c>
    </row>
    <row r="50" spans="2:3" ht="14" x14ac:dyDescent="0.3">
      <c r="B50" s="4" t="s">
        <v>327</v>
      </c>
      <c r="C50" t="s">
        <v>328</v>
      </c>
    </row>
    <row r="51" spans="2:3" ht="14" x14ac:dyDescent="0.3">
      <c r="B51" s="4" t="s">
        <v>329</v>
      </c>
      <c r="C51" t="s">
        <v>330</v>
      </c>
    </row>
    <row r="52" spans="2:3" ht="14" x14ac:dyDescent="0.3">
      <c r="B52" s="4" t="s">
        <v>331</v>
      </c>
      <c r="C52" t="s">
        <v>332</v>
      </c>
    </row>
    <row r="53" spans="2:3" ht="14" x14ac:dyDescent="0.3">
      <c r="B53" s="4" t="s">
        <v>333</v>
      </c>
      <c r="C53" t="s">
        <v>334</v>
      </c>
    </row>
    <row r="54" spans="2:3" ht="14" x14ac:dyDescent="0.3">
      <c r="B54" s="4" t="s">
        <v>335</v>
      </c>
      <c r="C54" t="s">
        <v>336</v>
      </c>
    </row>
    <row r="55" spans="2:3" ht="14" x14ac:dyDescent="0.3">
      <c r="B55" s="4" t="s">
        <v>337</v>
      </c>
      <c r="C55" t="s">
        <v>338</v>
      </c>
    </row>
    <row r="56" spans="2:3" ht="14" x14ac:dyDescent="0.3">
      <c r="B56" s="4" t="s">
        <v>339</v>
      </c>
      <c r="C56" t="s">
        <v>340</v>
      </c>
    </row>
    <row r="57" spans="2:3" ht="14" x14ac:dyDescent="0.3">
      <c r="B57" s="4" t="s">
        <v>341</v>
      </c>
      <c r="C57" t="s">
        <v>342</v>
      </c>
    </row>
    <row r="58" spans="2:3" ht="14" x14ac:dyDescent="0.3">
      <c r="B58" s="4" t="s">
        <v>343</v>
      </c>
      <c r="C58" t="s">
        <v>285</v>
      </c>
    </row>
    <row r="59" spans="2:3" ht="14" x14ac:dyDescent="0.3">
      <c r="B59" s="4" t="s">
        <v>344</v>
      </c>
      <c r="C59" t="s">
        <v>345</v>
      </c>
    </row>
    <row r="60" spans="2:3" ht="14" x14ac:dyDescent="0.3">
      <c r="B60" s="4" t="s">
        <v>346</v>
      </c>
      <c r="C60" t="s">
        <v>347</v>
      </c>
    </row>
    <row r="61" spans="2:3" ht="14" x14ac:dyDescent="0.3">
      <c r="B61" s="4" t="s">
        <v>348</v>
      </c>
      <c r="C61" t="s">
        <v>349</v>
      </c>
    </row>
    <row r="62" spans="2:3" ht="14" x14ac:dyDescent="0.3">
      <c r="B62" s="4" t="s">
        <v>350</v>
      </c>
      <c r="C62" t="s">
        <v>351</v>
      </c>
    </row>
    <row r="63" spans="2:3" ht="14" x14ac:dyDescent="0.3">
      <c r="B63" s="4" t="s">
        <v>352</v>
      </c>
      <c r="C63" t="s">
        <v>353</v>
      </c>
    </row>
    <row r="64" spans="2:3" ht="14" x14ac:dyDescent="0.3">
      <c r="B64" s="4" t="s">
        <v>354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2026-09-06T10:32:21Z</dcterms:created>
  <dcterms:modified xsi:type="dcterms:W3CDTF">2026-09-06T10:32:24Z</dcterms:modified>
</cp:coreProperties>
</file>