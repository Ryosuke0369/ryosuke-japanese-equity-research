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780112D9-D69A-4579-A8B1-F28C90432D8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17" i="7" l="1"/>
  <c r="I3" i="7"/>
  <c r="I17" i="7" s="1"/>
  <c r="F3" i="7"/>
  <c r="E6" i="7" s="1"/>
  <c r="O10" i="6"/>
  <c r="N10" i="6"/>
  <c r="M10" i="6"/>
  <c r="L10" i="6"/>
  <c r="K10" i="6"/>
  <c r="J10" i="6"/>
  <c r="O9" i="6"/>
  <c r="N9" i="6"/>
  <c r="M9" i="6"/>
  <c r="G16" i="6" s="1"/>
  <c r="L9" i="6"/>
  <c r="K9" i="6"/>
  <c r="J9" i="6"/>
  <c r="O8" i="6"/>
  <c r="N8" i="6"/>
  <c r="M8" i="6"/>
  <c r="L8" i="6"/>
  <c r="K8" i="6"/>
  <c r="E16" i="6" s="1"/>
  <c r="J8" i="6"/>
  <c r="O7" i="6"/>
  <c r="N7" i="6"/>
  <c r="M7" i="6"/>
  <c r="L7" i="6"/>
  <c r="K7" i="6"/>
  <c r="J7" i="6"/>
  <c r="O6" i="6"/>
  <c r="N6" i="6"/>
  <c r="H15" i="6" s="1"/>
  <c r="M6" i="6"/>
  <c r="L6" i="6"/>
  <c r="K6" i="6"/>
  <c r="J6" i="6"/>
  <c r="O5" i="6"/>
  <c r="N5" i="6"/>
  <c r="D5" i="6"/>
  <c r="E5" i="6" s="1"/>
  <c r="C16" i="5"/>
  <c r="C14" i="5"/>
  <c r="C18" i="5" s="1"/>
  <c r="C7" i="5"/>
  <c r="C6" i="5"/>
  <c r="C5" i="5"/>
  <c r="C13" i="4"/>
  <c r="C12" i="4"/>
  <c r="C9" i="4"/>
  <c r="C7" i="4"/>
  <c r="C6" i="4"/>
  <c r="D27" i="3"/>
  <c r="G5" i="5" s="1"/>
  <c r="C25" i="3"/>
  <c r="C24" i="3"/>
  <c r="C23" i="3"/>
  <c r="F23" i="2"/>
  <c r="E23" i="2"/>
  <c r="D23" i="2"/>
  <c r="C23" i="2"/>
  <c r="E22" i="2"/>
  <c r="D22" i="2"/>
  <c r="C22" i="2"/>
  <c r="F21" i="2"/>
  <c r="F22" i="2" s="1"/>
  <c r="E21" i="2"/>
  <c r="D21" i="2"/>
  <c r="C21" i="2"/>
  <c r="F16" i="2"/>
  <c r="E16" i="2"/>
  <c r="D16" i="2"/>
  <c r="F15" i="2"/>
  <c r="E15" i="2"/>
  <c r="D15" i="2"/>
  <c r="F14" i="2"/>
  <c r="E14" i="2"/>
  <c r="D14" i="2"/>
  <c r="C14" i="2"/>
  <c r="F13" i="2"/>
  <c r="E13" i="2"/>
  <c r="D13" i="2"/>
  <c r="C13" i="2"/>
  <c r="F8" i="2"/>
  <c r="F9" i="2" s="1"/>
  <c r="E8" i="2"/>
  <c r="E9" i="2" s="1"/>
  <c r="D8" i="2"/>
  <c r="D9" i="2" s="1"/>
  <c r="C8" i="2"/>
  <c r="C9" i="2" s="1"/>
  <c r="H16" i="6" l="1"/>
  <c r="F7" i="5"/>
  <c r="F16" i="6"/>
  <c r="C28" i="6" s="1"/>
  <c r="C19" i="1" s="1"/>
  <c r="D19" i="1" s="1"/>
  <c r="F30" i="3"/>
  <c r="G7" i="5"/>
  <c r="F6" i="7"/>
  <c r="E32" i="3"/>
  <c r="D6" i="5"/>
  <c r="E6" i="5"/>
  <c r="M5" i="6"/>
  <c r="D15" i="6"/>
  <c r="G6" i="7"/>
  <c r="C32" i="3"/>
  <c r="H6" i="7"/>
  <c r="E30" i="3"/>
  <c r="G30" i="3"/>
  <c r="F17" i="6"/>
  <c r="C26" i="3"/>
  <c r="D46" i="3" s="1"/>
  <c r="D32" i="3"/>
  <c r="G17" i="7"/>
  <c r="I16" i="6"/>
  <c r="I17" i="6"/>
  <c r="I15" i="6"/>
  <c r="C8" i="4"/>
  <c r="C10" i="4" s="1"/>
  <c r="E15" i="6"/>
  <c r="D36" i="4"/>
  <c r="D17" i="6"/>
  <c r="F15" i="6"/>
  <c r="C46" i="3"/>
  <c r="B25" i="1"/>
  <c r="E17" i="6"/>
  <c r="G15" i="6"/>
  <c r="G17" i="6"/>
  <c r="J5" i="6"/>
  <c r="K5" i="6"/>
  <c r="C3" i="7"/>
  <c r="G36" i="4"/>
  <c r="C11" i="4"/>
  <c r="G46" i="3"/>
  <c r="F36" i="4"/>
  <c r="F46" i="3"/>
  <c r="E36" i="4"/>
  <c r="E46" i="3"/>
  <c r="H36" i="4"/>
  <c r="B31" i="1"/>
  <c r="E31" i="3"/>
  <c r="C30" i="3"/>
  <c r="C33" i="3" s="1"/>
  <c r="F31" i="3"/>
  <c r="H5" i="5"/>
  <c r="D7" i="5"/>
  <c r="I6" i="7"/>
  <c r="H7" i="5"/>
  <c r="G6" i="5"/>
  <c r="D30" i="3"/>
  <c r="G31" i="3"/>
  <c r="E7" i="5"/>
  <c r="L5" i="6"/>
  <c r="D16" i="6"/>
  <c r="C17" i="7"/>
  <c r="C6" i="7"/>
  <c r="D17" i="7"/>
  <c r="H17" i="6"/>
  <c r="D6" i="7"/>
  <c r="E17" i="7"/>
  <c r="F17" i="7"/>
  <c r="F6" i="5"/>
  <c r="D5" i="5"/>
  <c r="C31" i="3"/>
  <c r="F32" i="3"/>
  <c r="E5" i="5"/>
  <c r="D31" i="3"/>
  <c r="G32" i="3"/>
  <c r="F5" i="5"/>
  <c r="H6" i="5"/>
  <c r="H40" i="4" l="1"/>
  <c r="H44" i="4"/>
  <c r="H43" i="4"/>
  <c r="H38" i="4"/>
  <c r="H48" i="4" s="1"/>
  <c r="H53" i="4" s="1"/>
  <c r="H46" i="4"/>
  <c r="H41" i="4"/>
  <c r="H51" i="4" s="1"/>
  <c r="H56" i="4" s="1"/>
  <c r="H39" i="4"/>
  <c r="H45" i="4"/>
  <c r="B13" i="7"/>
  <c r="B12" i="7"/>
  <c r="B11" i="7"/>
  <c r="B10" i="7"/>
  <c r="B9" i="7"/>
  <c r="B8" i="7"/>
  <c r="B7" i="7"/>
  <c r="B24" i="7"/>
  <c r="B23" i="7"/>
  <c r="B22" i="7"/>
  <c r="B21" i="7"/>
  <c r="B20" i="7"/>
  <c r="B19" i="7"/>
  <c r="B18" i="7"/>
  <c r="C27" i="6"/>
  <c r="C18" i="1" s="1"/>
  <c r="D18" i="1" s="1"/>
  <c r="C74" i="4"/>
  <c r="E39" i="4"/>
  <c r="E43" i="4"/>
  <c r="E41" i="4"/>
  <c r="E46" i="4"/>
  <c r="E45" i="4"/>
  <c r="E44" i="4"/>
  <c r="E49" i="4" s="1"/>
  <c r="E54" i="4" s="1"/>
  <c r="E38" i="4"/>
  <c r="E40" i="4"/>
  <c r="D45" i="4"/>
  <c r="D39" i="4"/>
  <c r="D49" i="4" s="1"/>
  <c r="D54" i="4" s="1"/>
  <c r="D43" i="4"/>
  <c r="D38" i="4"/>
  <c r="D41" i="4"/>
  <c r="D44" i="4"/>
  <c r="D46" i="4"/>
  <c r="D40" i="4"/>
  <c r="F43" i="4"/>
  <c r="F46" i="4"/>
  <c r="F40" i="4"/>
  <c r="F45" i="4"/>
  <c r="F44" i="4"/>
  <c r="F39" i="4"/>
  <c r="F49" i="4" s="1"/>
  <c r="F38" i="4"/>
  <c r="F48" i="4" s="1"/>
  <c r="F53" i="4" s="1"/>
  <c r="F41" i="4"/>
  <c r="C24" i="4"/>
  <c r="C25" i="4" s="1"/>
  <c r="E51" i="4"/>
  <c r="E56" i="4" s="1"/>
  <c r="D48" i="4"/>
  <c r="D53" i="4" s="1"/>
  <c r="C71" i="4"/>
  <c r="F50" i="4"/>
  <c r="F55" i="4" s="1"/>
  <c r="C70" i="4"/>
  <c r="H49" i="4"/>
  <c r="H54" i="4" s="1"/>
  <c r="B30" i="1"/>
  <c r="B24" i="1"/>
  <c r="D9" i="5"/>
  <c r="D12" i="5" s="1"/>
  <c r="D33" i="3"/>
  <c r="C34" i="3"/>
  <c r="D10" i="5" s="1"/>
  <c r="C37" i="3"/>
  <c r="C42" i="3"/>
  <c r="G46" i="4"/>
  <c r="G40" i="4"/>
  <c r="G50" i="4" s="1"/>
  <c r="G55" i="4" s="1"/>
  <c r="G44" i="4"/>
  <c r="G39" i="4"/>
  <c r="G49" i="4" s="1"/>
  <c r="G54" i="4" s="1"/>
  <c r="G43" i="4"/>
  <c r="G45" i="4"/>
  <c r="G38" i="4"/>
  <c r="G41" i="4"/>
  <c r="G51" i="4" s="1"/>
  <c r="G56" i="4" s="1"/>
  <c r="F51" i="4" l="1"/>
  <c r="F56" i="4" s="1"/>
  <c r="D50" i="4"/>
  <c r="D55" i="4" s="1"/>
  <c r="E50" i="4"/>
  <c r="E55" i="4" s="1"/>
  <c r="H50" i="4"/>
  <c r="H55" i="4" s="1"/>
  <c r="G48" i="4"/>
  <c r="G53" i="4" s="1"/>
  <c r="D51" i="4"/>
  <c r="D56" i="4" s="1"/>
  <c r="E48" i="4"/>
  <c r="E53" i="4" s="1"/>
  <c r="F54" i="4"/>
  <c r="B78" i="4" s="1"/>
  <c r="C60" i="4"/>
  <c r="D15" i="5"/>
  <c r="D16" i="5" s="1"/>
  <c r="D13" i="5"/>
  <c r="E9" i="5"/>
  <c r="E12" i="5" s="1"/>
  <c r="E33" i="3"/>
  <c r="D42" i="3"/>
  <c r="D34" i="3"/>
  <c r="E10" i="5" s="1"/>
  <c r="D35" i="3"/>
  <c r="D37" i="3"/>
  <c r="C27" i="4"/>
  <c r="C26" i="4"/>
  <c r="C29" i="4"/>
  <c r="C35" i="3"/>
  <c r="D14" i="5"/>
  <c r="D18" i="5" s="1"/>
  <c r="D19" i="5" s="1"/>
  <c r="C44" i="3" s="1"/>
  <c r="C36" i="3" l="1"/>
  <c r="C39" i="3"/>
  <c r="C38" i="3"/>
  <c r="D36" i="3"/>
  <c r="D39" i="3"/>
  <c r="D38" i="3"/>
  <c r="C65" i="4"/>
  <c r="D65" i="4" s="1"/>
  <c r="C64" i="4"/>
  <c r="D64" i="4" s="1"/>
  <c r="C66" i="4"/>
  <c r="D66" i="4" s="1"/>
  <c r="C63" i="4"/>
  <c r="D63" i="4" s="1"/>
  <c r="C67" i="4"/>
  <c r="D67" i="4" s="1"/>
  <c r="E13" i="5"/>
  <c r="E14" i="5" s="1"/>
  <c r="E15" i="5"/>
  <c r="E16" i="5" s="1"/>
  <c r="F9" i="5"/>
  <c r="F12" i="5" s="1"/>
  <c r="E42" i="3"/>
  <c r="E34" i="3"/>
  <c r="F10" i="5" s="1"/>
  <c r="E37" i="3"/>
  <c r="F33" i="3"/>
  <c r="E18" i="5" l="1"/>
  <c r="E19" i="5" s="1"/>
  <c r="D44" i="3" s="1"/>
  <c r="F13" i="5"/>
  <c r="F14" i="5" s="1"/>
  <c r="F18" i="5" s="1"/>
  <c r="F19" i="5" s="1"/>
  <c r="E44" i="3" s="1"/>
  <c r="F15" i="5"/>
  <c r="F16" i="5" s="1"/>
  <c r="D40" i="3"/>
  <c r="D41" i="3" s="1"/>
  <c r="E35" i="3"/>
  <c r="F37" i="3"/>
  <c r="G9" i="5"/>
  <c r="G12" i="5" s="1"/>
  <c r="F42" i="3"/>
  <c r="F34" i="3"/>
  <c r="G10" i="5" s="1"/>
  <c r="G33" i="3"/>
  <c r="C40" i="3"/>
  <c r="C41" i="3" s="1"/>
  <c r="C45" i="3" s="1"/>
  <c r="D45" i="3" l="1"/>
  <c r="D47" i="3" s="1"/>
  <c r="C47" i="3"/>
  <c r="E36" i="3"/>
  <c r="E39" i="3"/>
  <c r="E38" i="3"/>
  <c r="G37" i="3"/>
  <c r="G35" i="3"/>
  <c r="H9" i="5"/>
  <c r="H12" i="5" s="1"/>
  <c r="G42" i="3"/>
  <c r="G34" i="3"/>
  <c r="H10" i="5" s="1"/>
  <c r="C16" i="4"/>
  <c r="C28" i="4" s="1"/>
  <c r="G13" i="5"/>
  <c r="G14" i="5" s="1"/>
  <c r="G18" i="5" s="1"/>
  <c r="G19" i="5" s="1"/>
  <c r="F44" i="3" s="1"/>
  <c r="G15" i="5"/>
  <c r="G16" i="5" s="1"/>
  <c r="F35" i="3"/>
  <c r="F36" i="3" l="1"/>
  <c r="F39" i="3"/>
  <c r="F38" i="3"/>
  <c r="G39" i="3"/>
  <c r="G38" i="3"/>
  <c r="G36" i="3"/>
  <c r="E40" i="3"/>
  <c r="E41" i="3" s="1"/>
  <c r="E45" i="3" s="1"/>
  <c r="H13" i="5"/>
  <c r="H14" i="5" s="1"/>
  <c r="H15" i="5"/>
  <c r="H16" i="5" s="1"/>
  <c r="C72" i="4"/>
  <c r="C73" i="4"/>
  <c r="H18" i="5" l="1"/>
  <c r="H19" i="5" s="1"/>
  <c r="G44" i="3" s="1"/>
  <c r="G40" i="3"/>
  <c r="G41" i="3" s="1"/>
  <c r="G45" i="3" s="1"/>
  <c r="C59" i="3"/>
  <c r="C60" i="3" s="1"/>
  <c r="C61" i="3" s="1"/>
  <c r="E47" i="3"/>
  <c r="F40" i="3"/>
  <c r="F41" i="3"/>
  <c r="F45" i="3" s="1"/>
  <c r="F47" i="3" s="1"/>
  <c r="C51" i="3" l="1"/>
  <c r="C52" i="3" s="1"/>
  <c r="G47" i="3"/>
  <c r="F11" i="7"/>
  <c r="D24" i="7"/>
  <c r="C8" i="7"/>
  <c r="F21" i="7"/>
  <c r="I9" i="7"/>
  <c r="G20" i="7"/>
  <c r="H24" i="7"/>
  <c r="C11" i="7"/>
  <c r="E11" i="7"/>
  <c r="G21" i="7"/>
  <c r="H11" i="7"/>
  <c r="C24" i="7"/>
  <c r="I18" i="7"/>
  <c r="H20" i="7"/>
  <c r="D21" i="7"/>
  <c r="C12" i="7"/>
  <c r="H13" i="7"/>
  <c r="I23" i="7"/>
  <c r="H18" i="7"/>
  <c r="F18" i="7"/>
  <c r="H8" i="7"/>
  <c r="I8" i="7"/>
  <c r="H22" i="7"/>
  <c r="I11" i="7"/>
  <c r="G23" i="7"/>
  <c r="D18" i="7"/>
  <c r="I20" i="7"/>
  <c r="F13" i="7"/>
  <c r="D10" i="7"/>
  <c r="I22" i="7"/>
  <c r="D22" i="7"/>
  <c r="F19" i="7"/>
  <c r="E8" i="7"/>
  <c r="E23" i="7"/>
  <c r="H12" i="7"/>
  <c r="C23" i="7"/>
  <c r="G13" i="7"/>
  <c r="D8" i="7"/>
  <c r="I13" i="7"/>
  <c r="G7" i="7"/>
  <c r="E22" i="7"/>
  <c r="C9" i="7"/>
  <c r="D20" i="7"/>
  <c r="C19" i="7"/>
  <c r="C21" i="7"/>
  <c r="E18" i="7"/>
  <c r="E24" i="7"/>
  <c r="G11" i="7"/>
  <c r="F20" i="7"/>
  <c r="G19" i="7"/>
  <c r="C13" i="7"/>
  <c r="H7" i="7"/>
  <c r="E20" i="7"/>
  <c r="C7" i="7"/>
  <c r="H19" i="7"/>
  <c r="E12" i="7"/>
  <c r="E13" i="7"/>
  <c r="D11" i="7"/>
  <c r="F8" i="7"/>
  <c r="H23" i="7"/>
  <c r="F10" i="7"/>
  <c r="H21" i="7"/>
  <c r="D23" i="7"/>
  <c r="D7" i="7"/>
  <c r="I19" i="7"/>
  <c r="E10" i="7"/>
  <c r="D19" i="7"/>
  <c r="H9" i="7"/>
  <c r="F24" i="7"/>
  <c r="C20" i="7"/>
  <c r="F23" i="7"/>
  <c r="E7" i="7"/>
  <c r="I7" i="7"/>
  <c r="F7" i="7"/>
  <c r="G10" i="7"/>
  <c r="I10" i="7"/>
  <c r="G22" i="7"/>
  <c r="C10" i="7"/>
  <c r="D13" i="7"/>
  <c r="E19" i="7"/>
  <c r="I12" i="7"/>
  <c r="F12" i="7"/>
  <c r="D9" i="7"/>
  <c r="I21" i="7"/>
  <c r="G18" i="7"/>
  <c r="C50" i="3"/>
  <c r="G9" i="7"/>
  <c r="I24" i="7"/>
  <c r="C22" i="7"/>
  <c r="G12" i="7"/>
  <c r="D12" i="7"/>
  <c r="F9" i="7"/>
  <c r="E9" i="7"/>
  <c r="F22" i="7"/>
  <c r="G24" i="7"/>
  <c r="E21" i="7"/>
  <c r="C18" i="7"/>
  <c r="G8" i="7"/>
  <c r="H10" i="7"/>
  <c r="C53" i="3" l="1"/>
  <c r="C58" i="3"/>
  <c r="C62" i="3" s="1"/>
  <c r="C63" i="3" l="1"/>
  <c r="C64" i="3" s="1"/>
  <c r="C17" i="1" s="1"/>
  <c r="D17" i="1" s="1"/>
  <c r="C54" i="3"/>
  <c r="C55" i="3" s="1"/>
  <c r="C16" i="1" s="1"/>
  <c r="C17" i="4"/>
  <c r="C10" i="1" l="1"/>
  <c r="C21" i="1"/>
  <c r="D16" i="1"/>
  <c r="C19" i="4"/>
  <c r="C20" i="4" s="1"/>
  <c r="B79" i="4" s="1"/>
  <c r="B29" i="1" l="1"/>
  <c r="C12" i="1"/>
  <c r="C11" i="1" s="1"/>
  <c r="B26" i="1" l="1"/>
</calcChain>
</file>

<file path=xl/sharedStrings.xml><?xml version="1.0" encoding="utf-8"?>
<sst xmlns="http://schemas.openxmlformats.org/spreadsheetml/2006/main" count="517" uniqueCount="392">
  <si>
    <t>DISCLAIMER: This is a sample analysis for demonstration purposes only. It does not constitute investment advice.</t>
  </si>
  <si>
    <t>協和キリン (4151.T)</t>
  </si>
  <si>
    <t>Equity Research Report</t>
  </si>
  <si>
    <t>Company</t>
  </si>
  <si>
    <t>協和キリン</t>
  </si>
  <si>
    <t>Ticker</t>
  </si>
  <si>
    <t>4151.T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</si>
  <si>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</si>
  <si>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</si>
  <si>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</si>
  <si>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</si>
  <si>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</si>
  <si>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</si>
  <si>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</si>
  <si>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</si>
  <si>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</si>
  <si>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</si>
  <si>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</si>
  <si>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</si>
  <si>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</si>
  <si>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</si>
  <si>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</si>
  <si>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</si>
  <si>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</si>
  <si>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</si>
  <si>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協和キリン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</si>
  <si>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</si>
  <si>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</si>
  <si>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</si>
  <si>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</si>
  <si>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</si>
  <si>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</si>
  <si>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</si>
  <si>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</si>
  <si>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</si>
  <si>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</si>
  <si>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</si>
  <si>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</si>
  <si>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</si>
  <si>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</si>
  <si>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</si>
  <si>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</si>
  <si>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</si>
  <si>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</si>
  <si>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</si>
  <si>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</si>
  <si>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</si>
  <si>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</si>
  <si>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</si>
  <si>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</si>
  <si>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</si>
  <si>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</si>
  <si>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</si>
  <si>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</si>
  <si>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協和キリン</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</si>
  <si>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</si>
  <si>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</si>
  <si>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</si>
  <si>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</si>
  <si>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</si>
  <si>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</si>
  <si>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</si>
  <si>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</si>
  <si>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</si>
  <si>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</si>
  <si>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</si>
  <si>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</si>
  <si>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</si>
  <si>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</si>
  <si>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</si>
  <si>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</si>
  <si>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</si>
  <si>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</si>
  <si>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</si>
  <si>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</si>
  <si>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</si>
  <si>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</si>
  <si>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</si>
  <si>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</si>
  <si>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</si>
  <si>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</si>
  <si>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</si>
  <si>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</si>
  <si>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</si>
  <si>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</si>
  <si>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</si>
  <si>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</si>
  <si>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</si>
  <si>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</si>
  <si>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</si>
  <si>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</si>
  <si>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</si>
  <si>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</si>
  <si>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</si>
  <si>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</si>
  <si>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</si>
  <si>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</si>
  <si>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</si>
  <si>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</si>
  <si>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</si>
  <si>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</si>
  <si>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</si>
  <si>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</si>
  <si>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</si>
  <si>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</si>
  <si>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</si>
  <si>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</si>
  <si>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</si>
  <si>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</si>
  <si>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</si>
  <si>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</si>
  <si>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</si>
  <si>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</si>
  <si>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</si>
  <si>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</si>
  <si>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</si>
  <si>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</si>
  <si>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</si>
  <si>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</si>
  <si>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協和キリン (4151.T)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</si>
  <si>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</si>
  <si>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</si>
  <si>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</si>
  <si>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</si>
  <si>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</si>
  <si>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</si>
  <si>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</si>
  <si>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</si>
  <si>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</si>
  <si>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</si>
  <si>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</si>
  <si>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</si>
  <si>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</si>
  <si>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</si>
  <si>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</si>
  <si>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</si>
  <si>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</si>
  <si>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</si>
  <si>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</si>
  <si>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</si>
  <si>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</si>
  <si>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</si>
  <si>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</si>
  <si>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</si>
  <si>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</si>
  <si>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</si>
  <si>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</si>
  <si>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</si>
  <si>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</si>
  <si>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</si>
  <si>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</si>
  <si>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</si>
  <si>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</si>
  <si>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</si>
  <si>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</si>
  <si>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</si>
  <si>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</si>
  <si>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</si>
  <si>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</si>
  <si>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</si>
  <si>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</si>
  <si>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</si>
  <si>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</si>
  <si>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</si>
  <si>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</si>
  <si>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</si>
  <si>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</si>
  <si>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</si>
  <si>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</si>
  <si>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</si>
  <si>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</si>
  <si>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協和キリン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</si>
  <si>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</si>
  <si>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</si>
  <si>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</si>
  <si>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</si>
  <si>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</si>
  <si>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</si>
  <si>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</si>
  <si>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</si>
  <si>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</si>
  <si>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</si>
  <si>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</si>
  <si>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</si>
  <si>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</si>
  <si>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</si>
  <si>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</si>
  <si>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</si>
  <si>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</si>
  <si>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</si>
  <si>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</si>
  <si>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</si>
  <si>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</si>
  <si>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</si>
  <si>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</si>
  <si>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</si>
  <si>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</si>
  <si>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</si>
  <si>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</si>
  <si>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</si>
  <si>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</si>
  <si>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</si>
  <si>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</si>
  <si>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</si>
  <si>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</si>
  <si>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</si>
  <si>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Kyowa Kirin Co., Ltd.</t>
  </si>
  <si>
    <t>4151.T</t>
  </si>
  <si>
    <t>Shionogi &amp; Co., Ltd.</t>
  </si>
  <si>
    <t>4507.T</t>
  </si>
  <si>
    <t>Eisai Co., Ltd.</t>
  </si>
  <si>
    <t>4523.T</t>
  </si>
  <si>
    <t>Astellas Pharma Inc.</t>
  </si>
  <si>
    <t>4503.T</t>
  </si>
  <si>
    <t>Daiichi Sankyo Company, Limited</t>
  </si>
  <si>
    <t>4568.T</t>
  </si>
  <si>
    <t>Otsuka Holdings Co., Ltd.</t>
  </si>
  <si>
    <t>4578.T</t>
  </si>
  <si>
    <t>Statistics</t>
  </si>
  <si>
    <t>25th Percentile</t>
  </si>
  <si>
    <t>Median (50th)</t>
  </si>
  <si>
    <t>75th Percentile</t>
  </si>
  <si>
    <t>Implied Valuation for 協和キリン</t>
  </si>
  <si>
    <t>協和キリン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</si>
  <si>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</si>
  <si>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</si>
  <si>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</si>
  <si>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</si>
  <si>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</si>
  <si>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</si>
  <si>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</si>
  <si>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</si>
  <si>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</si>
  <si>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</si>
  <si>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</si>
  <si>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</si>
  <si>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</si>
  <si>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</si>
  <si>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</si>
  <si>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協和キリン</t>
  </si>
  <si>
    <t>日付</t>
  </si>
  <si>
    <t>セル</t>
  </si>
  <si>
    <t>変更内容</t>
  </si>
  <si>
    <t>理由</t>
  </si>
  <si>
    <t>元の値</t>
  </si>
  <si>
    <t>状態</t>
  </si>
  <si>
    <t>2026-09-05</t>
  </si>
  <si>
    <t>-</t>
  </si>
  <si>
    <t>Generated by pipeline on 2026-09-05 15:12,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</si>
  <si>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</si>
  <si>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</si>
  <si>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</si>
  <si>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</si>
  <si>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</si>
  <si>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</si>
  <si>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</si>
  <si>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</si>
  <si>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</si>
  <si>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</si>
  <si>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</si>
  <si>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</si>
  <si>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</si>
  <si>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</si>
  <si>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1,258,440百万円。■テンプレートの自動規則(&gt;=1兆円 -&gt; 0.0%、&gt;=1,000億円 -&gt; 1.5%)とは異なる値であり、明示指定で上書きしている。</t>
  </si>
  <si>
    <t>テンプレ自動値</t>
  </si>
  <si>
    <t>DCF Model!C8</t>
  </si>
  <si>
    <t>Beta = 0.60</t>
  </si>
  <si>
    <t>yfinance実測 0.138 はテンプレのクランプ域 [0.6, 1.75] の下限を下回り、そのまま渡すと【無言で 1.0 に置換】される。追補1 §A に従い max(0.6, min(1.75, 実測)) = 0.60 を明示指定した。**0.60 は実測値ではなくテンプレが受け付ける最小値**であることに注意。</t>
  </si>
  <si>
    <t>yfinance実測 0.138</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</si>
  <si>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</si>
  <si>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</si>
  <si>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</si>
  <si>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</si>
  <si>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</si>
  <si>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</si>
  <si>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</si>
  <si>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当社は有利子負債ゼロ・ネットキャッシュ(net_debt −218,769百万円)で D/E = 0 のため、負債コストは WACC に一切寄与しない(WACC = Ke = 7.87%)。実績Kd 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</si>
  <si>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</si>
  <si>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</si>
  <si>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</si>
  <si>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</si>
  <si>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</si>
  <si>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</si>
  <si>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12.6x</t>
  </si>
  <si>
    <t>Peer 5社の実測EV/EBITDA中央値 12.64x（4507 12.64 / 4523 15.12 / 4503 7.84 / 4568 16.10 / 4578 10.22）。 自社の現在倍率 8.10x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</si>
  <si>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</si>
  <si>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</si>
  <si>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</si>
  <si>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S100XPTY。金融事業専用科目は1件も検出されず）。銀行・captive finance なし（有利子負債ゼロ）。NonOp/OP −14.7%。OPMレンジ3.1pt・赤字年なしで型Bにも該当しない。</t>
  </si>
  <si>
    <t>Financial Statements / hist_* 系列</t>
  </si>
  <si>
    <t>hist_years を FY2022-FY2025 の4期に置換し P/L 5系列を yfinance連結財務諸表から供給（予防的）</t>
  </si>
  <si>
    <t>【予防的な EDINET 補完・§3-2 / 追補1 §D】本バッチでは生成14銘柄中8銘柄で EDINET が古い年度の営業利益を 0 で抽出し、Financial Statements の『営業利益YoY成長率』が 0 除算になって validate FAIL 1(#DIV/0!)を起こしていた。根本原因は scripts/generate_dcf.py:66 の _val(data_dict, key, default=0) が【欠損値を None ではなく 0 に落とす】こと(バッチ中はパイプラインを変更しない方針のため未修正)。当社では発生を待たず予防的に対処し、hist_years を直近4期に置換して hist_revenue / hist_operating_income / hist_net_income / hist_cogs / hist_sga を yfinance連結財務諸表から供給した(配列長は全て4で hist_years と一致、契約遵守)。**結果として初回生成で合格した(リトライ0回)**。■hist_ocf / hist_cash / hist_debt / hist_capex / hist_depreciation は【供給していない】 — Step 4.6 の align_hist_series_to_years() が最終 hist_years に会計年度キーで再マッピングするため EDINET を一次ソースのまま使える。■hist_sga = 売上 - COGS - 営業利益 で逆算。</t>
  </si>
  <si>
    <t>EDINET自動抽出値</t>
  </si>
  <si>
    <t>Comps Analysis / core_ebitda</t>
  </si>
  <si>
    <t>core_ebitda = 128,419百万円 を明示指定（営業利益 102,275 + D&amp;A 26,144）</t>
  </si>
  <si>
    <t>【リトライ1回目・validate では検出されない欠落の是正】初回生成では Comps Analysis の『Via EV/EBITDA (Median)』が **N/A**（注記: EBITDA &lt;= 0）になり、Comps 参考値2本のうち1本が失われていた。原因: EDINET は当社の減価償却費を1期も抽出できておらず（生成ログの FS align が [ocf+cash] のみ）、hist_depreciation[-1] が None のため generate_dcf.py の core_ebitda 自動計算（hist_operating_income[-1] + hist_depreciation[-1]）が成立しなかった。テンプレはこれを『EBITDA &lt;= 0』と解釈してEV/EBITDA 法を除外する。対処: hist_depreciation / hist_capex を yfinance連結キャッシュフロー計算書から供給し、core_ebitda を明示指定した（comps CSV の自社行 EBITDA と同値で整合）。■**この欠落は validate では検出されない**（FAIL 0 / WARN 0 のまま Comps 1本が消えていた）。batch/check_core_ebitda.py を新設し全銘柄を機械照合する運用にした。■Comps は Target 不算入のため Target Price（2,944円）は変わっていない。</t>
  </si>
  <si>
    <t>EDINET由来の自動計算（成立せず）</t>
  </si>
  <si>
    <t>DCF Model!C5 / capex_direct</t>
  </si>
  <si>
    <t>capex_method=direct、投影 [75,000 / 60,000 / 48,000 / 38,000 / 31,400]百万円</t>
  </si>
  <si>
    <t>実績capexは売上比 7.2% → 7.4% → **21.2%** → **16.8%** と生産設備投資のピークにある。5年で逓減させ、ターミナル年 31,400 ÷ D&amp;A(Y5売上564,950 × 5.3% = 29,942) = 1.049x でレンジ[0.90,1.15]に収束(validate チェック9 PASS)。■**この逓減は会社が表明した計画ではなく本モデルの仮定である**。</t>
  </si>
  <si>
    <t>DCF Model シナリオ5本</t>
  </si>
  <si>
    <t>実績OPM分布からの導出(min 18.54 / p25 20.07 / med 20.63 / p75 20.93 / max 21.67%)</t>
  </si>
  <si>
    <t>直近 20.59% が中央値 20.63% を僅かに下回るため Base は実績中央値 20.63% へ収束(実質横ばい)。Upside は max(p75 20.93, 直近+1.0pt = 21.59) = 21.59%。Downside 1 は min(p25 20.07, 直近 20.59) = 20.07%。Downside 2 は実績トラフ 18.54%(FY2024/12 実績、直近実績と乖離した実在の谷)を起点に売上-5%を重ね 16.0-17.5% とした。■製薬の恒等式: 売上 - COGS - SGA が営業利益にならない(研究開発費が yfinance の SG&amp;A に含まれない)ため、COGS% を実績 25.8% に固定し SGA% = 100% - COGS% - 目標OPM で逆算した。本モデルの SGA 行は『販管費 + 研究開発費』の合計を表す。既存銘柄からの流用なし。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</si>
  <si>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</si>
  <si>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</si>
  <si>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</si>
  <si>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</si>
  <si>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</si>
  <si>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</si>
  <si>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112 / DIH 231 / DPO **323** 日</t>
  </si>
  <si>
    <t>実績4期平均。■DPO が極端に長いのは、当社の COGS 比率が 25.8% と低く、仕入債務・未払費用を COGS で割ると日数が膨らむため。テンプレは AP = COGS × DPO/365 で計算するので、cogs_pct を実績水準に固定している限り仕入債務残高は実績を再現する。ただしシナリオ間で cogs_pct を動かすと AP が比例して動く点には留保が必要。</t>
  </si>
  <si>
    <t>Comps Analysis</t>
  </si>
  <si>
    <t>Peer 5社 = 4507 塩野義製薬 / 4523 エーザイ / 4503 アステラス製薬 / 4568 第一三共 / 4578 大塚HD</t>
  </si>
  <si>
    <t>■選定理由: TSE33業種『医薬品』。■**時価総額バンドの逸脱**: v2 §5 の 0.3〜3倍は 0.377〜3.78兆円で、バンド内は 4507(2.48兆) と 4523(1.32兆) の**2社のみ**。3社以上を確保するためバンドを緩和し、4503(4.22兆)・4568(5.08兆)・4578(6.32兆)を業種同一性で採用した。■除外: 4519 中外製薬（yfinance が FY2025/12 の減価償却費を収録しておらず EBITDA を算出できないため、v2 §5『D&amp;Aが取れない社はCSVに入れない』に従い comps から除外）。海外Peer は v2 §5 により不使用。■D&amp;A取得状況: 採用6社すべてで減価償却費を取得でき統一。**D&amp;A欠損による除外はゼロ**（validate チェック12 PASS）。</t>
  </si>
  <si>
    <t>Executive Summary!C10 / Target</t>
  </si>
  <si>
    <t>Target Price = 2,944円 = PGM 2,515円 と Exit 3,372円 の2本平均。Comps 2本(EV/EBITDA 3,519円 / PER 2,228円)は [参考・Target不算入]</t>
  </si>
  <si>
    <t>メモ§2 の規約どおり。validate チェック14 PASS(C10 が C16:C17 のみを平均)。EV&lt;net_debt による INVALID 化は発生していない（ネットキャッシュのため、チェック10・15 とも PASS）。■**初回生成では Comps の EV/EBITDA 参考値が N/A になっていた**（下記 core_ebitda の項を参照）。リトライ後は 3,519円 と表示される。Comps は Target 不算入のため Target Price は変わっていない。</t>
  </si>
  <si>
    <t>全体(納品状態)</t>
  </si>
  <si>
    <t>本ファイルは DRAFT。_FINAL は付けない</t>
  </si>
  <si>
    <t>バッチモードでの機械生成物であり人間の検証を経ていない。FINAL化は手順書v2 §6 に従い検証後に行う。</t>
  </si>
  <si>
    <t>DRAFT</t>
  </si>
  <si>
    <t>全体(未解決)</t>
  </si>
  <si>
    <t>売上成長がほぼ停止している（FY2025/12 YoY +0.26%）</t>
  </si>
  <si>
    <t>Base の成長パス（Y1 +2.0% → Y5 +2.5%）はパイプラインの寄与を前提としているが、直近の報告売上はそれを示していない。中期経営計画との突合が必要。</t>
  </si>
  <si>
    <t>未解決</t>
  </si>
  <si>
    <t>capex 逓減の仮定が Target を支配している</t>
  </si>
  <si>
    <t>直近2期の capex は D&amp;A の3倍超（FY2024 105,268 / FY2025 83,519 対 D&amp;A 24,780 / 26,144）。5年で D&amp;A 水準まで下げる仮定は会社が表明した計画ではなく本モデルの設計判断であり、高止まりすればターミナルFCFは大きく下振れる。</t>
  </si>
  <si>
    <t>希少疾患ポートフォリオの集中リスク</t>
  </si>
  <si>
    <t>収益が少数の製品に集中しており、単一の償還・競合イベントが業績を大きく動かす。5年単一パスの DCF（WACC 7.87%）はこの分散を表現できていない。</t>
  </si>
  <si>
    <t>Pipeline Metadata (do not edit — read by scripts/validate_output.py)</t>
  </si>
  <si>
    <t>key</t>
  </si>
  <si>
    <t>value</t>
  </si>
  <si>
    <t>auto_log_entries</t>
  </si>
  <si>
    <t>0</t>
  </si>
  <si>
    <t>capex_pct_basis</t>
  </si>
  <si>
    <t>hist_3yr_avg</t>
  </si>
  <si>
    <t>capex_pct_c5</t>
  </si>
  <si>
    <t>0.1516</t>
  </si>
  <si>
    <t>capex_pct_hist3yr</t>
  </si>
  <si>
    <t>0.151605</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</si>
  <si>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</si>
  <si>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</si>
  <si>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</si>
  <si>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</si>
  <si>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</si>
  <si>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</si>
  <si>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</si>
  <si>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</si>
  <si>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</si>
  <si>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</si>
  <si>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</si>
  <si>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</si>
  <si>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</si>
  <si>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</si>
  <si>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</si>
  <si>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</si>
  <si>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</si>
  <si>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</si>
  <si>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</si>
  <si>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</si>
  <si>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</si>
  <si>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assumption</t>
  </si>
  <si>
    <t>da_pct_basis</t>
  </si>
  <si>
    <t>da_pct_c18</t>
  </si>
  <si>
    <t>0.053</t>
  </si>
  <si>
    <t>da_pct_hist3yr</t>
  </si>
  <si>
    <t>0.05011</t>
  </si>
  <si>
    <t>fs_year_coverage</t>
  </si>
  <si>
    <t>OCF 4/4, Cash 4/4, Debt 0/4</t>
  </si>
  <si>
    <t>fs_year_map</t>
  </si>
  <si>
    <t>FY2022&lt;-FY2022[ocf+cash]; FY2023&lt;-FY2023[ocf+cash]; FY2024&lt;-FY2024[ocf+cash]; FY2025&lt;-FY2025[ocf+cash]</t>
  </si>
  <si>
    <t>fs_year_sources</t>
  </si>
  <si>
    <t>overrides: hist_capex, hist_depreciation | EDINET year-key match: hist_ocf, hist_cash, hist_debt</t>
  </si>
  <si>
    <t>fx_sensitivity</t>
  </si>
  <si>
    <t>not enabled</t>
  </si>
  <si>
    <t>generated_at</t>
  </si>
  <si>
    <t>2026-09-05 15:12:38</t>
  </si>
  <si>
    <t>ltm_revenue_c20</t>
  </si>
  <si>
    <t>529801.0</t>
  </si>
  <si>
    <t>ltm_revenue_source</t>
  </si>
  <si>
    <t>LTM row</t>
  </si>
  <si>
    <t>narrative_tokens_used</t>
  </si>
  <si>
    <t>pb,per,price,target_price,upside_pct,wacc</t>
  </si>
  <si>
    <t>reverse_dcf_sheet</t>
  </si>
  <si>
    <t>op0=102,275(FY2025) peak=102,275(FY2025) peak_opm=0.2059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</si>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</sst>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2403.5</v>
      </c>
    </row>
    <row r="10" spans="2:5" ht="14" customHeight="1" x14ac:dyDescent="0.3">
      <c r="B10" s="4" t="s">
        <v>10</v>
      </c>
      <c r="C10" s="5">
        <f>IF(COUNT(C16:C17)=0,"N/A",ROUND(AVERAGE(C16:C17),0))</f>
        <v>2944</v>
      </c>
    </row>
    <row r="11" spans="2:5" ht="14" customHeight="1" x14ac:dyDescent="0.3">
      <c r="B11" s="4" t="s">
        <v>11</v>
      </c>
      <c r="C11" s="6" t="str">
        <f>IF(NOT(ISNUMBER(C12)),"N/A",IF(C12&gt;0.15,"BUY",IF(C12&gt;0.05,"HOLD","SELL")))</f>
        <v>BUY</v>
      </c>
    </row>
    <row r="12" spans="2:5" ht="14" customHeight="1" x14ac:dyDescent="0.3">
      <c r="B12" s="4" t="s">
        <v>12</v>
      </c>
      <c r="C12" s="7">
        <f>IF(ISNUMBER(C10),(C10-C9)/C9,"N/A")</f>
        <v>0.22488038277511962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2515</v>
      </c>
      <c r="D16" s="7">
        <f>IF(ISNUMBER(C16),(C16-C9)/C9,"N/A")</f>
        <v>4.6390680257957145E-2</v>
      </c>
    </row>
    <row r="17" spans="2:5" ht="13.5" customHeight="1" x14ac:dyDescent="0.25">
      <c r="B17" t="s">
        <v>18</v>
      </c>
      <c r="C17" s="11">
        <f>IF('DCF Model'!C62&lt;'DCF Model'!C16,"INVALID (EV &lt; net debt)",'DCF Model'!C64)</f>
        <v>3372</v>
      </c>
      <c r="D17" s="7">
        <f>IF(ISNUMBER(C17),(C17-C9)/C9,"N/A")</f>
        <v>0.40295402537965469</v>
      </c>
    </row>
    <row r="18" spans="2:5" ht="13.5" customHeight="1" x14ac:dyDescent="0.25">
      <c r="B18" t="s">
        <v>19</v>
      </c>
      <c r="C18" s="11">
        <f>'Comps Analysis'!C27</f>
        <v>3519</v>
      </c>
      <c r="D18" s="7">
        <f>IF(ISNUMBER(C18),(C18-C9)/C9,"N/A")</f>
        <v>0.46411483253588515</v>
      </c>
    </row>
    <row r="19" spans="2:5" ht="13.5" customHeight="1" x14ac:dyDescent="0.25">
      <c r="B19" t="s">
        <v>20</v>
      </c>
      <c r="C19" s="11">
        <f>'Comps Analysis'!C28</f>
        <v>2228</v>
      </c>
      <c r="D19" s="7">
        <f>IF(ISNUMBER(C19),(C19-C9)/C9,"N/A")</f>
        <v>-7.3018514666111922E-2</v>
      </c>
    </row>
    <row r="20" spans="2:5" ht="14" customHeight="1" x14ac:dyDescent="0.3">
      <c r="B20" s="46" t="s">
        <v>21</v>
      </c>
      <c r="C20" s="45"/>
      <c r="D20" s="45"/>
      <c r="E20" s="45"/>
    </row>
    <row r="21" spans="2:5" ht="14" customHeight="1" x14ac:dyDescent="0.3">
      <c r="B21" s="4" t="s">
        <v>22</v>
      </c>
      <c r="C21" s="6" t="str">
        <f>IF(COUNT(C16:C17)=0,"N/A",MIN(C16:C17)&amp;" - "&amp;MAX(C16:C17))</f>
        <v>2515 - 3372</v>
      </c>
    </row>
    <row r="23" spans="2:5" ht="14" customHeight="1" x14ac:dyDescent="0.3">
      <c r="B23" s="8" t="s">
        <v>23</v>
      </c>
      <c r="C23" s="9"/>
      <c r="D23" s="9"/>
    </row>
    <row r="24" spans="2:5" x14ac:dyDescent="0.2">
      <c r="B24" t="str">
        <f>"Kyowa Kirin has built a global rare-disease franchise around Crysvita and Poteligeo, and the operating margin has held inside a three-point band for four years; the shares trade at "&amp;TEXT('Comps Analysis'!L5,"0.0""x""")&amp;" earnings and "&amp;TEXT('Comps Analysis'!M5,"0.00""x""")&amp;" book."</f>
        <v>Kyowa Kirin has built a global rare-disease franchise around Crysvita and Poteligeo, and the operating margin has held inside a three-point band for four years; the shares trade at 18.8x earnings and 1.41x book.</v>
      </c>
    </row>
    <row r="25" spans="2:5" x14ac:dyDescent="0.2">
      <c r="B25" t="str">
        <f>"The balance sheet holds net cash with no interest-bearing debt, so enterprise value sits below market capitalisation and the "&amp;TEXT('DCF Model'!C26,"0.00%")&amp;" discount rate is the cost of equity with no leverage assumed."</f>
        <v>The balance sheet holds net cash with no interest-bearing debt, so enterprise value sits below market capitalisation and the 7.87% discount rate is the cost of equity with no leverage assumed.</v>
      </c>
    </row>
    <row r="26" spans="2:5" x14ac:dyDescent="0.2">
      <c r="B26" t="str">
        <f>"At "&amp;TEXT(C9,"#,##0")&amp;" the shares are valued well below the Japanese pharmaceutical peer median on EV/EBITDA; a base case that merely holds the current margin supports "&amp;TEXT(C10,"#,##0")&amp;", or "&amp;TEXT(C12,"+0.0%;-0.0%")&amp;" from here."</f>
        <v>At 2,404 the shares are valued well below the Japanese pharmaceutical peer median on EV/EBITDA; a base case that merely holds the current margin supports 2,944, or +22.5% from here.</v>
      </c>
    </row>
    <row r="28" spans="2:5" ht="14" customHeight="1" x14ac:dyDescent="0.3">
      <c r="B28" s="8" t="s">
        <v>24</v>
      </c>
      <c r="C28" s="9"/>
      <c r="D28" s="9"/>
    </row>
    <row r="29" spans="2:5" x14ac:dyDescent="0.2">
      <c r="B29" t="str">
        <f>"Revenue growth stalled to almost nothing in the latest year, so the base case growth path behind "&amp;TEXT(C10,"#,##0")&amp;" depends on a pipeline that has not yet shown up in reported sales."</f>
        <v>Revenue growth stalled to almost nothing in the latest year, so the base case growth path behind 2,944 depends on a pipeline that has not yet shown up in reported sales.</v>
      </c>
    </row>
    <row r="30" spans="2:5" x14ac:dyDescent="0.2">
      <c r="B30" t="str">
        <f>"Capital expenditure ran at more than three times depreciation in the last two years; if the production build-out does not taper, the free cash flow implied by "&amp;TEXT(C9,"#,##0")&amp;" and "&amp;TEXT('Comps Analysis'!L5,"0.0""x""")&amp;" does not appear."</f>
        <v>Capital expenditure ran at more than three times depreciation in the last two years; if the production build-out does not taper, the free cash flow implied by 2,404 and 18.8x does not appear.</v>
      </c>
    </row>
    <row r="31" spans="2:5" x14ac:dyDescent="0.2">
      <c r="B31" t="str">
        <f>"A rare-disease portfolio concentrates revenue in a small number of products, and a single reimbursement or competitive setback moves earnings more than the "&amp;TEXT('DCF Model'!C26,"0.00%")&amp;" single-path discounting represents."</f>
        <v>A rare-disease portfolio concentrates revenue in a small number of products, and a single reimbursement or competitive setback moves earnings more than the 7.87% single-path discounting represents.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398371</v>
      </c>
      <c r="D6" s="5">
        <v>442233</v>
      </c>
      <c r="E6" s="5">
        <v>495558</v>
      </c>
      <c r="F6" s="5">
        <v>496826</v>
      </c>
    </row>
    <row r="7" spans="2:6" ht="14" customHeight="1" x14ac:dyDescent="0.3">
      <c r="B7" s="4" t="s">
        <v>32</v>
      </c>
      <c r="C7" s="5">
        <v>86915</v>
      </c>
      <c r="D7" s="5">
        <v>111207</v>
      </c>
      <c r="E7" s="5">
        <v>132611</v>
      </c>
      <c r="F7" s="5">
        <v>127934</v>
      </c>
    </row>
    <row r="8" spans="2:6" ht="14" customHeight="1" x14ac:dyDescent="0.3">
      <c r="B8" s="4" t="s">
        <v>33</v>
      </c>
      <c r="C8" s="5">
        <f>C6-C7</f>
        <v>311456</v>
      </c>
      <c r="D8" s="5">
        <f>D6-D7</f>
        <v>331026</v>
      </c>
      <c r="E8" s="5">
        <f>E6-E7</f>
        <v>362947</v>
      </c>
      <c r="F8" s="5">
        <f>F6-F7</f>
        <v>368892</v>
      </c>
    </row>
    <row r="9" spans="2:6" ht="13.5" customHeight="1" x14ac:dyDescent="0.25">
      <c r="B9" t="s">
        <v>34</v>
      </c>
      <c r="C9" s="7">
        <f>C8/C6</f>
        <v>0.78182397815102</v>
      </c>
      <c r="D9" s="7">
        <f>D8/D6</f>
        <v>0.74853301314013199</v>
      </c>
      <c r="E9" s="7">
        <f>E8/E6</f>
        <v>0.73240064735106691</v>
      </c>
      <c r="F9" s="7">
        <f>F8/F6</f>
        <v>0.74249737332587262</v>
      </c>
    </row>
    <row r="10" spans="2:6" ht="14" customHeight="1" x14ac:dyDescent="0.3">
      <c r="B10" s="4" t="s">
        <v>35</v>
      </c>
      <c r="C10" s="5">
        <v>229082</v>
      </c>
      <c r="D10" s="5">
        <v>235184</v>
      </c>
      <c r="E10" s="5">
        <v>271081</v>
      </c>
      <c r="F10" s="5">
        <v>266617</v>
      </c>
    </row>
    <row r="11" spans="2:6" ht="14" customHeight="1" x14ac:dyDescent="0.3">
      <c r="B11" s="4" t="s">
        <v>36</v>
      </c>
      <c r="C11" s="5">
        <v>82374</v>
      </c>
      <c r="D11" s="5">
        <v>95842</v>
      </c>
      <c r="E11" s="5">
        <v>91866</v>
      </c>
      <c r="F11" s="5">
        <v>102275</v>
      </c>
    </row>
    <row r="12" spans="2:6" ht="14" customHeight="1" x14ac:dyDescent="0.3">
      <c r="B12" s="4" t="s">
        <v>37</v>
      </c>
      <c r="C12" s="5">
        <v>53573</v>
      </c>
      <c r="D12" s="5">
        <v>81188</v>
      </c>
      <c r="E12" s="5">
        <v>59870</v>
      </c>
      <c r="F12" s="5">
        <v>67040</v>
      </c>
    </row>
    <row r="13" spans="2:6" ht="13.5" customHeight="1" x14ac:dyDescent="0.25">
      <c r="B13" t="s">
        <v>38</v>
      </c>
      <c r="C13" s="7">
        <f>C11/C6</f>
        <v>0.2067770997386858</v>
      </c>
      <c r="D13" s="7">
        <f>D11/D6</f>
        <v>0.21672285876449746</v>
      </c>
      <c r="E13" s="7">
        <f>E11/E6</f>
        <v>0.18537890620270484</v>
      </c>
      <c r="F13" s="7">
        <f>F11/F6</f>
        <v>0.20585677883202569</v>
      </c>
    </row>
    <row r="14" spans="2:6" ht="13.5" customHeight="1" x14ac:dyDescent="0.25">
      <c r="B14" t="s">
        <v>39</v>
      </c>
      <c r="C14" s="7">
        <f>C12/C6</f>
        <v>0.13448017049433819</v>
      </c>
      <c r="D14" s="7">
        <f>D12/D6</f>
        <v>0.18358648042999956</v>
      </c>
      <c r="E14" s="7">
        <f>E12/E6</f>
        <v>0.12081330540521998</v>
      </c>
      <c r="F14" s="7">
        <f>F12/F6</f>
        <v>0.13493657739329262</v>
      </c>
    </row>
    <row r="15" spans="2:6" ht="13.5" customHeight="1" x14ac:dyDescent="0.25">
      <c r="B15" t="s">
        <v>40</v>
      </c>
      <c r="C15" t="s">
        <v>41</v>
      </c>
      <c r="D15" s="7">
        <f>(D6-C6)/C6</f>
        <v>0.11010339608053799</v>
      </c>
      <c r="E15" s="7">
        <f>(E6-D6)/D6</f>
        <v>0.12058123206544966</v>
      </c>
      <c r="F15" s="7">
        <f>(F6-E6)/E6</f>
        <v>2.5587317730719713E-3</v>
      </c>
    </row>
    <row r="16" spans="2:6" ht="13.5" customHeight="1" x14ac:dyDescent="0.25">
      <c r="B16" t="s">
        <v>42</v>
      </c>
      <c r="C16" t="s">
        <v>41</v>
      </c>
      <c r="D16" s="7">
        <f>(D11-C11)/C11</f>
        <v>0.16349819117682765</v>
      </c>
      <c r="E16" s="7">
        <f>(E11-D11)/D11</f>
        <v>-4.1484943970284426E-2</v>
      </c>
      <c r="F16" s="7">
        <f>(F11-E11)/E11</f>
        <v>0.1133063374915638</v>
      </c>
    </row>
    <row r="18" spans="2:6" ht="14" customHeight="1" x14ac:dyDescent="0.3">
      <c r="B18" s="3" t="s">
        <v>43</v>
      </c>
    </row>
    <row r="19" spans="2:6" ht="14" customHeight="1" x14ac:dyDescent="0.3">
      <c r="B19" s="4" t="s">
        <v>44</v>
      </c>
      <c r="C19" s="5">
        <v>48672</v>
      </c>
      <c r="D19" s="5">
        <v>115551</v>
      </c>
      <c r="E19" s="5">
        <v>67884</v>
      </c>
      <c r="F19" s="5">
        <v>96619</v>
      </c>
    </row>
    <row r="20" spans="2:6" ht="14" customHeight="1" x14ac:dyDescent="0.3">
      <c r="B20" s="4" t="s">
        <v>45</v>
      </c>
      <c r="C20" s="5">
        <v>28666</v>
      </c>
      <c r="D20" s="5">
        <v>32852</v>
      </c>
      <c r="E20" s="5">
        <v>105268</v>
      </c>
      <c r="F20" s="5">
        <v>83519</v>
      </c>
    </row>
    <row r="21" spans="2:6" ht="14" customHeight="1" x14ac:dyDescent="0.3">
      <c r="B21" s="4" t="s">
        <v>46</v>
      </c>
      <c r="C21" s="5">
        <f>C19-C20</f>
        <v>20006</v>
      </c>
      <c r="D21" s="5">
        <f>D19-D20</f>
        <v>82699</v>
      </c>
      <c r="E21" s="5">
        <f>E19-E20</f>
        <v>-37384</v>
      </c>
      <c r="F21" s="5">
        <f>F19-F20</f>
        <v>13100</v>
      </c>
    </row>
    <row r="22" spans="2:6" ht="13.5" customHeight="1" x14ac:dyDescent="0.25">
      <c r="B22" t="s">
        <v>47</v>
      </c>
      <c r="C22" s="7">
        <f>C21/C6</f>
        <v>5.0219518991091221E-2</v>
      </c>
      <c r="D22" s="7">
        <f>D21/D6</f>
        <v>0.1870032313282817</v>
      </c>
      <c r="E22" s="7">
        <f>E21/E6</f>
        <v>-7.5438192905774901E-2</v>
      </c>
      <c r="F22" s="7">
        <f>F21/F6</f>
        <v>2.636738012905927E-2</v>
      </c>
    </row>
    <row r="23" spans="2:6" ht="13.5" customHeight="1" x14ac:dyDescent="0.25">
      <c r="B23" t="s">
        <v>48</v>
      </c>
      <c r="C23" s="7">
        <f>C20/C6</f>
        <v>7.1958049155184486E-2</v>
      </c>
      <c r="D23" s="7">
        <f>D20/D6</f>
        <v>7.428663170771968E-2</v>
      </c>
      <c r="E23" s="7">
        <f>E20/E6</f>
        <v>0.21242316741935355</v>
      </c>
      <c r="F23" s="7">
        <f>F20/F6</f>
        <v>0.16810513137396191</v>
      </c>
    </row>
    <row r="25" spans="2:6" ht="14" customHeight="1" x14ac:dyDescent="0.3">
      <c r="B25" s="3" t="s">
        <v>49</v>
      </c>
    </row>
    <row r="26" spans="2:6" ht="14" customHeight="1" x14ac:dyDescent="0.3">
      <c r="B26" s="4" t="s">
        <v>50</v>
      </c>
      <c r="C26" s="5">
        <v>339194</v>
      </c>
      <c r="D26" s="5">
        <v>403083</v>
      </c>
      <c r="E26" s="5">
        <v>244681</v>
      </c>
      <c r="F26" s="5">
        <v>218769</v>
      </c>
    </row>
    <row r="27" spans="2:6" ht="14" customHeight="1" x14ac:dyDescent="0.3">
      <c r="B27" s="4" t="s">
        <v>51</v>
      </c>
      <c r="C27" s="5"/>
      <c r="D27" s="5"/>
      <c r="E27" s="5"/>
      <c r="F27" s="5"/>
    </row>
    <row r="28" spans="2:6" ht="14" customHeight="1" x14ac:dyDescent="0.3">
      <c r="B28" s="4" t="s">
        <v>52</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56</v>
      </c>
      <c r="C5" s="7">
        <v>0.15160000000000001</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12.6</v>
      </c>
    </row>
    <row r="15" spans="2:7" ht="14" customHeight="1" x14ac:dyDescent="0.3">
      <c r="B15" s="4" t="s">
        <v>66</v>
      </c>
      <c r="C15" s="15">
        <v>523586484</v>
      </c>
    </row>
    <row r="16" spans="2:7" ht="14" customHeight="1" x14ac:dyDescent="0.3">
      <c r="B16" s="4" t="s">
        <v>67</v>
      </c>
      <c r="C16" s="5">
        <v>-218769</v>
      </c>
    </row>
    <row r="17" spans="2:7" ht="14" customHeight="1" x14ac:dyDescent="0.3">
      <c r="B17" s="4" t="s">
        <v>68</v>
      </c>
      <c r="C17" s="5">
        <v>496826</v>
      </c>
    </row>
    <row r="18" spans="2:7" ht="14" customHeight="1" x14ac:dyDescent="0.3">
      <c r="B18" s="4" t="s">
        <v>69</v>
      </c>
      <c r="C18" s="7">
        <v>5.2999999999999999E-2</v>
      </c>
    </row>
    <row r="19" spans="2:7" ht="14" customHeight="1" x14ac:dyDescent="0.3">
      <c r="B19" s="4" t="s">
        <v>70</v>
      </c>
      <c r="C19" s="12">
        <v>0.5</v>
      </c>
    </row>
    <row r="20" spans="2:7" ht="14" customHeight="1" x14ac:dyDescent="0.3">
      <c r="B20" s="4" t="s">
        <v>71</v>
      </c>
      <c r="C20" s="5">
        <v>529801</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7.8699999999999992E-2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40</v>
      </c>
      <c r="C30" s="18">
        <f>CHOOSE($D$27,C69,C70,C71,C72,C73)</f>
        <v>0.02</v>
      </c>
      <c r="D30" s="18">
        <f>CHOOSE($D$27,D69,D70,D71,D72,D73)</f>
        <v>0.03</v>
      </c>
      <c r="E30" s="18">
        <f>CHOOSE($D$27,E69,E70,E71,E72,E73)</f>
        <v>0.03</v>
      </c>
      <c r="F30" s="18">
        <f>CHOOSE($D$27,F69,F70,F71,F72,F73)</f>
        <v>2.5000000000000001E-2</v>
      </c>
      <c r="G30" s="18">
        <f>CHOOSE($D$27,G69,G70,G71,G72,G73)</f>
        <v>2.5000000000000001E-2</v>
      </c>
    </row>
    <row r="31" spans="2:7" ht="14" customHeight="1" x14ac:dyDescent="0.3">
      <c r="B31" s="4" t="s">
        <v>85</v>
      </c>
      <c r="C31" s="18">
        <f>CHOOSE($D$27,C76,C77,C78,C79,C80)</f>
        <v>0.25800000000000001</v>
      </c>
      <c r="D31" s="18">
        <f>CHOOSE($D$27,D76,D77,D78,D79,D80)</f>
        <v>0.25800000000000001</v>
      </c>
      <c r="E31" s="18">
        <f>CHOOSE($D$27,E76,E77,E78,E79,E80)</f>
        <v>0.25800000000000001</v>
      </c>
      <c r="F31" s="18">
        <f>CHOOSE($D$27,F76,F77,F78,F79,F80)</f>
        <v>0.25800000000000001</v>
      </c>
      <c r="G31" s="18">
        <f>CHOOSE($D$27,G76,G77,G78,G79,G80)</f>
        <v>0.25800000000000001</v>
      </c>
    </row>
    <row r="32" spans="2:7" ht="14" customHeight="1" x14ac:dyDescent="0.3">
      <c r="B32" s="4" t="s">
        <v>86</v>
      </c>
      <c r="C32" s="18">
        <f>CHOOSE($D$27,C83,C84,C85,C86,C87)</f>
        <v>0.53600000000000003</v>
      </c>
      <c r="D32" s="18">
        <f>CHOOSE($D$27,D83,D84,D85,D86,D87)</f>
        <v>0.53600000000000003</v>
      </c>
      <c r="E32" s="18">
        <f>CHOOSE($D$27,E83,E84,E85,E86,E87)</f>
        <v>0.53600000000000003</v>
      </c>
      <c r="F32" s="18">
        <f>CHOOSE($D$27,F83,F84,F85,F86,F87)</f>
        <v>0.53569999999999995</v>
      </c>
      <c r="G32" s="18">
        <f>CHOOSE($D$27,G83,G84,G85,G86,G87)</f>
        <v>0.53569999999999995</v>
      </c>
    </row>
    <row r="33" spans="2:7" ht="14" customHeight="1" x14ac:dyDescent="0.3">
      <c r="B33" s="4" t="s">
        <v>31</v>
      </c>
      <c r="C33" s="5">
        <f>C17*(1+C30)</f>
        <v>506762.52</v>
      </c>
      <c r="D33" s="5">
        <f>C33*(1+D30)</f>
        <v>521965.39560000005</v>
      </c>
      <c r="E33" s="5">
        <f>D33*(1+E30)</f>
        <v>537624.35746800003</v>
      </c>
      <c r="F33" s="5">
        <f>E33*(1+F30)</f>
        <v>551064.96640469995</v>
      </c>
      <c r="G33" s="5">
        <f>F33*(1+G30)</f>
        <v>564841.59056481742</v>
      </c>
    </row>
    <row r="34" spans="2:7" ht="14" customHeight="1" x14ac:dyDescent="0.3">
      <c r="B34" s="4" t="s">
        <v>32</v>
      </c>
      <c r="C34" s="5">
        <f>C33*C31</f>
        <v>130744.73016000001</v>
      </c>
      <c r="D34" s="5">
        <f>D33*D31</f>
        <v>134667.07206480001</v>
      </c>
      <c r="E34" s="5">
        <f>E33*E31</f>
        <v>138707.08422674402</v>
      </c>
      <c r="F34" s="5">
        <f>F33*F31</f>
        <v>142174.7613324126</v>
      </c>
      <c r="G34" s="5">
        <f>G33*G31</f>
        <v>145729.1303657229</v>
      </c>
    </row>
    <row r="35" spans="2:7" ht="14" customHeight="1" x14ac:dyDescent="0.3">
      <c r="B35" s="4" t="s">
        <v>33</v>
      </c>
      <c r="C35" s="19">
        <f>C33-C34</f>
        <v>376017.78983999998</v>
      </c>
      <c r="D35" s="19">
        <f>D33-D34</f>
        <v>387298.32353520003</v>
      </c>
      <c r="E35" s="19">
        <f>E33-E34</f>
        <v>398917.27324125601</v>
      </c>
      <c r="F35" s="19">
        <f>F33-F34</f>
        <v>408890.20507228735</v>
      </c>
      <c r="G35" s="19">
        <f>G33-G34</f>
        <v>419112.46019909449</v>
      </c>
    </row>
    <row r="36" spans="2:7" ht="14" customHeight="1" x14ac:dyDescent="0.3">
      <c r="B36" s="4" t="s">
        <v>34</v>
      </c>
      <c r="C36" s="7">
        <f>C35/C33</f>
        <v>0.74199999999999999</v>
      </c>
      <c r="D36" s="7">
        <f>D35/D33</f>
        <v>0.74199999999999999</v>
      </c>
      <c r="E36" s="7">
        <f>E35/E33</f>
        <v>0.74199999999999999</v>
      </c>
      <c r="F36" s="7">
        <f>F35/F33</f>
        <v>0.74199999999999999</v>
      </c>
      <c r="G36" s="7">
        <f>G35/G33</f>
        <v>0.74199999999999999</v>
      </c>
    </row>
    <row r="37" spans="2:7" ht="14" customHeight="1" x14ac:dyDescent="0.3">
      <c r="B37" s="4" t="s">
        <v>87</v>
      </c>
      <c r="C37" s="5">
        <f>C33*C32</f>
        <v>271624.71072000003</v>
      </c>
      <c r="D37" s="5">
        <f>D33*D32</f>
        <v>279773.45204160002</v>
      </c>
      <c r="E37" s="5">
        <f>E33*E32</f>
        <v>288166.65560284804</v>
      </c>
      <c r="F37" s="5">
        <f>F33*F32</f>
        <v>295205.50250299776</v>
      </c>
      <c r="G37" s="5">
        <f>G33*G32</f>
        <v>302585.64006557269</v>
      </c>
    </row>
    <row r="38" spans="2:7" ht="14" customHeight="1" x14ac:dyDescent="0.3">
      <c r="B38" s="4" t="s">
        <v>88</v>
      </c>
      <c r="C38" s="7">
        <f>(C35-C37)/C33</f>
        <v>0.20599999999999991</v>
      </c>
      <c r="D38" s="7">
        <f>(D35-D37)/D33</f>
        <v>0.20600000000000002</v>
      </c>
      <c r="E38" s="7">
        <f>(E35-E37)/E33</f>
        <v>0.20599999999999993</v>
      </c>
      <c r="F38" s="7">
        <f>(F35-F37)/F33</f>
        <v>0.20629999999999998</v>
      </c>
      <c r="G38" s="7">
        <f>(G35-G37)/G33</f>
        <v>0.20629999999999996</v>
      </c>
    </row>
    <row r="39" spans="2:7" ht="14" customHeight="1" x14ac:dyDescent="0.3">
      <c r="B39" s="4" t="s">
        <v>89</v>
      </c>
      <c r="C39" s="19">
        <f>C35-C37</f>
        <v>104393.07911999995</v>
      </c>
      <c r="D39" s="19">
        <f>D35-D37</f>
        <v>107524.87149360002</v>
      </c>
      <c r="E39" s="19">
        <f>E35-E37</f>
        <v>110750.61763840797</v>
      </c>
      <c r="F39" s="19">
        <f>F35-F37</f>
        <v>113684.7025692896</v>
      </c>
      <c r="G39" s="19">
        <f>G35-G37</f>
        <v>116526.8201335218</v>
      </c>
    </row>
    <row r="40" spans="2:7" ht="14" customHeight="1" x14ac:dyDescent="0.3">
      <c r="B40" s="4" t="s">
        <v>90</v>
      </c>
      <c r="C40" s="5">
        <f>MAX(0,C39*C6)</f>
        <v>26098.269779999988</v>
      </c>
      <c r="D40" s="5">
        <f>MAX(0,D39*C6)</f>
        <v>26881.217873400004</v>
      </c>
      <c r="E40" s="5">
        <f>MAX(0,E39*C6)</f>
        <v>27687.654409601993</v>
      </c>
      <c r="F40" s="5">
        <f>MAX(0,F39*C6)</f>
        <v>28421.1756423224</v>
      </c>
      <c r="G40" s="5">
        <f>MAX(0,G39*C6)</f>
        <v>29131.705033380451</v>
      </c>
    </row>
    <row r="41" spans="2:7" ht="14" customHeight="1" x14ac:dyDescent="0.3">
      <c r="B41" s="4" t="s">
        <v>91</v>
      </c>
      <c r="C41" s="19">
        <f>C39-C40</f>
        <v>78294.809339999963</v>
      </c>
      <c r="D41" s="19">
        <f>D39-D40</f>
        <v>80643.653620200013</v>
      </c>
      <c r="E41" s="19">
        <f>E39-E40</f>
        <v>83062.96322880598</v>
      </c>
      <c r="F41" s="19">
        <f>F39-F40</f>
        <v>85263.526926967199</v>
      </c>
      <c r="G41" s="19">
        <f>G39-G40</f>
        <v>87395.115100141353</v>
      </c>
    </row>
    <row r="42" spans="2:7" ht="14" customHeight="1" x14ac:dyDescent="0.3">
      <c r="B42" s="4" t="s">
        <v>92</v>
      </c>
      <c r="C42" s="5">
        <f>C33*C18</f>
        <v>26858.413560000001</v>
      </c>
      <c r="D42" s="5">
        <f>D33*C18</f>
        <v>27664.165966800003</v>
      </c>
      <c r="E42" s="5">
        <f>E33*C18</f>
        <v>28494.090945804001</v>
      </c>
      <c r="F42" s="5">
        <f>F33*C18</f>
        <v>29206.443219449098</v>
      </c>
      <c r="G42" s="5">
        <f>G33*C18</f>
        <v>29936.604299935323</v>
      </c>
    </row>
    <row r="43" spans="2:7" ht="14" customHeight="1" x14ac:dyDescent="0.3">
      <c r="B43" s="4" t="s">
        <v>93</v>
      </c>
      <c r="C43" s="5">
        <v>75000</v>
      </c>
      <c r="D43" s="5">
        <v>60000</v>
      </c>
      <c r="E43" s="5">
        <v>48000</v>
      </c>
      <c r="F43" s="5">
        <v>38000</v>
      </c>
      <c r="G43" s="5">
        <v>31400</v>
      </c>
    </row>
    <row r="44" spans="2:7" ht="14" customHeight="1" x14ac:dyDescent="0.3">
      <c r="B44" s="4" t="s">
        <v>94</v>
      </c>
      <c r="C44" s="5">
        <f>'NWC Schedule'!D19</f>
        <v>-1059.1039307397295</v>
      </c>
      <c r="D44" s="5">
        <f>'NWC Schedule'!E19</f>
        <v>3676.3468820778216</v>
      </c>
      <c r="E44" s="5">
        <f>'NWC Schedule'!F19</f>
        <v>3786.637288540107</v>
      </c>
      <c r="F44" s="5">
        <f>'NWC Schedule'!G19</f>
        <v>3250.1970059969753</v>
      </c>
      <c r="G44" s="5">
        <f>'NWC Schedule'!H19</f>
        <v>3331.4519311469048</v>
      </c>
    </row>
    <row r="45" spans="2:7" ht="14" customHeight="1" x14ac:dyDescent="0.3">
      <c r="B45" s="4" t="s">
        <v>95</v>
      </c>
      <c r="C45" s="20">
        <f>C41+C42-C43-C44</f>
        <v>31212.326830739694</v>
      </c>
      <c r="D45" s="20">
        <f>D41+D42-D43-D44</f>
        <v>44631.472704922198</v>
      </c>
      <c r="E45" s="20">
        <f>E41+E42-E43-E44</f>
        <v>59770.41688606987</v>
      </c>
      <c r="F45" s="20">
        <f>F41+F42-F43-F44</f>
        <v>73219.773140419318</v>
      </c>
      <c r="G45" s="20">
        <f>G41+G42-G43-G44</f>
        <v>82600.267468929771</v>
      </c>
    </row>
    <row r="46" spans="2:7" ht="14" customHeight="1" x14ac:dyDescent="0.3">
      <c r="B46" s="4" t="s">
        <v>96</v>
      </c>
      <c r="C46" s="21">
        <f>1/(1+C26)^(C19+0)</f>
        <v>0.96283010421652915</v>
      </c>
      <c r="D46" s="21">
        <f>1/(1+C26)^(C19+1)</f>
        <v>0.89258376213639479</v>
      </c>
      <c r="E46" s="21">
        <f>1/(1+C26)^(C19+2)</f>
        <v>0.82746246605765716</v>
      </c>
      <c r="F46" s="21">
        <f>1/(1+C26)^(C19+3)</f>
        <v>0.76709230189826383</v>
      </c>
      <c r="G46" s="21">
        <f>1/(1+C26)^(C19+4)</f>
        <v>0.71112663567095935</v>
      </c>
    </row>
    <row r="47" spans="2:7" ht="14" customHeight="1" x14ac:dyDescent="0.3">
      <c r="B47" s="4" t="s">
        <v>97</v>
      </c>
      <c r="C47" s="19">
        <f>C45*C46</f>
        <v>30052.167895281469</v>
      </c>
      <c r="D47" s="19">
        <f>D45*D46</f>
        <v>39837.327816647274</v>
      </c>
      <c r="E47" s="19">
        <f>E45*E46</f>
        <v>49457.776553841606</v>
      </c>
      <c r="F47" s="19">
        <f>F45*F46</f>
        <v>56166.324322752924</v>
      </c>
      <c r="G47" s="19">
        <f>G45*G46</f>
        <v>58739.25031070142</v>
      </c>
    </row>
    <row r="49" spans="2:7" ht="14" customHeight="1" x14ac:dyDescent="0.3">
      <c r="B49" s="22" t="s">
        <v>98</v>
      </c>
      <c r="C49" s="23"/>
      <c r="D49" s="23"/>
      <c r="E49" s="23"/>
      <c r="F49" s="23"/>
      <c r="G49" s="23"/>
    </row>
    <row r="50" spans="2:7" ht="14" customHeight="1" x14ac:dyDescent="0.3">
      <c r="B50" s="4" t="s">
        <v>99</v>
      </c>
      <c r="C50" s="5">
        <f>SUM(C47:G47)</f>
        <v>234252.84689922468</v>
      </c>
    </row>
    <row r="51" spans="2:7" ht="14" customHeight="1" x14ac:dyDescent="0.3">
      <c r="B51" s="4" t="s">
        <v>100</v>
      </c>
      <c r="C51" s="5">
        <f>G45*(1+C13)/(C26-C13)</f>
        <v>1214356.1884078467</v>
      </c>
    </row>
    <row r="52" spans="2:7" ht="14" customHeight="1" x14ac:dyDescent="0.3">
      <c r="B52" s="4" t="s">
        <v>101</v>
      </c>
      <c r="C52" s="5">
        <f>C51*G46</f>
        <v>863561.03076868167</v>
      </c>
    </row>
    <row r="53" spans="2:7" ht="14" customHeight="1" x14ac:dyDescent="0.3">
      <c r="B53" s="4" t="s">
        <v>102</v>
      </c>
      <c r="C53" s="5">
        <f>C50+C52</f>
        <v>1097813.8776679062</v>
      </c>
    </row>
    <row r="54" spans="2:7" ht="14" customHeight="1" x14ac:dyDescent="0.3">
      <c r="B54" s="4" t="s">
        <v>103</v>
      </c>
      <c r="C54" s="5">
        <f>C53-C16</f>
        <v>1316582.8776679062</v>
      </c>
    </row>
    <row r="55" spans="2:7" ht="14" customHeight="1" x14ac:dyDescent="0.3">
      <c r="B55" s="4" t="s">
        <v>104</v>
      </c>
      <c r="C55" s="24">
        <f>ROUND(C54*1000000/C15,0)</f>
        <v>2515</v>
      </c>
    </row>
    <row r="57" spans="2:7" ht="14" customHeight="1" x14ac:dyDescent="0.3">
      <c r="B57" s="22" t="s">
        <v>105</v>
      </c>
      <c r="C57" s="23"/>
      <c r="D57" s="23"/>
      <c r="E57" s="23"/>
      <c r="F57" s="23"/>
      <c r="G57" s="23"/>
    </row>
    <row r="58" spans="2:7" ht="14" customHeight="1" x14ac:dyDescent="0.3">
      <c r="B58" s="4" t="s">
        <v>99</v>
      </c>
      <c r="C58" s="5">
        <f>C50</f>
        <v>234252.84689922468</v>
      </c>
    </row>
    <row r="59" spans="2:7" ht="14" customHeight="1" x14ac:dyDescent="0.3">
      <c r="B59" s="4" t="s">
        <v>106</v>
      </c>
      <c r="C59" s="5">
        <f>G39+G42</f>
        <v>146463.42443345714</v>
      </c>
    </row>
    <row r="60" spans="2:7" ht="14" customHeight="1" x14ac:dyDescent="0.3">
      <c r="B60" s="4" t="s">
        <v>107</v>
      </c>
      <c r="C60" s="5">
        <f>C59*C14</f>
        <v>1845439.1478615599</v>
      </c>
    </row>
    <row r="61" spans="2:7" ht="14" customHeight="1" x14ac:dyDescent="0.3">
      <c r="B61" s="4" t="s">
        <v>101</v>
      </c>
      <c r="C61" s="5">
        <f>C60*G46</f>
        <v>1312340.9325542732</v>
      </c>
    </row>
    <row r="62" spans="2:7" ht="14" customHeight="1" x14ac:dyDescent="0.3">
      <c r="B62" s="4" t="s">
        <v>102</v>
      </c>
      <c r="C62" s="5">
        <f>C58+C61</f>
        <v>1546593.7794534978</v>
      </c>
    </row>
    <row r="63" spans="2:7" ht="14" customHeight="1" x14ac:dyDescent="0.3">
      <c r="B63" s="4" t="s">
        <v>103</v>
      </c>
      <c r="C63" s="5">
        <f>C62-C16</f>
        <v>1765362.7794534978</v>
      </c>
    </row>
    <row r="64" spans="2:7" ht="14" customHeight="1" x14ac:dyDescent="0.3">
      <c r="B64" s="4" t="s">
        <v>108</v>
      </c>
      <c r="C64" s="24">
        <f>ROUND(C63*1000000/C15,0)</f>
        <v>3372</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40</v>
      </c>
    </row>
    <row r="69" spans="2:7" ht="14" customHeight="1" x14ac:dyDescent="0.3">
      <c r="B69" s="4" t="s">
        <v>78</v>
      </c>
      <c r="C69" s="26">
        <v>0.02</v>
      </c>
      <c r="D69" s="26">
        <v>0.03</v>
      </c>
      <c r="E69" s="26">
        <v>0.03</v>
      </c>
      <c r="F69" s="26">
        <v>2.5000000000000001E-2</v>
      </c>
      <c r="G69" s="26">
        <v>2.5000000000000001E-2</v>
      </c>
    </row>
    <row r="70" spans="2:7" ht="14" customHeight="1" x14ac:dyDescent="0.3">
      <c r="B70" s="4" t="s">
        <v>115</v>
      </c>
      <c r="C70" s="26">
        <v>3.5000000000000003E-2</v>
      </c>
      <c r="D70" s="26">
        <v>4.4999999999999998E-2</v>
      </c>
      <c r="E70" s="26">
        <v>0.04</v>
      </c>
      <c r="F70" s="26">
        <v>3.5000000000000003E-2</v>
      </c>
      <c r="G70" s="26">
        <v>3.5000000000000003E-2</v>
      </c>
    </row>
    <row r="71" spans="2:7" ht="14" customHeight="1" x14ac:dyDescent="0.3">
      <c r="B71" s="4" t="s">
        <v>116</v>
      </c>
      <c r="C71" s="26">
        <v>0.02</v>
      </c>
      <c r="D71" s="26">
        <v>0.03</v>
      </c>
      <c r="E71" s="26">
        <v>0.03</v>
      </c>
      <c r="F71" s="26">
        <v>2.5000000000000001E-2</v>
      </c>
      <c r="G71" s="26">
        <v>2.5000000000000001E-2</v>
      </c>
    </row>
    <row r="72" spans="2:7" ht="14" customHeight="1" x14ac:dyDescent="0.3">
      <c r="B72" s="4" t="s">
        <v>117</v>
      </c>
      <c r="C72" s="26">
        <v>5.0000000000000001E-3</v>
      </c>
      <c r="D72" s="26">
        <v>5.0000000000000001E-3</v>
      </c>
      <c r="E72" s="26">
        <v>5.0000000000000001E-3</v>
      </c>
      <c r="F72" s="26">
        <v>5.0000000000000001E-3</v>
      </c>
      <c r="G72" s="26">
        <v>5.0000000000000001E-3</v>
      </c>
    </row>
    <row r="73" spans="2:7" ht="14" customHeight="1" x14ac:dyDescent="0.3">
      <c r="B73" s="4" t="s">
        <v>118</v>
      </c>
      <c r="C73" s="26">
        <v>-0.05</v>
      </c>
      <c r="D73" s="26">
        <v>-0.01</v>
      </c>
      <c r="E73" s="26">
        <v>5.0000000000000001E-3</v>
      </c>
      <c r="F73" s="26">
        <v>0.01</v>
      </c>
      <c r="G73" s="26">
        <v>1.4999999999999999E-2</v>
      </c>
    </row>
    <row r="75" spans="2:7" ht="14" customHeight="1" x14ac:dyDescent="0.3">
      <c r="B75" s="3" t="s">
        <v>85</v>
      </c>
    </row>
    <row r="76" spans="2:7" ht="14" customHeight="1" x14ac:dyDescent="0.3">
      <c r="B76" s="4" t="s">
        <v>78</v>
      </c>
      <c r="C76" s="26">
        <v>0.25800000000000001</v>
      </c>
      <c r="D76" s="26">
        <v>0.25800000000000001</v>
      </c>
      <c r="E76" s="26">
        <v>0.25800000000000001</v>
      </c>
      <c r="F76" s="26">
        <v>0.25800000000000001</v>
      </c>
      <c r="G76" s="26">
        <v>0.25800000000000001</v>
      </c>
    </row>
    <row r="77" spans="2:7" ht="14" customHeight="1" x14ac:dyDescent="0.3">
      <c r="B77" s="4" t="s">
        <v>115</v>
      </c>
      <c r="C77" s="26">
        <v>0.254</v>
      </c>
      <c r="D77" s="26">
        <v>0.254</v>
      </c>
      <c r="E77" s="26">
        <v>0.254</v>
      </c>
      <c r="F77" s="26">
        <v>0.254</v>
      </c>
      <c r="G77" s="26">
        <v>0.254</v>
      </c>
    </row>
    <row r="78" spans="2:7" ht="14" customHeight="1" x14ac:dyDescent="0.3">
      <c r="B78" s="4" t="s">
        <v>116</v>
      </c>
      <c r="C78" s="26">
        <v>0.25800000000000001</v>
      </c>
      <c r="D78" s="26">
        <v>0.25800000000000001</v>
      </c>
      <c r="E78" s="26">
        <v>0.25800000000000001</v>
      </c>
      <c r="F78" s="26">
        <v>0.25800000000000001</v>
      </c>
      <c r="G78" s="26">
        <v>0.25800000000000001</v>
      </c>
    </row>
    <row r="79" spans="2:7" ht="14" customHeight="1" x14ac:dyDescent="0.3">
      <c r="B79" s="4" t="s">
        <v>117</v>
      </c>
      <c r="C79" s="26">
        <v>0.26200000000000001</v>
      </c>
      <c r="D79" s="26">
        <v>0.26200000000000001</v>
      </c>
      <c r="E79" s="26">
        <v>0.26200000000000001</v>
      </c>
      <c r="F79" s="26">
        <v>0.26200000000000001</v>
      </c>
      <c r="G79" s="26">
        <v>0.26200000000000001</v>
      </c>
    </row>
    <row r="80" spans="2:7" ht="14" customHeight="1" x14ac:dyDescent="0.3">
      <c r="B80" s="4" t="s">
        <v>118</v>
      </c>
      <c r="C80" s="26">
        <v>0.27</v>
      </c>
      <c r="D80" s="26">
        <v>0.27</v>
      </c>
      <c r="E80" s="26">
        <v>0.27</v>
      </c>
      <c r="F80" s="26">
        <v>0.27</v>
      </c>
      <c r="G80" s="26">
        <v>0.27</v>
      </c>
    </row>
    <row r="82" spans="2:7" ht="14" customHeight="1" x14ac:dyDescent="0.3">
      <c r="B82" s="3" t="s">
        <v>86</v>
      </c>
    </row>
    <row r="83" spans="2:7" ht="14" customHeight="1" x14ac:dyDescent="0.3">
      <c r="B83" s="4" t="s">
        <v>78</v>
      </c>
      <c r="C83" s="26">
        <v>0.53600000000000003</v>
      </c>
      <c r="D83" s="26">
        <v>0.53600000000000003</v>
      </c>
      <c r="E83" s="26">
        <v>0.53600000000000003</v>
      </c>
      <c r="F83" s="26">
        <v>0.53569999999999995</v>
      </c>
      <c r="G83" s="26">
        <v>0.53569999999999995</v>
      </c>
    </row>
    <row r="84" spans="2:7" ht="14" customHeight="1" x14ac:dyDescent="0.3">
      <c r="B84" s="4" t="s">
        <v>115</v>
      </c>
      <c r="C84" s="26">
        <v>0.53600000000000003</v>
      </c>
      <c r="D84" s="26">
        <v>0.53400000000000003</v>
      </c>
      <c r="E84" s="26">
        <v>0.53200000000000003</v>
      </c>
      <c r="F84" s="26">
        <v>0.53049999999999997</v>
      </c>
      <c r="G84" s="26">
        <v>0.53010000000000002</v>
      </c>
    </row>
    <row r="85" spans="2:7" ht="14" customHeight="1" x14ac:dyDescent="0.3">
      <c r="B85" s="4" t="s">
        <v>116</v>
      </c>
      <c r="C85" s="26">
        <v>0.53600000000000003</v>
      </c>
      <c r="D85" s="26">
        <v>0.53600000000000003</v>
      </c>
      <c r="E85" s="26">
        <v>0.53600000000000003</v>
      </c>
      <c r="F85" s="26">
        <v>0.53569999999999995</v>
      </c>
      <c r="G85" s="26">
        <v>0.53569999999999995</v>
      </c>
    </row>
    <row r="86" spans="2:7" ht="14" customHeight="1" x14ac:dyDescent="0.3">
      <c r="B86" s="4" t="s">
        <v>117</v>
      </c>
      <c r="C86" s="26">
        <v>0.53500000000000003</v>
      </c>
      <c r="D86" s="26">
        <v>0.53600000000000003</v>
      </c>
      <c r="E86" s="26">
        <v>0.53700000000000003</v>
      </c>
      <c r="F86" s="26">
        <v>0.5373</v>
      </c>
      <c r="G86" s="26">
        <v>0.5373</v>
      </c>
    </row>
    <row r="87" spans="2:7" ht="14" customHeight="1" x14ac:dyDescent="0.3">
      <c r="B87" s="4" t="s">
        <v>118</v>
      </c>
      <c r="C87" s="26">
        <v>0.56000000000000005</v>
      </c>
      <c r="D87" s="26">
        <v>0.56999999999999995</v>
      </c>
      <c r="E87" s="26">
        <v>0.56499999999999995</v>
      </c>
      <c r="F87" s="26">
        <v>0.56000000000000005</v>
      </c>
      <c r="G87" s="26">
        <v>0.55500000000000005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2403.5</v>
      </c>
    </row>
    <row r="7" spans="2:9" ht="14" customHeight="1" x14ac:dyDescent="0.3">
      <c r="B7" s="4" t="s">
        <v>66</v>
      </c>
      <c r="C7" s="15">
        <f>'DCF Model'!C15</f>
        <v>523586484</v>
      </c>
    </row>
    <row r="8" spans="2:9" ht="14" customHeight="1" x14ac:dyDescent="0.3">
      <c r="B8" s="4" t="s">
        <v>123</v>
      </c>
      <c r="C8" s="5">
        <f>C6*C7/1000000</f>
        <v>1258440.114294</v>
      </c>
    </row>
    <row r="9" spans="2:9" ht="14" customHeight="1" x14ac:dyDescent="0.3">
      <c r="B9" s="4" t="s">
        <v>67</v>
      </c>
      <c r="C9" s="5">
        <f>'DCF Model'!C16</f>
        <v>-218769</v>
      </c>
    </row>
    <row r="10" spans="2:9" ht="14" customHeight="1" x14ac:dyDescent="0.3">
      <c r="B10" s="4" t="s">
        <v>124</v>
      </c>
      <c r="C10" s="5">
        <f>C8+C9</f>
        <v>1039671.114294</v>
      </c>
    </row>
    <row r="11" spans="2:9" ht="14" customHeight="1" x14ac:dyDescent="0.3">
      <c r="B11" s="4" t="s">
        <v>125</v>
      </c>
      <c r="C11" s="16">
        <f>'DCF Model'!C26</f>
        <v>7.8699999999999992E-2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102275</v>
      </c>
    </row>
    <row r="15" spans="2:9" ht="14" customHeight="1" x14ac:dyDescent="0.3">
      <c r="B15" s="4" t="s">
        <v>129</v>
      </c>
      <c r="C15" s="27">
        <v>102275</v>
      </c>
    </row>
    <row r="16" spans="2:9" ht="14" customHeight="1" x14ac:dyDescent="0.3">
      <c r="B16" s="4" t="s">
        <v>130</v>
      </c>
      <c r="C16" s="5">
        <f>'DCF Model'!G33</f>
        <v>564841.59056481742</v>
      </c>
    </row>
    <row r="17" spans="2:9" ht="14" customHeight="1" x14ac:dyDescent="0.3">
      <c r="B17" s="4" t="s">
        <v>131</v>
      </c>
      <c r="C17" s="5">
        <f>'DCF Model'!C53</f>
        <v>1097813.8776679062</v>
      </c>
    </row>
    <row r="18" spans="2:9" ht="14" customHeight="1" x14ac:dyDescent="0.3">
      <c r="B18" s="4" t="s">
        <v>132</v>
      </c>
      <c r="C18" s="26">
        <v>0.20585677883202569</v>
      </c>
    </row>
    <row r="19" spans="2:9" ht="14" customHeight="1" x14ac:dyDescent="0.3">
      <c r="B19" s="4" t="s">
        <v>133</v>
      </c>
      <c r="C19" s="5">
        <f>C10-C17</f>
        <v>-58142.763373906258</v>
      </c>
    </row>
    <row r="20" spans="2:9" ht="14" customHeight="1" x14ac:dyDescent="0.3">
      <c r="B20" s="4" t="s">
        <v>134</v>
      </c>
      <c r="C20" s="15">
        <f>IFERROR(ROUND(C19*1000000/C7,0),"N/A")</f>
        <v>-111</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71425.405551997799</v>
      </c>
    </row>
    <row r="25" spans="2:9" ht="14" customHeight="1" x14ac:dyDescent="0.3">
      <c r="B25" s="4" t="s">
        <v>138</v>
      </c>
      <c r="C25" s="5">
        <f>IFERROR(C24/(1-C13),"N/A")</f>
        <v>95233.874069330399</v>
      </c>
    </row>
    <row r="26" spans="2:9" ht="13.5" customHeight="1" x14ac:dyDescent="0.25">
      <c r="B26" s="6" t="s">
        <v>139</v>
      </c>
      <c r="C26" s="14">
        <f>IFERROR(C25/C15,"N/A")</f>
        <v>0.93115496523422536</v>
      </c>
    </row>
    <row r="27" spans="2:9" ht="13.5" customHeight="1" x14ac:dyDescent="0.25">
      <c r="B27" s="6" t="s">
        <v>140</v>
      </c>
      <c r="C27" s="14">
        <f>IFERROR(C25/C14,"N/A")</f>
        <v>0.93115496523422536</v>
      </c>
    </row>
    <row r="28" spans="2:9" ht="13.5" customHeight="1" x14ac:dyDescent="0.25">
      <c r="B28" s="6" t="s">
        <v>141</v>
      </c>
      <c r="C28" s="7">
        <f>IFERROR(C25/C16,"N/A")</f>
        <v>0.16860280060839819</v>
      </c>
    </row>
    <row r="29" spans="2:9" ht="13.5" customHeight="1" x14ac:dyDescent="0.25">
      <c r="B29" s="6" t="s">
        <v>142</v>
      </c>
      <c r="C29" s="5">
        <f>IFERROR(C25/C18,"N/A")</f>
        <v>462621.99675745924</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148</v>
      </c>
    </row>
    <row r="38" spans="2:9" ht="14" customHeight="1" x14ac:dyDescent="0.3">
      <c r="B38" s="4" t="s">
        <v>149</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150</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151</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152</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153</v>
      </c>
    </row>
    <row r="43" spans="2:9" ht="14" customHeight="1" x14ac:dyDescent="0.3">
      <c r="B43" s="4" t="s">
        <v>149</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150</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151</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152</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67157.260275275505</v>
      </c>
      <c r="E48" s="5">
        <f t="shared" si="2"/>
        <v>81749.035421163921</v>
      </c>
      <c r="F48" s="5">
        <f t="shared" si="2"/>
        <v>96607.548678182109</v>
      </c>
      <c r="G48" s="5">
        <f t="shared" si="2"/>
        <v>111730.00365408037</v>
      </c>
      <c r="H48" s="5">
        <f t="shared" si="2"/>
        <v>127113.6147432054</v>
      </c>
    </row>
    <row r="49" spans="2:9" ht="14" customHeight="1" x14ac:dyDescent="0.3">
      <c r="B49" s="4" t="s">
        <v>150</v>
      </c>
      <c r="C49" s="30">
        <v>5</v>
      </c>
      <c r="D49" s="5">
        <f t="shared" si="2"/>
        <v>66735.34250016298</v>
      </c>
      <c r="E49" s="5">
        <f t="shared" si="2"/>
        <v>82079.534886341906</v>
      </c>
      <c r="F49" s="5">
        <f t="shared" si="2"/>
        <v>97979.89366493166</v>
      </c>
      <c r="G49" s="5">
        <f t="shared" si="2"/>
        <v>114434.62112222248</v>
      </c>
      <c r="H49" s="5">
        <f t="shared" si="2"/>
        <v>131441.67100588809</v>
      </c>
    </row>
    <row r="50" spans="2:9" ht="14" customHeight="1" x14ac:dyDescent="0.3">
      <c r="B50" s="4" t="s">
        <v>151</v>
      </c>
      <c r="C50" s="30">
        <v>7</v>
      </c>
      <c r="D50" s="5">
        <f t="shared" si="2"/>
        <v>66242.387338547938</v>
      </c>
      <c r="E50" s="5">
        <f t="shared" si="2"/>
        <v>82361.706858415302</v>
      </c>
      <c r="F50" s="5">
        <f t="shared" si="2"/>
        <v>99349.010062253059</v>
      </c>
      <c r="G50" s="5">
        <f t="shared" si="2"/>
        <v>117207.03928744816</v>
      </c>
      <c r="H50" s="5">
        <f t="shared" si="2"/>
        <v>135937.69053831985</v>
      </c>
    </row>
    <row r="51" spans="2:9" ht="14" customHeight="1" x14ac:dyDescent="0.3">
      <c r="B51" s="4" t="s">
        <v>152</v>
      </c>
      <c r="C51" s="30">
        <v>10</v>
      </c>
      <c r="D51" s="5">
        <f t="shared" si="2"/>
        <v>65367.890911985414</v>
      </c>
      <c r="E51" s="5">
        <f t="shared" si="2"/>
        <v>82691.998030727613</v>
      </c>
      <c r="F51" s="5">
        <f t="shared" si="2"/>
        <v>101392.72256126795</v>
      </c>
      <c r="G51" s="5">
        <f t="shared" si="2"/>
        <v>121485.42669819288</v>
      </c>
      <c r="H51" s="5">
        <f t="shared" si="2"/>
        <v>142982.88812399772</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0.65663417526546575</v>
      </c>
      <c r="E53" s="14">
        <f t="shared" si="3"/>
        <v>0.79930613953716867</v>
      </c>
      <c r="F53" s="14">
        <f t="shared" si="3"/>
        <v>0.94458615182773997</v>
      </c>
      <c r="G53" s="14">
        <f t="shared" si="3"/>
        <v>1.0924468702427805</v>
      </c>
      <c r="H53" s="14">
        <f t="shared" si="3"/>
        <v>1.2428610583544895</v>
      </c>
    </row>
    <row r="54" spans="2:9" ht="14" customHeight="1" x14ac:dyDescent="0.3">
      <c r="B54" s="4" t="s">
        <v>150</v>
      </c>
      <c r="C54" s="30">
        <v>5</v>
      </c>
      <c r="D54" s="14">
        <f t="shared" si="3"/>
        <v>0.65250884869384485</v>
      </c>
      <c r="E54" s="14">
        <f t="shared" si="3"/>
        <v>0.80253761805271973</v>
      </c>
      <c r="F54" s="14">
        <f t="shared" si="3"/>
        <v>0.95800433796071038</v>
      </c>
      <c r="G54" s="14">
        <f t="shared" si="3"/>
        <v>1.1188914311632607</v>
      </c>
      <c r="H54" s="14">
        <f t="shared" si="3"/>
        <v>1.2851788903044545</v>
      </c>
    </row>
    <row r="55" spans="2:9" ht="14" customHeight="1" x14ac:dyDescent="0.3">
      <c r="B55" s="4" t="s">
        <v>151</v>
      </c>
      <c r="C55" s="30">
        <v>7</v>
      </c>
      <c r="D55" s="14">
        <f t="shared" si="3"/>
        <v>0.64768894977802927</v>
      </c>
      <c r="E55" s="14">
        <f t="shared" si="3"/>
        <v>0.80529657158069223</v>
      </c>
      <c r="F55" s="14">
        <f t="shared" si="3"/>
        <v>0.97139095636522177</v>
      </c>
      <c r="G55" s="14">
        <f t="shared" si="3"/>
        <v>1.1459989175013265</v>
      </c>
      <c r="H55" s="14">
        <f t="shared" si="3"/>
        <v>1.3291389932859432</v>
      </c>
    </row>
    <row r="56" spans="2:9" ht="14" customHeight="1" x14ac:dyDescent="0.3">
      <c r="B56" s="4" t="s">
        <v>152</v>
      </c>
      <c r="C56" s="30">
        <v>10</v>
      </c>
      <c r="D56" s="14">
        <f t="shared" si="3"/>
        <v>0.639138508061456</v>
      </c>
      <c r="E56" s="14">
        <f t="shared" si="3"/>
        <v>0.80852601350014774</v>
      </c>
      <c r="F56" s="14">
        <f t="shared" si="3"/>
        <v>0.99137347896619843</v>
      </c>
      <c r="G56" s="14">
        <f t="shared" si="3"/>
        <v>1.1878311092465694</v>
      </c>
      <c r="H56" s="14">
        <f t="shared" si="3"/>
        <v>1.3980238389048909</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97979.89366493166</v>
      </c>
    </row>
    <row r="62" spans="2:9" ht="14" customHeight="1" x14ac:dyDescent="0.3">
      <c r="B62" s="28" t="s">
        <v>159</v>
      </c>
      <c r="C62" s="28" t="s">
        <v>160</v>
      </c>
      <c r="D62" s="28" t="s">
        <v>161</v>
      </c>
    </row>
    <row r="63" spans="2:9" ht="14" customHeight="1" x14ac:dyDescent="0.3">
      <c r="B63" s="31">
        <v>0.10290000000000001</v>
      </c>
      <c r="C63" s="5">
        <f>IFERROR($C$60/B63,"N/A")</f>
        <v>952185.55553869437</v>
      </c>
      <c r="D63" s="14">
        <f>IFERROR(C63/'DCF Model'!C17,"N/A")</f>
        <v>1.9165372897929946</v>
      </c>
    </row>
    <row r="64" spans="2:9" ht="14" customHeight="1" x14ac:dyDescent="0.3">
      <c r="B64" s="31">
        <v>0.15440000000000001</v>
      </c>
      <c r="C64" s="5">
        <f>IFERROR($C$60/B64,"N/A")</f>
        <v>634584.80352935009</v>
      </c>
      <c r="D64" s="14">
        <f>IFERROR(C64/'DCF Model'!C17,"N/A")</f>
        <v>1.2772777663192951</v>
      </c>
    </row>
    <row r="65" spans="2:9" ht="14" customHeight="1" x14ac:dyDescent="0.3">
      <c r="B65" s="4" t="s">
        <v>162</v>
      </c>
      <c r="C65" s="5">
        <f>IFERROR($C$60/$C$18,"N/A")</f>
        <v>475961.46321166796</v>
      </c>
      <c r="D65" s="14">
        <f>IFERROR(C65/'DCF Model'!C17,"N/A")</f>
        <v>0.95800433796071049</v>
      </c>
    </row>
    <row r="66" spans="2:9" ht="14" customHeight="1" x14ac:dyDescent="0.3">
      <c r="B66" s="31">
        <v>0.25729999999999997</v>
      </c>
      <c r="C66" s="5">
        <f>IFERROR($C$60/B66,"N/A")</f>
        <v>380800.20856949734</v>
      </c>
      <c r="D66" s="14">
        <f>IFERROR(C66/'DCF Model'!C17,"N/A")</f>
        <v>0.7664659429448083</v>
      </c>
    </row>
    <row r="67" spans="2:9" ht="14" customHeight="1" x14ac:dyDescent="0.3">
      <c r="B67" s="31">
        <v>0.30880000000000002</v>
      </c>
      <c r="C67" s="5">
        <f>IFERROR($C$60/B67,"N/A")</f>
        <v>317292.40176467504</v>
      </c>
      <c r="D67" s="14">
        <f>IFERROR(C67/'DCF Model'!C17,"N/A")</f>
        <v>0.63863888315964756</v>
      </c>
    </row>
    <row r="69" spans="2:9" ht="14" customHeight="1" x14ac:dyDescent="0.3">
      <c r="B69" s="8" t="s">
        <v>163</v>
      </c>
      <c r="C69" s="9"/>
      <c r="D69" s="9"/>
      <c r="E69" s="9"/>
      <c r="F69" s="9"/>
      <c r="G69" s="9"/>
      <c r="H69" s="9"/>
      <c r="I69" s="9"/>
    </row>
    <row r="70" spans="2:9" ht="13.5" customHeight="1" x14ac:dyDescent="0.25">
      <c r="B70" s="6" t="s">
        <v>164</v>
      </c>
      <c r="C70" s="14">
        <f>IFERROR(C10/'Comps Analysis'!G5,"N/A")</f>
        <v>8.095929062630919</v>
      </c>
    </row>
    <row r="71" spans="2:9" ht="13.5" customHeight="1" x14ac:dyDescent="0.25">
      <c r="B71" s="6" t="s">
        <v>165</v>
      </c>
      <c r="C71" s="14">
        <f>IFERROR(C10/'Comps Analysis'!F5,"N/A")</f>
        <v>2.0926262198314904</v>
      </c>
    </row>
    <row r="72" spans="2:9" ht="14" customHeight="1" x14ac:dyDescent="0.3">
      <c r="B72" s="4" t="s">
        <v>166</v>
      </c>
      <c r="C72" s="14">
        <f>IFERROR(C10/(C25+'DCF Model'!G42),"N/A")</f>
        <v>8.3060409118743141</v>
      </c>
    </row>
    <row r="73" spans="2:9" ht="14" customHeight="1" x14ac:dyDescent="0.3">
      <c r="B73" s="4" t="s">
        <v>167</v>
      </c>
      <c r="C73" s="14">
        <f>IFERROR(C10/(C60+'DCF Model'!G42),"N/A")</f>
        <v>8.1277327853327552</v>
      </c>
    </row>
    <row r="74" spans="2:9" ht="14" customHeight="1" x14ac:dyDescent="0.3">
      <c r="B74" s="4" t="s">
        <v>168</v>
      </c>
      <c r="C74" s="14">
        <f>IFERROR('Comps Analysis'!D16,"N/A")</f>
        <v>12.644081097406721</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2,404 yen the market is paying for a steady-state operating profit of 97,980 mn JPY - 0.96x the FY2025 cycle peak of 102,275 mn - reached in 5 years and sustained for ever, against 102,275 mn actually earned in FY2025.</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95,234 mn, or 0.93x the peak. The base case supports an EV of only 1,097,814 mn, leaving -111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133.12472575911889</v>
      </c>
      <c r="D5" s="34">
        <f>CHOOSE('DCF Model'!$D$27,D25,D26,D27,D28,D29)</f>
        <v>112</v>
      </c>
      <c r="E5" s="34">
        <f>CHOOSE('DCF Model'!$D$27,E25,E26,E27,E28,E29)</f>
        <v>112</v>
      </c>
      <c r="F5" s="34">
        <f>CHOOSE('DCF Model'!$D$27,F25,F26,F27,F28,F29)</f>
        <v>112</v>
      </c>
      <c r="G5" s="34">
        <f>CHOOSE('DCF Model'!$D$27,G25,G26,G27,G28,G29)</f>
        <v>112</v>
      </c>
      <c r="H5" s="34">
        <f>CHOOSE('DCF Model'!$D$27,H25,H26,H27,H28,H29)</f>
        <v>112</v>
      </c>
    </row>
    <row r="6" spans="2:8" ht="14" customHeight="1" x14ac:dyDescent="0.3">
      <c r="B6" s="33" t="s">
        <v>175</v>
      </c>
      <c r="C6" s="34">
        <f>C13/C10*365</f>
        <v>192.4085856769897</v>
      </c>
      <c r="D6" s="34">
        <f>CHOOSE('DCF Model'!$D$27,D32,D33,D34,D35,D36)</f>
        <v>231</v>
      </c>
      <c r="E6" s="34">
        <f>CHOOSE('DCF Model'!$D$27,E32,E33,E34,E35,E36)</f>
        <v>231</v>
      </c>
      <c r="F6" s="34">
        <f>CHOOSE('DCF Model'!$D$27,F32,F33,F34,F35,F36)</f>
        <v>231</v>
      </c>
      <c r="G6" s="34">
        <f>CHOOSE('DCF Model'!$D$27,G32,G33,G34,G35,G36)</f>
        <v>231</v>
      </c>
      <c r="H6" s="34">
        <f>CHOOSE('DCF Model'!$D$27,H32,H33,H34,H35,H36)</f>
        <v>231</v>
      </c>
    </row>
    <row r="7" spans="2:8" ht="14" customHeight="1" x14ac:dyDescent="0.3">
      <c r="B7" s="33" t="s">
        <v>176</v>
      </c>
      <c r="C7" s="34">
        <f>C15/C10*365</f>
        <v>356.74617380836997</v>
      </c>
      <c r="D7" s="34">
        <f>CHOOSE('DCF Model'!$D$27,D39,D40,D41,D42,D43)</f>
        <v>323</v>
      </c>
      <c r="E7" s="34">
        <f>CHOOSE('DCF Model'!$D$27,E39,E40,E41,E42,E43)</f>
        <v>323</v>
      </c>
      <c r="F7" s="34">
        <f>CHOOSE('DCF Model'!$D$27,F39,F40,F41,F42,F43)</f>
        <v>323</v>
      </c>
      <c r="G7" s="34">
        <f>CHOOSE('DCF Model'!$D$27,G39,G40,G41,G42,G43)</f>
        <v>323</v>
      </c>
      <c r="H7" s="34">
        <f>CHOOSE('DCF Model'!$D$27,H39,H40,H41,H42,H43)</f>
        <v>323</v>
      </c>
    </row>
    <row r="8" spans="2:8" ht="14" customHeight="1" x14ac:dyDescent="0.3">
      <c r="B8" s="8" t="s">
        <v>177</v>
      </c>
      <c r="C8" s="9"/>
      <c r="D8" s="9"/>
      <c r="E8" s="9"/>
      <c r="F8" s="9"/>
      <c r="G8" s="9"/>
      <c r="H8" s="9"/>
    </row>
    <row r="9" spans="2:8" ht="14" customHeight="1" x14ac:dyDescent="0.3">
      <c r="B9" s="33" t="s">
        <v>31</v>
      </c>
      <c r="C9" s="35">
        <v>496826</v>
      </c>
      <c r="D9" s="35">
        <f>'DCF Model'!C33</f>
        <v>506762.52</v>
      </c>
      <c r="E9" s="35">
        <f>'DCF Model'!D33</f>
        <v>521965.39560000005</v>
      </c>
      <c r="F9" s="35">
        <f>'DCF Model'!E33</f>
        <v>537624.35746800003</v>
      </c>
      <c r="G9" s="35">
        <f>'DCF Model'!F33</f>
        <v>551064.96640469995</v>
      </c>
      <c r="H9" s="35">
        <f>'DCF Model'!G33</f>
        <v>564841.59056481742</v>
      </c>
    </row>
    <row r="10" spans="2:8" ht="14" customHeight="1" x14ac:dyDescent="0.3">
      <c r="B10" s="33" t="s">
        <v>32</v>
      </c>
      <c r="C10" s="35">
        <v>127934</v>
      </c>
      <c r="D10" s="35">
        <f>'DCF Model'!C34</f>
        <v>130744.73016000001</v>
      </c>
      <c r="E10" s="35">
        <f>'DCF Model'!D34</f>
        <v>134667.07206480001</v>
      </c>
      <c r="F10" s="35">
        <f>'DCF Model'!E34</f>
        <v>138707.08422674402</v>
      </c>
      <c r="G10" s="35">
        <f>'DCF Model'!F34</f>
        <v>142174.7613324126</v>
      </c>
      <c r="H10" s="35">
        <f>'DCF Model'!G34</f>
        <v>145729.1303657229</v>
      </c>
    </row>
    <row r="11" spans="2:8" ht="14" customHeight="1" x14ac:dyDescent="0.3">
      <c r="B11" s="8" t="s">
        <v>178</v>
      </c>
      <c r="C11" s="9"/>
      <c r="D11" s="9"/>
      <c r="E11" s="9"/>
      <c r="F11" s="9"/>
      <c r="G11" s="9"/>
      <c r="H11" s="9"/>
    </row>
    <row r="12" spans="2:8" ht="14" customHeight="1" x14ac:dyDescent="0.3">
      <c r="B12" s="33" t="s">
        <v>179</v>
      </c>
      <c r="C12" s="35">
        <v>181205</v>
      </c>
      <c r="D12" s="35">
        <f t="shared" ref="D12:H13" si="0">D9*D5/365</f>
        <v>155499.73216438357</v>
      </c>
      <c r="E12" s="35">
        <f t="shared" si="0"/>
        <v>160164.72412931509</v>
      </c>
      <c r="F12" s="35">
        <f t="shared" si="0"/>
        <v>164969.66585319451</v>
      </c>
      <c r="G12" s="35">
        <f t="shared" si="0"/>
        <v>169093.90749952439</v>
      </c>
      <c r="H12" s="35">
        <f t="shared" si="0"/>
        <v>173321.25518701249</v>
      </c>
    </row>
    <row r="13" spans="2:8" ht="14" customHeight="1" x14ac:dyDescent="0.3">
      <c r="B13" s="33" t="s">
        <v>180</v>
      </c>
      <c r="C13" s="35">
        <v>67440</v>
      </c>
      <c r="D13" s="35">
        <f t="shared" si="0"/>
        <v>82745.294977972604</v>
      </c>
      <c r="E13" s="35">
        <f t="shared" si="0"/>
        <v>85227.653827311791</v>
      </c>
      <c r="F13" s="35">
        <f t="shared" si="0"/>
        <v>87784.483442131139</v>
      </c>
      <c r="G13" s="35">
        <f t="shared" si="0"/>
        <v>89979.095528184407</v>
      </c>
      <c r="H13" s="35">
        <f t="shared" si="0"/>
        <v>92228.572916389021</v>
      </c>
    </row>
    <row r="14" spans="2:8" ht="14" customHeight="1" x14ac:dyDescent="0.3">
      <c r="B14" s="33" t="s">
        <v>181</v>
      </c>
      <c r="C14" s="35">
        <f t="shared" ref="C14:H14" si="1">C12+C13</f>
        <v>248645</v>
      </c>
      <c r="D14" s="35">
        <f t="shared" si="1"/>
        <v>238245.02714235618</v>
      </c>
      <c r="E14" s="35">
        <f t="shared" si="1"/>
        <v>245392.37795662688</v>
      </c>
      <c r="F14" s="35">
        <f t="shared" si="1"/>
        <v>252754.14929532565</v>
      </c>
      <c r="G14" s="35">
        <f t="shared" si="1"/>
        <v>259073.00302770879</v>
      </c>
      <c r="H14" s="35">
        <f t="shared" si="1"/>
        <v>265549.82810340152</v>
      </c>
    </row>
    <row r="15" spans="2:8" ht="14" customHeight="1" x14ac:dyDescent="0.3">
      <c r="B15" s="33" t="s">
        <v>182</v>
      </c>
      <c r="C15" s="35">
        <v>125041</v>
      </c>
      <c r="D15" s="35">
        <f>D10*D7/365</f>
        <v>115700.13107309591</v>
      </c>
      <c r="E15" s="35">
        <f>E10*E7/365</f>
        <v>119171.13500528879</v>
      </c>
      <c r="F15" s="35">
        <f>F10*F7/365</f>
        <v>122746.26905544745</v>
      </c>
      <c r="G15" s="35">
        <f>G10*G7/365</f>
        <v>125814.92578183362</v>
      </c>
      <c r="H15" s="35">
        <f>H10*H7/365</f>
        <v>128960.29892637944</v>
      </c>
    </row>
    <row r="16" spans="2:8" ht="14" customHeight="1" x14ac:dyDescent="0.3">
      <c r="B16" s="33" t="s">
        <v>183</v>
      </c>
      <c r="C16" s="35">
        <f t="shared" ref="C16:H16" si="2">C15</f>
        <v>125041</v>
      </c>
      <c r="D16" s="35">
        <f t="shared" si="2"/>
        <v>115700.13107309591</v>
      </c>
      <c r="E16" s="35">
        <f t="shared" si="2"/>
        <v>119171.13500528879</v>
      </c>
      <c r="F16" s="35">
        <f t="shared" si="2"/>
        <v>122746.26905544745</v>
      </c>
      <c r="G16" s="35">
        <f t="shared" si="2"/>
        <v>125814.92578183362</v>
      </c>
      <c r="H16" s="35">
        <f t="shared" si="2"/>
        <v>128960.29892637944</v>
      </c>
    </row>
    <row r="17" spans="2:8" ht="14" customHeight="1" x14ac:dyDescent="0.3">
      <c r="B17" s="22" t="s">
        <v>184</v>
      </c>
      <c r="C17" s="23"/>
      <c r="D17" s="23"/>
      <c r="E17" s="23"/>
      <c r="F17" s="23"/>
      <c r="G17" s="23"/>
      <c r="H17" s="23"/>
    </row>
    <row r="18" spans="2:8" ht="14" customHeight="1" x14ac:dyDescent="0.3">
      <c r="B18" s="33" t="s">
        <v>185</v>
      </c>
      <c r="C18" s="20">
        <f t="shared" ref="C18:H18" si="3">C14-C16</f>
        <v>123604</v>
      </c>
      <c r="D18" s="20">
        <f t="shared" si="3"/>
        <v>122544.89606926027</v>
      </c>
      <c r="E18" s="20">
        <f t="shared" si="3"/>
        <v>126221.24295133809</v>
      </c>
      <c r="F18" s="20">
        <f t="shared" si="3"/>
        <v>130007.8802398782</v>
      </c>
      <c r="G18" s="20">
        <f t="shared" si="3"/>
        <v>133258.07724587517</v>
      </c>
      <c r="H18" s="20">
        <f t="shared" si="3"/>
        <v>136589.52917702208</v>
      </c>
    </row>
    <row r="19" spans="2:8" ht="14" customHeight="1" x14ac:dyDescent="0.3">
      <c r="B19" s="33" t="s">
        <v>94</v>
      </c>
      <c r="C19" s="36" t="s">
        <v>41</v>
      </c>
      <c r="D19" s="24">
        <f>D18-C18</f>
        <v>-1059.1039307397295</v>
      </c>
      <c r="E19" s="24">
        <f>E18-D18</f>
        <v>3676.3468820778216</v>
      </c>
      <c r="F19" s="24">
        <f>F18-E18</f>
        <v>3786.637288540107</v>
      </c>
      <c r="G19" s="24">
        <f>G18-F18</f>
        <v>3250.1970059969753</v>
      </c>
      <c r="H19" s="24">
        <f>H18-G18</f>
        <v>3331.4519311469048</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112</v>
      </c>
      <c r="E25" s="30">
        <v>112</v>
      </c>
      <c r="F25" s="30">
        <v>112</v>
      </c>
      <c r="G25" s="30">
        <v>112</v>
      </c>
      <c r="H25" s="30">
        <v>112</v>
      </c>
    </row>
    <row r="26" spans="2:8" ht="14" customHeight="1" x14ac:dyDescent="0.3">
      <c r="B26" s="4" t="s">
        <v>115</v>
      </c>
      <c r="D26" s="30">
        <v>108</v>
      </c>
      <c r="E26" s="30">
        <v>108</v>
      </c>
      <c r="F26" s="30">
        <v>108</v>
      </c>
      <c r="G26" s="30">
        <v>108</v>
      </c>
      <c r="H26" s="30">
        <v>108</v>
      </c>
    </row>
    <row r="27" spans="2:8" ht="14" customHeight="1" x14ac:dyDescent="0.3">
      <c r="B27" s="4" t="s">
        <v>116</v>
      </c>
      <c r="D27" s="30">
        <v>112</v>
      </c>
      <c r="E27" s="30">
        <v>112</v>
      </c>
      <c r="F27" s="30">
        <v>112</v>
      </c>
      <c r="G27" s="30">
        <v>112</v>
      </c>
      <c r="H27" s="30">
        <v>112</v>
      </c>
    </row>
    <row r="28" spans="2:8" ht="14" customHeight="1" x14ac:dyDescent="0.3">
      <c r="B28" s="4" t="s">
        <v>117</v>
      </c>
      <c r="D28" s="30">
        <v>117</v>
      </c>
      <c r="E28" s="30">
        <v>117</v>
      </c>
      <c r="F28" s="30">
        <v>117</v>
      </c>
      <c r="G28" s="30">
        <v>117</v>
      </c>
      <c r="H28" s="30">
        <v>117</v>
      </c>
    </row>
    <row r="29" spans="2:8" ht="14" customHeight="1" x14ac:dyDescent="0.3">
      <c r="B29" s="4" t="s">
        <v>118</v>
      </c>
      <c r="D29" s="30">
        <v>122</v>
      </c>
      <c r="E29" s="30">
        <v>122</v>
      </c>
      <c r="F29" s="30">
        <v>122</v>
      </c>
      <c r="G29" s="30">
        <v>122</v>
      </c>
      <c r="H29" s="30">
        <v>122</v>
      </c>
    </row>
    <row r="31" spans="2:8" ht="14" customHeight="1" x14ac:dyDescent="0.3">
      <c r="B31" s="3" t="s">
        <v>188</v>
      </c>
    </row>
    <row r="32" spans="2:8" ht="14" customHeight="1" x14ac:dyDescent="0.3">
      <c r="B32" s="4" t="s">
        <v>78</v>
      </c>
      <c r="D32" s="30">
        <v>231</v>
      </c>
      <c r="E32" s="30">
        <v>231</v>
      </c>
      <c r="F32" s="30">
        <v>231</v>
      </c>
      <c r="G32" s="30">
        <v>231</v>
      </c>
      <c r="H32" s="30">
        <v>231</v>
      </c>
    </row>
    <row r="33" spans="2:8" ht="14" customHeight="1" x14ac:dyDescent="0.3">
      <c r="B33" s="4" t="s">
        <v>115</v>
      </c>
      <c r="D33" s="30">
        <v>222</v>
      </c>
      <c r="E33" s="30">
        <v>222</v>
      </c>
      <c r="F33" s="30">
        <v>222</v>
      </c>
      <c r="G33" s="30">
        <v>222</v>
      </c>
      <c r="H33" s="30">
        <v>222</v>
      </c>
    </row>
    <row r="34" spans="2:8" ht="14" customHeight="1" x14ac:dyDescent="0.3">
      <c r="B34" s="4" t="s">
        <v>116</v>
      </c>
      <c r="D34" s="30">
        <v>231</v>
      </c>
      <c r="E34" s="30">
        <v>231</v>
      </c>
      <c r="F34" s="30">
        <v>231</v>
      </c>
      <c r="G34" s="30">
        <v>231</v>
      </c>
      <c r="H34" s="30">
        <v>231</v>
      </c>
    </row>
    <row r="35" spans="2:8" ht="14" customHeight="1" x14ac:dyDescent="0.3">
      <c r="B35" s="4" t="s">
        <v>117</v>
      </c>
      <c r="D35" s="30">
        <v>241</v>
      </c>
      <c r="E35" s="30">
        <v>241</v>
      </c>
      <c r="F35" s="30">
        <v>241</v>
      </c>
      <c r="G35" s="30">
        <v>241</v>
      </c>
      <c r="H35" s="30">
        <v>241</v>
      </c>
    </row>
    <row r="36" spans="2:8" ht="14" customHeight="1" x14ac:dyDescent="0.3">
      <c r="B36" s="4" t="s">
        <v>118</v>
      </c>
      <c r="D36" s="30">
        <v>252</v>
      </c>
      <c r="E36" s="30">
        <v>252</v>
      </c>
      <c r="F36" s="30">
        <v>252</v>
      </c>
      <c r="G36" s="30">
        <v>252</v>
      </c>
      <c r="H36" s="30">
        <v>252</v>
      </c>
    </row>
    <row r="38" spans="2:8" ht="14" customHeight="1" x14ac:dyDescent="0.3">
      <c r="B38" s="3" t="s">
        <v>189</v>
      </c>
    </row>
    <row r="39" spans="2:8" ht="14" customHeight="1" x14ac:dyDescent="0.3">
      <c r="B39" s="4" t="s">
        <v>78</v>
      </c>
      <c r="D39" s="30">
        <v>323</v>
      </c>
      <c r="E39" s="30">
        <v>323</v>
      </c>
      <c r="F39" s="30">
        <v>323</v>
      </c>
      <c r="G39" s="30">
        <v>323</v>
      </c>
      <c r="H39" s="30">
        <v>323</v>
      </c>
    </row>
    <row r="40" spans="2:8" ht="14" customHeight="1" x14ac:dyDescent="0.3">
      <c r="B40" s="4" t="s">
        <v>115</v>
      </c>
      <c r="D40" s="30">
        <v>330</v>
      </c>
      <c r="E40" s="30">
        <v>330</v>
      </c>
      <c r="F40" s="30">
        <v>330</v>
      </c>
      <c r="G40" s="30">
        <v>330</v>
      </c>
      <c r="H40" s="30">
        <v>330</v>
      </c>
    </row>
    <row r="41" spans="2:8" ht="14" customHeight="1" x14ac:dyDescent="0.3">
      <c r="B41" s="4" t="s">
        <v>116</v>
      </c>
      <c r="D41" s="30">
        <v>323</v>
      </c>
      <c r="E41" s="30">
        <v>323</v>
      </c>
      <c r="F41" s="30">
        <v>323</v>
      </c>
      <c r="G41" s="30">
        <v>323</v>
      </c>
      <c r="H41" s="30">
        <v>323</v>
      </c>
    </row>
    <row r="42" spans="2:8" ht="14" customHeight="1" x14ac:dyDescent="0.3">
      <c r="B42" s="4" t="s">
        <v>117</v>
      </c>
      <c r="D42" s="30">
        <v>313</v>
      </c>
      <c r="E42" s="30">
        <v>313</v>
      </c>
      <c r="F42" s="30">
        <v>313</v>
      </c>
      <c r="G42" s="30">
        <v>313</v>
      </c>
      <c r="H42" s="30">
        <v>313</v>
      </c>
    </row>
    <row r="43" spans="2:8" ht="14" customHeight="1" x14ac:dyDescent="0.3">
      <c r="B43" s="4" t="s">
        <v>118</v>
      </c>
      <c r="D43" s="30">
        <v>303</v>
      </c>
      <c r="E43" s="30">
        <v>303</v>
      </c>
      <c r="F43" s="30">
        <v>303</v>
      </c>
      <c r="G43" s="30">
        <v>303</v>
      </c>
      <c r="H43" s="30">
        <v>303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1258440.114294</v>
      </c>
      <c r="E5" s="37">
        <f>D5+C24</f>
        <v>1039671.114294</v>
      </c>
      <c r="F5" s="37">
        <v>496826</v>
      </c>
      <c r="G5" s="37">
        <v>128419</v>
      </c>
      <c r="H5" s="37">
        <v>102275</v>
      </c>
      <c r="I5" s="37">
        <v>67040</v>
      </c>
      <c r="J5" s="38">
        <f t="shared" ref="J5:J10" si="0">IFERROR(E5/G5,"")</f>
        <v>8.095929062630919</v>
      </c>
      <c r="K5" s="38">
        <f t="shared" ref="K5:K10" si="1">IFERROR(E5/F5,"")</f>
        <v>2.0926262198314904</v>
      </c>
      <c r="L5" s="38">
        <f t="shared" ref="L5:L10" si="2">IFERROR(D5/I5,"")</f>
        <v>18.771481418466585</v>
      </c>
      <c r="M5" s="38">
        <f t="shared" ref="M5:M10" si="3">IFERROR(D5/P5,"")</f>
        <v>1.4087037230212283</v>
      </c>
      <c r="N5" s="39">
        <f t="shared" ref="N5:N10" si="4">IFERROR(H5/F5,"")</f>
        <v>0.20585677883202569</v>
      </c>
      <c r="O5" s="39">
        <f t="shared" ref="O5:O10" si="5">IFERROR(I5/P5,"")</f>
        <v>7.5044888126698697E-2</v>
      </c>
      <c r="P5" s="37">
        <v>893332</v>
      </c>
    </row>
    <row r="6" spans="2:17" ht="14" customHeight="1" x14ac:dyDescent="0.3">
      <c r="B6" s="4" t="s">
        <v>208</v>
      </c>
      <c r="C6" t="s">
        <v>209</v>
      </c>
      <c r="D6" s="37">
        <v>2476073</v>
      </c>
      <c r="E6" s="37">
        <v>2449070</v>
      </c>
      <c r="F6" s="37">
        <v>499677</v>
      </c>
      <c r="G6" s="37">
        <v>193693</v>
      </c>
      <c r="H6" s="37">
        <v>166725</v>
      </c>
      <c r="I6" s="37">
        <v>205159</v>
      </c>
      <c r="J6" s="38">
        <f t="shared" si="0"/>
        <v>12.644081097406721</v>
      </c>
      <c r="K6" s="38">
        <f t="shared" si="1"/>
        <v>4.9013062438335169</v>
      </c>
      <c r="L6" s="38">
        <f t="shared" si="2"/>
        <v>12.069044009768033</v>
      </c>
      <c r="M6" s="38">
        <f t="shared" si="3"/>
        <v>1.4692920487890269</v>
      </c>
      <c r="N6" s="39">
        <f t="shared" si="4"/>
        <v>0.3336655479439718</v>
      </c>
      <c r="O6" s="39">
        <f t="shared" si="5"/>
        <v>0.12174054942544422</v>
      </c>
      <c r="P6" s="37">
        <v>1685215</v>
      </c>
    </row>
    <row r="7" spans="2:17" ht="14" customHeight="1" x14ac:dyDescent="0.3">
      <c r="B7" s="4" t="s">
        <v>210</v>
      </c>
      <c r="C7" t="s">
        <v>211</v>
      </c>
      <c r="D7" s="37">
        <v>1324816</v>
      </c>
      <c r="E7" s="37">
        <v>1265474</v>
      </c>
      <c r="F7" s="37">
        <v>825378</v>
      </c>
      <c r="G7" s="37">
        <v>83689</v>
      </c>
      <c r="H7" s="37">
        <v>44139</v>
      </c>
      <c r="I7" s="37">
        <v>38558</v>
      </c>
      <c r="J7" s="38">
        <f t="shared" si="0"/>
        <v>15.121150927839979</v>
      </c>
      <c r="K7" s="38">
        <f t="shared" si="1"/>
        <v>1.5332053919537472</v>
      </c>
      <c r="L7" s="38">
        <f t="shared" si="2"/>
        <v>34.359043518854712</v>
      </c>
      <c r="M7" s="38">
        <f t="shared" si="3"/>
        <v>1.4736682862583872</v>
      </c>
      <c r="N7" s="39">
        <f t="shared" si="4"/>
        <v>5.3477315848011457E-2</v>
      </c>
      <c r="O7" s="39">
        <f t="shared" si="5"/>
        <v>4.289025931265239E-2</v>
      </c>
      <c r="P7" s="37">
        <v>898992</v>
      </c>
    </row>
    <row r="8" spans="2:17" ht="14" customHeight="1" x14ac:dyDescent="0.3">
      <c r="B8" s="4" t="s">
        <v>212</v>
      </c>
      <c r="C8" t="s">
        <v>213</v>
      </c>
      <c r="D8" s="37">
        <v>4223444</v>
      </c>
      <c r="E8" s="37">
        <v>4507791</v>
      </c>
      <c r="F8" s="37">
        <v>2139245</v>
      </c>
      <c r="G8" s="37">
        <v>574653</v>
      </c>
      <c r="H8" s="37">
        <v>380059</v>
      </c>
      <c r="I8" s="37">
        <v>291535</v>
      </c>
      <c r="J8" s="38">
        <f t="shared" si="0"/>
        <v>7.8443704287630966</v>
      </c>
      <c r="K8" s="38">
        <f t="shared" si="1"/>
        <v>2.1071878162622792</v>
      </c>
      <c r="L8" s="38">
        <f t="shared" si="2"/>
        <v>14.486919237827362</v>
      </c>
      <c r="M8" s="38">
        <f t="shared" si="3"/>
        <v>2.3090991796807514</v>
      </c>
      <c r="N8" s="39">
        <f t="shared" si="4"/>
        <v>0.17766034278448706</v>
      </c>
      <c r="O8" s="39">
        <f t="shared" si="5"/>
        <v>0.15939201025235042</v>
      </c>
      <c r="P8" s="37">
        <v>1829044</v>
      </c>
    </row>
    <row r="9" spans="2:17" ht="14" customHeight="1" x14ac:dyDescent="0.3">
      <c r="B9" s="4" t="s">
        <v>214</v>
      </c>
      <c r="C9" t="s">
        <v>215</v>
      </c>
      <c r="D9" s="37">
        <v>5084111</v>
      </c>
      <c r="E9" s="37">
        <v>4934785</v>
      </c>
      <c r="F9" s="37">
        <v>2123045</v>
      </c>
      <c r="G9" s="37">
        <v>306549</v>
      </c>
      <c r="H9" s="37">
        <v>229089</v>
      </c>
      <c r="I9" s="37">
        <v>259874</v>
      </c>
      <c r="J9" s="38">
        <f t="shared" si="0"/>
        <v>16.097866898929698</v>
      </c>
      <c r="K9" s="38">
        <f t="shared" si="1"/>
        <v>2.3243902036932802</v>
      </c>
      <c r="L9" s="38">
        <f t="shared" si="2"/>
        <v>19.563753973079262</v>
      </c>
      <c r="M9" s="38">
        <f t="shared" si="3"/>
        <v>3.0550265326025627</v>
      </c>
      <c r="N9" s="39">
        <f t="shared" si="4"/>
        <v>0.10790586162799187</v>
      </c>
      <c r="O9" s="39">
        <f t="shared" si="5"/>
        <v>0.1561574806556266</v>
      </c>
      <c r="P9" s="37">
        <v>1664179</v>
      </c>
    </row>
    <row r="10" spans="2:17" ht="14" customHeight="1" x14ac:dyDescent="0.3">
      <c r="B10" s="4" t="s">
        <v>216</v>
      </c>
      <c r="C10" t="s">
        <v>217</v>
      </c>
      <c r="D10" s="37">
        <v>6320483</v>
      </c>
      <c r="E10" s="37">
        <v>6013813</v>
      </c>
      <c r="F10" s="37">
        <v>2468892</v>
      </c>
      <c r="G10" s="37">
        <v>588273</v>
      </c>
      <c r="H10" s="37">
        <v>472106</v>
      </c>
      <c r="I10" s="37">
        <v>363150</v>
      </c>
      <c r="J10" s="38">
        <f t="shared" si="0"/>
        <v>10.222826816801042</v>
      </c>
      <c r="K10" s="38">
        <f t="shared" si="1"/>
        <v>2.4358347793261106</v>
      </c>
      <c r="L10" s="38">
        <f t="shared" si="2"/>
        <v>17.404606911744459</v>
      </c>
      <c r="M10" s="38">
        <f t="shared" si="3"/>
        <v>2.0835996972418149</v>
      </c>
      <c r="N10" s="39">
        <f t="shared" si="4"/>
        <v>0.191221811241642</v>
      </c>
      <c r="O10" s="39">
        <f t="shared" si="5"/>
        <v>0.119715412580552</v>
      </c>
      <c r="P10" s="37">
        <v>3033444</v>
      </c>
    </row>
    <row r="14" spans="2:17" ht="14" customHeight="1" x14ac:dyDescent="0.3">
      <c r="B14" s="3" t="s">
        <v>218</v>
      </c>
    </row>
    <row r="15" spans="2:17" ht="14" customHeight="1" x14ac:dyDescent="0.3">
      <c r="B15" s="4" t="s">
        <v>219</v>
      </c>
      <c r="D15" s="38">
        <f t="shared" ref="D15:I15" si="6">PERCENTILE(J6:J10,0.25)</f>
        <v>10.222826816801042</v>
      </c>
      <c r="E15" s="38">
        <f t="shared" si="6"/>
        <v>2.1071878162622792</v>
      </c>
      <c r="F15" s="38">
        <f t="shared" si="6"/>
        <v>14.486919237827362</v>
      </c>
      <c r="G15" s="38">
        <f t="shared" si="6"/>
        <v>1.4736682862583872</v>
      </c>
      <c r="H15" s="39">
        <f t="shared" si="6"/>
        <v>0.10790586162799187</v>
      </c>
      <c r="I15" s="39">
        <f t="shared" si="6"/>
        <v>0.119715412580552</v>
      </c>
    </row>
    <row r="16" spans="2:17" ht="14" customHeight="1" x14ac:dyDescent="0.3">
      <c r="B16" s="4" t="s">
        <v>220</v>
      </c>
      <c r="D16" s="38">
        <f t="shared" ref="D16:I16" si="7">MEDIAN(J6:J10)</f>
        <v>12.644081097406721</v>
      </c>
      <c r="E16" s="38">
        <f t="shared" si="7"/>
        <v>2.3243902036932802</v>
      </c>
      <c r="F16" s="38">
        <f t="shared" si="7"/>
        <v>17.404606911744459</v>
      </c>
      <c r="G16" s="38">
        <f t="shared" si="7"/>
        <v>2.0835996972418149</v>
      </c>
      <c r="H16" s="39">
        <f t="shared" si="7"/>
        <v>0.17766034278448706</v>
      </c>
      <c r="I16" s="39">
        <f t="shared" si="7"/>
        <v>0.12174054942544422</v>
      </c>
    </row>
    <row r="17" spans="2:9" ht="14" customHeight="1" x14ac:dyDescent="0.3">
      <c r="B17" s="4" t="s">
        <v>221</v>
      </c>
      <c r="D17" s="38">
        <f t="shared" ref="D17:I17" si="8">PERCENTILE(J6:J10,0.75)</f>
        <v>15.121150927839979</v>
      </c>
      <c r="E17" s="38">
        <f t="shared" si="8"/>
        <v>2.4358347793261106</v>
      </c>
      <c r="F17" s="38">
        <f t="shared" si="8"/>
        <v>19.563753973079262</v>
      </c>
      <c r="G17" s="38">
        <f t="shared" si="8"/>
        <v>2.3090991796807514</v>
      </c>
      <c r="H17" s="39">
        <f t="shared" si="8"/>
        <v>0.191221811241642</v>
      </c>
      <c r="I17" s="39">
        <f t="shared" si="8"/>
        <v>0.1561574806556266</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128419</v>
      </c>
    </row>
    <row r="22" spans="2:9" ht="14" customHeight="1" x14ac:dyDescent="0.3">
      <c r="B22" s="4" t="s">
        <v>225</v>
      </c>
      <c r="C22" s="5">
        <v>67040</v>
      </c>
    </row>
    <row r="23" spans="2:9" ht="14" customHeight="1" x14ac:dyDescent="0.3">
      <c r="B23" s="4" t="s">
        <v>226</v>
      </c>
      <c r="C23" s="15">
        <v>523586484</v>
      </c>
    </row>
    <row r="24" spans="2:9" ht="14" customHeight="1" x14ac:dyDescent="0.3">
      <c r="B24" s="4" t="s">
        <v>67</v>
      </c>
      <c r="C24" s="5">
        <v>-218769</v>
      </c>
    </row>
    <row r="26" spans="2:9" ht="14" customHeight="1" x14ac:dyDescent="0.3">
      <c r="B26" s="3" t="s">
        <v>227</v>
      </c>
    </row>
    <row r="27" spans="2:9" ht="14" customHeight="1" x14ac:dyDescent="0.3">
      <c r="B27" s="4" t="s">
        <v>228</v>
      </c>
      <c r="C27" s="24">
        <f>ROUND((C21*D16-C24)*1000000/C23,0)</f>
        <v>3519</v>
      </c>
    </row>
    <row r="28" spans="2:9" ht="14" customHeight="1" x14ac:dyDescent="0.3">
      <c r="B28" s="4" t="s">
        <v>229</v>
      </c>
      <c r="C28" s="24">
        <f>ROUND(C22*F16*1000000/C23,0)</f>
        <v>2228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7.8699999999999992E-2</v>
      </c>
      <c r="E3" s="4" t="s">
        <v>232</v>
      </c>
      <c r="F3" s="16">
        <f>'DCF Model'!C13</f>
        <v>0.01</v>
      </c>
      <c r="H3" s="4" t="s">
        <v>233</v>
      </c>
      <c r="I3" s="14">
        <f>'DCF Model'!C14</f>
        <v>12.6</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2841</v>
      </c>
      <c r="D7" s="37">
        <f>IFERROR(ROUND(('DCF Model'!C45/(1+$B7)^('DCF Model'!C19+0)+'DCF Model'!D45/(1+$B7)^('DCF Model'!C19+1)+'DCF Model'!E45/(1+$B7)^('DCF Model'!C19+2)+'DCF Model'!F45/(1+$B7)^('DCF Model'!C19+3)+'DCF Model'!G45/(1+$B7)^('DCF Model'!C19+4)+'DCF Model'!G45*(1+D$6)/($B7-D$6)/(1+$B7)^('DCF Model'!C19+4)-'DCF Model'!C16)*1000000/'DCF Model'!C15,0),"")</f>
        <v>2929</v>
      </c>
      <c r="E7" s="37">
        <f>IFERROR(ROUND(('DCF Model'!C45/(1+$B7)^('DCF Model'!C19+0)+'DCF Model'!D45/(1+$B7)^('DCF Model'!C19+1)+'DCF Model'!E45/(1+$B7)^('DCF Model'!C19+2)+'DCF Model'!F45/(1+$B7)^('DCF Model'!C19+3)+'DCF Model'!G45/(1+$B7)^('DCF Model'!C19+4)+'DCF Model'!G45*(1+E$6)/($B7-E$6)/(1+$B7)^('DCF Model'!C19+4)-'DCF Model'!C16)*1000000/'DCF Model'!C15,0),"")</f>
        <v>3025</v>
      </c>
      <c r="F7" s="37">
        <f>IFERROR(ROUND(('DCF Model'!C45/(1+$B7)^('DCF Model'!C19+0)+'DCF Model'!D45/(1+$B7)^('DCF Model'!C19+1)+'DCF Model'!E45/(1+$B7)^('DCF Model'!C19+2)+'DCF Model'!F45/(1+$B7)^('DCF Model'!C19+3)+'DCF Model'!G45/(1+$B7)^('DCF Model'!C19+4)+'DCF Model'!G45*(1+F$6)/($B7-F$6)/(1+$B7)^('DCF Model'!C19+4)-'DCF Model'!C16)*1000000/'DCF Model'!C15,0),"")</f>
        <v>3131</v>
      </c>
      <c r="G7" s="37">
        <f>IFERROR(ROUND(('DCF Model'!C45/(1+$B7)^('DCF Model'!C19+0)+'DCF Model'!D45/(1+$B7)^('DCF Model'!C19+1)+'DCF Model'!E45/(1+$B7)^('DCF Model'!C19+2)+'DCF Model'!F45/(1+$B7)^('DCF Model'!C19+3)+'DCF Model'!G45/(1+$B7)^('DCF Model'!C19+4)+'DCF Model'!G45*(1+G$6)/($B7-G$6)/(1+$B7)^('DCF Model'!C19+4)-'DCF Model'!C16)*1000000/'DCF Model'!C15,0),"")</f>
        <v>3246</v>
      </c>
      <c r="H7" s="37">
        <f>IFERROR(ROUND(('DCF Model'!C45/(1+$B7)^('DCF Model'!C19+0)+'DCF Model'!D45/(1+$B7)^('DCF Model'!C19+1)+'DCF Model'!E45/(1+$B7)^('DCF Model'!C19+2)+'DCF Model'!F45/(1+$B7)^('DCF Model'!C19+3)+'DCF Model'!G45/(1+$B7)^('DCF Model'!C19+4)+'DCF Model'!G45*(1+H$6)/($B7-H$6)/(1+$B7)^('DCF Model'!C19+4)-'DCF Model'!C16)*1000000/'DCF Model'!C15,0),"")</f>
        <v>3374</v>
      </c>
      <c r="I7" s="37">
        <f>IFERROR(ROUND(('DCF Model'!C45/(1+$B7)^('DCF Model'!C19+0)+'DCF Model'!D45/(1+$B7)^('DCF Model'!C19+1)+'DCF Model'!E45/(1+$B7)^('DCF Model'!C19+2)+'DCF Model'!F45/(1+$B7)^('DCF Model'!C19+3)+'DCF Model'!G45/(1+$B7)^('DCF Model'!C19+4)+'DCF Model'!G45*(1+I$6)/($B7-I$6)/(1+$B7)^('DCF Model'!C19+4)-'DCF Model'!C16)*1000000/'DCF Model'!C15,0),"")</f>
        <v>3515</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2649</v>
      </c>
      <c r="D8" s="37">
        <f>IFERROR(ROUND(('DCF Model'!C45/(1+$B8)^('DCF Model'!C19+0)+'DCF Model'!D45/(1+$B8)^('DCF Model'!C19+1)+'DCF Model'!E45/(1+$B8)^('DCF Model'!C19+2)+'DCF Model'!F45/(1+$B8)^('DCF Model'!C19+3)+'DCF Model'!G45/(1+$B8)^('DCF Model'!C19+4)+'DCF Model'!G45*(1+D$6)/($B8-D$6)/(1+$B8)^('DCF Model'!C19+4)-'DCF Model'!C16)*1000000/'DCF Model'!C15,0),"")</f>
        <v>2723</v>
      </c>
      <c r="E8" s="37">
        <f>IFERROR(ROUND(('DCF Model'!C45/(1+$B8)^('DCF Model'!C19+0)+'DCF Model'!D45/(1+$B8)^('DCF Model'!C19+1)+'DCF Model'!E45/(1+$B8)^('DCF Model'!C19+2)+'DCF Model'!F45/(1+$B8)^('DCF Model'!C19+3)+'DCF Model'!G45/(1+$B8)^('DCF Model'!C19+4)+'DCF Model'!G45*(1+E$6)/($B8-E$6)/(1+$B8)^('DCF Model'!C19+4)-'DCF Model'!C16)*1000000/'DCF Model'!C15,0),"")</f>
        <v>2803</v>
      </c>
      <c r="F8" s="37">
        <f>IFERROR(ROUND(('DCF Model'!C45/(1+$B8)^('DCF Model'!C19+0)+'DCF Model'!D45/(1+$B8)^('DCF Model'!C19+1)+'DCF Model'!E45/(1+$B8)^('DCF Model'!C19+2)+'DCF Model'!F45/(1+$B8)^('DCF Model'!C19+3)+'DCF Model'!G45/(1+$B8)^('DCF Model'!C19+4)+'DCF Model'!G45*(1+F$6)/($B8-F$6)/(1+$B8)^('DCF Model'!C19+4)-'DCF Model'!C16)*1000000/'DCF Model'!C15,0),"")</f>
        <v>2890</v>
      </c>
      <c r="G8" s="37">
        <f>IFERROR(ROUND(('DCF Model'!C45/(1+$B8)^('DCF Model'!C19+0)+'DCF Model'!D45/(1+$B8)^('DCF Model'!C19+1)+'DCF Model'!E45/(1+$B8)^('DCF Model'!C19+2)+'DCF Model'!F45/(1+$B8)^('DCF Model'!C19+3)+'DCF Model'!G45/(1+$B8)^('DCF Model'!C19+4)+'DCF Model'!G45*(1+G$6)/($B8-G$6)/(1+$B8)^('DCF Model'!C19+4)-'DCF Model'!C16)*1000000/'DCF Model'!C15,0),"")</f>
        <v>2985</v>
      </c>
      <c r="H8" s="37">
        <f>IFERROR(ROUND(('DCF Model'!C45/(1+$B8)^('DCF Model'!C19+0)+'DCF Model'!D45/(1+$B8)^('DCF Model'!C19+1)+'DCF Model'!E45/(1+$B8)^('DCF Model'!C19+2)+'DCF Model'!F45/(1+$B8)^('DCF Model'!C19+3)+'DCF Model'!G45/(1+$B8)^('DCF Model'!C19+4)+'DCF Model'!G45*(1+H$6)/($B8-H$6)/(1+$B8)^('DCF Model'!C19+4)-'DCF Model'!C16)*1000000/'DCF Model'!C15,0),"")</f>
        <v>3088</v>
      </c>
      <c r="I8" s="37">
        <f>IFERROR(ROUND(('DCF Model'!C45/(1+$B8)^('DCF Model'!C19+0)+'DCF Model'!D45/(1+$B8)^('DCF Model'!C19+1)+'DCF Model'!E45/(1+$B8)^('DCF Model'!C19+2)+'DCF Model'!F45/(1+$B8)^('DCF Model'!C19+3)+'DCF Model'!G45/(1+$B8)^('DCF Model'!C19+4)+'DCF Model'!G45*(1+I$6)/($B8-I$6)/(1+$B8)^('DCF Model'!C19+4)-'DCF Model'!C16)*1000000/'DCF Model'!C15,0),"")</f>
        <v>3202</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2484</v>
      </c>
      <c r="D9" s="37">
        <f>IFERROR(ROUND(('DCF Model'!C45/(1+$B9)^('DCF Model'!C19+0)+'DCF Model'!D45/(1+$B9)^('DCF Model'!C19+1)+'DCF Model'!E45/(1+$B9)^('DCF Model'!C19+2)+'DCF Model'!F45/(1+$B9)^('DCF Model'!C19+3)+'DCF Model'!G45/(1+$B9)^('DCF Model'!C19+4)+'DCF Model'!G45*(1+D$6)/($B9-D$6)/(1+$B9)^('DCF Model'!C19+4)-'DCF Model'!C16)*1000000/'DCF Model'!C15,0),"")</f>
        <v>2547</v>
      </c>
      <c r="E9" s="37">
        <f>IFERROR(ROUND(('DCF Model'!C45/(1+$B9)^('DCF Model'!C19+0)+'DCF Model'!D45/(1+$B9)^('DCF Model'!C19+1)+'DCF Model'!E45/(1+$B9)^('DCF Model'!C19+2)+'DCF Model'!F45/(1+$B9)^('DCF Model'!C19+3)+'DCF Model'!G45/(1+$B9)^('DCF Model'!C19+4)+'DCF Model'!G45*(1+E$6)/($B9-E$6)/(1+$B9)^('DCF Model'!C19+4)-'DCF Model'!C16)*1000000/'DCF Model'!C15,0),"")</f>
        <v>2615</v>
      </c>
      <c r="F9" s="37">
        <f>IFERROR(ROUND(('DCF Model'!C45/(1+$B9)^('DCF Model'!C19+0)+'DCF Model'!D45/(1+$B9)^('DCF Model'!C19+1)+'DCF Model'!E45/(1+$B9)^('DCF Model'!C19+2)+'DCF Model'!F45/(1+$B9)^('DCF Model'!C19+3)+'DCF Model'!G45/(1+$B9)^('DCF Model'!C19+4)+'DCF Model'!G45*(1+F$6)/($B9-F$6)/(1+$B9)^('DCF Model'!C19+4)-'DCF Model'!C16)*1000000/'DCF Model'!C15,0),"")</f>
        <v>2687</v>
      </c>
      <c r="G9" s="37">
        <f>IFERROR(ROUND(('DCF Model'!C45/(1+$B9)^('DCF Model'!C19+0)+'DCF Model'!D45/(1+$B9)^('DCF Model'!C19+1)+'DCF Model'!E45/(1+$B9)^('DCF Model'!C19+2)+'DCF Model'!F45/(1+$B9)^('DCF Model'!C19+3)+'DCF Model'!G45/(1+$B9)^('DCF Model'!C19+4)+'DCF Model'!G45*(1+G$6)/($B9-G$6)/(1+$B9)^('DCF Model'!C19+4)-'DCF Model'!C16)*1000000/'DCF Model'!C15,0),"")</f>
        <v>2766</v>
      </c>
      <c r="H9" s="37">
        <f>IFERROR(ROUND(('DCF Model'!C45/(1+$B9)^('DCF Model'!C19+0)+'DCF Model'!D45/(1+$B9)^('DCF Model'!C19+1)+'DCF Model'!E45/(1+$B9)^('DCF Model'!C19+2)+'DCF Model'!F45/(1+$B9)^('DCF Model'!C19+3)+'DCF Model'!G45/(1+$B9)^('DCF Model'!C19+4)+'DCF Model'!G45*(1+H$6)/($B9-H$6)/(1+$B9)^('DCF Model'!C19+4)-'DCF Model'!C16)*1000000/'DCF Model'!C15,0),"")</f>
        <v>2852</v>
      </c>
      <c r="I9" s="37">
        <f>IFERROR(ROUND(('DCF Model'!C45/(1+$B9)^('DCF Model'!C19+0)+'DCF Model'!D45/(1+$B9)^('DCF Model'!C19+1)+'DCF Model'!E45/(1+$B9)^('DCF Model'!C19+2)+'DCF Model'!F45/(1+$B9)^('DCF Model'!C19+3)+'DCF Model'!G45/(1+$B9)^('DCF Model'!C19+4)+'DCF Model'!G45*(1+I$6)/($B9-I$6)/(1+$B9)^('DCF Model'!C19+4)-'DCF Model'!C16)*1000000/'DCF Model'!C15,0),"")</f>
        <v>2945</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2341</v>
      </c>
      <c r="D10" s="37">
        <f>IFERROR(ROUND(('DCF Model'!C45/(1+$B10)^('DCF Model'!C19+0)+'DCF Model'!D45/(1+$B10)^('DCF Model'!C19+1)+'DCF Model'!E45/(1+$B10)^('DCF Model'!C19+2)+'DCF Model'!F45/(1+$B10)^('DCF Model'!C19+3)+'DCF Model'!G45/(1+$B10)^('DCF Model'!C19+4)+'DCF Model'!G45*(1+D$6)/($B10-D$6)/(1+$B10)^('DCF Model'!C19+4)-'DCF Model'!C16)*1000000/'DCF Model'!C15,0),"")</f>
        <v>2395</v>
      </c>
      <c r="E10" s="37">
        <f>IFERROR(ROUND(('DCF Model'!C45/(1+$B10)^('DCF Model'!C19+0)+'DCF Model'!D45/(1+$B10)^('DCF Model'!C19+1)+'DCF Model'!E45/(1+$B10)^('DCF Model'!C19+2)+'DCF Model'!F45/(1+$B10)^('DCF Model'!C19+3)+'DCF Model'!G45/(1+$B10)^('DCF Model'!C19+4)+'DCF Model'!G45*(1+E$6)/($B10-E$6)/(1+$B10)^('DCF Model'!C19+4)-'DCF Model'!C16)*1000000/'DCF Model'!C15,0),"")</f>
        <v>2453</v>
      </c>
      <c r="F10" s="37">
        <f>IFERROR(ROUND(('DCF Model'!C45/(1+$B10)^('DCF Model'!C19+0)+'DCF Model'!D45/(1+$B10)^('DCF Model'!C19+1)+'DCF Model'!E45/(1+$B10)^('DCF Model'!C19+2)+'DCF Model'!F45/(1+$B10)^('DCF Model'!C19+3)+'DCF Model'!G45/(1+$B10)^('DCF Model'!C19+4)+'DCF Model'!G45*(1+F$6)/($B10-F$6)/(1+$B10)^('DCF Model'!C19+4)-'DCF Model'!C16)*1000000/'DCF Model'!C15,0),"")</f>
        <v>2515</v>
      </c>
      <c r="G10" s="37">
        <f>IFERROR(ROUND(('DCF Model'!C45/(1+$B10)^('DCF Model'!C19+0)+'DCF Model'!D45/(1+$B10)^('DCF Model'!C19+1)+'DCF Model'!E45/(1+$B10)^('DCF Model'!C19+2)+'DCF Model'!F45/(1+$B10)^('DCF Model'!C19+3)+'DCF Model'!G45/(1+$B10)^('DCF Model'!C19+4)+'DCF Model'!G45*(1+G$6)/($B10-G$6)/(1+$B10)^('DCF Model'!C19+4)-'DCF Model'!C16)*1000000/'DCF Model'!C15,0),"")</f>
        <v>2581</v>
      </c>
      <c r="H10" s="37">
        <f>IFERROR(ROUND(('DCF Model'!C45/(1+$B10)^('DCF Model'!C19+0)+'DCF Model'!D45/(1+$B10)^('DCF Model'!C19+1)+'DCF Model'!E45/(1+$B10)^('DCF Model'!C19+2)+'DCF Model'!F45/(1+$B10)^('DCF Model'!C19+3)+'DCF Model'!G45/(1+$B10)^('DCF Model'!C19+4)+'DCF Model'!G45*(1+H$6)/($B10-H$6)/(1+$B10)^('DCF Model'!C19+4)-'DCF Model'!C16)*1000000/'DCF Model'!C15,0),"")</f>
        <v>2653</v>
      </c>
      <c r="I10" s="37">
        <f>IFERROR(ROUND(('DCF Model'!C45/(1+$B10)^('DCF Model'!C19+0)+'DCF Model'!D45/(1+$B10)^('DCF Model'!C19+1)+'DCF Model'!E45/(1+$B10)^('DCF Model'!C19+2)+'DCF Model'!F45/(1+$B10)^('DCF Model'!C19+3)+'DCF Model'!G45/(1+$B10)^('DCF Model'!C19+4)+'DCF Model'!G45*(1+I$6)/($B10-I$6)/(1+$B10)^('DCF Model'!C19+4)-'DCF Model'!C16)*1000000/'DCF Model'!C15,0),"")</f>
        <v>2730</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2216</v>
      </c>
      <c r="D11" s="37">
        <f>IFERROR(ROUND(('DCF Model'!C45/(1+$B11)^('DCF Model'!C19+0)+'DCF Model'!D45/(1+$B11)^('DCF Model'!C19+1)+'DCF Model'!E45/(1+$B11)^('DCF Model'!C19+2)+'DCF Model'!F45/(1+$B11)^('DCF Model'!C19+3)+'DCF Model'!G45/(1+$B11)^('DCF Model'!C19+4)+'DCF Model'!G45*(1+D$6)/($B11-D$6)/(1+$B11)^('DCF Model'!C19+4)-'DCF Model'!C16)*1000000/'DCF Model'!C15,0),"")</f>
        <v>2263</v>
      </c>
      <c r="E11" s="37">
        <f>IFERROR(ROUND(('DCF Model'!C45/(1+$B11)^('DCF Model'!C19+0)+'DCF Model'!D45/(1+$B11)^('DCF Model'!C19+1)+'DCF Model'!E45/(1+$B11)^('DCF Model'!C19+2)+'DCF Model'!F45/(1+$B11)^('DCF Model'!C19+3)+'DCF Model'!G45/(1+$B11)^('DCF Model'!C19+4)+'DCF Model'!G45*(1+E$6)/($B11-E$6)/(1+$B11)^('DCF Model'!C19+4)-'DCF Model'!C16)*1000000/'DCF Model'!C15,0),"")</f>
        <v>2312</v>
      </c>
      <c r="F11" s="37">
        <f>IFERROR(ROUND(('DCF Model'!C45/(1+$B11)^('DCF Model'!C19+0)+'DCF Model'!D45/(1+$B11)^('DCF Model'!C19+1)+'DCF Model'!E45/(1+$B11)^('DCF Model'!C19+2)+'DCF Model'!F45/(1+$B11)^('DCF Model'!C19+3)+'DCF Model'!G45/(1+$B11)^('DCF Model'!C19+4)+'DCF Model'!G45*(1+F$6)/($B11-F$6)/(1+$B11)^('DCF Model'!C19+4)-'DCF Model'!C16)*1000000/'DCF Model'!C15,0),"")</f>
        <v>2365</v>
      </c>
      <c r="G11" s="37">
        <f>IFERROR(ROUND(('DCF Model'!C45/(1+$B11)^('DCF Model'!C19+0)+'DCF Model'!D45/(1+$B11)^('DCF Model'!C19+1)+'DCF Model'!E45/(1+$B11)^('DCF Model'!C19+2)+'DCF Model'!F45/(1+$B11)^('DCF Model'!C19+3)+'DCF Model'!G45/(1+$B11)^('DCF Model'!C19+4)+'DCF Model'!G45*(1+G$6)/($B11-G$6)/(1+$B11)^('DCF Model'!C19+4)-'DCF Model'!C16)*1000000/'DCF Model'!C15,0),"")</f>
        <v>2422</v>
      </c>
      <c r="H11" s="37">
        <f>IFERROR(ROUND(('DCF Model'!C45/(1+$B11)^('DCF Model'!C19+0)+'DCF Model'!D45/(1+$B11)^('DCF Model'!C19+1)+'DCF Model'!E45/(1+$B11)^('DCF Model'!C19+2)+'DCF Model'!F45/(1+$B11)^('DCF Model'!C19+3)+'DCF Model'!G45/(1+$B11)^('DCF Model'!C19+4)+'DCF Model'!G45*(1+H$6)/($B11-H$6)/(1+$B11)^('DCF Model'!C19+4)-'DCF Model'!C16)*1000000/'DCF Model'!C15,0),"")</f>
        <v>2483</v>
      </c>
      <c r="I11" s="37">
        <f>IFERROR(ROUND(('DCF Model'!C45/(1+$B11)^('DCF Model'!C19+0)+'DCF Model'!D45/(1+$B11)^('DCF Model'!C19+1)+'DCF Model'!E45/(1+$B11)^('DCF Model'!C19+2)+'DCF Model'!F45/(1+$B11)^('DCF Model'!C19+3)+'DCF Model'!G45/(1+$B11)^('DCF Model'!C19+4)+'DCF Model'!G45*(1+I$6)/($B11-I$6)/(1+$B11)^('DCF Model'!C19+4)-'DCF Model'!C16)*1000000/'DCF Model'!C15,0),"")</f>
        <v>2548</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2105</v>
      </c>
      <c r="D12" s="37">
        <f>IFERROR(ROUND(('DCF Model'!C45/(1+$B12)^('DCF Model'!C19+0)+'DCF Model'!D45/(1+$B12)^('DCF Model'!C19+1)+'DCF Model'!E45/(1+$B12)^('DCF Model'!C19+2)+'DCF Model'!F45/(1+$B12)^('DCF Model'!C19+3)+'DCF Model'!G45/(1+$B12)^('DCF Model'!C19+4)+'DCF Model'!G45*(1+D$6)/($B12-D$6)/(1+$B12)^('DCF Model'!C19+4)-'DCF Model'!C16)*1000000/'DCF Model'!C15,0),"")</f>
        <v>2146</v>
      </c>
      <c r="E12" s="37">
        <f>IFERROR(ROUND(('DCF Model'!C45/(1+$B12)^('DCF Model'!C19+0)+'DCF Model'!D45/(1+$B12)^('DCF Model'!C19+1)+'DCF Model'!E45/(1+$B12)^('DCF Model'!C19+2)+'DCF Model'!F45/(1+$B12)^('DCF Model'!C19+3)+'DCF Model'!G45/(1+$B12)^('DCF Model'!C19+4)+'DCF Model'!G45*(1+E$6)/($B12-E$6)/(1+$B12)^('DCF Model'!C19+4)-'DCF Model'!C16)*1000000/'DCF Model'!C15,0),"")</f>
        <v>2189</v>
      </c>
      <c r="F12" s="37">
        <f>IFERROR(ROUND(('DCF Model'!C45/(1+$B12)^('DCF Model'!C19+0)+'DCF Model'!D45/(1+$B12)^('DCF Model'!C19+1)+'DCF Model'!E45/(1+$B12)^('DCF Model'!C19+2)+'DCF Model'!F45/(1+$B12)^('DCF Model'!C19+3)+'DCF Model'!G45/(1+$B12)^('DCF Model'!C19+4)+'DCF Model'!G45*(1+F$6)/($B12-F$6)/(1+$B12)^('DCF Model'!C19+4)-'DCF Model'!C16)*1000000/'DCF Model'!C15,0),"")</f>
        <v>2235</v>
      </c>
      <c r="G12" s="37">
        <f>IFERROR(ROUND(('DCF Model'!C45/(1+$B12)^('DCF Model'!C19+0)+'DCF Model'!D45/(1+$B12)^('DCF Model'!C19+1)+'DCF Model'!E45/(1+$B12)^('DCF Model'!C19+2)+'DCF Model'!F45/(1+$B12)^('DCF Model'!C19+3)+'DCF Model'!G45/(1+$B12)^('DCF Model'!C19+4)+'DCF Model'!G45*(1+G$6)/($B12-G$6)/(1+$B12)^('DCF Model'!C19+4)-'DCF Model'!C16)*1000000/'DCF Model'!C15,0),"")</f>
        <v>2284</v>
      </c>
      <c r="H12" s="37">
        <f>IFERROR(ROUND(('DCF Model'!C45/(1+$B12)^('DCF Model'!C19+0)+'DCF Model'!D45/(1+$B12)^('DCF Model'!C19+1)+'DCF Model'!E45/(1+$B12)^('DCF Model'!C19+2)+'DCF Model'!F45/(1+$B12)^('DCF Model'!C19+3)+'DCF Model'!G45/(1+$B12)^('DCF Model'!C19+4)+'DCF Model'!G45*(1+H$6)/($B12-H$6)/(1+$B12)^('DCF Model'!C19+4)-'DCF Model'!C16)*1000000/'DCF Model'!C15,0),"")</f>
        <v>2336</v>
      </c>
      <c r="I12" s="37">
        <f>IFERROR(ROUND(('DCF Model'!C45/(1+$B12)^('DCF Model'!C19+0)+'DCF Model'!D45/(1+$B12)^('DCF Model'!C19+1)+'DCF Model'!E45/(1+$B12)^('DCF Model'!C19+2)+'DCF Model'!F45/(1+$B12)^('DCF Model'!C19+3)+'DCF Model'!G45/(1+$B12)^('DCF Model'!C19+4)+'DCF Model'!G45*(1+I$6)/($B12-I$6)/(1+$B12)^('DCF Model'!C19+4)-'DCF Model'!C16)*1000000/'DCF Model'!C15,0),"")</f>
        <v>2392</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2007</v>
      </c>
      <c r="D13" s="37">
        <f>IFERROR(ROUND(('DCF Model'!C45/(1+$B13)^('DCF Model'!C19+0)+'DCF Model'!D45/(1+$B13)^('DCF Model'!C19+1)+'DCF Model'!E45/(1+$B13)^('DCF Model'!C19+2)+'DCF Model'!F45/(1+$B13)^('DCF Model'!C19+3)+'DCF Model'!G45/(1+$B13)^('DCF Model'!C19+4)+'DCF Model'!G45*(1+D$6)/($B13-D$6)/(1+$B13)^('DCF Model'!C19+4)-'DCF Model'!C16)*1000000/'DCF Model'!C15,0),"")</f>
        <v>2043</v>
      </c>
      <c r="E13" s="37">
        <f>IFERROR(ROUND(('DCF Model'!C45/(1+$B13)^('DCF Model'!C19+0)+'DCF Model'!D45/(1+$B13)^('DCF Model'!C19+1)+'DCF Model'!E45/(1+$B13)^('DCF Model'!C19+2)+'DCF Model'!F45/(1+$B13)^('DCF Model'!C19+3)+'DCF Model'!G45/(1+$B13)^('DCF Model'!C19+4)+'DCF Model'!G45*(1+E$6)/($B13-E$6)/(1+$B13)^('DCF Model'!C19+4)-'DCF Model'!C16)*1000000/'DCF Model'!C15,0),"")</f>
        <v>2080</v>
      </c>
      <c r="F13" s="37">
        <f>IFERROR(ROUND(('DCF Model'!C45/(1+$B13)^('DCF Model'!C19+0)+'DCF Model'!D45/(1+$B13)^('DCF Model'!C19+1)+'DCF Model'!E45/(1+$B13)^('DCF Model'!C19+2)+'DCF Model'!F45/(1+$B13)^('DCF Model'!C19+3)+'DCF Model'!G45/(1+$B13)^('DCF Model'!C19+4)+'DCF Model'!G45*(1+F$6)/($B13-F$6)/(1+$B13)^('DCF Model'!C19+4)-'DCF Model'!C16)*1000000/'DCF Model'!C15,0),"")</f>
        <v>2120</v>
      </c>
      <c r="G13" s="37">
        <f>IFERROR(ROUND(('DCF Model'!C45/(1+$B13)^('DCF Model'!C19+0)+'DCF Model'!D45/(1+$B13)^('DCF Model'!C19+1)+'DCF Model'!E45/(1+$B13)^('DCF Model'!C19+2)+'DCF Model'!F45/(1+$B13)^('DCF Model'!C19+3)+'DCF Model'!G45/(1+$B13)^('DCF Model'!C19+4)+'DCF Model'!G45*(1+G$6)/($B13-G$6)/(1+$B13)^('DCF Model'!C19+4)-'DCF Model'!C16)*1000000/'DCF Model'!C15,0),"")</f>
        <v>2163</v>
      </c>
      <c r="H13" s="37">
        <f>IFERROR(ROUND(('DCF Model'!C45/(1+$B13)^('DCF Model'!C19+0)+'DCF Model'!D45/(1+$B13)^('DCF Model'!C19+1)+'DCF Model'!E45/(1+$B13)^('DCF Model'!C19+2)+'DCF Model'!F45/(1+$B13)^('DCF Model'!C19+3)+'DCF Model'!G45/(1+$B13)^('DCF Model'!C19+4)+'DCF Model'!G45*(1+H$6)/($B13-H$6)/(1+$B13)^('DCF Model'!C19+4)-'DCF Model'!C16)*1000000/'DCF Model'!C15,0),"")</f>
        <v>2208</v>
      </c>
      <c r="I13" s="37">
        <f>IFERROR(ROUND(('DCF Model'!C45/(1+$B13)^('DCF Model'!C19+0)+'DCF Model'!D45/(1+$B13)^('DCF Model'!C19+1)+'DCF Model'!E45/(1+$B13)^('DCF Model'!C19+2)+'DCF Model'!F45/(1+$B13)^('DCF Model'!C19+3)+'DCF Model'!G45/(1+$B13)^('DCF Model'!C19+4)+'DCF Model'!G45*(1+I$6)/($B13-I$6)/(1+$B13)^('DCF Model'!C19+4)-'DCF Model'!C16)*1000000/'DCF Model'!C15,0),"")</f>
        <v>2256</v>
      </c>
    </row>
    <row r="16" spans="2:9" ht="14" customHeight="1" x14ac:dyDescent="0.3">
      <c r="B16" s="3" t="s">
        <v>236</v>
      </c>
    </row>
    <row r="17" spans="2:9" ht="14" customHeight="1" x14ac:dyDescent="0.3">
      <c r="B17" s="40" t="s">
        <v>237</v>
      </c>
      <c r="C17" s="42">
        <f>$I$3-3</f>
        <v>9.6</v>
      </c>
      <c r="D17" s="42">
        <f>$I$3-2</f>
        <v>10.6</v>
      </c>
      <c r="E17" s="42">
        <f>$I$3-1</f>
        <v>11.6</v>
      </c>
      <c r="F17" s="42">
        <f>$I$3</f>
        <v>12.6</v>
      </c>
      <c r="G17" s="42">
        <f>$I$3+1</f>
        <v>13.6</v>
      </c>
      <c r="H17" s="42">
        <f>$I$3+2</f>
        <v>14.6</v>
      </c>
      <c r="I17" s="42">
        <f>$I$3+3</f>
        <v>15.6</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2917</v>
      </c>
      <c r="D18" s="37">
        <f>IFERROR(ROUND(('DCF Model'!C45/(1+$B18)^('DCF Model'!C19+0)+'DCF Model'!D45/(1+$B18)^('DCF Model'!C19+1)+'DCF Model'!E45/(1+$B18)^('DCF Model'!C19+2)+'DCF Model'!F45/(1+$B18)^('DCF Model'!C19+3)+'DCF Model'!G45/(1+$B18)^('DCF Model'!C19+4)+('DCF Model'!G39+'DCF Model'!G42)*D$17/(1+$B18)^('DCF Model'!C19+4)-'DCF Model'!C16)*1000000/'DCF Model'!C15,0),"")</f>
        <v>3129</v>
      </c>
      <c r="E18" s="37">
        <f>IFERROR(ROUND(('DCF Model'!C45/(1+$B18)^('DCF Model'!C19+0)+'DCF Model'!D45/(1+$B18)^('DCF Model'!C19+1)+'DCF Model'!E45/(1+$B18)^('DCF Model'!C19+2)+'DCF Model'!F45/(1+$B18)^('DCF Model'!C19+3)+'DCF Model'!G45/(1+$B18)^('DCF Model'!C19+4)+('DCF Model'!G39+'DCF Model'!G42)*E$17/(1+$B18)^('DCF Model'!C19+4)-'DCF Model'!C16)*1000000/'DCF Model'!C15,0),"")</f>
        <v>3341</v>
      </c>
      <c r="F18" s="37">
        <f>IFERROR(ROUND(('DCF Model'!C45/(1+$B18)^('DCF Model'!C19+0)+'DCF Model'!D45/(1+$B18)^('DCF Model'!C19+1)+'DCF Model'!E45/(1+$B18)^('DCF Model'!C19+2)+'DCF Model'!F45/(1+$B18)^('DCF Model'!C19+3)+'DCF Model'!G45/(1+$B18)^('DCF Model'!C19+4)+('DCF Model'!G39+'DCF Model'!G42)*F$17/(1+$B18)^('DCF Model'!C19+4)-'DCF Model'!C16)*1000000/'DCF Model'!C15,0),"")</f>
        <v>3553</v>
      </c>
      <c r="G18" s="37">
        <f>IFERROR(ROUND(('DCF Model'!C45/(1+$B18)^('DCF Model'!C19+0)+'DCF Model'!D45/(1+$B18)^('DCF Model'!C19+1)+'DCF Model'!E45/(1+$B18)^('DCF Model'!C19+2)+'DCF Model'!F45/(1+$B18)^('DCF Model'!C19+3)+'DCF Model'!G45/(1+$B18)^('DCF Model'!C19+4)+('DCF Model'!G39+'DCF Model'!G42)*G$17/(1+$B18)^('DCF Model'!C19+4)-'DCF Model'!C16)*1000000/'DCF Model'!C15,0),"")</f>
        <v>3765</v>
      </c>
      <c r="H18" s="37">
        <f>IFERROR(ROUND(('DCF Model'!C45/(1+$B18)^('DCF Model'!C19+0)+'DCF Model'!D45/(1+$B18)^('DCF Model'!C19+1)+'DCF Model'!E45/(1+$B18)^('DCF Model'!C19+2)+'DCF Model'!F45/(1+$B18)^('DCF Model'!C19+3)+'DCF Model'!G45/(1+$B18)^('DCF Model'!C19+4)+('DCF Model'!G39+'DCF Model'!G42)*H$17/(1+$B18)^('DCF Model'!C19+4)-'DCF Model'!C16)*1000000/'DCF Model'!C15,0),"")</f>
        <v>3976</v>
      </c>
      <c r="I18" s="37">
        <f>IFERROR(ROUND(('DCF Model'!C45/(1+$B18)^('DCF Model'!C19+0)+'DCF Model'!D45/(1+$B18)^('DCF Model'!C19+1)+'DCF Model'!E45/(1+$B18)^('DCF Model'!C19+2)+'DCF Model'!F45/(1+$B18)^('DCF Model'!C19+3)+'DCF Model'!G45/(1+$B18)^('DCF Model'!C19+4)+('DCF Model'!G39+'DCF Model'!G42)*I$17/(1+$B18)^('DCF Model'!C19+4)-'DCF Model'!C16)*1000000/'DCF Model'!C15,0),"")</f>
        <v>4188</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2869</v>
      </c>
      <c r="D19" s="37">
        <f>IFERROR(ROUND(('DCF Model'!C45/(1+$B19)^('DCF Model'!C19+0)+'DCF Model'!D45/(1+$B19)^('DCF Model'!C19+1)+'DCF Model'!E45/(1+$B19)^('DCF Model'!C19+2)+'DCF Model'!F45/(1+$B19)^('DCF Model'!C19+3)+'DCF Model'!G45/(1+$B19)^('DCF Model'!C19+4)+('DCF Model'!G39+'DCF Model'!G42)*D$17/(1+$B19)^('DCF Model'!C19+4)-'DCF Model'!C16)*1000000/'DCF Model'!C15,0),"")</f>
        <v>3076</v>
      </c>
      <c r="E19" s="37">
        <f>IFERROR(ROUND(('DCF Model'!C45/(1+$B19)^('DCF Model'!C19+0)+'DCF Model'!D45/(1+$B19)^('DCF Model'!C19+1)+'DCF Model'!E45/(1+$B19)^('DCF Model'!C19+2)+'DCF Model'!F45/(1+$B19)^('DCF Model'!C19+3)+'DCF Model'!G45/(1+$B19)^('DCF Model'!C19+4)+('DCF Model'!G39+'DCF Model'!G42)*E$17/(1+$B19)^('DCF Model'!C19+4)-'DCF Model'!C16)*1000000/'DCF Model'!C15,0),"")</f>
        <v>3283</v>
      </c>
      <c r="F19" s="37">
        <f>IFERROR(ROUND(('DCF Model'!C45/(1+$B19)^('DCF Model'!C19+0)+'DCF Model'!D45/(1+$B19)^('DCF Model'!C19+1)+'DCF Model'!E45/(1+$B19)^('DCF Model'!C19+2)+'DCF Model'!F45/(1+$B19)^('DCF Model'!C19+3)+'DCF Model'!G45/(1+$B19)^('DCF Model'!C19+4)+('DCF Model'!G39+'DCF Model'!G42)*F$17/(1+$B19)^('DCF Model'!C19+4)-'DCF Model'!C16)*1000000/'DCF Model'!C15,0),"")</f>
        <v>3491</v>
      </c>
      <c r="G19" s="37">
        <f>IFERROR(ROUND(('DCF Model'!C45/(1+$B19)^('DCF Model'!C19+0)+'DCF Model'!D45/(1+$B19)^('DCF Model'!C19+1)+'DCF Model'!E45/(1+$B19)^('DCF Model'!C19+2)+'DCF Model'!F45/(1+$B19)^('DCF Model'!C19+3)+'DCF Model'!G45/(1+$B19)^('DCF Model'!C19+4)+('DCF Model'!G39+'DCF Model'!G42)*G$17/(1+$B19)^('DCF Model'!C19+4)-'DCF Model'!C16)*1000000/'DCF Model'!C15,0),"")</f>
        <v>3698</v>
      </c>
      <c r="H19" s="37">
        <f>IFERROR(ROUND(('DCF Model'!C45/(1+$B19)^('DCF Model'!C19+0)+'DCF Model'!D45/(1+$B19)^('DCF Model'!C19+1)+'DCF Model'!E45/(1+$B19)^('DCF Model'!C19+2)+'DCF Model'!F45/(1+$B19)^('DCF Model'!C19+3)+'DCF Model'!G45/(1+$B19)^('DCF Model'!C19+4)+('DCF Model'!G39+'DCF Model'!G42)*H$17/(1+$B19)^('DCF Model'!C19+4)-'DCF Model'!C16)*1000000/'DCF Model'!C15,0),"")</f>
        <v>3906</v>
      </c>
      <c r="I19" s="37">
        <f>IFERROR(ROUND(('DCF Model'!C45/(1+$B19)^('DCF Model'!C19+0)+'DCF Model'!D45/(1+$B19)^('DCF Model'!C19+1)+'DCF Model'!E45/(1+$B19)^('DCF Model'!C19+2)+'DCF Model'!F45/(1+$B19)^('DCF Model'!C19+3)+'DCF Model'!G45/(1+$B19)^('DCF Model'!C19+4)+('DCF Model'!G39+'DCF Model'!G42)*I$17/(1+$B19)^('DCF Model'!C19+4)-'DCF Model'!C16)*1000000/'DCF Model'!C15,0),"")</f>
        <v>4113</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2821</v>
      </c>
      <c r="D20" s="37">
        <f>IFERROR(ROUND(('DCF Model'!C45/(1+$B20)^('DCF Model'!C19+0)+'DCF Model'!D45/(1+$B20)^('DCF Model'!C19+1)+'DCF Model'!E45/(1+$B20)^('DCF Model'!C19+2)+'DCF Model'!F45/(1+$B20)^('DCF Model'!C19+3)+'DCF Model'!G45/(1+$B20)^('DCF Model'!C19+4)+('DCF Model'!G39+'DCF Model'!G42)*D$17/(1+$B20)^('DCF Model'!C19+4)-'DCF Model'!C16)*1000000/'DCF Model'!C15,0),"")</f>
        <v>3024</v>
      </c>
      <c r="E20" s="37">
        <f>IFERROR(ROUND(('DCF Model'!C45/(1+$B20)^('DCF Model'!C19+0)+'DCF Model'!D45/(1+$B20)^('DCF Model'!C19+1)+'DCF Model'!E45/(1+$B20)^('DCF Model'!C19+2)+'DCF Model'!F45/(1+$B20)^('DCF Model'!C19+3)+'DCF Model'!G45/(1+$B20)^('DCF Model'!C19+4)+('DCF Model'!G39+'DCF Model'!G42)*E$17/(1+$B20)^('DCF Model'!C19+4)-'DCF Model'!C16)*1000000/'DCF Model'!C15,0),"")</f>
        <v>3227</v>
      </c>
      <c r="F20" s="37">
        <f>IFERROR(ROUND(('DCF Model'!C45/(1+$B20)^('DCF Model'!C19+0)+'DCF Model'!D45/(1+$B20)^('DCF Model'!C19+1)+'DCF Model'!E45/(1+$B20)^('DCF Model'!C19+2)+'DCF Model'!F45/(1+$B20)^('DCF Model'!C19+3)+'DCF Model'!G45/(1+$B20)^('DCF Model'!C19+4)+('DCF Model'!G39+'DCF Model'!G42)*F$17/(1+$B20)^('DCF Model'!C19+4)-'DCF Model'!C16)*1000000/'DCF Model'!C15,0),"")</f>
        <v>3431</v>
      </c>
      <c r="G20" s="37">
        <f>IFERROR(ROUND(('DCF Model'!C45/(1+$B20)^('DCF Model'!C19+0)+'DCF Model'!D45/(1+$B20)^('DCF Model'!C19+1)+'DCF Model'!E45/(1+$B20)^('DCF Model'!C19+2)+'DCF Model'!F45/(1+$B20)^('DCF Model'!C19+3)+'DCF Model'!G45/(1+$B20)^('DCF Model'!C19+4)+('DCF Model'!G39+'DCF Model'!G42)*G$17/(1+$B20)^('DCF Model'!C19+4)-'DCF Model'!C16)*1000000/'DCF Model'!C15,0),"")</f>
        <v>3634</v>
      </c>
      <c r="H20" s="37">
        <f>IFERROR(ROUND(('DCF Model'!C45/(1+$B20)^('DCF Model'!C19+0)+'DCF Model'!D45/(1+$B20)^('DCF Model'!C19+1)+'DCF Model'!E45/(1+$B20)^('DCF Model'!C19+2)+'DCF Model'!F45/(1+$B20)^('DCF Model'!C19+3)+'DCF Model'!G45/(1+$B20)^('DCF Model'!C19+4)+('DCF Model'!G39+'DCF Model'!G42)*H$17/(1+$B20)^('DCF Model'!C19+4)-'DCF Model'!C16)*1000000/'DCF Model'!C15,0),"")</f>
        <v>3837</v>
      </c>
      <c r="I20" s="37">
        <f>IFERROR(ROUND(('DCF Model'!C45/(1+$B20)^('DCF Model'!C19+0)+'DCF Model'!D45/(1+$B20)^('DCF Model'!C19+1)+'DCF Model'!E45/(1+$B20)^('DCF Model'!C19+2)+'DCF Model'!F45/(1+$B20)^('DCF Model'!C19+3)+'DCF Model'!G45/(1+$B20)^('DCF Model'!C19+4)+('DCF Model'!G39+'DCF Model'!G42)*I$17/(1+$B20)^('DCF Model'!C19+4)-'DCF Model'!C16)*1000000/'DCF Model'!C15,0),"")</f>
        <v>4040</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2775</v>
      </c>
      <c r="D21" s="37">
        <f>IFERROR(ROUND(('DCF Model'!C45/(1+$B21)^('DCF Model'!C19+0)+'DCF Model'!D45/(1+$B21)^('DCF Model'!C19+1)+'DCF Model'!E45/(1+$B21)^('DCF Model'!C19+2)+'DCF Model'!F45/(1+$B21)^('DCF Model'!C19+3)+'DCF Model'!G45/(1+$B21)^('DCF Model'!C19+4)+('DCF Model'!G39+'DCF Model'!G42)*D$17/(1+$B21)^('DCF Model'!C19+4)-'DCF Model'!C16)*1000000/'DCF Model'!C15,0),"")</f>
        <v>2974</v>
      </c>
      <c r="E21" s="37">
        <f>IFERROR(ROUND(('DCF Model'!C45/(1+$B21)^('DCF Model'!C19+0)+'DCF Model'!D45/(1+$B21)^('DCF Model'!C19+1)+'DCF Model'!E45/(1+$B21)^('DCF Model'!C19+2)+'DCF Model'!F45/(1+$B21)^('DCF Model'!C19+3)+'DCF Model'!G45/(1+$B21)^('DCF Model'!C19+4)+('DCF Model'!G39+'DCF Model'!G42)*E$17/(1+$B21)^('DCF Model'!C19+4)-'DCF Model'!C16)*1000000/'DCF Model'!C15,0),"")</f>
        <v>3173</v>
      </c>
      <c r="F21" s="37">
        <f>IFERROR(ROUND(('DCF Model'!C45/(1+$B21)^('DCF Model'!C19+0)+'DCF Model'!D45/(1+$B21)^('DCF Model'!C19+1)+'DCF Model'!E45/(1+$B21)^('DCF Model'!C19+2)+'DCF Model'!F45/(1+$B21)^('DCF Model'!C19+3)+'DCF Model'!G45/(1+$B21)^('DCF Model'!C19+4)+('DCF Model'!G39+'DCF Model'!G42)*F$17/(1+$B21)^('DCF Model'!C19+4)-'DCF Model'!C16)*1000000/'DCF Model'!C15,0),"")</f>
        <v>3372</v>
      </c>
      <c r="G21" s="37">
        <f>IFERROR(ROUND(('DCF Model'!C45/(1+$B21)^('DCF Model'!C19+0)+'DCF Model'!D45/(1+$B21)^('DCF Model'!C19+1)+'DCF Model'!E45/(1+$B21)^('DCF Model'!C19+2)+'DCF Model'!F45/(1+$B21)^('DCF Model'!C19+3)+'DCF Model'!G45/(1+$B21)^('DCF Model'!C19+4)+('DCF Model'!G39+'DCF Model'!G42)*G$17/(1+$B21)^('DCF Model'!C19+4)-'DCF Model'!C16)*1000000/'DCF Model'!C15,0),"")</f>
        <v>3571</v>
      </c>
      <c r="H21" s="37">
        <f>IFERROR(ROUND(('DCF Model'!C45/(1+$B21)^('DCF Model'!C19+0)+'DCF Model'!D45/(1+$B21)^('DCF Model'!C19+1)+'DCF Model'!E45/(1+$B21)^('DCF Model'!C19+2)+'DCF Model'!F45/(1+$B21)^('DCF Model'!C19+3)+'DCF Model'!G45/(1+$B21)^('DCF Model'!C19+4)+('DCF Model'!G39+'DCF Model'!G42)*H$17/(1+$B21)^('DCF Model'!C19+4)-'DCF Model'!C16)*1000000/'DCF Model'!C15,0),"")</f>
        <v>3770</v>
      </c>
      <c r="I21" s="37">
        <f>IFERROR(ROUND(('DCF Model'!C45/(1+$B21)^('DCF Model'!C19+0)+'DCF Model'!D45/(1+$B21)^('DCF Model'!C19+1)+'DCF Model'!E45/(1+$B21)^('DCF Model'!C19+2)+'DCF Model'!F45/(1+$B21)^('DCF Model'!C19+3)+'DCF Model'!G45/(1+$B21)^('DCF Model'!C19+4)+('DCF Model'!G39+'DCF Model'!G42)*I$17/(1+$B21)^('DCF Model'!C19+4)-'DCF Model'!C16)*1000000/'DCF Model'!C15,0),"")</f>
        <v>3968</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2730</v>
      </c>
      <c r="D22" s="37">
        <f>IFERROR(ROUND(('DCF Model'!C45/(1+$B22)^('DCF Model'!C19+0)+'DCF Model'!D45/(1+$B22)^('DCF Model'!C19+1)+'DCF Model'!E45/(1+$B22)^('DCF Model'!C19+2)+'DCF Model'!F45/(1+$B22)^('DCF Model'!C19+3)+'DCF Model'!G45/(1+$B22)^('DCF Model'!C19+4)+('DCF Model'!G39+'DCF Model'!G42)*D$17/(1+$B22)^('DCF Model'!C19+4)-'DCF Model'!C16)*1000000/'DCF Model'!C15,0),"")</f>
        <v>2925</v>
      </c>
      <c r="E22" s="37">
        <f>IFERROR(ROUND(('DCF Model'!C45/(1+$B22)^('DCF Model'!C19+0)+'DCF Model'!D45/(1+$B22)^('DCF Model'!C19+1)+'DCF Model'!E45/(1+$B22)^('DCF Model'!C19+2)+'DCF Model'!F45/(1+$B22)^('DCF Model'!C19+3)+'DCF Model'!G45/(1+$B22)^('DCF Model'!C19+4)+('DCF Model'!G39+'DCF Model'!G42)*E$17/(1+$B22)^('DCF Model'!C19+4)-'DCF Model'!C16)*1000000/'DCF Model'!C15,0),"")</f>
        <v>3119</v>
      </c>
      <c r="F22" s="37">
        <f>IFERROR(ROUND(('DCF Model'!C45/(1+$B22)^('DCF Model'!C19+0)+'DCF Model'!D45/(1+$B22)^('DCF Model'!C19+1)+'DCF Model'!E45/(1+$B22)^('DCF Model'!C19+2)+'DCF Model'!F45/(1+$B22)^('DCF Model'!C19+3)+'DCF Model'!G45/(1+$B22)^('DCF Model'!C19+4)+('DCF Model'!G39+'DCF Model'!G42)*F$17/(1+$B22)^('DCF Model'!C19+4)-'DCF Model'!C16)*1000000/'DCF Model'!C15,0),"")</f>
        <v>3314</v>
      </c>
      <c r="G22" s="37">
        <f>IFERROR(ROUND(('DCF Model'!C45/(1+$B22)^('DCF Model'!C19+0)+'DCF Model'!D45/(1+$B22)^('DCF Model'!C19+1)+'DCF Model'!E45/(1+$B22)^('DCF Model'!C19+2)+'DCF Model'!F45/(1+$B22)^('DCF Model'!C19+3)+'DCF Model'!G45/(1+$B22)^('DCF Model'!C19+4)+('DCF Model'!G39+'DCF Model'!G42)*G$17/(1+$B22)^('DCF Model'!C19+4)-'DCF Model'!C16)*1000000/'DCF Model'!C15,0),"")</f>
        <v>3509</v>
      </c>
      <c r="H22" s="37">
        <f>IFERROR(ROUND(('DCF Model'!C45/(1+$B22)^('DCF Model'!C19+0)+'DCF Model'!D45/(1+$B22)^('DCF Model'!C19+1)+'DCF Model'!E45/(1+$B22)^('DCF Model'!C19+2)+'DCF Model'!F45/(1+$B22)^('DCF Model'!C19+3)+'DCF Model'!G45/(1+$B22)^('DCF Model'!C19+4)+('DCF Model'!G39+'DCF Model'!G42)*H$17/(1+$B22)^('DCF Model'!C19+4)-'DCF Model'!C16)*1000000/'DCF Model'!C15,0),"")</f>
        <v>3704</v>
      </c>
      <c r="I22" s="37">
        <f>IFERROR(ROUND(('DCF Model'!C45/(1+$B22)^('DCF Model'!C19+0)+'DCF Model'!D45/(1+$B22)^('DCF Model'!C19+1)+'DCF Model'!E45/(1+$B22)^('DCF Model'!C19+2)+'DCF Model'!F45/(1+$B22)^('DCF Model'!C19+3)+'DCF Model'!G45/(1+$B22)^('DCF Model'!C19+4)+('DCF Model'!G39+'DCF Model'!G42)*I$17/(1+$B22)^('DCF Model'!C19+4)-'DCF Model'!C16)*1000000/'DCF Model'!C15,0),"")</f>
        <v>3899</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2686</v>
      </c>
      <c r="D23" s="37">
        <f>IFERROR(ROUND(('DCF Model'!C45/(1+$B23)^('DCF Model'!C19+0)+'DCF Model'!D45/(1+$B23)^('DCF Model'!C19+1)+'DCF Model'!E45/(1+$B23)^('DCF Model'!C19+2)+'DCF Model'!F45/(1+$B23)^('DCF Model'!C19+3)+'DCF Model'!G45/(1+$B23)^('DCF Model'!C19+4)+('DCF Model'!G39+'DCF Model'!G42)*D$17/(1+$B23)^('DCF Model'!C19+4)-'DCF Model'!C16)*1000000/'DCF Model'!C15,0),"")</f>
        <v>2877</v>
      </c>
      <c r="E23" s="37">
        <f>IFERROR(ROUND(('DCF Model'!C45/(1+$B23)^('DCF Model'!C19+0)+'DCF Model'!D45/(1+$B23)^('DCF Model'!C19+1)+'DCF Model'!E45/(1+$B23)^('DCF Model'!C19+2)+'DCF Model'!F45/(1+$B23)^('DCF Model'!C19+3)+'DCF Model'!G45/(1+$B23)^('DCF Model'!C19+4)+('DCF Model'!G39+'DCF Model'!G42)*E$17/(1+$B23)^('DCF Model'!C19+4)-'DCF Model'!C16)*1000000/'DCF Model'!C15,0),"")</f>
        <v>3067</v>
      </c>
      <c r="F23" s="37">
        <f>IFERROR(ROUND(('DCF Model'!C45/(1+$B23)^('DCF Model'!C19+0)+'DCF Model'!D45/(1+$B23)^('DCF Model'!C19+1)+'DCF Model'!E45/(1+$B23)^('DCF Model'!C19+2)+'DCF Model'!F45/(1+$B23)^('DCF Model'!C19+3)+'DCF Model'!G45/(1+$B23)^('DCF Model'!C19+4)+('DCF Model'!G39+'DCF Model'!G42)*F$17/(1+$B23)^('DCF Model'!C19+4)-'DCF Model'!C16)*1000000/'DCF Model'!C15,0),"")</f>
        <v>3258</v>
      </c>
      <c r="G23" s="37">
        <f>IFERROR(ROUND(('DCF Model'!C45/(1+$B23)^('DCF Model'!C19+0)+'DCF Model'!D45/(1+$B23)^('DCF Model'!C19+1)+'DCF Model'!E45/(1+$B23)^('DCF Model'!C19+2)+'DCF Model'!F45/(1+$B23)^('DCF Model'!C19+3)+'DCF Model'!G45/(1+$B23)^('DCF Model'!C19+4)+('DCF Model'!G39+'DCF Model'!G42)*G$17/(1+$B23)^('DCF Model'!C19+4)-'DCF Model'!C16)*1000000/'DCF Model'!C15,0),"")</f>
        <v>3449</v>
      </c>
      <c r="H23" s="37">
        <f>IFERROR(ROUND(('DCF Model'!C45/(1+$B23)^('DCF Model'!C19+0)+'DCF Model'!D45/(1+$B23)^('DCF Model'!C19+1)+'DCF Model'!E45/(1+$B23)^('DCF Model'!C19+2)+'DCF Model'!F45/(1+$B23)^('DCF Model'!C19+3)+'DCF Model'!G45/(1+$B23)^('DCF Model'!C19+4)+('DCF Model'!G39+'DCF Model'!G42)*H$17/(1+$B23)^('DCF Model'!C19+4)-'DCF Model'!C16)*1000000/'DCF Model'!C15,0),"")</f>
        <v>3640</v>
      </c>
      <c r="I23" s="37">
        <f>IFERROR(ROUND(('DCF Model'!C45/(1+$B23)^('DCF Model'!C19+0)+'DCF Model'!D45/(1+$B23)^('DCF Model'!C19+1)+'DCF Model'!E45/(1+$B23)^('DCF Model'!C19+2)+'DCF Model'!F45/(1+$B23)^('DCF Model'!C19+3)+'DCF Model'!G45/(1+$B23)^('DCF Model'!C19+4)+('DCF Model'!G39+'DCF Model'!G42)*I$17/(1+$B23)^('DCF Model'!C19+4)-'DCF Model'!C16)*1000000/'DCF Model'!C15,0),"")</f>
        <v>3831</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2643</v>
      </c>
      <c r="D24" s="37">
        <f>IFERROR(ROUND(('DCF Model'!C45/(1+$B24)^('DCF Model'!C19+0)+'DCF Model'!D45/(1+$B24)^('DCF Model'!C19+1)+'DCF Model'!E45/(1+$B24)^('DCF Model'!C19+2)+'DCF Model'!F45/(1+$B24)^('DCF Model'!C19+3)+'DCF Model'!G45/(1+$B24)^('DCF Model'!C19+4)+('DCF Model'!G39+'DCF Model'!G42)*D$17/(1+$B24)^('DCF Model'!C19+4)-'DCF Model'!C16)*1000000/'DCF Model'!C15,0),"")</f>
        <v>2830</v>
      </c>
      <c r="E24" s="37">
        <f>IFERROR(ROUND(('DCF Model'!C45/(1+$B24)^('DCF Model'!C19+0)+'DCF Model'!D45/(1+$B24)^('DCF Model'!C19+1)+'DCF Model'!E45/(1+$B24)^('DCF Model'!C19+2)+'DCF Model'!F45/(1+$B24)^('DCF Model'!C19+3)+'DCF Model'!G45/(1+$B24)^('DCF Model'!C19+4)+('DCF Model'!G39+'DCF Model'!G42)*E$17/(1+$B24)^('DCF Model'!C19+4)-'DCF Model'!C16)*1000000/'DCF Model'!C15,0),"")</f>
        <v>3017</v>
      </c>
      <c r="F24" s="37">
        <f>IFERROR(ROUND(('DCF Model'!C45/(1+$B24)^('DCF Model'!C19+0)+'DCF Model'!D45/(1+$B24)^('DCF Model'!C19+1)+'DCF Model'!E45/(1+$B24)^('DCF Model'!C19+2)+'DCF Model'!F45/(1+$B24)^('DCF Model'!C19+3)+'DCF Model'!G45/(1+$B24)^('DCF Model'!C19+4)+('DCF Model'!G39+'DCF Model'!G42)*F$17/(1+$B24)^('DCF Model'!C19+4)-'DCF Model'!C16)*1000000/'DCF Model'!C15,0),"")</f>
        <v>3204</v>
      </c>
      <c r="G24" s="37">
        <f>IFERROR(ROUND(('DCF Model'!C45/(1+$B24)^('DCF Model'!C19+0)+'DCF Model'!D45/(1+$B24)^('DCF Model'!C19+1)+'DCF Model'!E45/(1+$B24)^('DCF Model'!C19+2)+'DCF Model'!F45/(1+$B24)^('DCF Model'!C19+3)+'DCF Model'!G45/(1+$B24)^('DCF Model'!C19+4)+('DCF Model'!G39+'DCF Model'!G42)*G$17/(1+$B24)^('DCF Model'!C19+4)-'DCF Model'!C16)*1000000/'DCF Model'!C15,0),"")</f>
        <v>3391</v>
      </c>
      <c r="H24" s="37">
        <f>IFERROR(ROUND(('DCF Model'!C45/(1+$B24)^('DCF Model'!C19+0)+'DCF Model'!D45/(1+$B24)^('DCF Model'!C19+1)+'DCF Model'!E45/(1+$B24)^('DCF Model'!C19+2)+'DCF Model'!F45/(1+$B24)^('DCF Model'!C19+3)+'DCF Model'!G45/(1+$B24)^('DCF Model'!C19+4)+('DCF Model'!G39+'DCF Model'!G42)*H$17/(1+$B24)^('DCF Model'!C19+4)-'DCF Model'!C16)*1000000/'DCF Model'!C15,0),"")</f>
        <v>3578</v>
      </c>
      <c r="I24" s="37">
        <f>IFERROR(ROUND(('DCF Model'!C45/(1+$B24)^('DCF Model'!C19+0)+'DCF Model'!D45/(1+$B24)^('DCF Model'!C19+1)+'DCF Model'!E45/(1+$B24)^('DCF Model'!C19+2)+'DCF Model'!F45/(1+$B24)^('DCF Model'!C19+3)+'DCF Model'!G45/(1+$B24)^('DCF Model'!C19+4)+('DCF Model'!G39+'DCF Model'!G42)*I$17/(1+$B24)^('DCF Model'!C19+4)-'DCF Model'!C16)*1000000/'DCF Model'!C15,0),"")</f>
        <v>3764</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260</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260</v>
      </c>
    </row>
    <row r="12" spans="2:7" ht="30" customHeight="1" x14ac:dyDescent="0.3">
      <c r="B12" s="43" t="s">
        <v>246</v>
      </c>
      <c r="C12" s="4" t="s">
        <v>278</v>
      </c>
      <c r="D12" s="43" t="s">
        <v>279</v>
      </c>
      <c r="E12" s="43" t="s">
        <v>280</v>
      </c>
      <c r="F12" s="43" t="s">
        <v>281</v>
      </c>
      <c r="G12" s="43" t="s">
        <v>260</v>
      </c>
    </row>
    <row r="13" spans="2:7" ht="30" customHeight="1" x14ac:dyDescent="0.3">
      <c r="B13" s="43" t="s">
        <v>246</v>
      </c>
      <c r="C13" s="4" t="s">
        <v>282</v>
      </c>
      <c r="D13" s="43" t="s">
        <v>283</v>
      </c>
      <c r="E13" s="43" t="s">
        <v>284</v>
      </c>
      <c r="F13" s="43" t="s">
        <v>285</v>
      </c>
      <c r="G13" s="43" t="s">
        <v>260</v>
      </c>
    </row>
    <row r="14" spans="2:7" ht="30" customHeight="1" x14ac:dyDescent="0.3">
      <c r="B14" s="43" t="s">
        <v>246</v>
      </c>
      <c r="C14" s="4" t="s">
        <v>286</v>
      </c>
      <c r="D14" s="43" t="s">
        <v>287</v>
      </c>
      <c r="E14" s="43" t="s">
        <v>288</v>
      </c>
      <c r="F14" s="43" t="s">
        <v>247</v>
      </c>
      <c r="G14" s="43" t="s">
        <v>260</v>
      </c>
    </row>
    <row r="15" spans="2:7" ht="30" customHeight="1" x14ac:dyDescent="0.3">
      <c r="B15" s="43" t="s">
        <v>246</v>
      </c>
      <c r="C15" s="4" t="s">
        <v>289</v>
      </c>
      <c r="D15" s="43" t="s">
        <v>290</v>
      </c>
      <c r="E15" s="43" t="s">
        <v>291</v>
      </c>
      <c r="F15" s="43" t="s">
        <v>292</v>
      </c>
      <c r="G15" s="43" t="s">
        <v>260</v>
      </c>
    </row>
    <row r="16" spans="2:7" ht="30" customHeight="1" x14ac:dyDescent="0.3">
      <c r="B16" s="43" t="s">
        <v>246</v>
      </c>
      <c r="C16" s="4" t="s">
        <v>293</v>
      </c>
      <c r="D16" s="43" t="s">
        <v>294</v>
      </c>
      <c r="E16" s="43" t="s">
        <v>295</v>
      </c>
      <c r="F16" s="43" t="s">
        <v>296</v>
      </c>
      <c r="G16" s="43" t="s">
        <v>260</v>
      </c>
    </row>
    <row r="17" spans="2:7" ht="30" customHeight="1" x14ac:dyDescent="0.3">
      <c r="B17" s="43" t="s">
        <v>246</v>
      </c>
      <c r="C17" s="4" t="s">
        <v>297</v>
      </c>
      <c r="D17" s="43" t="s">
        <v>298</v>
      </c>
      <c r="E17" s="43" t="s">
        <v>299</v>
      </c>
      <c r="F17" s="43" t="s">
        <v>264</v>
      </c>
      <c r="G17" s="43" t="s">
        <v>260</v>
      </c>
    </row>
    <row r="18" spans="2:7" ht="30" customHeight="1" x14ac:dyDescent="0.3">
      <c r="B18" s="43" t="s">
        <v>246</v>
      </c>
      <c r="C18" s="4" t="s">
        <v>300</v>
      </c>
      <c r="D18" s="43" t="s">
        <v>301</v>
      </c>
      <c r="E18" s="43" t="s">
        <v>302</v>
      </c>
      <c r="F18" s="43" t="s">
        <v>303</v>
      </c>
      <c r="G18" s="43" t="s">
        <v>260</v>
      </c>
    </row>
    <row r="19" spans="2:7" ht="30" customHeight="1" x14ac:dyDescent="0.3">
      <c r="B19" s="43" t="s">
        <v>246</v>
      </c>
      <c r="C19" s="4" t="s">
        <v>304</v>
      </c>
      <c r="D19" s="43" t="s">
        <v>305</v>
      </c>
      <c r="E19" s="43" t="s">
        <v>306</v>
      </c>
      <c r="F19" s="43" t="s">
        <v>247</v>
      </c>
      <c r="G19" s="43" t="s">
        <v>307</v>
      </c>
    </row>
    <row r="20" spans="2:7" ht="30" customHeight="1" x14ac:dyDescent="0.3">
      <c r="B20" s="43" t="s">
        <v>246</v>
      </c>
      <c r="C20" s="4" t="s">
        <v>308</v>
      </c>
      <c r="D20" s="43" t="s">
        <v>309</v>
      </c>
      <c r="E20" s="43" t="s">
        <v>310</v>
      </c>
      <c r="F20" s="43" t="s">
        <v>264</v>
      </c>
      <c r="G20" s="43" t="s">
        <v>260</v>
      </c>
    </row>
    <row r="21" spans="2:7" ht="30" customHeight="1" x14ac:dyDescent="0.3">
      <c r="B21" s="43" t="s">
        <v>246</v>
      </c>
      <c r="C21" s="4" t="s">
        <v>311</v>
      </c>
      <c r="D21" s="43" t="s">
        <v>312</v>
      </c>
      <c r="E21" s="43" t="s">
        <v>313</v>
      </c>
      <c r="F21" s="43" t="s">
        <v>247</v>
      </c>
      <c r="G21" s="43" t="s">
        <v>260</v>
      </c>
    </row>
    <row r="22" spans="2:7" ht="30" customHeight="1" x14ac:dyDescent="0.3">
      <c r="B22" s="43" t="s">
        <v>246</v>
      </c>
      <c r="C22" s="4" t="s">
        <v>314</v>
      </c>
      <c r="D22" s="43" t="s">
        <v>315</v>
      </c>
      <c r="E22" s="43" t="s">
        <v>316</v>
      </c>
      <c r="F22" s="43" t="s">
        <v>247</v>
      </c>
      <c r="G22" s="43" t="s">
        <v>255</v>
      </c>
    </row>
    <row r="23" spans="2:7" ht="30" customHeight="1" x14ac:dyDescent="0.3">
      <c r="B23" s="43" t="s">
        <v>246</v>
      </c>
      <c r="C23" s="4" t="s">
        <v>317</v>
      </c>
      <c r="D23" s="43" t="s">
        <v>318</v>
      </c>
      <c r="E23" s="43" t="s">
        <v>319</v>
      </c>
      <c r="F23" s="43" t="s">
        <v>247</v>
      </c>
      <c r="G23" s="43" t="s">
        <v>320</v>
      </c>
    </row>
    <row r="24" spans="2:7" ht="30" customHeight="1" x14ac:dyDescent="0.3">
      <c r="B24" s="43" t="s">
        <v>246</v>
      </c>
      <c r="C24" s="4" t="s">
        <v>321</v>
      </c>
      <c r="D24" s="43" t="s">
        <v>322</v>
      </c>
      <c r="E24" s="43" t="s">
        <v>323</v>
      </c>
      <c r="F24" s="43" t="s">
        <v>247</v>
      </c>
      <c r="G24" s="43" t="s">
        <v>324</v>
      </c>
    </row>
    <row r="25" spans="2:7" ht="30" customHeight="1" x14ac:dyDescent="0.3">
      <c r="B25" s="43" t="s">
        <v>246</v>
      </c>
      <c r="C25" s="4" t="s">
        <v>321</v>
      </c>
      <c r="D25" s="43" t="s">
        <v>325</v>
      </c>
      <c r="E25" s="43" t="s">
        <v>326</v>
      </c>
      <c r="F25" s="43" t="s">
        <v>247</v>
      </c>
      <c r="G25" s="43" t="s">
        <v>324</v>
      </c>
    </row>
    <row r="26" spans="2:7" ht="30" customHeight="1" x14ac:dyDescent="0.3">
      <c r="B26" s="43" t="s">
        <v>246</v>
      </c>
      <c r="C26" s="4" t="s">
        <v>321</v>
      </c>
      <c r="D26" s="43" t="s">
        <v>327</v>
      </c>
      <c r="E26" s="43" t="s">
        <v>328</v>
      </c>
      <c r="F26" s="43" t="s">
        <v>247</v>
      </c>
      <c r="G26" s="43" t="s">
        <v>324</v>
      </c>
    </row>
    <row r="27" spans="2:7" ht="14" customHeight="1" x14ac:dyDescent="0.2"/>
    <row r="28" spans="2:7" ht="14" customHeight="1" x14ac:dyDescent="0.3">
      <c r="B28" s="8" t="s">
        <v>329</v>
      </c>
    </row>
    <row r="29" spans="2:7" ht="14" customHeight="1" x14ac:dyDescent="0.3">
      <c r="B29" s="10" t="s">
        <v>330</v>
      </c>
      <c r="C29" s="10" t="s">
        <v>331</v>
      </c>
    </row>
    <row r="30" spans="2:7" ht="14" customHeight="1" x14ac:dyDescent="0.3">
      <c r="B30" s="4" t="s">
        <v>332</v>
      </c>
      <c r="C30" t="s">
        <v>333</v>
      </c>
    </row>
    <row r="31" spans="2:7" ht="14" customHeight="1" x14ac:dyDescent="0.3">
      <c r="B31" s="4" t="s">
        <v>334</v>
      </c>
      <c r="C31" t="s">
        <v>335</v>
      </c>
    </row>
    <row r="32" spans="2:7" ht="14" customHeight="1" x14ac:dyDescent="0.3">
      <c r="B32" s="4" t="s">
        <v>336</v>
      </c>
      <c r="C32" t="s">
        <v>337</v>
      </c>
    </row>
    <row r="33" spans="2:3" ht="14" customHeight="1" x14ac:dyDescent="0.3">
      <c r="B33" s="4" t="s">
        <v>338</v>
      </c>
      <c r="C33" t="s">
        <v>339</v>
      </c>
    </row>
    <row r="34" spans="2:3" ht="14" customHeight="1" x14ac:dyDescent="0.3">
      <c r="B34" s="4" t="s">
        <v>340</v>
      </c>
      <c r="C34" t="s">
        <v>4</v>
      </c>
    </row>
    <row r="35" spans="2:3" ht="14" customHeight="1" x14ac:dyDescent="0.3">
      <c r="B35" s="4" t="s">
        <v>341</v>
      </c>
      <c r="C35" t="s">
        <v>246</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347</v>
      </c>
    </row>
    <row r="42" spans="2:3" ht="14" customHeight="1" x14ac:dyDescent="0.3">
      <c r="B42" s="4" t="s">
        <v>353</v>
      </c>
      <c r="C42" t="s">
        <v>343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x14ac:dyDescent="0.3">
      <c r="B47" s="4" t="s">
        <v>362</v>
      </c>
      <c r="C47" t="s">
        <v>361</v>
      </c>
    </row>
    <row r="48" spans="2:3" ht="14" x14ac:dyDescent="0.3">
      <c r="B48" s="4" t="s">
        <v>363</v>
      </c>
      <c r="C48" t="s">
        <v>364</v>
      </c>
    </row>
    <row r="49" spans="2:3" ht="14" x14ac:dyDescent="0.3">
      <c r="B49" s="4" t="s">
        <v>365</v>
      </c>
      <c r="C49" t="s">
        <v>366</v>
      </c>
    </row>
    <row r="50" spans="2:3" ht="14" x14ac:dyDescent="0.3">
      <c r="B50" s="4" t="s">
        <v>367</v>
      </c>
      <c r="C50" t="s">
        <v>368</v>
      </c>
    </row>
    <row r="51" spans="2:3" ht="14" x14ac:dyDescent="0.3">
      <c r="B51" s="4" t="s">
        <v>369</v>
      </c>
      <c r="C51" t="s">
        <v>370</v>
      </c>
    </row>
    <row r="52" spans="2:3" ht="14" x14ac:dyDescent="0.3">
      <c r="B52" s="4" t="s">
        <v>371</v>
      </c>
      <c r="C52" t="s">
        <v>372</v>
      </c>
    </row>
    <row r="53" spans="2:3" ht="14" x14ac:dyDescent="0.3">
      <c r="B53" s="4" t="s">
        <v>373</v>
      </c>
      <c r="C53" t="s">
        <v>374</v>
      </c>
    </row>
    <row r="54" spans="2:3" ht="14" x14ac:dyDescent="0.3">
      <c r="B54" s="4" t="s">
        <v>375</v>
      </c>
      <c r="C54" t="s">
        <v>376</v>
      </c>
    </row>
    <row r="55" spans="2:3" ht="14" x14ac:dyDescent="0.3">
      <c r="B55" s="4" t="s">
        <v>377</v>
      </c>
      <c r="C55" t="s">
        <v>378</v>
      </c>
    </row>
    <row r="56" spans="2:3" ht="14" x14ac:dyDescent="0.3">
      <c r="B56" s="4" t="s">
        <v>379</v>
      </c>
      <c r="C56" t="s">
        <v>380</v>
      </c>
    </row>
    <row r="57" spans="2:3" ht="14" x14ac:dyDescent="0.3">
      <c r="B57" s="4" t="s">
        <v>381</v>
      </c>
      <c r="C57" t="s">
        <v>382</v>
      </c>
    </row>
    <row r="58" spans="2:3" ht="14" x14ac:dyDescent="0.3">
      <c r="B58" s="4" t="s">
        <v>383</v>
      </c>
      <c r="C58" t="s">
        <v>384</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2026-09-05T06:12:38Z</dcterms:created>
  <dcterms:modified xsi:type="dcterms:W3CDTF">2026-09-05T06:15:26Z</dcterms:modified>
</cp:coreProperties>
</file>