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97421B9-8AB2-4F03-BA1C-872F62E27CB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7" i="6" s="1"/>
  <c r="N6" i="6"/>
  <c r="M6" i="6"/>
  <c r="L6" i="6"/>
  <c r="F15" i="6" s="1"/>
  <c r="K6" i="6"/>
  <c r="J6" i="6"/>
  <c r="O5" i="6"/>
  <c r="N5" i="6"/>
  <c r="D5" i="6"/>
  <c r="M5" i="6" s="1"/>
  <c r="C16" i="5"/>
  <c r="C14" i="5"/>
  <c r="C7" i="5"/>
  <c r="C6" i="5"/>
  <c r="C5" i="5"/>
  <c r="C13" i="4"/>
  <c r="C12" i="4"/>
  <c r="C9" i="4"/>
  <c r="C7" i="4"/>
  <c r="C6" i="4"/>
  <c r="D27" i="3"/>
  <c r="G5" i="5" s="1"/>
  <c r="C25" i="3"/>
  <c r="C24" i="3"/>
  <c r="C23" i="3"/>
  <c r="C2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G17" i="6" l="1"/>
  <c r="E5" i="6"/>
  <c r="J5" i="6" s="1"/>
  <c r="L5" i="6"/>
  <c r="H15" i="6"/>
  <c r="F30" i="3"/>
  <c r="D15" i="6"/>
  <c r="F16" i="6"/>
  <c r="C28" i="6" s="1"/>
  <c r="C19" i="1" s="1"/>
  <c r="D19" i="1" s="1"/>
  <c r="D32" i="3"/>
  <c r="E15" i="6"/>
  <c r="G16" i="6"/>
  <c r="I16" i="6"/>
  <c r="D17" i="6"/>
  <c r="C8" i="4"/>
  <c r="C10" i="4" s="1"/>
  <c r="C70" i="4" s="1"/>
  <c r="C18" i="5"/>
  <c r="E16" i="6"/>
  <c r="G15" i="6"/>
  <c r="C71" i="4"/>
  <c r="C3" i="7"/>
  <c r="G36" i="4"/>
  <c r="C11" i="4"/>
  <c r="C24" i="4" s="1"/>
  <c r="C25" i="4" s="1"/>
  <c r="G46" i="3"/>
  <c r="E36" i="4"/>
  <c r="E46" i="3"/>
  <c r="D36" i="4"/>
  <c r="D46" i="3"/>
  <c r="F36" i="4"/>
  <c r="H36" i="4"/>
  <c r="F46" i="3"/>
  <c r="C46" i="3"/>
  <c r="G7" i="5"/>
  <c r="C30" i="3"/>
  <c r="C33" i="3" s="1"/>
  <c r="F31" i="3"/>
  <c r="H5" i="5"/>
  <c r="D7" i="5"/>
  <c r="K5" i="6"/>
  <c r="I15" i="6"/>
  <c r="E17" i="6"/>
  <c r="I6" i="7"/>
  <c r="D31" i="3"/>
  <c r="F5" i="5"/>
  <c r="D30" i="3"/>
  <c r="G31" i="3"/>
  <c r="E7" i="5"/>
  <c r="D16" i="6"/>
  <c r="F17" i="6"/>
  <c r="C17" i="7"/>
  <c r="E6" i="5"/>
  <c r="E32" i="3"/>
  <c r="F6" i="5"/>
  <c r="G32" i="3"/>
  <c r="H6" i="5"/>
  <c r="E30" i="3"/>
  <c r="C32" i="3"/>
  <c r="D6" i="5"/>
  <c r="F7" i="5"/>
  <c r="C6" i="7"/>
  <c r="D17" i="7"/>
  <c r="H17" i="6"/>
  <c r="D6" i="7"/>
  <c r="E17" i="7"/>
  <c r="G30" i="3"/>
  <c r="H7" i="5"/>
  <c r="E6" i="7"/>
  <c r="F17" i="7"/>
  <c r="D5" i="5"/>
  <c r="C31" i="3"/>
  <c r="F32" i="3"/>
  <c r="E5" i="5"/>
  <c r="G6" i="5"/>
  <c r="H16" i="6"/>
  <c r="F6" i="7"/>
  <c r="G17" i="7"/>
  <c r="G6" i="7"/>
  <c r="H17" i="7"/>
  <c r="E31" i="3"/>
  <c r="C27" i="4" l="1"/>
  <c r="C26" i="4"/>
  <c r="C29" i="4"/>
  <c r="E39" i="4"/>
  <c r="E46" i="4"/>
  <c r="E38" i="4"/>
  <c r="E40" i="4"/>
  <c r="E50" i="4" s="1"/>
  <c r="E55" i="4" s="1"/>
  <c r="E44" i="4"/>
  <c r="E41" i="4"/>
  <c r="E45" i="4"/>
  <c r="E43" i="4"/>
  <c r="H40" i="4"/>
  <c r="H38" i="4"/>
  <c r="H39" i="4"/>
  <c r="H43" i="4"/>
  <c r="H44" i="4"/>
  <c r="H41" i="4"/>
  <c r="H45" i="4"/>
  <c r="H46" i="4"/>
  <c r="G46" i="4"/>
  <c r="G44" i="4"/>
  <c r="G41" i="4"/>
  <c r="G45" i="4"/>
  <c r="G39" i="4"/>
  <c r="G40" i="4"/>
  <c r="G43" i="4"/>
  <c r="G38" i="4"/>
  <c r="G48" i="4" s="1"/>
  <c r="G53" i="4" s="1"/>
  <c r="C27" i="6"/>
  <c r="C18" i="1" s="1"/>
  <c r="D18" i="1" s="1"/>
  <c r="C74" i="4"/>
  <c r="F43" i="4"/>
  <c r="F40" i="4"/>
  <c r="F44" i="4"/>
  <c r="F38" i="4"/>
  <c r="F41" i="4"/>
  <c r="F45" i="4"/>
  <c r="F39" i="4"/>
  <c r="F46" i="4"/>
  <c r="B13" i="7"/>
  <c r="B12" i="7"/>
  <c r="B11" i="7"/>
  <c r="B10" i="7"/>
  <c r="B9" i="7"/>
  <c r="B8" i="7"/>
  <c r="B7" i="7"/>
  <c r="B24" i="7"/>
  <c r="B23" i="7"/>
  <c r="B22" i="7"/>
  <c r="B21" i="7"/>
  <c r="B20" i="7"/>
  <c r="B19" i="7"/>
  <c r="B18" i="7"/>
  <c r="D9" i="5"/>
  <c r="D12" i="5" s="1"/>
  <c r="C42" i="3"/>
  <c r="C34" i="3"/>
  <c r="D10" i="5" s="1"/>
  <c r="D33" i="3"/>
  <c r="C37" i="3"/>
  <c r="D45" i="4"/>
  <c r="D43" i="4"/>
  <c r="D46" i="4"/>
  <c r="D44" i="4"/>
  <c r="D38" i="4"/>
  <c r="D40" i="4"/>
  <c r="D41" i="4"/>
  <c r="D39" i="4"/>
  <c r="F50" i="4" l="1"/>
  <c r="F55" i="4" s="1"/>
  <c r="D50" i="4"/>
  <c r="D55" i="4" s="1"/>
  <c r="G51" i="4"/>
  <c r="G56" i="4" s="1"/>
  <c r="H49" i="4"/>
  <c r="H54" i="4" s="1"/>
  <c r="F49" i="4"/>
  <c r="E49" i="4"/>
  <c r="E54" i="4" s="1"/>
  <c r="F51" i="4"/>
  <c r="F56" i="4" s="1"/>
  <c r="D15" i="5"/>
  <c r="D16" i="5" s="1"/>
  <c r="D13" i="5"/>
  <c r="C35" i="3"/>
  <c r="E48" i="4"/>
  <c r="E53" i="4" s="1"/>
  <c r="H48" i="4"/>
  <c r="H53" i="4" s="1"/>
  <c r="D48" i="4"/>
  <c r="D53" i="4" s="1"/>
  <c r="D14" i="5"/>
  <c r="C60" i="4"/>
  <c r="F54" i="4"/>
  <c r="B78" i="4"/>
  <c r="H50" i="4"/>
  <c r="H55" i="4" s="1"/>
  <c r="D49" i="4"/>
  <c r="D54" i="4" s="1"/>
  <c r="F48" i="4"/>
  <c r="F53" i="4" s="1"/>
  <c r="G50" i="4"/>
  <c r="G55" i="4" s="1"/>
  <c r="H51" i="4"/>
  <c r="H56" i="4" s="1"/>
  <c r="E51" i="4"/>
  <c r="E56" i="4" s="1"/>
  <c r="D51" i="4"/>
  <c r="D56" i="4" s="1"/>
  <c r="D42" i="3"/>
  <c r="D34" i="3"/>
  <c r="E10" i="5" s="1"/>
  <c r="D37" i="3"/>
  <c r="D35" i="3"/>
  <c r="E33" i="3"/>
  <c r="E9" i="5"/>
  <c r="E12" i="5" s="1"/>
  <c r="G49" i="4"/>
  <c r="G54" i="4" s="1"/>
  <c r="D18" i="5" l="1"/>
  <c r="D19" i="5" s="1"/>
  <c r="C44" i="3" s="1"/>
  <c r="C67" i="4"/>
  <c r="D67" i="4" s="1"/>
  <c r="C63" i="4"/>
  <c r="D63" i="4" s="1"/>
  <c r="C64" i="4"/>
  <c r="D64" i="4" s="1"/>
  <c r="C66" i="4"/>
  <c r="D66" i="4" s="1"/>
  <c r="C65" i="4"/>
  <c r="D65" i="4" s="1"/>
  <c r="D36" i="3"/>
  <c r="D38" i="3"/>
  <c r="D39" i="3"/>
  <c r="F9" i="5"/>
  <c r="F12" i="5" s="1"/>
  <c r="E37" i="3"/>
  <c r="F33" i="3"/>
  <c r="E42" i="3"/>
  <c r="E34" i="3"/>
  <c r="F10" i="5" s="1"/>
  <c r="E13" i="5"/>
  <c r="E14" i="5" s="1"/>
  <c r="E15" i="5"/>
  <c r="E16" i="5" s="1"/>
  <c r="C39" i="3"/>
  <c r="C36" i="3"/>
  <c r="C38" i="3"/>
  <c r="E18" i="5" l="1"/>
  <c r="E19" i="5" s="1"/>
  <c r="D44" i="3" s="1"/>
  <c r="F42" i="3"/>
  <c r="F34" i="3"/>
  <c r="G10" i="5" s="1"/>
  <c r="G33" i="3"/>
  <c r="F37" i="3"/>
  <c r="G9" i="5"/>
  <c r="G12" i="5" s="1"/>
  <c r="F15" i="5"/>
  <c r="F16" i="5" s="1"/>
  <c r="F13" i="5"/>
  <c r="F14" i="5" s="1"/>
  <c r="F18" i="5" s="1"/>
  <c r="F19" i="5" s="1"/>
  <c r="E44" i="3" s="1"/>
  <c r="E35" i="3"/>
  <c r="C40" i="3"/>
  <c r="C41" i="3" s="1"/>
  <c r="C45" i="3" s="1"/>
  <c r="D40" i="3"/>
  <c r="D41" i="3"/>
  <c r="D45" i="3" s="1"/>
  <c r="D47" i="3" s="1"/>
  <c r="C47" i="3" l="1"/>
  <c r="E39" i="3"/>
  <c r="E38" i="3"/>
  <c r="E36" i="3"/>
  <c r="G13" i="5"/>
  <c r="G14" i="5" s="1"/>
  <c r="G15" i="5"/>
  <c r="G16" i="5" s="1"/>
  <c r="G37" i="3"/>
  <c r="C16" i="4"/>
  <c r="C28" i="4" s="1"/>
  <c r="H9" i="5"/>
  <c r="H12" i="5" s="1"/>
  <c r="G42" i="3"/>
  <c r="G34" i="3"/>
  <c r="H10" i="5" s="1"/>
  <c r="F35" i="3"/>
  <c r="G18" i="5" l="1"/>
  <c r="G19" i="5" s="1"/>
  <c r="F44" i="3" s="1"/>
  <c r="F36" i="3"/>
  <c r="F38" i="3"/>
  <c r="F39" i="3"/>
  <c r="H15" i="5"/>
  <c r="H16" i="5" s="1"/>
  <c r="H13" i="5"/>
  <c r="H14" i="5" s="1"/>
  <c r="H18" i="5" s="1"/>
  <c r="E40" i="3"/>
  <c r="E41" i="3" s="1"/>
  <c r="E45" i="3" s="1"/>
  <c r="C72" i="4"/>
  <c r="C73" i="4"/>
  <c r="G35" i="3"/>
  <c r="H19" i="5" l="1"/>
  <c r="G44" i="3" s="1"/>
  <c r="E47" i="3"/>
  <c r="G36" i="3"/>
  <c r="G39" i="3"/>
  <c r="G38" i="3"/>
  <c r="F40" i="3"/>
  <c r="F41" i="3" s="1"/>
  <c r="F45" i="3" s="1"/>
  <c r="F47" i="3" s="1"/>
  <c r="G40" i="3" l="1"/>
  <c r="G41" i="3" s="1"/>
  <c r="G45" i="3" s="1"/>
  <c r="C59" i="3"/>
  <c r="C60" i="3" s="1"/>
  <c r="C61" i="3" s="1"/>
  <c r="C7" i="7" l="1"/>
  <c r="C8" i="7"/>
  <c r="G7" i="7"/>
  <c r="C24" i="7"/>
  <c r="C21" i="7"/>
  <c r="C19" i="7"/>
  <c r="H13" i="7"/>
  <c r="I12" i="7"/>
  <c r="I22" i="7"/>
  <c r="H7" i="7"/>
  <c r="G22" i="7"/>
  <c r="G8" i="7"/>
  <c r="F21" i="7"/>
  <c r="D22" i="7"/>
  <c r="H24" i="7"/>
  <c r="H23" i="7"/>
  <c r="C13" i="7"/>
  <c r="H11" i="7"/>
  <c r="D19" i="7"/>
  <c r="H18" i="7"/>
  <c r="D10" i="7"/>
  <c r="G9" i="7"/>
  <c r="E12" i="7"/>
  <c r="F13" i="7"/>
  <c r="F9" i="7"/>
  <c r="D18" i="7"/>
  <c r="G19" i="7"/>
  <c r="E9" i="7"/>
  <c r="C23" i="7"/>
  <c r="I7" i="7"/>
  <c r="C22" i="7"/>
  <c r="E8" i="7"/>
  <c r="I20" i="7"/>
  <c r="G10" i="7"/>
  <c r="F12" i="7"/>
  <c r="H10" i="7"/>
  <c r="C51" i="3"/>
  <c r="C52" i="3" s="1"/>
  <c r="G47" i="3"/>
  <c r="C50" i="3" s="1"/>
  <c r="D11" i="7"/>
  <c r="H12" i="7"/>
  <c r="E22" i="7"/>
  <c r="H9" i="7"/>
  <c r="F19" i="7"/>
  <c r="F18" i="7"/>
  <c r="D23" i="7"/>
  <c r="H21" i="7"/>
  <c r="E18" i="7"/>
  <c r="I13" i="7"/>
  <c r="G23" i="7"/>
  <c r="I21" i="7"/>
  <c r="G18" i="7"/>
  <c r="H8" i="7"/>
  <c r="H22" i="7"/>
  <c r="G12" i="7"/>
  <c r="C20" i="7"/>
  <c r="G20" i="7"/>
  <c r="G11" i="7"/>
  <c r="G24" i="7"/>
  <c r="D24" i="7"/>
  <c r="I19" i="7"/>
  <c r="D7" i="7"/>
  <c r="D8" i="7"/>
  <c r="E20" i="7"/>
  <c r="F24" i="7"/>
  <c r="F22" i="7"/>
  <c r="I11" i="7"/>
  <c r="E21" i="7"/>
  <c r="H19" i="7"/>
  <c r="F23" i="7"/>
  <c r="C9" i="7"/>
  <c r="I24" i="7"/>
  <c r="D13" i="7"/>
  <c r="G13" i="7"/>
  <c r="C10" i="7"/>
  <c r="D9" i="7"/>
  <c r="E13" i="7"/>
  <c r="I8" i="7"/>
  <c r="F8" i="7"/>
  <c r="C11" i="7"/>
  <c r="C12" i="7"/>
  <c r="E19" i="7"/>
  <c r="C18" i="7"/>
  <c r="D21" i="7"/>
  <c r="F20" i="7"/>
  <c r="E24" i="7"/>
  <c r="E7" i="7"/>
  <c r="G21" i="7"/>
  <c r="E10" i="7"/>
  <c r="H20" i="7"/>
  <c r="I9" i="7"/>
  <c r="D12" i="7"/>
  <c r="I18" i="7"/>
  <c r="F10" i="7"/>
  <c r="E11" i="7"/>
  <c r="F7" i="7"/>
  <c r="I10" i="7"/>
  <c r="F11" i="7"/>
  <c r="E23" i="7"/>
  <c r="I23" i="7"/>
  <c r="D20" i="7"/>
  <c r="C58" i="3" l="1"/>
  <c r="C62" i="3" s="1"/>
  <c r="C53" i="3"/>
  <c r="C63" i="3" l="1"/>
  <c r="C64" i="3" s="1"/>
  <c r="C17" i="1"/>
  <c r="D17" i="1" s="1"/>
  <c r="C17" i="4"/>
  <c r="C54" i="3"/>
  <c r="C55" i="3" s="1"/>
  <c r="C16" i="1" s="1"/>
  <c r="D16" i="1" l="1"/>
  <c r="C10" i="1"/>
  <c r="C12" i="1" s="1"/>
  <c r="C11" i="1" s="1"/>
  <c r="C21" i="1"/>
  <c r="C19" i="4"/>
  <c r="C20" i="4" s="1"/>
  <c r="B79" i="4" s="1"/>
</calcChain>
</file>

<file path=xl/sharedStrings.xml><?xml version="1.0" encoding="utf-8"?>
<sst xmlns="http://schemas.openxmlformats.org/spreadsheetml/2006/main" count="445" uniqueCount="361">
  <si>
    <t>DISCLAIMER: This is a sample analysis for demonstration purposes only. It does not constitute investment advice.</t>
  </si>
  <si>
    <t>三井不動産 (8801.T)</t>
  </si>
  <si>
    <t>Equity Research Report</t>
  </si>
  <si>
    <t>Company</t>
  </si>
  <si>
    <t>三井不動産</t>
  </si>
  <si>
    <t>Ticker</t>
  </si>
  <si>
    <t>8801.T (TSE Prime)</t>
  </si>
  <si>
    <t>Sector</t>
  </si>
  <si>
    <t>不動産業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</si>
  <si>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</si>
  <si>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</si>
  <si>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</si>
  <si>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</si>
  <si>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</si>
  <si>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</si>
  <si>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</si>
  <si>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</si>
  <si>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</si>
  <si>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</si>
  <si>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</si>
  <si>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</si>
  <si>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</si>
  <si>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</si>
  <si>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</si>
  <si>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</si>
  <si>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</si>
  <si>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</si>
  <si>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</si>
  <si>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</si>
  <si>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</si>
  <si>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</si>
  <si>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三井不動産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</si>
  <si>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</si>
  <si>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</si>
  <si>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</si>
  <si>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</si>
  <si>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</si>
  <si>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</si>
  <si>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</si>
  <si>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</si>
  <si>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</si>
  <si>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</si>
  <si>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</si>
  <si>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</si>
  <si>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</si>
  <si>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</si>
  <si>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</si>
  <si>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</si>
  <si>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</si>
  <si>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</si>
  <si>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</si>
  <si>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</si>
  <si>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</si>
  <si>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</si>
  <si>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</si>
  <si>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</si>
  <si>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</si>
  <si>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</si>
  <si>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</si>
  <si>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</si>
  <si>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三井不動産</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</si>
  <si>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</si>
  <si>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</si>
  <si>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</si>
  <si>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</si>
  <si>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</si>
  <si>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</si>
  <si>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</si>
  <si>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</si>
  <si>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</si>
  <si>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</si>
  <si>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</si>
  <si>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</si>
  <si>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</si>
  <si>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</si>
  <si>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</si>
  <si>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</si>
  <si>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</si>
  <si>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</si>
  <si>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</si>
  <si>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</si>
  <si>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</si>
  <si>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</si>
  <si>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</si>
  <si>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</si>
  <si>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</si>
  <si>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</si>
  <si>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</si>
  <si>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</si>
  <si>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</si>
  <si>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</si>
  <si>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</si>
  <si>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</si>
  <si>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</si>
  <si>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</si>
  <si>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</si>
  <si>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</si>
  <si>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</si>
  <si>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</si>
  <si>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</si>
  <si>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</si>
  <si>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</si>
  <si>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</si>
  <si>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</si>
  <si>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</si>
  <si>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</si>
  <si>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</si>
  <si>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</si>
  <si>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</si>
  <si>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</si>
  <si>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</si>
  <si>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</si>
  <si>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</si>
  <si>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</si>
  <si>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</si>
  <si>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</si>
  <si>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</si>
  <si>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</si>
  <si>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</si>
  <si>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</si>
  <si>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</si>
  <si>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</si>
  <si>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</si>
  <si>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</si>
  <si>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</si>
  <si>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三井不動産 (8801.T)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</si>
  <si>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</si>
  <si>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</si>
  <si>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</si>
  <si>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</si>
  <si>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</si>
  <si>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</si>
  <si>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</si>
  <si>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</si>
  <si>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</si>
  <si>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</si>
  <si>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</si>
  <si>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</si>
  <si>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</si>
  <si>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</si>
  <si>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</si>
  <si>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</si>
  <si>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</si>
  <si>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</si>
  <si>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</si>
  <si>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</si>
  <si>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</si>
  <si>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</si>
  <si>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</si>
  <si>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</si>
  <si>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</si>
  <si>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</si>
  <si>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</si>
  <si>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</si>
  <si>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</si>
  <si>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</si>
  <si>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</si>
  <si>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</si>
  <si>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</si>
  <si>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</si>
  <si>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</si>
  <si>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</si>
  <si>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</si>
  <si>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</si>
  <si>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</si>
  <si>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</si>
  <si>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</si>
  <si>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</si>
  <si>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</si>
  <si>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</si>
  <si>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</si>
  <si>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</si>
  <si>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</si>
  <si>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</si>
  <si>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</si>
  <si>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</si>
  <si>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</si>
  <si>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三井不動産</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</si>
  <si>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</si>
  <si>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</si>
  <si>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</si>
  <si>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</si>
  <si>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</si>
  <si>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</si>
  <si>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</si>
  <si>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</si>
  <si>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</si>
  <si>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</si>
  <si>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</si>
  <si>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</si>
  <si>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</si>
  <si>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</si>
  <si>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</si>
  <si>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</si>
  <si>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</si>
  <si>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</si>
  <si>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</si>
  <si>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</si>
  <si>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</si>
  <si>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</si>
  <si>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</si>
  <si>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</si>
  <si>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</si>
  <si>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</si>
  <si>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</si>
  <si>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</si>
  <si>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</si>
  <si>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</si>
  <si>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</si>
  <si>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</si>
  <si>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</si>
  <si>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</si>
  <si>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Mitsui Fudosan Co., Ltd.</t>
  </si>
  <si>
    <t>8801.T</t>
  </si>
  <si>
    <t>Mitsubishi Estate Co., Ltd.</t>
  </si>
  <si>
    <t>8802.T</t>
  </si>
  <si>
    <t>Sumitomo Realty &amp; Development Co., Ltd.</t>
  </si>
  <si>
    <t>8830.T</t>
  </si>
  <si>
    <t>Nomura Real Estate Holdings, Inc.</t>
  </si>
  <si>
    <t>3231.T</t>
  </si>
  <si>
    <t>Tokyo Tatemono Co., Ltd.</t>
  </si>
  <si>
    <t>8804.T</t>
  </si>
  <si>
    <t>Tokyu Fudosan Holdings Corporation</t>
  </si>
  <si>
    <t>3289.T</t>
  </si>
  <si>
    <t>Statistics</t>
  </si>
  <si>
    <t>25th Percentile</t>
  </si>
  <si>
    <t>Median (50th)</t>
  </si>
  <si>
    <t>75th Percentile</t>
  </si>
  <si>
    <t>Implied Valuation for 三井不動産</t>
  </si>
  <si>
    <t>三井不動産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</si>
  <si>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</si>
  <si>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</si>
  <si>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</si>
  <si>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</si>
  <si>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</si>
  <si>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</si>
  <si>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</si>
  <si>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</si>
  <si>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</si>
  <si>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</si>
  <si>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</si>
  <si>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</si>
  <si>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</si>
  <si>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</si>
  <si>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</si>
  <si>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三井不動産</t>
  </si>
  <si>
    <t>日付</t>
  </si>
  <si>
    <t>セル</t>
  </si>
  <si>
    <t>変更内容</t>
  </si>
  <si>
    <t>理由</t>
  </si>
  <si>
    <t>元の値</t>
  </si>
  <si>
    <t>状態</t>
  </si>
  <si>
    <t>2026-09-06</t>
  </si>
  <si>
    <t>-</t>
  </si>
  <si>
    <t>Generated by pipeline on 2026-09-06 19:27, template rev 63983ab</t>
  </si>
  <si>
    <t>初期生成（手修正なし）</t>
  </si>
  <si>
    <t>generated</t>
  </si>
  <si>
    <t>DCF Model!C11</t>
  </si>
  <si>
    <t>After-tax Cost of Debt = 1.28% (実績ベース)</t>
  </si>
  <si>
    <t>実績Kd = 支払利息76,999 ÷ 平均有利子負債4,524,314(期首4,416,084/期末4,632,544、debt_beginning/debt_ending) = 税引前1.70% × (1−25.0%) = 1.28%。【マージナルコスト注記】これは既存借入の実績平均コストであり、新規調達の限界コストではない。テンプレ既定(税引前2.8%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</si>
  <si>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</si>
  <si>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</si>
  <si>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</si>
  <si>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0.754（採用値）</t>
  </si>
  <si>
    <t>実測β(raw) = 0.632 → Blume調整 0.67×raw + 0.33×1.00 = 0.754 → 採用 0.754。クランプ域 [0.3, 2.0] の内側。置換なし。回帰βは平均回帰するため Blume 調整を既定とする（2026-09-05 バッチで85件中57件が旧下限 0.60 に張り付き、両裾の歪みが実証された）。</t>
  </si>
  <si>
    <t>実測 0.632</t>
  </si>
  <si>
    <t>確定</t>
  </si>
  <si>
    <t>Pipeline Metadata (do not edit — read by scripts/validate_output.py)</t>
  </si>
  <si>
    <t>key</t>
  </si>
  <si>
    <t>value</t>
  </si>
  <si>
    <t>auto_log_entries</t>
  </si>
  <si>
    <t>2</t>
  </si>
  <si>
    <t>beta_adopted_c8</t>
  </si>
  <si>
    <t>0.7536</t>
  </si>
  <si>
    <t>beta_basis</t>
  </si>
  <si>
    <t>Blume: 0.67 x 0.632 + 0.33 x 1.00 = 0.754</t>
  </si>
  <si>
    <t>beta_blume_adjusted</t>
  </si>
  <si>
    <t>beta_clamped</t>
  </si>
  <si>
    <t>no</t>
  </si>
  <si>
    <t>beta_raw</t>
  </si>
  <si>
    <t>0.6322</t>
  </si>
  <si>
    <t>capex_pct_basis</t>
  </si>
  <si>
    <t>explicit_override</t>
  </si>
  <si>
    <t>capex_pct_c5</t>
  </si>
  <si>
    <t>0.058485</t>
  </si>
  <si>
    <t>capex_pct_hist3yr</t>
  </si>
  <si>
    <t>0.110857</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</si>
  <si>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</si>
  <si>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</si>
  <si>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</si>
  <si>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</si>
  <si>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</si>
  <si>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</si>
  <si>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</si>
  <si>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</si>
  <si>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</si>
  <si>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</si>
  <si>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</si>
  <si>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</si>
  <si>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</si>
  <si>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</si>
  <si>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</si>
  <si>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</si>
  <si>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</si>
  <si>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</si>
  <si>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</si>
  <si>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</si>
  <si>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548765.0</t>
  </si>
  <si>
    <t>core_net_income</t>
  </si>
  <si>
    <t>278684.0</t>
  </si>
  <si>
    <t>cost_of_debt_actual</t>
  </si>
  <si>
    <t>interest 76,999 (expense 76,999 + fees 0) / avg debt 4,524,314 (debt_beginning/debt_ending) = 0.017019 pre-tax -&gt; 0.012800 after-tax</t>
  </si>
  <si>
    <t>cost_of_debt_at_c11</t>
  </si>
  <si>
    <t>0.0128</t>
  </si>
  <si>
    <t>cost_of_debt_avg_debt</t>
  </si>
  <si>
    <t>4524314.0</t>
  </si>
  <si>
    <t>cost_of_debt_basis</t>
  </si>
  <si>
    <t>actual</t>
  </si>
  <si>
    <t>cost_of_debt_interest</t>
  </si>
  <si>
    <t>76999.0</t>
  </si>
  <si>
    <t>cost_of_debt_pretax</t>
  </si>
  <si>
    <t>0.01701893369911991</t>
  </si>
  <si>
    <t>da_pct_basis</t>
  </si>
  <si>
    <t>da_pct_c18</t>
  </si>
  <si>
    <t>0.0557</t>
  </si>
  <si>
    <t>da_pct_hist3yr</t>
  </si>
  <si>
    <t>0.055116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</si>
  <si>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</si>
  <si>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</si>
  <si>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</si>
  <si>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</si>
  <si>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</si>
  <si>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</si>
  <si>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</si>
  <si>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</si>
  <si>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</si>
  <si>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19:27:39</t>
  </si>
  <si>
    <t>guidance_note</t>
  </si>
  <si>
    <t>TDnet 決算短信 via screener guidance table: FY2027 disclosed 2026-08-07 (net_income=285,000mn, operating_income=410,000mn, revenue=2,800,000mn)</t>
  </si>
  <si>
    <t>guidance_source</t>
  </si>
  <si>
    <t>tdnet_screener_db</t>
  </si>
  <si>
    <t>latest_operating_income</t>
  </si>
  <si>
    <t>397789.0</t>
  </si>
  <si>
    <t>ltm_revenue_c20</t>
  </si>
  <si>
    <t>2709747.0</t>
  </si>
  <si>
    <t>ltm_revenue_source</t>
  </si>
  <si>
    <t>latest FY (no LTM)</t>
  </si>
  <si>
    <t>market_data_source</t>
  </si>
  <si>
    <t>yfinance; from overrides: beta, current_price, shares_outstanding</t>
  </si>
  <si>
    <t>narrative_tokens_used</t>
  </si>
  <si>
    <t>net_debt_source</t>
  </si>
  <si>
    <t>EDINET net_debt</t>
  </si>
  <si>
    <t>reverse_dcf_sheet</t>
  </si>
  <si>
    <t>op0=397,789(FY2026) peak=397,789(FY2026) peak_opm=0.1468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</si>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</sst>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1510</v>
      </c>
    </row>
    <row r="10" spans="2:5" ht="14" x14ac:dyDescent="0.3">
      <c r="B10" s="4" t="s">
        <v>10</v>
      </c>
      <c r="C10" s="5">
        <f>IF(COUNT(C16:C17)=0,"N/A",ROUND(AVERAGE(C16:C17),0))</f>
        <v>1104</v>
      </c>
    </row>
    <row r="11" spans="2:5" ht="14" x14ac:dyDescent="0.3">
      <c r="B11" s="4" t="s">
        <v>11</v>
      </c>
      <c r="C11" s="6" t="str">
        <f>IF(NOT(ISNUMBER(C12)),"N/A",IF(C12&gt;0.15,"BUY",IF(C12&gt;0.05,"HOLD","SELL")))</f>
        <v>SELL</v>
      </c>
    </row>
    <row r="12" spans="2:5" ht="14" x14ac:dyDescent="0.3">
      <c r="B12" s="4" t="s">
        <v>12</v>
      </c>
      <c r="C12" s="7">
        <f>IF(ISNUMBER(C10),(C10-C9)/C9,"N/A")</f>
        <v>-0.26887417218543047</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722</v>
      </c>
      <c r="D16" s="7">
        <f>IF(ISNUMBER(C16),(C16-C9)/C9,"N/A")</f>
        <v>-0.52185430463576155</v>
      </c>
    </row>
    <row r="17" spans="2:5" ht="13.5" x14ac:dyDescent="0.25">
      <c r="B17" t="s">
        <v>18</v>
      </c>
      <c r="C17" s="11">
        <f>IF('DCF Model'!C62&lt;'DCF Model'!C16,"INVALID (EV &lt; net debt)",'DCF Model'!C64)</f>
        <v>1486</v>
      </c>
      <c r="D17" s="7">
        <f>IF(ISNUMBER(C17),(C17-C9)/C9,"N/A")</f>
        <v>-1.5894039735099338E-2</v>
      </c>
    </row>
    <row r="18" spans="2:5" ht="13.5" x14ac:dyDescent="0.25">
      <c r="B18" t="s">
        <v>19</v>
      </c>
      <c r="C18" s="11">
        <f>'Comps Analysis'!C27</f>
        <v>1520</v>
      </c>
      <c r="D18" s="7">
        <f>IF(ISNUMBER(C18),(C18-C9)/C9,"N/A")</f>
        <v>6.6225165562913907E-3</v>
      </c>
    </row>
    <row r="19" spans="2:5" ht="13.5" x14ac:dyDescent="0.25">
      <c r="B19" t="s">
        <v>20</v>
      </c>
      <c r="C19" s="11">
        <f>'Comps Analysis'!C28</f>
        <v>1229</v>
      </c>
      <c r="D19" s="7">
        <f>IF(ISNUMBER(C19),(C19-C9)/C9,"N/A")</f>
        <v>-0.18609271523178808</v>
      </c>
    </row>
    <row r="20" spans="2:5" ht="14" x14ac:dyDescent="0.3">
      <c r="B20" s="45" t="s">
        <v>21</v>
      </c>
      <c r="C20" s="44"/>
      <c r="D20" s="44"/>
      <c r="E20" s="44"/>
    </row>
    <row r="21" spans="2:5" ht="14" x14ac:dyDescent="0.3">
      <c r="B21" s="4" t="s">
        <v>22</v>
      </c>
      <c r="C21" s="6" t="str">
        <f>IF(COUNT(C16:C17)=0,"N/A",MIN(C16:C17)&amp;" - "&amp;MAX(C16:C17))</f>
        <v>722 - 1486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2269103</v>
      </c>
      <c r="D6" s="5">
        <v>2383289</v>
      </c>
      <c r="E6" s="5">
        <v>2625363</v>
      </c>
      <c r="F6" s="5">
        <v>2709747</v>
      </c>
    </row>
    <row r="7" spans="2:6" ht="14" x14ac:dyDescent="0.3">
      <c r="B7" s="4" t="s">
        <v>38</v>
      </c>
      <c r="C7" s="5">
        <v>1742424</v>
      </c>
      <c r="D7" s="5">
        <v>1790164</v>
      </c>
      <c r="E7" s="5">
        <v>1990236</v>
      </c>
      <c r="F7" s="5">
        <v>2034962</v>
      </c>
    </row>
    <row r="8" spans="2:6" ht="14" x14ac:dyDescent="0.3">
      <c r="B8" s="4" t="s">
        <v>39</v>
      </c>
      <c r="C8" s="5">
        <f>C6-C7</f>
        <v>526679</v>
      </c>
      <c r="D8" s="5">
        <f>D6-D7</f>
        <v>593125</v>
      </c>
      <c r="E8" s="5">
        <f>E6-E7</f>
        <v>635127</v>
      </c>
      <c r="F8" s="5">
        <f>F6-F7</f>
        <v>674785</v>
      </c>
    </row>
    <row r="9" spans="2:6" ht="13.5" x14ac:dyDescent="0.25">
      <c r="B9" t="s">
        <v>40</v>
      </c>
      <c r="C9" s="7">
        <f>C8/C6</f>
        <v>0.23210889941972665</v>
      </c>
      <c r="D9" s="7">
        <f>D8/D6</f>
        <v>0.24886826566144518</v>
      </c>
      <c r="E9" s="7">
        <f>E8/E6</f>
        <v>0.24191968882017459</v>
      </c>
      <c r="F9" s="7">
        <f>F8/F6</f>
        <v>0.24902140310516074</v>
      </c>
    </row>
    <row r="10" spans="2:6" ht="14" x14ac:dyDescent="0.3">
      <c r="B10" s="4" t="s">
        <v>41</v>
      </c>
      <c r="C10" s="5">
        <v>221274</v>
      </c>
      <c r="D10" s="5">
        <v>253434</v>
      </c>
      <c r="E10" s="5">
        <v>262394</v>
      </c>
      <c r="F10" s="5">
        <v>276996</v>
      </c>
    </row>
    <row r="11" spans="2:6" ht="14" x14ac:dyDescent="0.3">
      <c r="B11" s="4" t="s">
        <v>42</v>
      </c>
      <c r="C11" s="5">
        <v>305405</v>
      </c>
      <c r="D11" s="5">
        <v>339691</v>
      </c>
      <c r="E11" s="5">
        <v>372733</v>
      </c>
      <c r="F11" s="5">
        <v>397789</v>
      </c>
    </row>
    <row r="12" spans="2:6" ht="14" x14ac:dyDescent="0.3">
      <c r="B12" s="4" t="s">
        <v>43</v>
      </c>
      <c r="C12" s="5">
        <v>196998</v>
      </c>
      <c r="D12" s="5">
        <v>224647</v>
      </c>
      <c r="E12" s="5">
        <v>248799</v>
      </c>
      <c r="F12" s="5">
        <v>278684</v>
      </c>
    </row>
    <row r="13" spans="2:6" ht="13.5" x14ac:dyDescent="0.25">
      <c r="B13" t="s">
        <v>44</v>
      </c>
      <c r="C13" s="7">
        <f>C11/C6</f>
        <v>0.13459283249812812</v>
      </c>
      <c r="D13" s="7">
        <f>D11/D6</f>
        <v>0.14253034357142588</v>
      </c>
      <c r="E13" s="7">
        <f>E11/E6</f>
        <v>0.14197389084861789</v>
      </c>
      <c r="F13" s="7">
        <f>F11/F6</f>
        <v>0.14679931373666988</v>
      </c>
    </row>
    <row r="14" spans="2:6" ht="13.5" x14ac:dyDescent="0.25">
      <c r="B14" t="s">
        <v>45</v>
      </c>
      <c r="C14" s="7">
        <f>C12/C6</f>
        <v>8.6817566236526061E-2</v>
      </c>
      <c r="D14" s="7">
        <f>D12/D6</f>
        <v>9.4259235871100813E-2</v>
      </c>
      <c r="E14" s="7">
        <f>E12/E6</f>
        <v>9.4767466441783479E-2</v>
      </c>
      <c r="F14" s="7">
        <f>F12/F6</f>
        <v>0.10284502575332678</v>
      </c>
    </row>
    <row r="15" spans="2:6" ht="13.5" x14ac:dyDescent="0.25">
      <c r="B15" t="s">
        <v>46</v>
      </c>
      <c r="C15" t="s">
        <v>47</v>
      </c>
      <c r="D15" s="7">
        <f>(D6-C6)/C6</f>
        <v>5.0322087626696543E-2</v>
      </c>
      <c r="E15" s="7">
        <f>(E6-D6)/D6</f>
        <v>0.10157139985960578</v>
      </c>
      <c r="F15" s="7">
        <f>(F6-E6)/E6</f>
        <v>3.2141840956850541E-2</v>
      </c>
    </row>
    <row r="16" spans="2:6" ht="13.5" x14ac:dyDescent="0.25">
      <c r="B16" t="s">
        <v>48</v>
      </c>
      <c r="C16" t="s">
        <v>47</v>
      </c>
      <c r="D16" s="7">
        <f>(D11-C11)/C11</f>
        <v>0.11226404282837543</v>
      </c>
      <c r="E16" s="7">
        <f>(E11-D11)/D11</f>
        <v>9.7270754891945921E-2</v>
      </c>
      <c r="F16" s="7">
        <f>(F11-E11)/E11</f>
        <v>6.7222381704866482E-2</v>
      </c>
    </row>
    <row r="18" spans="2:6" ht="14" x14ac:dyDescent="0.3">
      <c r="B18" s="3" t="s">
        <v>49</v>
      </c>
    </row>
    <row r="19" spans="2:6" ht="14" x14ac:dyDescent="0.3">
      <c r="B19" s="4" t="s">
        <v>50</v>
      </c>
      <c r="C19" s="5">
        <v>297708</v>
      </c>
      <c r="D19" s="5">
        <v>241697</v>
      </c>
      <c r="E19" s="5">
        <v>599252</v>
      </c>
      <c r="F19" s="5">
        <v>145270</v>
      </c>
    </row>
    <row r="20" spans="2:6" ht="14" x14ac:dyDescent="0.3">
      <c r="B20" s="4" t="s">
        <v>51</v>
      </c>
      <c r="C20" s="5">
        <v>386592</v>
      </c>
      <c r="D20" s="5">
        <v>246609</v>
      </c>
      <c r="E20" s="5">
        <v>362760</v>
      </c>
      <c r="F20" s="5">
        <v>246375</v>
      </c>
    </row>
    <row r="21" spans="2:6" ht="14" x14ac:dyDescent="0.3">
      <c r="B21" s="4" t="s">
        <v>52</v>
      </c>
      <c r="C21" s="5">
        <f>C19-C20</f>
        <v>-88884</v>
      </c>
      <c r="D21" s="5">
        <f>D19-D20</f>
        <v>-4912</v>
      </c>
      <c r="E21" s="5">
        <f>E19-E20</f>
        <v>236492</v>
      </c>
      <c r="F21" s="5">
        <f>F19-F20</f>
        <v>-101105</v>
      </c>
    </row>
    <row r="22" spans="2:6" ht="13.5" x14ac:dyDescent="0.25">
      <c r="B22" t="s">
        <v>53</v>
      </c>
      <c r="C22" s="7">
        <f>C21/C6</f>
        <v>-3.9171425889437367E-2</v>
      </c>
      <c r="D22" s="7">
        <f>D21/D6</f>
        <v>-2.0610173587844362E-3</v>
      </c>
      <c r="E22" s="7">
        <f>E21/E6</f>
        <v>9.0079733735868139E-2</v>
      </c>
      <c r="F22" s="7">
        <f>F21/F6</f>
        <v>-3.7311601415187468E-2</v>
      </c>
    </row>
    <row r="23" spans="2:6" ht="13.5" x14ac:dyDescent="0.25">
      <c r="B23" t="s">
        <v>54</v>
      </c>
      <c r="C23" s="7">
        <f>C20/C6</f>
        <v>0.1703721690906054</v>
      </c>
      <c r="D23" s="7">
        <f>D20/D6</f>
        <v>0.10347423245775061</v>
      </c>
      <c r="E23" s="7">
        <f>E20/E6</f>
        <v>0.13817517806109098</v>
      </c>
      <c r="F23" s="7">
        <f>F20/F6</f>
        <v>9.0921772401630116E-2</v>
      </c>
    </row>
    <row r="25" spans="2:6" ht="14" x14ac:dyDescent="0.3">
      <c r="B25" s="3" t="s">
        <v>55</v>
      </c>
    </row>
    <row r="26" spans="2:6" ht="14" x14ac:dyDescent="0.3">
      <c r="B26" s="4" t="s">
        <v>56</v>
      </c>
      <c r="C26" s="5">
        <v>132310</v>
      </c>
      <c r="D26" s="5">
        <v>179249</v>
      </c>
      <c r="E26" s="5">
        <v>164106</v>
      </c>
      <c r="F26" s="5">
        <v>82354</v>
      </c>
    </row>
    <row r="27" spans="2:6" ht="14" x14ac:dyDescent="0.3">
      <c r="B27" s="4" t="s">
        <v>57</v>
      </c>
      <c r="C27" s="5">
        <v>3193678</v>
      </c>
      <c r="D27" s="5">
        <v>3870354</v>
      </c>
      <c r="E27" s="5">
        <v>3815343</v>
      </c>
      <c r="F27" s="5">
        <v>4147080</v>
      </c>
    </row>
    <row r="28" spans="2:6" ht="14" x14ac:dyDescent="0.3">
      <c r="B28" s="4" t="s">
        <v>58</v>
      </c>
      <c r="C28" s="5">
        <f>C27-C26</f>
        <v>3061368</v>
      </c>
      <c r="D28" s="5">
        <f>D27-D26</f>
        <v>3691105</v>
      </c>
      <c r="E28" s="5">
        <f>E27-E26</f>
        <v>3651237</v>
      </c>
      <c r="F28" s="5">
        <f>F27-F26</f>
        <v>4064726</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5.8485000000000002E-2</v>
      </c>
    </row>
    <row r="6" spans="2:7" ht="14" x14ac:dyDescent="0.3">
      <c r="B6" s="4" t="s">
        <v>63</v>
      </c>
      <c r="C6" s="7">
        <v>0.25</v>
      </c>
    </row>
    <row r="7" spans="2:7" ht="14" x14ac:dyDescent="0.3">
      <c r="B7" s="4" t="s">
        <v>64</v>
      </c>
      <c r="C7" s="7">
        <v>2.9700000000000001E-2</v>
      </c>
    </row>
    <row r="8" spans="2:7" ht="14" x14ac:dyDescent="0.3">
      <c r="B8" s="4" t="s">
        <v>65</v>
      </c>
      <c r="C8" s="12">
        <v>0.75360000000000005</v>
      </c>
    </row>
    <row r="9" spans="2:7" ht="14" x14ac:dyDescent="0.3">
      <c r="B9" s="4" t="s">
        <v>66</v>
      </c>
      <c r="C9" s="7">
        <v>6.5000000000000002E-2</v>
      </c>
    </row>
    <row r="10" spans="2:7" ht="14" x14ac:dyDescent="0.3">
      <c r="B10" s="4" t="s">
        <v>67</v>
      </c>
      <c r="C10" s="7">
        <v>0.01</v>
      </c>
    </row>
    <row r="11" spans="2:7" ht="14" x14ac:dyDescent="0.3">
      <c r="B11" s="4" t="s">
        <v>68</v>
      </c>
      <c r="C11" s="7">
        <v>1.2800000000000001E-2</v>
      </c>
    </row>
    <row r="12" spans="2:7" ht="14" x14ac:dyDescent="0.3">
      <c r="B12" s="4" t="s">
        <v>69</v>
      </c>
      <c r="C12" s="13">
        <v>1.1193</v>
      </c>
    </row>
    <row r="13" spans="2:7" ht="14" x14ac:dyDescent="0.3">
      <c r="B13" s="4" t="s">
        <v>70</v>
      </c>
      <c r="C13" s="7">
        <v>0.01</v>
      </c>
    </row>
    <row r="14" spans="2:7" ht="14" x14ac:dyDescent="0.3">
      <c r="B14" s="4" t="s">
        <v>71</v>
      </c>
      <c r="C14" s="14">
        <v>15.7</v>
      </c>
    </row>
    <row r="15" spans="2:7" ht="14" x14ac:dyDescent="0.3">
      <c r="B15" s="4" t="s">
        <v>72</v>
      </c>
      <c r="C15" s="15">
        <v>2692184018</v>
      </c>
    </row>
    <row r="16" spans="2:7" ht="14" x14ac:dyDescent="0.3">
      <c r="B16" s="4" t="s">
        <v>73</v>
      </c>
      <c r="C16" s="5">
        <v>4550190</v>
      </c>
    </row>
    <row r="17" spans="2:7" ht="14" x14ac:dyDescent="0.3">
      <c r="B17" s="4" t="s">
        <v>74</v>
      </c>
      <c r="C17" s="5">
        <v>2709747</v>
      </c>
    </row>
    <row r="18" spans="2:7" ht="14" x14ac:dyDescent="0.3">
      <c r="B18" s="4" t="s">
        <v>75</v>
      </c>
      <c r="C18" s="7">
        <v>5.57E-2</v>
      </c>
    </row>
    <row r="19" spans="2:7" ht="14" x14ac:dyDescent="0.3">
      <c r="B19" s="4" t="s">
        <v>76</v>
      </c>
      <c r="C19" s="12">
        <v>1</v>
      </c>
    </row>
    <row r="20" spans="2:7" ht="14" x14ac:dyDescent="0.3">
      <c r="B20" s="4" t="s">
        <v>77</v>
      </c>
      <c r="C20" s="5">
        <v>2709747</v>
      </c>
    </row>
    <row r="22" spans="2:7" ht="14" x14ac:dyDescent="0.3">
      <c r="B22" s="8" t="s">
        <v>78</v>
      </c>
      <c r="C22" s="9"/>
      <c r="D22" s="9"/>
      <c r="E22" s="9"/>
      <c r="F22" s="9"/>
      <c r="G22" s="9"/>
    </row>
    <row r="23" spans="2:7" ht="14" x14ac:dyDescent="0.3">
      <c r="B23" s="4" t="s">
        <v>79</v>
      </c>
      <c r="C23" s="16">
        <f>C7+C8*C9+C10</f>
        <v>8.8683999999999999E-2</v>
      </c>
    </row>
    <row r="24" spans="2:7" ht="14" x14ac:dyDescent="0.3">
      <c r="B24" s="4" t="s">
        <v>80</v>
      </c>
      <c r="C24" s="16">
        <f>1/(1+C12)</f>
        <v>0.47185391402821686</v>
      </c>
    </row>
    <row r="25" spans="2:7" ht="14" x14ac:dyDescent="0.3">
      <c r="B25" s="4" t="s">
        <v>81</v>
      </c>
      <c r="C25" s="16">
        <f>C12/(1+C12)</f>
        <v>0.52814608597178314</v>
      </c>
    </row>
    <row r="26" spans="2:7" ht="14" x14ac:dyDescent="0.3">
      <c r="B26" s="4" t="s">
        <v>82</v>
      </c>
      <c r="C26" s="16">
        <f>C23*C24+C11*C25</f>
        <v>4.860616241211721E-2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0.751</v>
      </c>
      <c r="D31" s="18">
        <f>CHOOSE($D$27,D76,D77,D78,D79,D80)</f>
        <v>0.751</v>
      </c>
      <c r="E31" s="18">
        <f>CHOOSE($D$27,E76,E77,E78,E79,E80)</f>
        <v>0.751</v>
      </c>
      <c r="F31" s="18">
        <f>CHOOSE($D$27,F76,F77,F78,F79,F80)</f>
        <v>0.751</v>
      </c>
      <c r="G31" s="18">
        <f>CHOOSE($D$27,G76,G77,G78,G79,G80)</f>
        <v>0.751</v>
      </c>
    </row>
    <row r="32" spans="2:7" ht="14" x14ac:dyDescent="0.3">
      <c r="B32" s="4" t="s">
        <v>92</v>
      </c>
      <c r="C32" s="18">
        <f>CHOOSE($D$27,C83,C84,C85,C86,C87)</f>
        <v>0.10299999999999999</v>
      </c>
      <c r="D32" s="18">
        <f>CHOOSE($D$27,D83,D84,D85,D86,D87)</f>
        <v>0.10349999999999999</v>
      </c>
      <c r="E32" s="18">
        <f>CHOOSE($D$27,E83,E84,E85,E86,E87)</f>
        <v>0.1037</v>
      </c>
      <c r="F32" s="18">
        <f>CHOOSE($D$27,F83,F84,F85,F86,F87)</f>
        <v>0.1038</v>
      </c>
      <c r="G32" s="18">
        <f>CHOOSE($D$27,G83,G84,G85,G86,G87)</f>
        <v>0.1038</v>
      </c>
    </row>
    <row r="33" spans="2:7" ht="14" x14ac:dyDescent="0.3">
      <c r="B33" s="4" t="s">
        <v>37</v>
      </c>
      <c r="C33" s="5">
        <f>C17*(1+C30)</f>
        <v>2791039.41</v>
      </c>
      <c r="D33" s="5">
        <f>C33*(1+D30)</f>
        <v>2874770.5923000001</v>
      </c>
      <c r="E33" s="5">
        <f>D33*(1+E30)</f>
        <v>2946639.8571075001</v>
      </c>
      <c r="F33" s="5">
        <f>E33*(1+F30)</f>
        <v>3020305.8535351874</v>
      </c>
      <c r="G33" s="5">
        <f>F33*(1+G30)</f>
        <v>3080711.9706058912</v>
      </c>
    </row>
    <row r="34" spans="2:7" ht="14" x14ac:dyDescent="0.3">
      <c r="B34" s="4" t="s">
        <v>38</v>
      </c>
      <c r="C34" s="5">
        <f>C33*C31</f>
        <v>2096070.5969100001</v>
      </c>
      <c r="D34" s="5">
        <f>D33*D31</f>
        <v>2158952.7148173</v>
      </c>
      <c r="E34" s="5">
        <f>E33*E31</f>
        <v>2212926.5326877325</v>
      </c>
      <c r="F34" s="5">
        <f>F33*F31</f>
        <v>2268249.6960049258</v>
      </c>
      <c r="G34" s="5">
        <f>G33*G31</f>
        <v>2313614.6899250243</v>
      </c>
    </row>
    <row r="35" spans="2:7" ht="14" x14ac:dyDescent="0.3">
      <c r="B35" s="4" t="s">
        <v>39</v>
      </c>
      <c r="C35" s="19">
        <f>C33-C34</f>
        <v>694968.81309000007</v>
      </c>
      <c r="D35" s="19">
        <f>D33-D34</f>
        <v>715817.87748270016</v>
      </c>
      <c r="E35" s="19">
        <f>E33-E34</f>
        <v>733713.3244197676</v>
      </c>
      <c r="F35" s="19">
        <f>F33-F34</f>
        <v>752056.15753026167</v>
      </c>
      <c r="G35" s="19">
        <f>G33-G34</f>
        <v>767097.28068086691</v>
      </c>
    </row>
    <row r="36" spans="2:7" ht="14" x14ac:dyDescent="0.3">
      <c r="B36" s="4" t="s">
        <v>40</v>
      </c>
      <c r="C36" s="7">
        <f>C35/C33</f>
        <v>0.249</v>
      </c>
      <c r="D36" s="7">
        <f>D35/D33</f>
        <v>0.24900000000000005</v>
      </c>
      <c r="E36" s="7">
        <f>E35/E33</f>
        <v>0.24900000000000003</v>
      </c>
      <c r="F36" s="7">
        <f>F35/F33</f>
        <v>0.249</v>
      </c>
      <c r="G36" s="7">
        <f>G35/G33</f>
        <v>0.249</v>
      </c>
    </row>
    <row r="37" spans="2:7" ht="14" x14ac:dyDescent="0.3">
      <c r="B37" s="4" t="s">
        <v>93</v>
      </c>
      <c r="C37" s="5">
        <f>C33*C32</f>
        <v>287477.05923000001</v>
      </c>
      <c r="D37" s="5">
        <f>D33*D32</f>
        <v>297538.75630304997</v>
      </c>
      <c r="E37" s="5">
        <f>E33*E32</f>
        <v>305566.55318204773</v>
      </c>
      <c r="F37" s="5">
        <f>F33*F32</f>
        <v>313507.74759695248</v>
      </c>
      <c r="G37" s="5">
        <f>G33*G32</f>
        <v>319777.90254889149</v>
      </c>
    </row>
    <row r="38" spans="2:7" ht="14" x14ac:dyDescent="0.3">
      <c r="B38" s="4" t="s">
        <v>94</v>
      </c>
      <c r="C38" s="7">
        <f>(C35-C37)/C33</f>
        <v>0.14600000000000002</v>
      </c>
      <c r="D38" s="7">
        <f>(D35-D37)/D33</f>
        <v>0.14550000000000005</v>
      </c>
      <c r="E38" s="7">
        <f>(E35-E37)/E33</f>
        <v>0.14530000000000004</v>
      </c>
      <c r="F38" s="7">
        <f>(F35-F37)/F33</f>
        <v>0.1452</v>
      </c>
      <c r="G38" s="7">
        <f>(G35-G37)/G33</f>
        <v>0.1452</v>
      </c>
    </row>
    <row r="39" spans="2:7" ht="14" x14ac:dyDescent="0.3">
      <c r="B39" s="4" t="s">
        <v>95</v>
      </c>
      <c r="C39" s="19">
        <f>C35-C37</f>
        <v>407491.75386000006</v>
      </c>
      <c r="D39" s="19">
        <f>D35-D37</f>
        <v>418279.12117965019</v>
      </c>
      <c r="E39" s="19">
        <f>E35-E37</f>
        <v>428146.77123771986</v>
      </c>
      <c r="F39" s="19">
        <f>F35-F37</f>
        <v>438548.40993330919</v>
      </c>
      <c r="G39" s="19">
        <f>G35-G37</f>
        <v>447319.37813197542</v>
      </c>
    </row>
    <row r="40" spans="2:7" ht="14" x14ac:dyDescent="0.3">
      <c r="B40" s="4" t="s">
        <v>96</v>
      </c>
      <c r="C40" s="5">
        <f>MAX(0,C39*C6)</f>
        <v>101872.93846500001</v>
      </c>
      <c r="D40" s="5">
        <f>MAX(0,D39*C6)</f>
        <v>104569.78029491255</v>
      </c>
      <c r="E40" s="5">
        <f>MAX(0,E39*C6)</f>
        <v>107036.69280942997</v>
      </c>
      <c r="F40" s="5">
        <f>MAX(0,F39*C6)</f>
        <v>109637.1024833273</v>
      </c>
      <c r="G40" s="5">
        <f>MAX(0,G39*C6)</f>
        <v>111829.84453299385</v>
      </c>
    </row>
    <row r="41" spans="2:7" ht="14" x14ac:dyDescent="0.3">
      <c r="B41" s="4" t="s">
        <v>97</v>
      </c>
      <c r="C41" s="19">
        <f>C39-C40</f>
        <v>305618.81539500004</v>
      </c>
      <c r="D41" s="19">
        <f>D39-D40</f>
        <v>313709.34088473767</v>
      </c>
      <c r="E41" s="19">
        <f>E39-E40</f>
        <v>321110.07842828991</v>
      </c>
      <c r="F41" s="19">
        <f>F39-F40</f>
        <v>328911.30744998192</v>
      </c>
      <c r="G41" s="19">
        <f>G39-G40</f>
        <v>335489.53359898156</v>
      </c>
    </row>
    <row r="42" spans="2:7" ht="14" x14ac:dyDescent="0.3">
      <c r="B42" s="4" t="s">
        <v>98</v>
      </c>
      <c r="C42" s="5">
        <f>C33*C18</f>
        <v>155460.89513700001</v>
      </c>
      <c r="D42" s="5">
        <f>D33*C18</f>
        <v>160124.72199111001</v>
      </c>
      <c r="E42" s="5">
        <f>E33*C18</f>
        <v>164127.84004088776</v>
      </c>
      <c r="F42" s="5">
        <f>F33*C18</f>
        <v>168231.03604190995</v>
      </c>
      <c r="G42" s="5">
        <f>G33*C18</f>
        <v>171595.65676274814</v>
      </c>
    </row>
    <row r="43" spans="2:7" ht="14" x14ac:dyDescent="0.3">
      <c r="B43" s="4" t="s">
        <v>99</v>
      </c>
      <c r="C43" s="5">
        <v>225200</v>
      </c>
      <c r="D43" s="5">
        <v>213900</v>
      </c>
      <c r="E43" s="5">
        <v>202700</v>
      </c>
      <c r="F43" s="5">
        <v>191400</v>
      </c>
      <c r="G43" s="5">
        <v>180200</v>
      </c>
    </row>
    <row r="44" spans="2:7" ht="14" x14ac:dyDescent="0.3">
      <c r="B44" s="4" t="s">
        <v>100</v>
      </c>
      <c r="C44" s="5">
        <f>'NWC Schedule'!D19</f>
        <v>109347.3002312053</v>
      </c>
      <c r="D44" s="5">
        <f>'NWC Schedule'!E19</f>
        <v>76431.429006936494</v>
      </c>
      <c r="E44" s="5">
        <f>'NWC Schedule'!F19</f>
        <v>65603.643230953254</v>
      </c>
      <c r="F44" s="5">
        <f>'NWC Schedule'!G19</f>
        <v>67243.734311727341</v>
      </c>
      <c r="G44" s="5">
        <f>'NWC Schedule'!H19</f>
        <v>55139.862135616597</v>
      </c>
    </row>
    <row r="45" spans="2:7" ht="14" x14ac:dyDescent="0.3">
      <c r="B45" s="4" t="s">
        <v>101</v>
      </c>
      <c r="C45" s="20">
        <f>C41+C42-C43-C44</f>
        <v>126532.41030079476</v>
      </c>
      <c r="D45" s="20">
        <f>D41+D42-D43-D44</f>
        <v>183502.63386891119</v>
      </c>
      <c r="E45" s="20">
        <f>E41+E42-E43-E44</f>
        <v>216934.27523822442</v>
      </c>
      <c r="F45" s="20">
        <f>F41+F42-F43-F44</f>
        <v>238498.60918016452</v>
      </c>
      <c r="G45" s="20">
        <f>G41+G42-G43-G44</f>
        <v>271745.32822611311</v>
      </c>
    </row>
    <row r="46" spans="2:7" ht="14" x14ac:dyDescent="0.3">
      <c r="B46" s="4" t="s">
        <v>102</v>
      </c>
      <c r="C46" s="21">
        <f>1/(1+C26)^(C19+0)</f>
        <v>0.95364688464131464</v>
      </c>
      <c r="D46" s="21">
        <f>1/(1+C26)^(C19+1)</f>
        <v>0.90944238058608484</v>
      </c>
      <c r="E46" s="21">
        <f>1/(1+C26)^(C19+2)</f>
        <v>0.8672868930067007</v>
      </c>
      <c r="F46" s="21">
        <f>1/(1+C26)^(C19+3)</f>
        <v>0.82708544360608505</v>
      </c>
      <c r="G46" s="21">
        <f>1/(1+C26)^(C19+4)</f>
        <v>0.78874745662712287</v>
      </c>
    </row>
    <row r="47" spans="2:7" ht="14" x14ac:dyDescent="0.3">
      <c r="B47" s="4" t="s">
        <v>103</v>
      </c>
      <c r="C47" s="19">
        <f>C45*C46</f>
        <v>120667.23888950951</v>
      </c>
      <c r="D47" s="19">
        <f>D45*D46</f>
        <v>166885.07218955932</v>
      </c>
      <c r="E47" s="19">
        <f>E45*E46</f>
        <v>188144.25355802011</v>
      </c>
      <c r="F47" s="19">
        <f>F45*F46</f>
        <v>197258.72797321068</v>
      </c>
      <c r="G47" s="19">
        <f>G45*G46</f>
        <v>214338.43648864943</v>
      </c>
    </row>
    <row r="49" spans="2:7" ht="14" x14ac:dyDescent="0.3">
      <c r="B49" s="22" t="s">
        <v>104</v>
      </c>
      <c r="C49" s="23"/>
      <c r="D49" s="23"/>
      <c r="E49" s="23"/>
      <c r="F49" s="23"/>
      <c r="G49" s="23"/>
    </row>
    <row r="50" spans="2:7" ht="14" x14ac:dyDescent="0.3">
      <c r="B50" s="4" t="s">
        <v>105</v>
      </c>
      <c r="C50" s="5">
        <f>SUM(C47:G47)</f>
        <v>887293.729098949</v>
      </c>
    </row>
    <row r="51" spans="2:7" ht="14" x14ac:dyDescent="0.3">
      <c r="B51" s="4" t="s">
        <v>106</v>
      </c>
      <c r="C51" s="5">
        <f>G45*(1+C13)/(C26-C13)</f>
        <v>7109299.7687392365</v>
      </c>
    </row>
    <row r="52" spans="2:7" ht="14" x14ac:dyDescent="0.3">
      <c r="B52" s="4" t="s">
        <v>107</v>
      </c>
      <c r="C52" s="5">
        <f>C51*G46</f>
        <v>5607442.1109928656</v>
      </c>
    </row>
    <row r="53" spans="2:7" ht="14" x14ac:dyDescent="0.3">
      <c r="B53" s="4" t="s">
        <v>108</v>
      </c>
      <c r="C53" s="5">
        <f>C50+C52</f>
        <v>6494735.8400918143</v>
      </c>
    </row>
    <row r="54" spans="2:7" ht="14" x14ac:dyDescent="0.3">
      <c r="B54" s="4" t="s">
        <v>109</v>
      </c>
      <c r="C54" s="5">
        <f>C53-C16</f>
        <v>1944545.8400918143</v>
      </c>
    </row>
    <row r="55" spans="2:7" ht="14" x14ac:dyDescent="0.3">
      <c r="B55" s="4" t="s">
        <v>110</v>
      </c>
      <c r="C55" s="24">
        <f>ROUND(C54*1000000/C15,0)</f>
        <v>722</v>
      </c>
    </row>
    <row r="57" spans="2:7" ht="14" x14ac:dyDescent="0.3">
      <c r="B57" s="22" t="s">
        <v>111</v>
      </c>
      <c r="C57" s="23"/>
      <c r="D57" s="23"/>
      <c r="E57" s="23"/>
      <c r="F57" s="23"/>
      <c r="G57" s="23"/>
    </row>
    <row r="58" spans="2:7" ht="14" x14ac:dyDescent="0.3">
      <c r="B58" s="4" t="s">
        <v>105</v>
      </c>
      <c r="C58" s="5">
        <f>C50</f>
        <v>887293.729098949</v>
      </c>
    </row>
    <row r="59" spans="2:7" ht="14" x14ac:dyDescent="0.3">
      <c r="B59" s="4" t="s">
        <v>112</v>
      </c>
      <c r="C59" s="5">
        <f>G39+G42</f>
        <v>618915.03489472356</v>
      </c>
    </row>
    <row r="60" spans="2:7" ht="14" x14ac:dyDescent="0.3">
      <c r="B60" s="4" t="s">
        <v>113</v>
      </c>
      <c r="C60" s="5">
        <f>C59*C14</f>
        <v>9716966.0478471592</v>
      </c>
    </row>
    <row r="61" spans="2:7" ht="14" x14ac:dyDescent="0.3">
      <c r="B61" s="4" t="s">
        <v>107</v>
      </c>
      <c r="C61" s="5">
        <f>C60*G46</f>
        <v>7664232.2563715531</v>
      </c>
    </row>
    <row r="62" spans="2:7" ht="14" x14ac:dyDescent="0.3">
      <c r="B62" s="4" t="s">
        <v>108</v>
      </c>
      <c r="C62" s="5">
        <f>C58+C61</f>
        <v>8551525.9854705017</v>
      </c>
    </row>
    <row r="63" spans="2:7" ht="14" x14ac:dyDescent="0.3">
      <c r="B63" s="4" t="s">
        <v>109</v>
      </c>
      <c r="C63" s="5">
        <f>C62-C16</f>
        <v>4001335.9854705017</v>
      </c>
    </row>
    <row r="64" spans="2:7" ht="14" x14ac:dyDescent="0.3">
      <c r="B64" s="4" t="s">
        <v>114</v>
      </c>
      <c r="C64" s="24">
        <f>ROUND(C63*1000000/C15,0)</f>
        <v>1486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0.751</v>
      </c>
      <c r="D76" s="26">
        <v>0.751</v>
      </c>
      <c r="E76" s="26">
        <v>0.751</v>
      </c>
      <c r="F76" s="26">
        <v>0.751</v>
      </c>
      <c r="G76" s="26">
        <v>0.751</v>
      </c>
    </row>
    <row r="77" spans="2:7" ht="14" x14ac:dyDescent="0.3">
      <c r="B77" s="4" t="s">
        <v>121</v>
      </c>
      <c r="C77" s="26">
        <v>0.74099999999999999</v>
      </c>
      <c r="D77" s="26">
        <v>0.74099999999999999</v>
      </c>
      <c r="E77" s="26">
        <v>0.74099999999999999</v>
      </c>
      <c r="F77" s="26">
        <v>0.74099999999999999</v>
      </c>
      <c r="G77" s="26">
        <v>0.74099999999999999</v>
      </c>
    </row>
    <row r="78" spans="2:7" ht="14" x14ac:dyDescent="0.3">
      <c r="B78" s="4" t="s">
        <v>122</v>
      </c>
      <c r="C78" s="26">
        <v>0.751</v>
      </c>
      <c r="D78" s="26">
        <v>0.751</v>
      </c>
      <c r="E78" s="26">
        <v>0.751</v>
      </c>
      <c r="F78" s="26">
        <v>0.751</v>
      </c>
      <c r="G78" s="26">
        <v>0.751</v>
      </c>
    </row>
    <row r="79" spans="2:7" ht="14" x14ac:dyDescent="0.3">
      <c r="B79" s="4" t="s">
        <v>123</v>
      </c>
      <c r="C79" s="26">
        <v>0.76</v>
      </c>
      <c r="D79" s="26">
        <v>0.76</v>
      </c>
      <c r="E79" s="26">
        <v>0.76</v>
      </c>
      <c r="F79" s="26">
        <v>0.76</v>
      </c>
      <c r="G79" s="26">
        <v>0.76</v>
      </c>
    </row>
    <row r="80" spans="2:7" ht="14" x14ac:dyDescent="0.3">
      <c r="B80" s="4" t="s">
        <v>124</v>
      </c>
      <c r="C80" s="26">
        <v>0.78</v>
      </c>
      <c r="D80" s="26">
        <v>0.78</v>
      </c>
      <c r="E80" s="26">
        <v>0.78</v>
      </c>
      <c r="F80" s="26">
        <v>0.78</v>
      </c>
      <c r="G80" s="26">
        <v>0.78</v>
      </c>
    </row>
    <row r="82" spans="2:7" ht="14" x14ac:dyDescent="0.3">
      <c r="B82" s="3" t="s">
        <v>92</v>
      </c>
    </row>
    <row r="83" spans="2:7" ht="14" x14ac:dyDescent="0.3">
      <c r="B83" s="4" t="s">
        <v>84</v>
      </c>
      <c r="C83" s="26">
        <v>0.10299999999999999</v>
      </c>
      <c r="D83" s="26">
        <v>0.10349999999999999</v>
      </c>
      <c r="E83" s="26">
        <v>0.1037</v>
      </c>
      <c r="F83" s="26">
        <v>0.1038</v>
      </c>
      <c r="G83" s="26">
        <v>0.1038</v>
      </c>
    </row>
    <row r="84" spans="2:7" ht="14" x14ac:dyDescent="0.3">
      <c r="B84" s="4" t="s">
        <v>121</v>
      </c>
      <c r="C84" s="26">
        <v>0.108</v>
      </c>
      <c r="D84" s="26">
        <v>0.1045</v>
      </c>
      <c r="E84" s="26">
        <v>0.10150000000000001</v>
      </c>
      <c r="F84" s="26">
        <v>9.9500000000000005E-2</v>
      </c>
      <c r="G84" s="26">
        <v>9.8000000000000004E-2</v>
      </c>
    </row>
    <row r="85" spans="2:7" ht="14" x14ac:dyDescent="0.3">
      <c r="B85" s="4" t="s">
        <v>122</v>
      </c>
      <c r="C85" s="26">
        <v>0.10299999999999999</v>
      </c>
      <c r="D85" s="26">
        <v>0.10349999999999999</v>
      </c>
      <c r="E85" s="26">
        <v>0.1037</v>
      </c>
      <c r="F85" s="26">
        <v>0.1038</v>
      </c>
      <c r="G85" s="26">
        <v>0.1038</v>
      </c>
    </row>
    <row r="86" spans="2:7" ht="14" x14ac:dyDescent="0.3">
      <c r="B86" s="4" t="s">
        <v>123</v>
      </c>
      <c r="C86" s="26">
        <v>9.8000000000000004E-2</v>
      </c>
      <c r="D86" s="26">
        <v>0.1</v>
      </c>
      <c r="E86" s="26">
        <v>0.10150000000000001</v>
      </c>
      <c r="F86" s="26">
        <v>0.10249999999999999</v>
      </c>
      <c r="G86" s="26">
        <v>0.10299999999999999</v>
      </c>
    </row>
    <row r="87" spans="2:7" ht="14" x14ac:dyDescent="0.3">
      <c r="B87" s="4" t="s">
        <v>124</v>
      </c>
      <c r="C87" s="26">
        <v>0.1</v>
      </c>
      <c r="D87" s="26">
        <v>0.108</v>
      </c>
      <c r="E87" s="26">
        <v>0.111</v>
      </c>
      <c r="F87" s="26">
        <v>0.111</v>
      </c>
      <c r="G87" s="26">
        <v>0.11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1510</v>
      </c>
    </row>
    <row r="7" spans="2:9" ht="14" x14ac:dyDescent="0.3">
      <c r="B7" s="4" t="s">
        <v>72</v>
      </c>
      <c r="C7" s="15">
        <f>'DCF Model'!C15</f>
        <v>2692184018</v>
      </c>
    </row>
    <row r="8" spans="2:9" ht="14" x14ac:dyDescent="0.3">
      <c r="B8" s="4" t="s">
        <v>129</v>
      </c>
      <c r="C8" s="5">
        <f>C6*C7/1000000</f>
        <v>4065197.8671800001</v>
      </c>
    </row>
    <row r="9" spans="2:9" ht="14" x14ac:dyDescent="0.3">
      <c r="B9" s="4" t="s">
        <v>73</v>
      </c>
      <c r="C9" s="5">
        <f>'DCF Model'!C16</f>
        <v>4550190</v>
      </c>
    </row>
    <row r="10" spans="2:9" ht="14" x14ac:dyDescent="0.3">
      <c r="B10" s="4" t="s">
        <v>130</v>
      </c>
      <c r="C10" s="5">
        <f>C8+C9</f>
        <v>8615387.867180001</v>
      </c>
    </row>
    <row r="11" spans="2:9" ht="14" x14ac:dyDescent="0.3">
      <c r="B11" s="4" t="s">
        <v>131</v>
      </c>
      <c r="C11" s="16">
        <f>'DCF Model'!C26</f>
        <v>4.860616241211721E-2</v>
      </c>
    </row>
    <row r="12" spans="2:9" ht="14" x14ac:dyDescent="0.3">
      <c r="B12" s="4" t="s">
        <v>132</v>
      </c>
      <c r="C12" s="16">
        <f>'DCF Model'!C13</f>
        <v>0.01</v>
      </c>
    </row>
    <row r="13" spans="2:9" ht="14" x14ac:dyDescent="0.3">
      <c r="B13" s="4" t="s">
        <v>133</v>
      </c>
      <c r="C13" s="16">
        <f>'DCF Model'!C6</f>
        <v>0.25</v>
      </c>
    </row>
    <row r="14" spans="2:9" ht="14" x14ac:dyDescent="0.3">
      <c r="B14" s="4" t="s">
        <v>134</v>
      </c>
      <c r="C14" s="27">
        <v>397789</v>
      </c>
    </row>
    <row r="15" spans="2:9" ht="14" x14ac:dyDescent="0.3">
      <c r="B15" s="4" t="s">
        <v>135</v>
      </c>
      <c r="C15" s="27">
        <v>397789</v>
      </c>
    </row>
    <row r="16" spans="2:9" ht="14" x14ac:dyDescent="0.3">
      <c r="B16" s="4" t="s">
        <v>136</v>
      </c>
      <c r="C16" s="5">
        <f>'DCF Model'!G33</f>
        <v>3080711.9706058912</v>
      </c>
    </row>
    <row r="17" spans="2:9" ht="14" x14ac:dyDescent="0.3">
      <c r="B17" s="4" t="s">
        <v>137</v>
      </c>
      <c r="C17" s="5">
        <f>'DCF Model'!C53</f>
        <v>6494735.8400918143</v>
      </c>
    </row>
    <row r="18" spans="2:9" ht="14" x14ac:dyDescent="0.3">
      <c r="B18" s="4" t="s">
        <v>138</v>
      </c>
      <c r="C18" s="26">
        <v>0.14679931373666991</v>
      </c>
    </row>
    <row r="19" spans="2:9" ht="14" x14ac:dyDescent="0.3">
      <c r="B19" s="4" t="s">
        <v>139</v>
      </c>
      <c r="C19" s="5">
        <f>C10-C17</f>
        <v>2120652.0270881867</v>
      </c>
    </row>
    <row r="20" spans="2:9" ht="14" x14ac:dyDescent="0.3">
      <c r="B20" s="4" t="s">
        <v>140</v>
      </c>
      <c r="C20" s="15">
        <f>IFERROR(ROUND(C19*1000000/C7,0),"N/A")</f>
        <v>788</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332607.06324373517</v>
      </c>
    </row>
    <row r="25" spans="2:9" ht="14" x14ac:dyDescent="0.3">
      <c r="B25" s="4" t="s">
        <v>144</v>
      </c>
      <c r="C25" s="5">
        <f>IFERROR(C24/(1-C13),"N/A")</f>
        <v>443476.08432498021</v>
      </c>
    </row>
    <row r="26" spans="2:9" ht="13.5" x14ac:dyDescent="0.25">
      <c r="B26" s="6" t="s">
        <v>145</v>
      </c>
      <c r="C26" s="14">
        <f>IFERROR(C25/C15,"N/A")</f>
        <v>1.114852558328612</v>
      </c>
    </row>
    <row r="27" spans="2:9" ht="13.5" x14ac:dyDescent="0.25">
      <c r="B27" s="6" t="s">
        <v>146</v>
      </c>
      <c r="C27" s="14">
        <f>IFERROR(C25/C14,"N/A")</f>
        <v>1.114852558328612</v>
      </c>
    </row>
    <row r="28" spans="2:9" ht="13.5" x14ac:dyDescent="0.25">
      <c r="B28" s="6" t="s">
        <v>147</v>
      </c>
      <c r="C28" s="7">
        <f>IFERROR(C25/C16,"N/A")</f>
        <v>0.14395246571452788</v>
      </c>
    </row>
    <row r="29" spans="2:9" ht="13.5" x14ac:dyDescent="0.25">
      <c r="B29" s="6" t="s">
        <v>148</v>
      </c>
      <c r="C29" s="5">
        <f>IFERROR(C25/C18,"N/A")</f>
        <v>3020968.3753732806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2.8606162412117209E-2</v>
      </c>
      <c r="E36" s="29">
        <f>'DCF Model'!C26-0.01</f>
        <v>3.8606162412117208E-2</v>
      </c>
      <c r="F36" s="29">
        <f>'DCF Model'!C26</f>
        <v>4.860616241211721E-2</v>
      </c>
      <c r="G36" s="29">
        <f>'DCF Model'!C26+0.01</f>
        <v>5.8606162412117212E-2</v>
      </c>
      <c r="H36" s="29">
        <f>'DCF Model'!C26+0.02</f>
        <v>6.8606162412117214E-2</v>
      </c>
    </row>
    <row r="37" spans="2:9" ht="14" x14ac:dyDescent="0.3">
      <c r="B37" s="3" t="s">
        <v>154</v>
      </c>
    </row>
    <row r="38" spans="2:9" ht="14" x14ac:dyDescent="0.3">
      <c r="B38" s="4" t="s">
        <v>155</v>
      </c>
      <c r="C38" s="30">
        <v>3</v>
      </c>
      <c r="D38" s="13">
        <f t="shared" ref="D38:H41" si="0">IFERROR((1-(1+D$36)^(-$C38))/D$36-(1+D$36)/(D$36^2*$C38)*(1-($C38+1)/(1+D$36)^$C38+$C38/(1+D$36)^($C38+1)),"N/A")</f>
        <v>0.9631769997624744</v>
      </c>
      <c r="E38" s="13">
        <f t="shared" si="0"/>
        <v>0.95089906049475537</v>
      </c>
      <c r="F38" s="13">
        <f t="shared" si="0"/>
        <v>0.93891204995635569</v>
      </c>
      <c r="G38" s="13">
        <f t="shared" si="0"/>
        <v>0.92720613035246546</v>
      </c>
      <c r="H38" s="13">
        <f t="shared" si="0"/>
        <v>0.91577189121261715</v>
      </c>
    </row>
    <row r="39" spans="2:9" ht="14" x14ac:dyDescent="0.3">
      <c r="B39" s="4" t="s">
        <v>156</v>
      </c>
      <c r="C39" s="30">
        <v>5</v>
      </c>
      <c r="D39" s="13">
        <f t="shared" si="0"/>
        <v>1.8910521672549585</v>
      </c>
      <c r="E39" s="13">
        <f t="shared" si="0"/>
        <v>1.8553993178922377</v>
      </c>
      <c r="F39" s="13">
        <f t="shared" si="0"/>
        <v>1.8209147819885843</v>
      </c>
      <c r="G39" s="13">
        <f t="shared" si="0"/>
        <v>1.7875464757903949</v>
      </c>
      <c r="H39" s="13">
        <f t="shared" si="0"/>
        <v>1.7552451932839301</v>
      </c>
    </row>
    <row r="40" spans="2:9" ht="14" x14ac:dyDescent="0.3">
      <c r="B40" s="4" t="s">
        <v>157</v>
      </c>
      <c r="C40" s="30">
        <v>7</v>
      </c>
      <c r="D40" s="13">
        <f t="shared" si="0"/>
        <v>2.7850797351428094</v>
      </c>
      <c r="E40" s="13">
        <f t="shared" si="0"/>
        <v>2.7160445878686619</v>
      </c>
      <c r="F40" s="13">
        <f t="shared" si="0"/>
        <v>2.6498826545227008</v>
      </c>
      <c r="G40" s="13">
        <f t="shared" si="0"/>
        <v>2.5864356196445906</v>
      </c>
      <c r="H40" s="13">
        <f t="shared" si="0"/>
        <v>2.5255557451391026</v>
      </c>
    </row>
    <row r="41" spans="2:9" ht="14" x14ac:dyDescent="0.3">
      <c r="B41" s="4" t="s">
        <v>158</v>
      </c>
      <c r="C41" s="30">
        <v>10</v>
      </c>
      <c r="D41" s="13">
        <f t="shared" si="0"/>
        <v>4.0656815140266138</v>
      </c>
      <c r="E41" s="13">
        <f t="shared" si="0"/>
        <v>3.9299853626784831</v>
      </c>
      <c r="F41" s="13">
        <f t="shared" si="0"/>
        <v>3.8016828717420466</v>
      </c>
      <c r="G41" s="13">
        <f t="shared" si="0"/>
        <v>3.6802532904487415</v>
      </c>
      <c r="H41" s="13">
        <f t="shared" si="0"/>
        <v>3.5652194461339426</v>
      </c>
    </row>
    <row r="42" spans="2:9" ht="14" x14ac:dyDescent="0.3">
      <c r="B42" s="3" t="s">
        <v>159</v>
      </c>
    </row>
    <row r="43" spans="2:9" ht="14" x14ac:dyDescent="0.3">
      <c r="B43" s="4" t="s">
        <v>155</v>
      </c>
      <c r="C43" s="30">
        <v>3</v>
      </c>
      <c r="D43" s="13">
        <f t="shared" ref="D43:H46" si="1">IFERROR((1+D$36)/(D$36^2*$C43)*(1-($C43+1)/(1+D$36)^$C43+$C43/(1+D$36)^($C43+1))+(1+$C$12)/((D$36-$C$12)*(1+D$36)^$C43),"N/A")</f>
        <v>51.751969853510388</v>
      </c>
      <c r="E43" s="13">
        <f t="shared" si="1"/>
        <v>33.345952882547692</v>
      </c>
      <c r="F43" s="13">
        <f t="shared" si="1"/>
        <v>24.481099834978014</v>
      </c>
      <c r="G43" s="13">
        <f t="shared" si="1"/>
        <v>19.26838535594916</v>
      </c>
      <c r="H43" s="13">
        <f t="shared" si="1"/>
        <v>15.838180038764261</v>
      </c>
    </row>
    <row r="44" spans="2:9" ht="14" x14ac:dyDescent="0.3">
      <c r="B44" s="4" t="s">
        <v>156</v>
      </c>
      <c r="C44" s="30">
        <v>5</v>
      </c>
      <c r="D44" s="13">
        <f t="shared" si="1"/>
        <v>49.850127230617829</v>
      </c>
      <c r="E44" s="13">
        <f t="shared" si="1"/>
        <v>31.829003311456372</v>
      </c>
      <c r="F44" s="13">
        <f t="shared" si="1"/>
        <v>23.160210606400099</v>
      </c>
      <c r="G44" s="13">
        <f t="shared" si="1"/>
        <v>18.070800985792818</v>
      </c>
      <c r="H44" s="13">
        <f t="shared" si="1"/>
        <v>14.728021959530787</v>
      </c>
    </row>
    <row r="45" spans="2:9" ht="14" x14ac:dyDescent="0.3">
      <c r="B45" s="4" t="s">
        <v>157</v>
      </c>
      <c r="C45" s="30">
        <v>7</v>
      </c>
      <c r="D45" s="13">
        <f t="shared" si="1"/>
        <v>48.035552165317704</v>
      </c>
      <c r="E45" s="13">
        <f t="shared" si="1"/>
        <v>30.400593374452544</v>
      </c>
      <c r="F45" s="13">
        <f t="shared" si="1"/>
        <v>21.932100753640388</v>
      </c>
      <c r="G45" s="13">
        <f t="shared" si="1"/>
        <v>16.970974952282294</v>
      </c>
      <c r="H45" s="13">
        <f t="shared" si="1"/>
        <v>13.720667671417038</v>
      </c>
    </row>
    <row r="46" spans="2:9" ht="14" x14ac:dyDescent="0.3">
      <c r="B46" s="4" t="s">
        <v>158</v>
      </c>
      <c r="C46" s="30">
        <v>10</v>
      </c>
      <c r="D46" s="13">
        <f t="shared" si="1"/>
        <v>45.467926446441901</v>
      </c>
      <c r="E46" s="13">
        <f t="shared" si="1"/>
        <v>28.41172311224053</v>
      </c>
      <c r="F46" s="13">
        <f t="shared" si="1"/>
        <v>20.248325300500085</v>
      </c>
      <c r="G46" s="13">
        <f t="shared" si="1"/>
        <v>15.485393738158123</v>
      </c>
      <c r="H46" s="13">
        <f t="shared" si="1"/>
        <v>12.379513393810967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214562.70435269148</v>
      </c>
      <c r="E48" s="5">
        <f t="shared" si="2"/>
        <v>333141.67616261489</v>
      </c>
      <c r="F48" s="5">
        <f t="shared" si="2"/>
        <v>453970.41033212061</v>
      </c>
      <c r="G48" s="5">
        <f t="shared" si="2"/>
        <v>577025.58974860201</v>
      </c>
      <c r="H48" s="5">
        <f t="shared" si="2"/>
        <v>702283.9626048936</v>
      </c>
    </row>
    <row r="49" spans="2:9" ht="14" x14ac:dyDescent="0.3">
      <c r="B49" s="4" t="s">
        <v>156</v>
      </c>
      <c r="C49" s="30">
        <v>5</v>
      </c>
      <c r="D49" s="5">
        <f t="shared" si="2"/>
        <v>215344.36657872977</v>
      </c>
      <c r="E49" s="5">
        <f t="shared" si="2"/>
        <v>337714.82815400144</v>
      </c>
      <c r="F49" s="5">
        <f t="shared" si="2"/>
        <v>464712.69780767901</v>
      </c>
      <c r="G49" s="5">
        <f t="shared" si="2"/>
        <v>596327.60641438188</v>
      </c>
      <c r="H49" s="5">
        <f t="shared" si="2"/>
        <v>732546.88391700131</v>
      </c>
    </row>
    <row r="50" spans="2:9" ht="14" x14ac:dyDescent="0.3">
      <c r="B50" s="4" t="s">
        <v>157</v>
      </c>
      <c r="C50" s="30">
        <v>7</v>
      </c>
      <c r="D50" s="5">
        <f t="shared" si="2"/>
        <v>216075.57886339736</v>
      </c>
      <c r="E50" s="5">
        <f t="shared" si="2"/>
        <v>342321.31702693732</v>
      </c>
      <c r="F50" s="5">
        <f t="shared" si="2"/>
        <v>475699.5131857128</v>
      </c>
      <c r="G50" s="5">
        <f t="shared" si="2"/>
        <v>616247.92998692195</v>
      </c>
      <c r="H50" s="5">
        <f t="shared" si="2"/>
        <v>763996.75144386885</v>
      </c>
    </row>
    <row r="51" spans="2:9" ht="14" x14ac:dyDescent="0.3">
      <c r="B51" s="4" t="s">
        <v>158</v>
      </c>
      <c r="C51" s="30">
        <v>10</v>
      </c>
      <c r="D51" s="5">
        <f t="shared" si="2"/>
        <v>217073.90704851254</v>
      </c>
      <c r="E51" s="5">
        <f t="shared" si="2"/>
        <v>349288.17362705764</v>
      </c>
      <c r="F51" s="5">
        <f t="shared" si="2"/>
        <v>492629.19510646712</v>
      </c>
      <c r="G51" s="5">
        <f t="shared" si="2"/>
        <v>647269.27298295114</v>
      </c>
      <c r="H51" s="5">
        <f t="shared" si="2"/>
        <v>813358.2011133323</v>
      </c>
    </row>
    <row r="52" spans="2:9" ht="14" x14ac:dyDescent="0.3">
      <c r="B52" s="22" t="s">
        <v>161</v>
      </c>
      <c r="C52" s="23"/>
      <c r="D52" s="23"/>
      <c r="E52" s="23"/>
      <c r="F52" s="23"/>
      <c r="G52" s="23"/>
      <c r="H52" s="23"/>
      <c r="I52" s="23"/>
    </row>
    <row r="53" spans="2:9" ht="14" x14ac:dyDescent="0.3">
      <c r="B53" s="4" t="s">
        <v>155</v>
      </c>
      <c r="C53" s="30">
        <v>3</v>
      </c>
      <c r="D53" s="14">
        <f t="shared" ref="D53:H56" si="3">IFERROR(D48/$C$15,"N/A")</f>
        <v>0.53938822931929109</v>
      </c>
      <c r="E53" s="14">
        <f t="shared" si="3"/>
        <v>0.83748337978831711</v>
      </c>
      <c r="F53" s="14">
        <f t="shared" si="3"/>
        <v>1.1412341978589668</v>
      </c>
      <c r="G53" s="14">
        <f t="shared" si="3"/>
        <v>1.4505820667454405</v>
      </c>
      <c r="H53" s="14">
        <f t="shared" si="3"/>
        <v>1.7654685338329958</v>
      </c>
    </row>
    <row r="54" spans="2:9" ht="14" x14ac:dyDescent="0.3">
      <c r="B54" s="4" t="s">
        <v>156</v>
      </c>
      <c r="C54" s="30">
        <v>5</v>
      </c>
      <c r="D54" s="14">
        <f t="shared" si="3"/>
        <v>0.54135324651694683</v>
      </c>
      <c r="E54" s="14">
        <f t="shared" si="3"/>
        <v>0.84897980626412861</v>
      </c>
      <c r="F54" s="14">
        <f t="shared" si="3"/>
        <v>1.1682391866232575</v>
      </c>
      <c r="G54" s="14">
        <f t="shared" si="3"/>
        <v>1.4991053206961025</v>
      </c>
      <c r="H54" s="14">
        <f t="shared" si="3"/>
        <v>1.8415463572823816</v>
      </c>
    </row>
    <row r="55" spans="2:9" ht="14" x14ac:dyDescent="0.3">
      <c r="B55" s="4" t="s">
        <v>157</v>
      </c>
      <c r="C55" s="30">
        <v>7</v>
      </c>
      <c r="D55" s="14">
        <f t="shared" si="3"/>
        <v>0.5431914378311048</v>
      </c>
      <c r="E55" s="14">
        <f t="shared" si="3"/>
        <v>0.86056003817837423</v>
      </c>
      <c r="F55" s="14">
        <f t="shared" si="3"/>
        <v>1.1958588929953136</v>
      </c>
      <c r="G55" s="14">
        <f t="shared" si="3"/>
        <v>1.549182933632961</v>
      </c>
      <c r="H55" s="14">
        <f t="shared" si="3"/>
        <v>1.9206080395482752</v>
      </c>
    </row>
    <row r="56" spans="2:9" ht="14" x14ac:dyDescent="0.3">
      <c r="B56" s="4" t="s">
        <v>158</v>
      </c>
      <c r="C56" s="30">
        <v>10</v>
      </c>
      <c r="D56" s="14">
        <f t="shared" si="3"/>
        <v>0.54570113062078773</v>
      </c>
      <c r="E56" s="14">
        <f t="shared" si="3"/>
        <v>0.87807398803651593</v>
      </c>
      <c r="F56" s="14">
        <f t="shared" si="3"/>
        <v>1.23841834516909</v>
      </c>
      <c r="G56" s="14">
        <f t="shared" si="3"/>
        <v>1.6271673499844168</v>
      </c>
      <c r="H56" s="14">
        <f t="shared" si="3"/>
        <v>2.0446975685937328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464712.69780767901</v>
      </c>
    </row>
    <row r="62" spans="2:9" ht="14" x14ac:dyDescent="0.3">
      <c r="B62" s="28" t="s">
        <v>165</v>
      </c>
      <c r="C62" s="28" t="s">
        <v>166</v>
      </c>
      <c r="D62" s="28" t="s">
        <v>167</v>
      </c>
    </row>
    <row r="63" spans="2:9" ht="14" x14ac:dyDescent="0.3">
      <c r="B63" s="31">
        <v>7.3400000000000007E-2</v>
      </c>
      <c r="C63" s="5">
        <f>IFERROR($C$60/B63,"N/A")</f>
        <v>6331235.6649547545</v>
      </c>
      <c r="D63" s="14">
        <f>IFERROR(C63/'DCF Model'!C17,"N/A")</f>
        <v>2.3364674506345997</v>
      </c>
    </row>
    <row r="64" spans="2:9" ht="14" x14ac:dyDescent="0.3">
      <c r="B64" s="31">
        <v>0.1101</v>
      </c>
      <c r="C64" s="5">
        <f>IFERROR($C$60/B64,"N/A")</f>
        <v>4220823.7766365027</v>
      </c>
      <c r="D64" s="14">
        <f>IFERROR(C64/'DCF Model'!C17,"N/A")</f>
        <v>1.557644967089733</v>
      </c>
    </row>
    <row r="65" spans="2:9" ht="14" x14ac:dyDescent="0.3">
      <c r="B65" s="4" t="s">
        <v>168</v>
      </c>
      <c r="C65" s="5">
        <f>IFERROR($C$60/$C$18,"N/A")</f>
        <v>3165632.6312348116</v>
      </c>
      <c r="D65" s="14">
        <f>IFERROR(C65/'DCF Model'!C17,"N/A")</f>
        <v>1.1682391866232573</v>
      </c>
    </row>
    <row r="66" spans="2:9" ht="14" x14ac:dyDescent="0.3">
      <c r="B66" s="31">
        <v>0.1835</v>
      </c>
      <c r="C66" s="5">
        <f>IFERROR($C$60/B66,"N/A")</f>
        <v>2532494.2659819019</v>
      </c>
      <c r="D66" s="14">
        <f>IFERROR(C66/'DCF Model'!C17,"N/A")</f>
        <v>0.93458698025383991</v>
      </c>
    </row>
    <row r="67" spans="2:9" ht="14" x14ac:dyDescent="0.3">
      <c r="B67" s="31">
        <v>0.22020000000000001</v>
      </c>
      <c r="C67" s="5">
        <f>IFERROR($C$60/B67,"N/A")</f>
        <v>2110411.8883182514</v>
      </c>
      <c r="D67" s="14">
        <f>IFERROR(C67/'DCF Model'!C17,"N/A")</f>
        <v>0.7788224835448665</v>
      </c>
    </row>
    <row r="69" spans="2:9" ht="14" x14ac:dyDescent="0.3">
      <c r="B69" s="8" t="s">
        <v>169</v>
      </c>
      <c r="C69" s="9"/>
      <c r="D69" s="9"/>
      <c r="E69" s="9"/>
      <c r="F69" s="9"/>
      <c r="G69" s="9"/>
      <c r="H69" s="9"/>
      <c r="I69" s="9"/>
    </row>
    <row r="70" spans="2:9" ht="13.5" x14ac:dyDescent="0.25">
      <c r="B70" s="6" t="s">
        <v>170</v>
      </c>
      <c r="C70" s="14">
        <f>IFERROR(C10/'Comps Analysis'!G5,"N/A")</f>
        <v>15.699594302078305</v>
      </c>
    </row>
    <row r="71" spans="2:9" ht="13.5" x14ac:dyDescent="0.25">
      <c r="B71" s="6" t="s">
        <v>171</v>
      </c>
      <c r="C71" s="14">
        <f>IFERROR(C10/'Comps Analysis'!F5,"N/A")</f>
        <v>3.1794067369315293</v>
      </c>
    </row>
    <row r="72" spans="2:9" ht="14" x14ac:dyDescent="0.3">
      <c r="B72" s="4" t="s">
        <v>172</v>
      </c>
      <c r="C72" s="14">
        <f>IFERROR(C10/(C25+'DCF Model'!G42),"N/A")</f>
        <v>14.007126797833454</v>
      </c>
    </row>
    <row r="73" spans="2:9" ht="14" x14ac:dyDescent="0.3">
      <c r="B73" s="4" t="s">
        <v>173</v>
      </c>
      <c r="C73" s="14">
        <f>IFERROR(C10/(C60+'DCF Model'!G42),"N/A")</f>
        <v>13.539642856011632</v>
      </c>
    </row>
    <row r="74" spans="2:9" ht="14" x14ac:dyDescent="0.3">
      <c r="B74" s="4" t="s">
        <v>174</v>
      </c>
      <c r="C74" s="14">
        <f>IFERROR('Comps Analysis'!D16,"N/A")</f>
        <v>15.746843770819453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1,510 yen the market is paying for a steady-state operating profit of 464,713 mn JPY - 1.17x the FY2026 cycle peak of 397,789 mn - reached in 5 years and sustained for ever, against 397,789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443,476 mn, or 1.11x the peak. The base case supports an EV of only 6,494,736 mn, leaving 788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11.548950879916095</v>
      </c>
      <c r="D5" s="34">
        <f>CHOOSE('DCF Model'!$D$27,D25,D26,D27,D28,D29)</f>
        <v>11</v>
      </c>
      <c r="E5" s="34">
        <f>CHOOSE('DCF Model'!$D$27,E25,E26,E27,E28,E29)</f>
        <v>11</v>
      </c>
      <c r="F5" s="34">
        <f>CHOOSE('DCF Model'!$D$27,F25,F26,F27,F28,F29)</f>
        <v>11</v>
      </c>
      <c r="G5" s="34">
        <f>CHOOSE('DCF Model'!$D$27,G25,G26,G27,G28,G29)</f>
        <v>11</v>
      </c>
      <c r="H5" s="34">
        <f>CHOOSE('DCF Model'!$D$27,H25,H26,H27,H28,H29)</f>
        <v>11</v>
      </c>
    </row>
    <row r="6" spans="2:8" ht="14" x14ac:dyDescent="0.3">
      <c r="B6" s="33" t="s">
        <v>181</v>
      </c>
      <c r="C6" s="34">
        <f>C13/C10*365</f>
        <v>455.23273407562402</v>
      </c>
      <c r="D6" s="34">
        <f>CHOOSE('DCF Model'!$D$27,D32,D33,D34,D35,D36)</f>
        <v>461</v>
      </c>
      <c r="E6" s="34">
        <f>CHOOSE('DCF Model'!$D$27,E32,E33,E34,E35,E36)</f>
        <v>461</v>
      </c>
      <c r="F6" s="34">
        <f>CHOOSE('DCF Model'!$D$27,F32,F33,F34,F35,F36)</f>
        <v>461</v>
      </c>
      <c r="G6" s="34">
        <f>CHOOSE('DCF Model'!$D$27,G32,G33,G34,G35,G36)</f>
        <v>461</v>
      </c>
      <c r="H6" s="34">
        <f>CHOOSE('DCF Model'!$D$27,H32,H33,H34,H35,H36)</f>
        <v>461</v>
      </c>
    </row>
    <row r="7" spans="2:8" ht="14" x14ac:dyDescent="0.3">
      <c r="B7" s="33" t="s">
        <v>182</v>
      </c>
      <c r="C7" s="34">
        <f>C15/C10*365</f>
        <v>33.254721709791141</v>
      </c>
      <c r="D7" s="34">
        <f>CHOOSE('DCF Model'!$D$27,D39,D40,D41,D42,D43)</f>
        <v>32</v>
      </c>
      <c r="E7" s="34">
        <f>CHOOSE('DCF Model'!$D$27,E39,E40,E41,E42,E43)</f>
        <v>32</v>
      </c>
      <c r="F7" s="34">
        <f>CHOOSE('DCF Model'!$D$27,F39,F40,F41,F42,F43)</f>
        <v>32</v>
      </c>
      <c r="G7" s="34">
        <f>CHOOSE('DCF Model'!$D$27,G39,G40,G41,G42,G43)</f>
        <v>32</v>
      </c>
      <c r="H7" s="34">
        <f>CHOOSE('DCF Model'!$D$27,H39,H40,H41,H42,H43)</f>
        <v>32</v>
      </c>
    </row>
    <row r="8" spans="2:8" ht="14" x14ac:dyDescent="0.3">
      <c r="B8" s="8" t="s">
        <v>183</v>
      </c>
      <c r="C8" s="9"/>
      <c r="D8" s="9"/>
      <c r="E8" s="9"/>
      <c r="F8" s="9"/>
      <c r="G8" s="9"/>
      <c r="H8" s="9"/>
    </row>
    <row r="9" spans="2:8" ht="14" x14ac:dyDescent="0.3">
      <c r="B9" s="33" t="s">
        <v>37</v>
      </c>
      <c r="C9" s="35">
        <v>2709747</v>
      </c>
      <c r="D9" s="35">
        <f>'DCF Model'!C33</f>
        <v>2791039.41</v>
      </c>
      <c r="E9" s="35">
        <f>'DCF Model'!D33</f>
        <v>2874770.5923000001</v>
      </c>
      <c r="F9" s="35">
        <f>'DCF Model'!E33</f>
        <v>2946639.8571075001</v>
      </c>
      <c r="G9" s="35">
        <f>'DCF Model'!F33</f>
        <v>3020305.8535351874</v>
      </c>
      <c r="H9" s="35">
        <f>'DCF Model'!G33</f>
        <v>3080711.9706058912</v>
      </c>
    </row>
    <row r="10" spans="2:8" ht="14" x14ac:dyDescent="0.3">
      <c r="B10" s="33" t="s">
        <v>38</v>
      </c>
      <c r="C10" s="35">
        <v>2034962</v>
      </c>
      <c r="D10" s="35">
        <f>'DCF Model'!C34</f>
        <v>2096070.5969100001</v>
      </c>
      <c r="E10" s="35">
        <f>'DCF Model'!D34</f>
        <v>2158952.7148173</v>
      </c>
      <c r="F10" s="35">
        <f>'DCF Model'!E34</f>
        <v>2212926.5326877325</v>
      </c>
      <c r="G10" s="35">
        <f>'DCF Model'!F34</f>
        <v>2268249.6960049258</v>
      </c>
      <c r="H10" s="35">
        <f>'DCF Model'!G34</f>
        <v>2313614.6899250243</v>
      </c>
    </row>
    <row r="11" spans="2:8" ht="14" x14ac:dyDescent="0.3">
      <c r="B11" s="8" t="s">
        <v>184</v>
      </c>
      <c r="C11" s="9"/>
      <c r="D11" s="9"/>
      <c r="E11" s="9"/>
      <c r="F11" s="9"/>
      <c r="G11" s="9"/>
      <c r="H11" s="9"/>
    </row>
    <row r="12" spans="2:8" ht="14" x14ac:dyDescent="0.3">
      <c r="B12" s="33" t="s">
        <v>185</v>
      </c>
      <c r="C12" s="35">
        <v>85739</v>
      </c>
      <c r="D12" s="35">
        <f t="shared" ref="D12:H13" si="0">D9*D5/365</f>
        <v>84113.516465753433</v>
      </c>
      <c r="E12" s="35">
        <f t="shared" si="0"/>
        <v>86636.921959726038</v>
      </c>
      <c r="F12" s="35">
        <f t="shared" si="0"/>
        <v>88802.845008719189</v>
      </c>
      <c r="G12" s="35">
        <f t="shared" si="0"/>
        <v>91022.916133937164</v>
      </c>
      <c r="H12" s="35">
        <f t="shared" si="0"/>
        <v>92843.374456615886</v>
      </c>
    </row>
    <row r="13" spans="2:8" ht="14" x14ac:dyDescent="0.3">
      <c r="B13" s="33" t="s">
        <v>186</v>
      </c>
      <c r="C13" s="35">
        <v>2538031</v>
      </c>
      <c r="D13" s="35">
        <f t="shared" si="0"/>
        <v>2647365.8771931781</v>
      </c>
      <c r="E13" s="35">
        <f t="shared" si="0"/>
        <v>2726786.8535089735</v>
      </c>
      <c r="F13" s="35">
        <f t="shared" si="0"/>
        <v>2794956.5248466977</v>
      </c>
      <c r="G13" s="35">
        <f t="shared" si="0"/>
        <v>2864830.4379678653</v>
      </c>
      <c r="H13" s="35">
        <f t="shared" si="0"/>
        <v>2922127.0467272224</v>
      </c>
    </row>
    <row r="14" spans="2:8" ht="14" x14ac:dyDescent="0.3">
      <c r="B14" s="33" t="s">
        <v>187</v>
      </c>
      <c r="C14" s="35">
        <f t="shared" ref="C14:H14" si="1">C12+C13</f>
        <v>2623770</v>
      </c>
      <c r="D14" s="35">
        <f t="shared" si="1"/>
        <v>2731479.3936589314</v>
      </c>
      <c r="E14" s="35">
        <f t="shared" si="1"/>
        <v>2813423.7754686996</v>
      </c>
      <c r="F14" s="35">
        <f t="shared" si="1"/>
        <v>2883759.3698554169</v>
      </c>
      <c r="G14" s="35">
        <f t="shared" si="1"/>
        <v>2955853.3541018022</v>
      </c>
      <c r="H14" s="35">
        <f t="shared" si="1"/>
        <v>3014970.4211838385</v>
      </c>
    </row>
    <row r="15" spans="2:8" ht="14" x14ac:dyDescent="0.3">
      <c r="B15" s="33" t="s">
        <v>188</v>
      </c>
      <c r="C15" s="35">
        <v>185403</v>
      </c>
      <c r="D15" s="35">
        <f>D10*D7/365</f>
        <v>183765.09342772604</v>
      </c>
      <c r="E15" s="35">
        <f>E10*E7/365</f>
        <v>189278.04623055781</v>
      </c>
      <c r="F15" s="35">
        <f>F10*F7/365</f>
        <v>194009.99738632175</v>
      </c>
      <c r="G15" s="35">
        <f>G10*G7/365</f>
        <v>198860.2473209798</v>
      </c>
      <c r="H15" s="35">
        <f>H10*H7/365</f>
        <v>202837.45226739938</v>
      </c>
    </row>
    <row r="16" spans="2:8" ht="14" x14ac:dyDescent="0.3">
      <c r="B16" s="33" t="s">
        <v>189</v>
      </c>
      <c r="C16" s="35">
        <f t="shared" ref="C16:H16" si="2">C15</f>
        <v>185403</v>
      </c>
      <c r="D16" s="35">
        <f t="shared" si="2"/>
        <v>183765.09342772604</v>
      </c>
      <c r="E16" s="35">
        <f t="shared" si="2"/>
        <v>189278.04623055781</v>
      </c>
      <c r="F16" s="35">
        <f t="shared" si="2"/>
        <v>194009.99738632175</v>
      </c>
      <c r="G16" s="35">
        <f t="shared" si="2"/>
        <v>198860.2473209798</v>
      </c>
      <c r="H16" s="35">
        <f t="shared" si="2"/>
        <v>202837.45226739938</v>
      </c>
    </row>
    <row r="17" spans="2:8" ht="14" x14ac:dyDescent="0.3">
      <c r="B17" s="22" t="s">
        <v>190</v>
      </c>
      <c r="C17" s="23"/>
      <c r="D17" s="23"/>
      <c r="E17" s="23"/>
      <c r="F17" s="23"/>
      <c r="G17" s="23"/>
      <c r="H17" s="23"/>
    </row>
    <row r="18" spans="2:8" ht="14" x14ac:dyDescent="0.3">
      <c r="B18" s="33" t="s">
        <v>191</v>
      </c>
      <c r="C18" s="20">
        <f t="shared" ref="C18:H18" si="3">C14-C16</f>
        <v>2438367</v>
      </c>
      <c r="D18" s="20">
        <f t="shared" si="3"/>
        <v>2547714.3002312053</v>
      </c>
      <c r="E18" s="20">
        <f t="shared" si="3"/>
        <v>2624145.7292381418</v>
      </c>
      <c r="F18" s="20">
        <f t="shared" si="3"/>
        <v>2689749.372469095</v>
      </c>
      <c r="G18" s="20">
        <f t="shared" si="3"/>
        <v>2756993.1067808224</v>
      </c>
      <c r="H18" s="20">
        <f t="shared" si="3"/>
        <v>2812132.968916439</v>
      </c>
    </row>
    <row r="19" spans="2:8" ht="14" x14ac:dyDescent="0.3">
      <c r="B19" s="33" t="s">
        <v>100</v>
      </c>
      <c r="C19" s="36" t="s">
        <v>47</v>
      </c>
      <c r="D19" s="24">
        <f>D18-C18</f>
        <v>109347.3002312053</v>
      </c>
      <c r="E19" s="24">
        <f>E18-D18</f>
        <v>76431.429006936494</v>
      </c>
      <c r="F19" s="24">
        <f>F18-E18</f>
        <v>65603.643230953254</v>
      </c>
      <c r="G19" s="24">
        <f>G18-F18</f>
        <v>67243.734311727341</v>
      </c>
      <c r="H19" s="24">
        <f>H18-G18</f>
        <v>55139.862135616597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11</v>
      </c>
      <c r="E25" s="30">
        <v>11</v>
      </c>
      <c r="F25" s="30">
        <v>11</v>
      </c>
      <c r="G25" s="30">
        <v>11</v>
      </c>
      <c r="H25" s="30">
        <v>11</v>
      </c>
    </row>
    <row r="26" spans="2:8" ht="14" x14ac:dyDescent="0.3">
      <c r="B26" s="4" t="s">
        <v>121</v>
      </c>
      <c r="D26" s="30">
        <v>8</v>
      </c>
      <c r="E26" s="30">
        <v>8</v>
      </c>
      <c r="F26" s="30">
        <v>8</v>
      </c>
      <c r="G26" s="30">
        <v>8</v>
      </c>
      <c r="H26" s="30">
        <v>8</v>
      </c>
    </row>
    <row r="27" spans="2:8" ht="14" x14ac:dyDescent="0.3">
      <c r="B27" s="4" t="s">
        <v>122</v>
      </c>
      <c r="D27" s="30">
        <v>11</v>
      </c>
      <c r="E27" s="30">
        <v>11</v>
      </c>
      <c r="F27" s="30">
        <v>11</v>
      </c>
      <c r="G27" s="30">
        <v>11</v>
      </c>
      <c r="H27" s="30">
        <v>11</v>
      </c>
    </row>
    <row r="28" spans="2:8" ht="14" x14ac:dyDescent="0.3">
      <c r="B28" s="4" t="s">
        <v>123</v>
      </c>
      <c r="D28" s="30">
        <v>15</v>
      </c>
      <c r="E28" s="30">
        <v>15</v>
      </c>
      <c r="F28" s="30">
        <v>15</v>
      </c>
      <c r="G28" s="30">
        <v>15</v>
      </c>
      <c r="H28" s="30">
        <v>15</v>
      </c>
    </row>
    <row r="29" spans="2:8" ht="14" x14ac:dyDescent="0.3">
      <c r="B29" s="4" t="s">
        <v>124</v>
      </c>
      <c r="D29" s="30">
        <v>19</v>
      </c>
      <c r="E29" s="30">
        <v>19</v>
      </c>
      <c r="F29" s="30">
        <v>19</v>
      </c>
      <c r="G29" s="30">
        <v>19</v>
      </c>
      <c r="H29" s="30">
        <v>19</v>
      </c>
    </row>
    <row r="31" spans="2:8" ht="14" x14ac:dyDescent="0.3">
      <c r="B31" s="3" t="s">
        <v>194</v>
      </c>
    </row>
    <row r="32" spans="2:8" ht="14" x14ac:dyDescent="0.3">
      <c r="B32" s="4" t="s">
        <v>84</v>
      </c>
      <c r="D32" s="30">
        <v>461</v>
      </c>
      <c r="E32" s="30">
        <v>461</v>
      </c>
      <c r="F32" s="30">
        <v>461</v>
      </c>
      <c r="G32" s="30">
        <v>461</v>
      </c>
      <c r="H32" s="30">
        <v>461</v>
      </c>
    </row>
    <row r="33" spans="2:8" ht="14" x14ac:dyDescent="0.3">
      <c r="B33" s="4" t="s">
        <v>121</v>
      </c>
      <c r="D33" s="30">
        <v>455</v>
      </c>
      <c r="E33" s="30">
        <v>455</v>
      </c>
      <c r="F33" s="30">
        <v>455</v>
      </c>
      <c r="G33" s="30">
        <v>455</v>
      </c>
      <c r="H33" s="30">
        <v>455</v>
      </c>
    </row>
    <row r="34" spans="2:8" ht="14" x14ac:dyDescent="0.3">
      <c r="B34" s="4" t="s">
        <v>122</v>
      </c>
      <c r="D34" s="30">
        <v>461</v>
      </c>
      <c r="E34" s="30">
        <v>461</v>
      </c>
      <c r="F34" s="30">
        <v>461</v>
      </c>
      <c r="G34" s="30">
        <v>461</v>
      </c>
      <c r="H34" s="30">
        <v>461</v>
      </c>
    </row>
    <row r="35" spans="2:8" ht="14" x14ac:dyDescent="0.3">
      <c r="B35" s="4" t="s">
        <v>123</v>
      </c>
      <c r="D35" s="30">
        <v>468</v>
      </c>
      <c r="E35" s="30">
        <v>468</v>
      </c>
      <c r="F35" s="30">
        <v>468</v>
      </c>
      <c r="G35" s="30">
        <v>468</v>
      </c>
      <c r="H35" s="30">
        <v>468</v>
      </c>
    </row>
    <row r="36" spans="2:8" ht="14" x14ac:dyDescent="0.3">
      <c r="B36" s="4" t="s">
        <v>124</v>
      </c>
      <c r="D36" s="30">
        <v>475</v>
      </c>
      <c r="E36" s="30">
        <v>475</v>
      </c>
      <c r="F36" s="30">
        <v>475</v>
      </c>
      <c r="G36" s="30">
        <v>475</v>
      </c>
      <c r="H36" s="30">
        <v>475</v>
      </c>
    </row>
    <row r="38" spans="2:8" ht="14" x14ac:dyDescent="0.3">
      <c r="B38" s="3" t="s">
        <v>195</v>
      </c>
    </row>
    <row r="39" spans="2:8" ht="14" x14ac:dyDescent="0.3">
      <c r="B39" s="4" t="s">
        <v>84</v>
      </c>
      <c r="D39" s="30">
        <v>32</v>
      </c>
      <c r="E39" s="30">
        <v>32</v>
      </c>
      <c r="F39" s="30">
        <v>32</v>
      </c>
      <c r="G39" s="30">
        <v>32</v>
      </c>
      <c r="H39" s="30">
        <v>32</v>
      </c>
    </row>
    <row r="40" spans="2:8" ht="14" x14ac:dyDescent="0.3">
      <c r="B40" s="4" t="s">
        <v>121</v>
      </c>
      <c r="D40" s="30">
        <v>34</v>
      </c>
      <c r="E40" s="30">
        <v>34</v>
      </c>
      <c r="F40" s="30">
        <v>34</v>
      </c>
      <c r="G40" s="30">
        <v>34</v>
      </c>
      <c r="H40" s="30">
        <v>34</v>
      </c>
    </row>
    <row r="41" spans="2:8" ht="14" x14ac:dyDescent="0.3">
      <c r="B41" s="4" t="s">
        <v>122</v>
      </c>
      <c r="D41" s="30">
        <v>32</v>
      </c>
      <c r="E41" s="30">
        <v>32</v>
      </c>
      <c r="F41" s="30">
        <v>32</v>
      </c>
      <c r="G41" s="30">
        <v>32</v>
      </c>
      <c r="H41" s="30">
        <v>32</v>
      </c>
    </row>
    <row r="42" spans="2:8" ht="14" x14ac:dyDescent="0.3">
      <c r="B42" s="4" t="s">
        <v>123</v>
      </c>
      <c r="D42" s="30">
        <v>29</v>
      </c>
      <c r="E42" s="30">
        <v>29</v>
      </c>
      <c r="F42" s="30">
        <v>29</v>
      </c>
      <c r="G42" s="30">
        <v>29</v>
      </c>
      <c r="H42" s="30">
        <v>29</v>
      </c>
    </row>
    <row r="43" spans="2:8" ht="14" x14ac:dyDescent="0.3">
      <c r="B43" s="4" t="s">
        <v>124</v>
      </c>
      <c r="D43" s="30">
        <v>26</v>
      </c>
      <c r="E43" s="30">
        <v>26</v>
      </c>
      <c r="F43" s="30">
        <v>26</v>
      </c>
      <c r="G43" s="30">
        <v>26</v>
      </c>
      <c r="H43" s="30">
        <v>26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4065197.8671800001</v>
      </c>
      <c r="E5" s="37">
        <f>D5+C24</f>
        <v>8615387.867180001</v>
      </c>
      <c r="F5" s="37">
        <v>2709747</v>
      </c>
      <c r="G5" s="37">
        <v>548765</v>
      </c>
      <c r="H5" s="37">
        <v>397789</v>
      </c>
      <c r="I5" s="37">
        <v>278684</v>
      </c>
      <c r="J5" s="38">
        <f t="shared" ref="J5:J10" si="0">IFERROR(E5/G5,"")</f>
        <v>15.699594302078305</v>
      </c>
      <c r="K5" s="38">
        <f t="shared" ref="K5:K10" si="1">IFERROR(E5/F5,"")</f>
        <v>3.1794067369315293</v>
      </c>
      <c r="L5" s="38">
        <f t="shared" ref="L5:L10" si="2">IFERROR(D5/I5,"")</f>
        <v>14.587123290824016</v>
      </c>
      <c r="M5" s="38">
        <f t="shared" ref="M5:M10" si="3">IFERROR(D5/P5,"")</f>
        <v>1.2401113535835337</v>
      </c>
      <c r="N5" s="39">
        <f t="shared" ref="N5:N10" si="4">IFERROR(H5/F5,"")</f>
        <v>0.14679931373666988</v>
      </c>
      <c r="O5" s="39">
        <f t="shared" ref="O5:O10" si="5">IFERROR(I5/P5,"")</f>
        <v>8.5014113397096053E-2</v>
      </c>
      <c r="P5" s="37">
        <v>3278091</v>
      </c>
    </row>
    <row r="6" spans="2:17" ht="14" x14ac:dyDescent="0.3">
      <c r="B6" s="4" t="s">
        <v>214</v>
      </c>
      <c r="C6" t="s">
        <v>215</v>
      </c>
      <c r="D6" s="37">
        <v>4434141</v>
      </c>
      <c r="E6" s="37">
        <v>7740105</v>
      </c>
      <c r="F6" s="37">
        <v>1746148</v>
      </c>
      <c r="G6" s="37">
        <v>440519</v>
      </c>
      <c r="H6" s="37">
        <v>329730</v>
      </c>
      <c r="I6" s="37">
        <v>222507</v>
      </c>
      <c r="J6" s="38">
        <f t="shared" si="0"/>
        <v>17.570422615142594</v>
      </c>
      <c r="K6" s="38">
        <f t="shared" si="1"/>
        <v>4.4326740917722898</v>
      </c>
      <c r="L6" s="38">
        <f t="shared" si="2"/>
        <v>19.928096644150521</v>
      </c>
      <c r="M6" s="38">
        <f t="shared" si="3"/>
        <v>1.6486915182092077</v>
      </c>
      <c r="N6" s="39">
        <f t="shared" si="4"/>
        <v>0.18883279080581944</v>
      </c>
      <c r="O6" s="39">
        <f t="shared" si="5"/>
        <v>8.2732011373155737E-2</v>
      </c>
      <c r="P6" s="37">
        <v>2689491</v>
      </c>
    </row>
    <row r="7" spans="2:17" ht="14" x14ac:dyDescent="0.3">
      <c r="B7" s="4" t="s">
        <v>216</v>
      </c>
      <c r="C7" t="s">
        <v>217</v>
      </c>
      <c r="D7" s="37">
        <v>2990670</v>
      </c>
      <c r="E7" s="37">
        <v>6907418</v>
      </c>
      <c r="F7" s="37">
        <v>1057765</v>
      </c>
      <c r="G7" s="37">
        <v>375499</v>
      </c>
      <c r="H7" s="37">
        <v>299157</v>
      </c>
      <c r="I7" s="37">
        <v>212535</v>
      </c>
      <c r="J7" s="38">
        <f t="shared" si="0"/>
        <v>18.395303316386993</v>
      </c>
      <c r="K7" s="38">
        <f t="shared" si="1"/>
        <v>6.5302009425534031</v>
      </c>
      <c r="L7" s="38">
        <f t="shared" si="2"/>
        <v>14.071423530242077</v>
      </c>
      <c r="M7" s="38">
        <f t="shared" si="3"/>
        <v>1.2104496278397707</v>
      </c>
      <c r="N7" s="39">
        <f t="shared" si="4"/>
        <v>0.28281990801359469</v>
      </c>
      <c r="O7" s="39">
        <f t="shared" si="5"/>
        <v>8.6021831781147931E-2</v>
      </c>
      <c r="P7" s="37">
        <v>2470710</v>
      </c>
    </row>
    <row r="8" spans="2:17" ht="14" x14ac:dyDescent="0.3">
      <c r="B8" s="4" t="s">
        <v>218</v>
      </c>
      <c r="C8" t="s">
        <v>219</v>
      </c>
      <c r="D8" s="37">
        <v>790998</v>
      </c>
      <c r="E8" s="37">
        <v>2352074</v>
      </c>
      <c r="F8" s="37">
        <v>942505</v>
      </c>
      <c r="G8" s="37">
        <v>167608</v>
      </c>
      <c r="H8" s="37">
        <v>138242</v>
      </c>
      <c r="I8" s="37">
        <v>82880</v>
      </c>
      <c r="J8" s="38">
        <f t="shared" si="0"/>
        <v>14.033184573528709</v>
      </c>
      <c r="K8" s="38">
        <f t="shared" si="1"/>
        <v>2.4955559917454018</v>
      </c>
      <c r="L8" s="38">
        <f t="shared" si="2"/>
        <v>9.5438947876447884</v>
      </c>
      <c r="M8" s="38">
        <f t="shared" si="3"/>
        <v>0.98712244966723528</v>
      </c>
      <c r="N8" s="39">
        <f t="shared" si="4"/>
        <v>0.14667508395180928</v>
      </c>
      <c r="O8" s="39">
        <f t="shared" si="5"/>
        <v>0.10342972880894827</v>
      </c>
      <c r="P8" s="37">
        <v>801317</v>
      </c>
    </row>
    <row r="9" spans="2:17" ht="14" x14ac:dyDescent="0.3">
      <c r="B9" s="4" t="s">
        <v>220</v>
      </c>
      <c r="C9" t="s">
        <v>221</v>
      </c>
      <c r="D9" s="37">
        <v>699301</v>
      </c>
      <c r="E9" s="37">
        <v>1890881</v>
      </c>
      <c r="F9" s="37">
        <v>474586</v>
      </c>
      <c r="G9" s="37">
        <v>120080</v>
      </c>
      <c r="H9" s="37">
        <v>95764</v>
      </c>
      <c r="I9" s="37">
        <v>58879</v>
      </c>
      <c r="J9" s="38">
        <f t="shared" si="0"/>
        <v>15.746843770819453</v>
      </c>
      <c r="K9" s="38">
        <f t="shared" si="1"/>
        <v>3.9842747152254807</v>
      </c>
      <c r="L9" s="38">
        <f t="shared" si="2"/>
        <v>11.876917067205625</v>
      </c>
      <c r="M9" s="38">
        <f t="shared" si="3"/>
        <v>1.1832063781043685</v>
      </c>
      <c r="N9" s="39">
        <f t="shared" si="4"/>
        <v>0.20178429199344269</v>
      </c>
      <c r="O9" s="39">
        <f t="shared" si="5"/>
        <v>9.962234908345205E-2</v>
      </c>
      <c r="P9" s="37">
        <v>591022</v>
      </c>
    </row>
    <row r="10" spans="2:17" ht="14" x14ac:dyDescent="0.3">
      <c r="B10" s="4" t="s">
        <v>222</v>
      </c>
      <c r="C10" t="s">
        <v>223</v>
      </c>
      <c r="D10" s="37">
        <v>935759</v>
      </c>
      <c r="E10" s="37">
        <v>2574890</v>
      </c>
      <c r="F10" s="37">
        <v>1246048</v>
      </c>
      <c r="G10" s="37">
        <v>240689</v>
      </c>
      <c r="H10" s="37">
        <v>166883</v>
      </c>
      <c r="I10" s="37">
        <v>96697</v>
      </c>
      <c r="J10" s="38">
        <f t="shared" si="0"/>
        <v>10.697996169330548</v>
      </c>
      <c r="K10" s="38">
        <f t="shared" si="1"/>
        <v>2.0664452733763063</v>
      </c>
      <c r="L10" s="38">
        <f t="shared" si="2"/>
        <v>9.6772288695616204</v>
      </c>
      <c r="M10" s="38">
        <f t="shared" si="3"/>
        <v>1.0419538994812272</v>
      </c>
      <c r="N10" s="39">
        <f t="shared" si="4"/>
        <v>0.13392983255861732</v>
      </c>
      <c r="O10" s="39">
        <f t="shared" si="5"/>
        <v>0.10767068894676537</v>
      </c>
      <c r="P10" s="37">
        <v>898081</v>
      </c>
    </row>
    <row r="14" spans="2:17" ht="14" x14ac:dyDescent="0.3">
      <c r="B14" s="3" t="s">
        <v>224</v>
      </c>
    </row>
    <row r="15" spans="2:17" ht="14" x14ac:dyDescent="0.3">
      <c r="B15" s="4" t="s">
        <v>225</v>
      </c>
      <c r="D15" s="38">
        <f t="shared" ref="D15:I15" si="6">PERCENTILE(J6:J10,0.25)</f>
        <v>14.033184573528709</v>
      </c>
      <c r="E15" s="38">
        <f t="shared" si="6"/>
        <v>2.4955559917454018</v>
      </c>
      <c r="F15" s="38">
        <f t="shared" si="6"/>
        <v>9.6772288695616204</v>
      </c>
      <c r="G15" s="38">
        <f t="shared" si="6"/>
        <v>1.0419538994812272</v>
      </c>
      <c r="H15" s="39">
        <f t="shared" si="6"/>
        <v>0.14667508395180928</v>
      </c>
      <c r="I15" s="39">
        <f t="shared" si="6"/>
        <v>8.6021831781147931E-2</v>
      </c>
    </row>
    <row r="16" spans="2:17" ht="14" x14ac:dyDescent="0.3">
      <c r="B16" s="4" t="s">
        <v>226</v>
      </c>
      <c r="D16" s="38">
        <f t="shared" ref="D16:I16" si="7">MEDIAN(J6:J10)</f>
        <v>15.746843770819453</v>
      </c>
      <c r="E16" s="38">
        <f t="shared" si="7"/>
        <v>3.9842747152254807</v>
      </c>
      <c r="F16" s="38">
        <f t="shared" si="7"/>
        <v>11.876917067205625</v>
      </c>
      <c r="G16" s="38">
        <f t="shared" si="7"/>
        <v>1.1832063781043685</v>
      </c>
      <c r="H16" s="39">
        <f t="shared" si="7"/>
        <v>0.18883279080581944</v>
      </c>
      <c r="I16" s="39">
        <f t="shared" si="7"/>
        <v>9.962234908345205E-2</v>
      </c>
    </row>
    <row r="17" spans="2:9" ht="14" x14ac:dyDescent="0.3">
      <c r="B17" s="4" t="s">
        <v>227</v>
      </c>
      <c r="D17" s="38">
        <f t="shared" ref="D17:I17" si="8">PERCENTILE(J6:J10,0.75)</f>
        <v>17.570422615142594</v>
      </c>
      <c r="E17" s="38">
        <f t="shared" si="8"/>
        <v>4.4326740917722898</v>
      </c>
      <c r="F17" s="38">
        <f t="shared" si="8"/>
        <v>14.071423530242077</v>
      </c>
      <c r="G17" s="38">
        <f t="shared" si="8"/>
        <v>1.2104496278397707</v>
      </c>
      <c r="H17" s="39">
        <f t="shared" si="8"/>
        <v>0.20178429199344269</v>
      </c>
      <c r="I17" s="39">
        <f t="shared" si="8"/>
        <v>0.10342972880894827</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548765</v>
      </c>
    </row>
    <row r="22" spans="2:9" ht="14" x14ac:dyDescent="0.3">
      <c r="B22" s="4" t="s">
        <v>231</v>
      </c>
      <c r="C22" s="5">
        <v>278684</v>
      </c>
    </row>
    <row r="23" spans="2:9" ht="14" x14ac:dyDescent="0.3">
      <c r="B23" s="4" t="s">
        <v>232</v>
      </c>
      <c r="C23" s="15">
        <v>2692184018</v>
      </c>
    </row>
    <row r="24" spans="2:9" ht="14" x14ac:dyDescent="0.3">
      <c r="B24" s="4" t="s">
        <v>73</v>
      </c>
      <c r="C24" s="5">
        <v>4550190</v>
      </c>
    </row>
    <row r="26" spans="2:9" ht="14" x14ac:dyDescent="0.3">
      <c r="B26" s="3" t="s">
        <v>233</v>
      </c>
    </row>
    <row r="27" spans="2:9" ht="14" x14ac:dyDescent="0.3">
      <c r="B27" s="4" t="s">
        <v>234</v>
      </c>
      <c r="C27" s="24">
        <f>ROUND((C21*D16-C24)*1000000/C23,0)</f>
        <v>1520</v>
      </c>
    </row>
    <row r="28" spans="2:9" ht="14" x14ac:dyDescent="0.3">
      <c r="B28" s="4" t="s">
        <v>235</v>
      </c>
      <c r="C28" s="24">
        <f>ROUND(C22*F16*1000000/C23,0)</f>
        <v>1229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4.860616241211721E-2</v>
      </c>
      <c r="E3" s="4" t="s">
        <v>238</v>
      </c>
      <c r="F3" s="16">
        <f>'DCF Model'!C13</f>
        <v>0.01</v>
      </c>
      <c r="H3" s="4" t="s">
        <v>239</v>
      </c>
      <c r="I3" s="14">
        <f>'DCF Model'!C14</f>
        <v>15.7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3.360616241211721E-2</v>
      </c>
      <c r="C7" s="37">
        <f>IFERROR(ROUND(('DCF Model'!C45/(1+$B7)^('DCF Model'!C19+0)+'DCF Model'!D45/(1+$B7)^('DCF Model'!C19+1)+'DCF Model'!E45/(1+$B7)^('DCF Model'!C19+2)+'DCF Model'!F45/(1+$B7)^('DCF Model'!C19+3)+'DCF Model'!G45/(1+$B7)^('DCF Model'!C19+4)+'DCF Model'!G45*(1+C$6)/($B7-C$6)/(1+$B7)^('DCF Model'!C19+4)-'DCF Model'!C16)*1000000/'DCF Model'!C15,0),"")</f>
        <v>1413</v>
      </c>
      <c r="D7" s="37">
        <f>IFERROR(ROUND(('DCF Model'!C45/(1+$B7)^('DCF Model'!C19+0)+'DCF Model'!D45/(1+$B7)^('DCF Model'!C19+1)+'DCF Model'!E45/(1+$B7)^('DCF Model'!C19+2)+'DCF Model'!F45/(1+$B7)^('DCF Model'!C19+3)+'DCF Model'!G45/(1+$B7)^('DCF Model'!C19+4)+'DCF Model'!G45*(1+D$6)/($B7-D$6)/(1+$B7)^('DCF Model'!C19+4)-'DCF Model'!C16)*1000000/'DCF Model'!C15,0),"")</f>
        <v>1661</v>
      </c>
      <c r="E7" s="37">
        <f>IFERROR(ROUND(('DCF Model'!C45/(1+$B7)^('DCF Model'!C19+0)+'DCF Model'!D45/(1+$B7)^('DCF Model'!C19+1)+'DCF Model'!E45/(1+$B7)^('DCF Model'!C19+2)+'DCF Model'!F45/(1+$B7)^('DCF Model'!C19+3)+'DCF Model'!G45/(1+$B7)^('DCF Model'!C19+4)+'DCF Model'!G45*(1+E$6)/($B7-E$6)/(1+$B7)^('DCF Model'!C19+4)-'DCF Model'!C16)*1000000/'DCF Model'!C15,0),"")</f>
        <v>1957</v>
      </c>
      <c r="F7" s="37">
        <f>IFERROR(ROUND(('DCF Model'!C45/(1+$B7)^('DCF Model'!C19+0)+'DCF Model'!D45/(1+$B7)^('DCF Model'!C19+1)+'DCF Model'!E45/(1+$B7)^('DCF Model'!C19+2)+'DCF Model'!F45/(1+$B7)^('DCF Model'!C19+3)+'DCF Model'!G45/(1+$B7)^('DCF Model'!C19+4)+'DCF Model'!G45*(1+F$6)/($B7-F$6)/(1+$B7)^('DCF Model'!C19+4)-'DCF Model'!C16)*1000000/'DCF Model'!C15,0),"")</f>
        <v>2316</v>
      </c>
      <c r="G7" s="37">
        <f>IFERROR(ROUND(('DCF Model'!C45/(1+$B7)^('DCF Model'!C19+0)+'DCF Model'!D45/(1+$B7)^('DCF Model'!C19+1)+'DCF Model'!E45/(1+$B7)^('DCF Model'!C19+2)+'DCF Model'!F45/(1+$B7)^('DCF Model'!C19+3)+'DCF Model'!G45/(1+$B7)^('DCF Model'!C19+4)+'DCF Model'!G45*(1+G$6)/($B7-G$6)/(1+$B7)^('DCF Model'!C19+4)-'DCF Model'!C16)*1000000/'DCF Model'!C15,0),"")</f>
        <v>2760</v>
      </c>
      <c r="H7" s="37">
        <f>IFERROR(ROUND(('DCF Model'!C45/(1+$B7)^('DCF Model'!C19+0)+'DCF Model'!D45/(1+$B7)^('DCF Model'!C19+1)+'DCF Model'!E45/(1+$B7)^('DCF Model'!C19+2)+'DCF Model'!F45/(1+$B7)^('DCF Model'!C19+3)+'DCF Model'!G45/(1+$B7)^('DCF Model'!C19+4)+'DCF Model'!G45*(1+H$6)/($B7-H$6)/(1+$B7)^('DCF Model'!C19+4)-'DCF Model'!C16)*1000000/'DCF Model'!C15,0),"")</f>
        <v>3323</v>
      </c>
      <c r="I7" s="37">
        <f>IFERROR(ROUND(('DCF Model'!C45/(1+$B7)^('DCF Model'!C19+0)+'DCF Model'!D45/(1+$B7)^('DCF Model'!C19+1)+'DCF Model'!E45/(1+$B7)^('DCF Model'!C19+2)+'DCF Model'!F45/(1+$B7)^('DCF Model'!C19+3)+'DCF Model'!G45/(1+$B7)^('DCF Model'!C19+4)+'DCF Model'!G45*(1+I$6)/($B7-I$6)/(1+$B7)^('DCF Model'!C19+4)-'DCF Model'!C16)*1000000/'DCF Model'!C15,0),"")</f>
        <v>4061</v>
      </c>
    </row>
    <row r="8" spans="2:9" ht="13.5" x14ac:dyDescent="0.25">
      <c r="B8" s="39">
        <f>$C$3-0.01</f>
        <v>3.8606162412117208E-2</v>
      </c>
      <c r="C8" s="37">
        <f>IFERROR(ROUND(('DCF Model'!C45/(1+$B8)^('DCF Model'!C19+0)+'DCF Model'!D45/(1+$B8)^('DCF Model'!C19+1)+'DCF Model'!E45/(1+$B8)^('DCF Model'!C19+2)+'DCF Model'!F45/(1+$B8)^('DCF Model'!C19+3)+'DCF Model'!G45/(1+$B8)^('DCF Model'!C19+4)+'DCF Model'!G45*(1+C$6)/($B8-C$6)/(1+$B8)^('DCF Model'!C19+4)-'DCF Model'!C16)*1000000/'DCF Model'!C15,0),"")</f>
        <v>969</v>
      </c>
      <c r="D8" s="37">
        <f>IFERROR(ROUND(('DCF Model'!C45/(1+$B8)^('DCF Model'!C19+0)+'DCF Model'!D45/(1+$B8)^('DCF Model'!C19+1)+'DCF Model'!E45/(1+$B8)^('DCF Model'!C19+2)+'DCF Model'!F45/(1+$B8)^('DCF Model'!C19+3)+'DCF Model'!G45/(1+$B8)^('DCF Model'!C19+4)+'DCF Model'!G45*(1+D$6)/($B8-D$6)/(1+$B8)^('DCF Model'!C19+4)-'DCF Model'!C16)*1000000/'DCF Model'!C15,0),"")</f>
        <v>1148</v>
      </c>
      <c r="E8" s="37">
        <f>IFERROR(ROUND(('DCF Model'!C45/(1+$B8)^('DCF Model'!C19+0)+'DCF Model'!D45/(1+$B8)^('DCF Model'!C19+1)+'DCF Model'!E45/(1+$B8)^('DCF Model'!C19+2)+'DCF Model'!F45/(1+$B8)^('DCF Model'!C19+3)+'DCF Model'!G45/(1+$B8)^('DCF Model'!C19+4)+'DCF Model'!G45*(1+E$6)/($B8-E$6)/(1+$B8)^('DCF Model'!C19+4)-'DCF Model'!C16)*1000000/'DCF Model'!C15,0),"")</f>
        <v>1355</v>
      </c>
      <c r="F8" s="37">
        <f>IFERROR(ROUND(('DCF Model'!C45/(1+$B8)^('DCF Model'!C19+0)+'DCF Model'!D45/(1+$B8)^('DCF Model'!C19+1)+'DCF Model'!E45/(1+$B8)^('DCF Model'!C19+2)+'DCF Model'!F45/(1+$B8)^('DCF Model'!C19+3)+'DCF Model'!G45/(1+$B8)^('DCF Model'!C19+4)+'DCF Model'!G45*(1+F$6)/($B8-F$6)/(1+$B8)^('DCF Model'!C19+4)-'DCF Model'!C16)*1000000/'DCF Model'!C15,0),"")</f>
        <v>1599</v>
      </c>
      <c r="G8" s="37">
        <f>IFERROR(ROUND(('DCF Model'!C45/(1+$B8)^('DCF Model'!C19+0)+'DCF Model'!D45/(1+$B8)^('DCF Model'!C19+1)+'DCF Model'!E45/(1+$B8)^('DCF Model'!C19+2)+'DCF Model'!F45/(1+$B8)^('DCF Model'!C19+3)+'DCF Model'!G45/(1+$B8)^('DCF Model'!C19+4)+'DCF Model'!G45*(1+G$6)/($B8-G$6)/(1+$B8)^('DCF Model'!C19+4)-'DCF Model'!C16)*1000000/'DCF Model'!C15,0),"")</f>
        <v>1889</v>
      </c>
      <c r="H8" s="37">
        <f>IFERROR(ROUND(('DCF Model'!C45/(1+$B8)^('DCF Model'!C19+0)+'DCF Model'!D45/(1+$B8)^('DCF Model'!C19+1)+'DCF Model'!E45/(1+$B8)^('DCF Model'!C19+2)+'DCF Model'!F45/(1+$B8)^('DCF Model'!C19+3)+'DCF Model'!G45/(1+$B8)^('DCF Model'!C19+4)+'DCF Model'!G45*(1+H$6)/($B8-H$6)/(1+$B8)^('DCF Model'!C19+4)-'DCF Model'!C16)*1000000/'DCF Model'!C15,0),"")</f>
        <v>2241</v>
      </c>
      <c r="I8" s="37">
        <f>IFERROR(ROUND(('DCF Model'!C45/(1+$B8)^('DCF Model'!C19+0)+'DCF Model'!D45/(1+$B8)^('DCF Model'!C19+1)+'DCF Model'!E45/(1+$B8)^('DCF Model'!C19+2)+'DCF Model'!F45/(1+$B8)^('DCF Model'!C19+3)+'DCF Model'!G45/(1+$B8)^('DCF Model'!C19+4)+'DCF Model'!G45*(1+I$6)/($B8-I$6)/(1+$B8)^('DCF Model'!C19+4)-'DCF Model'!C16)*1000000/'DCF Model'!C15,0),"")</f>
        <v>2676</v>
      </c>
    </row>
    <row r="9" spans="2:9" ht="13.5" x14ac:dyDescent="0.25">
      <c r="B9" s="39">
        <f>$C$3-0.005</f>
        <v>4.3606162412117212E-2</v>
      </c>
      <c r="C9" s="37">
        <f>IFERROR(ROUND(('DCF Model'!C45/(1+$B9)^('DCF Model'!C19+0)+'DCF Model'!D45/(1+$B9)^('DCF Model'!C19+1)+'DCF Model'!E45/(1+$B9)^('DCF Model'!C19+2)+'DCF Model'!F45/(1+$B9)^('DCF Model'!C19+3)+'DCF Model'!G45/(1+$B9)^('DCF Model'!C19+4)+'DCF Model'!G45*(1+C$6)/($B9-C$6)/(1+$B9)^('DCF Model'!C19+4)-'DCF Model'!C16)*1000000/'DCF Model'!C15,0),"")</f>
        <v>633</v>
      </c>
      <c r="D9" s="37">
        <f>IFERROR(ROUND(('DCF Model'!C45/(1+$B9)^('DCF Model'!C19+0)+'DCF Model'!D45/(1+$B9)^('DCF Model'!C19+1)+'DCF Model'!E45/(1+$B9)^('DCF Model'!C19+2)+'DCF Model'!F45/(1+$B9)^('DCF Model'!C19+3)+'DCF Model'!G45/(1+$B9)^('DCF Model'!C19+4)+'DCF Model'!G45*(1+D$6)/($B9-D$6)/(1+$B9)^('DCF Model'!C19+4)-'DCF Model'!C16)*1000000/'DCF Model'!C15,0),"")</f>
        <v>767</v>
      </c>
      <c r="E9" s="37">
        <f>IFERROR(ROUND(('DCF Model'!C45/(1+$B9)^('DCF Model'!C19+0)+'DCF Model'!D45/(1+$B9)^('DCF Model'!C19+1)+'DCF Model'!E45/(1+$B9)^('DCF Model'!C19+2)+'DCF Model'!F45/(1+$B9)^('DCF Model'!C19+3)+'DCF Model'!G45/(1+$B9)^('DCF Model'!C19+4)+'DCF Model'!G45*(1+E$6)/($B9-E$6)/(1+$B9)^('DCF Model'!C19+4)-'DCF Model'!C16)*1000000/'DCF Model'!C15,0),"")</f>
        <v>920</v>
      </c>
      <c r="F9" s="37">
        <f>IFERROR(ROUND(('DCF Model'!C45/(1+$B9)^('DCF Model'!C19+0)+'DCF Model'!D45/(1+$B9)^('DCF Model'!C19+1)+'DCF Model'!E45/(1+$B9)^('DCF Model'!C19+2)+'DCF Model'!F45/(1+$B9)^('DCF Model'!C19+3)+'DCF Model'!G45/(1+$B9)^('DCF Model'!C19+4)+'DCF Model'!G45*(1+F$6)/($B9-F$6)/(1+$B9)^('DCF Model'!C19+4)-'DCF Model'!C16)*1000000/'DCF Model'!C15,0),"")</f>
        <v>1095</v>
      </c>
      <c r="G9" s="37">
        <f>IFERROR(ROUND(('DCF Model'!C45/(1+$B9)^('DCF Model'!C19+0)+'DCF Model'!D45/(1+$B9)^('DCF Model'!C19+1)+'DCF Model'!E45/(1+$B9)^('DCF Model'!C19+2)+'DCF Model'!F45/(1+$B9)^('DCF Model'!C19+3)+'DCF Model'!G45/(1+$B9)^('DCF Model'!C19+4)+'DCF Model'!G45*(1+G$6)/($B9-G$6)/(1+$B9)^('DCF Model'!C19+4)-'DCF Model'!C16)*1000000/'DCF Model'!C15,0),"")</f>
        <v>1299</v>
      </c>
      <c r="H9" s="37">
        <f>IFERROR(ROUND(('DCF Model'!C45/(1+$B9)^('DCF Model'!C19+0)+'DCF Model'!D45/(1+$B9)^('DCF Model'!C19+1)+'DCF Model'!E45/(1+$B9)^('DCF Model'!C19+2)+'DCF Model'!F45/(1+$B9)^('DCF Model'!C19+3)+'DCF Model'!G45/(1+$B9)^('DCF Model'!C19+4)+'DCF Model'!G45*(1+H$6)/($B9-H$6)/(1+$B9)^('DCF Model'!C19+4)-'DCF Model'!C16)*1000000/'DCF Model'!C15,0),"")</f>
        <v>1538</v>
      </c>
      <c r="I9" s="37">
        <f>IFERROR(ROUND(('DCF Model'!C45/(1+$B9)^('DCF Model'!C19+0)+'DCF Model'!D45/(1+$B9)^('DCF Model'!C19+1)+'DCF Model'!E45/(1+$B9)^('DCF Model'!C19+2)+'DCF Model'!F45/(1+$B9)^('DCF Model'!C19+3)+'DCF Model'!G45/(1+$B9)^('DCF Model'!C19+4)+'DCF Model'!G45*(1+I$6)/($B9-I$6)/(1+$B9)^('DCF Model'!C19+4)-'DCF Model'!C16)*1000000/'DCF Model'!C15,0),"")</f>
        <v>1823</v>
      </c>
    </row>
    <row r="10" spans="2:9" ht="13.5" x14ac:dyDescent="0.25">
      <c r="B10" s="39">
        <f>$C$3</f>
        <v>4.860616241211721E-2</v>
      </c>
      <c r="C10" s="37">
        <f>IFERROR(ROUND(('DCF Model'!C45/(1+$B10)^('DCF Model'!C19+0)+'DCF Model'!D45/(1+$B10)^('DCF Model'!C19+1)+'DCF Model'!E45/(1+$B10)^('DCF Model'!C19+2)+'DCF Model'!F45/(1+$B10)^('DCF Model'!C19+3)+'DCF Model'!G45/(1+$B10)^('DCF Model'!C19+4)+'DCF Model'!G45*(1+C$6)/($B10-C$6)/(1+$B10)^('DCF Model'!C19+4)-'DCF Model'!C16)*1000000/'DCF Model'!C15,0),"")</f>
        <v>371</v>
      </c>
      <c r="D10" s="37">
        <f>IFERROR(ROUND(('DCF Model'!C45/(1+$B10)^('DCF Model'!C19+0)+'DCF Model'!D45/(1+$B10)^('DCF Model'!C19+1)+'DCF Model'!E45/(1+$B10)^('DCF Model'!C19+2)+'DCF Model'!F45/(1+$B10)^('DCF Model'!C19+3)+'DCF Model'!G45/(1+$B10)^('DCF Model'!C19+4)+'DCF Model'!G45*(1+D$6)/($B10-D$6)/(1+$B10)^('DCF Model'!C19+4)-'DCF Model'!C16)*1000000/'DCF Model'!C15,0),"")</f>
        <v>474</v>
      </c>
      <c r="E10" s="37">
        <f>IFERROR(ROUND(('DCF Model'!C45/(1+$B10)^('DCF Model'!C19+0)+'DCF Model'!D45/(1+$B10)^('DCF Model'!C19+1)+'DCF Model'!E45/(1+$B10)^('DCF Model'!C19+2)+'DCF Model'!F45/(1+$B10)^('DCF Model'!C19+3)+'DCF Model'!G45/(1+$B10)^('DCF Model'!C19+4)+'DCF Model'!G45*(1+E$6)/($B10-E$6)/(1+$B10)^('DCF Model'!C19+4)-'DCF Model'!C16)*1000000/'DCF Model'!C15,0),"")</f>
        <v>591</v>
      </c>
      <c r="F10" s="37">
        <f>IFERROR(ROUND(('DCF Model'!C45/(1+$B10)^('DCF Model'!C19+0)+'DCF Model'!D45/(1+$B10)^('DCF Model'!C19+1)+'DCF Model'!E45/(1+$B10)^('DCF Model'!C19+2)+'DCF Model'!F45/(1+$B10)^('DCF Model'!C19+3)+'DCF Model'!G45/(1+$B10)^('DCF Model'!C19+4)+'DCF Model'!G45*(1+F$6)/($B10-F$6)/(1+$B10)^('DCF Model'!C19+4)-'DCF Model'!C16)*1000000/'DCF Model'!C15,0),"")</f>
        <v>722</v>
      </c>
      <c r="G10" s="37">
        <f>IFERROR(ROUND(('DCF Model'!C45/(1+$B10)^('DCF Model'!C19+0)+'DCF Model'!D45/(1+$B10)^('DCF Model'!C19+1)+'DCF Model'!E45/(1+$B10)^('DCF Model'!C19+2)+'DCF Model'!F45/(1+$B10)^('DCF Model'!C19+3)+'DCF Model'!G45/(1+$B10)^('DCF Model'!C19+4)+'DCF Model'!G45*(1+G$6)/($B10-G$6)/(1+$B10)^('DCF Model'!C19+4)-'DCF Model'!C16)*1000000/'DCF Model'!C15,0),"")</f>
        <v>872</v>
      </c>
      <c r="H10" s="37">
        <f>IFERROR(ROUND(('DCF Model'!C45/(1+$B10)^('DCF Model'!C19+0)+'DCF Model'!D45/(1+$B10)^('DCF Model'!C19+1)+'DCF Model'!E45/(1+$B10)^('DCF Model'!C19+2)+'DCF Model'!F45/(1+$B10)^('DCF Model'!C19+3)+'DCF Model'!G45/(1+$B10)^('DCF Model'!C19+4)+'DCF Model'!G45*(1+H$6)/($B10-H$6)/(1+$B10)^('DCF Model'!C19+4)-'DCF Model'!C16)*1000000/'DCF Model'!C15,0),"")</f>
        <v>1044</v>
      </c>
      <c r="I10" s="37">
        <f>IFERROR(ROUND(('DCF Model'!C45/(1+$B10)^('DCF Model'!C19+0)+'DCF Model'!D45/(1+$B10)^('DCF Model'!C19+1)+'DCF Model'!E45/(1+$B10)^('DCF Model'!C19+2)+'DCF Model'!F45/(1+$B10)^('DCF Model'!C19+3)+'DCF Model'!G45/(1+$B10)^('DCF Model'!C19+4)+'DCF Model'!G45*(1+I$6)/($B10-I$6)/(1+$B10)^('DCF Model'!C19+4)-'DCF Model'!C16)*1000000/'DCF Model'!C15,0),"")</f>
        <v>1244</v>
      </c>
    </row>
    <row r="11" spans="2:9" ht="13.5" x14ac:dyDescent="0.25">
      <c r="B11" s="39">
        <f>$C$3+0.005</f>
        <v>5.3606162412117207E-2</v>
      </c>
      <c r="C11" s="37">
        <f>IFERROR(ROUND(('DCF Model'!C45/(1+$B11)^('DCF Model'!C19+0)+'DCF Model'!D45/(1+$B11)^('DCF Model'!C19+1)+'DCF Model'!E45/(1+$B11)^('DCF Model'!C19+2)+'DCF Model'!F45/(1+$B11)^('DCF Model'!C19+3)+'DCF Model'!G45/(1+$B11)^('DCF Model'!C19+4)+'DCF Model'!G45*(1+C$6)/($B11-C$6)/(1+$B11)^('DCF Model'!C19+4)-'DCF Model'!C16)*1000000/'DCF Model'!C15,0),"")</f>
        <v>159</v>
      </c>
      <c r="D11" s="37">
        <f>IFERROR(ROUND(('DCF Model'!C45/(1+$B11)^('DCF Model'!C19+0)+'DCF Model'!D45/(1+$B11)^('DCF Model'!C19+1)+'DCF Model'!E45/(1+$B11)^('DCF Model'!C19+2)+'DCF Model'!F45/(1+$B11)^('DCF Model'!C19+3)+'DCF Model'!G45/(1+$B11)^('DCF Model'!C19+4)+'DCF Model'!G45*(1+D$6)/($B11-D$6)/(1+$B11)^('DCF Model'!C19+4)-'DCF Model'!C16)*1000000/'DCF Model'!C15,0),"")</f>
        <v>242</v>
      </c>
      <c r="E11" s="37">
        <f>IFERROR(ROUND(('DCF Model'!C45/(1+$B11)^('DCF Model'!C19+0)+'DCF Model'!D45/(1+$B11)^('DCF Model'!C19+1)+'DCF Model'!E45/(1+$B11)^('DCF Model'!C19+2)+'DCF Model'!F45/(1+$B11)^('DCF Model'!C19+3)+'DCF Model'!G45/(1+$B11)^('DCF Model'!C19+4)+'DCF Model'!G45*(1+E$6)/($B11-E$6)/(1+$B11)^('DCF Model'!C19+4)-'DCF Model'!C16)*1000000/'DCF Model'!C15,0),"")</f>
        <v>333</v>
      </c>
      <c r="F11" s="37">
        <f>IFERROR(ROUND(('DCF Model'!C45/(1+$B11)^('DCF Model'!C19+0)+'DCF Model'!D45/(1+$B11)^('DCF Model'!C19+1)+'DCF Model'!E45/(1+$B11)^('DCF Model'!C19+2)+'DCF Model'!F45/(1+$B11)^('DCF Model'!C19+3)+'DCF Model'!G45/(1+$B11)^('DCF Model'!C19+4)+'DCF Model'!G45*(1+F$6)/($B11-F$6)/(1+$B11)^('DCF Model'!C19+4)-'DCF Model'!C16)*1000000/'DCF Model'!C15,0),"")</f>
        <v>435</v>
      </c>
      <c r="G11" s="37">
        <f>IFERROR(ROUND(('DCF Model'!C45/(1+$B11)^('DCF Model'!C19+0)+'DCF Model'!D45/(1+$B11)^('DCF Model'!C19+1)+'DCF Model'!E45/(1+$B11)^('DCF Model'!C19+2)+'DCF Model'!F45/(1+$B11)^('DCF Model'!C19+3)+'DCF Model'!G45/(1+$B11)^('DCF Model'!C19+4)+'DCF Model'!G45*(1+G$6)/($B11-G$6)/(1+$B11)^('DCF Model'!C19+4)-'DCF Model'!C16)*1000000/'DCF Model'!C15,0),"")</f>
        <v>549</v>
      </c>
      <c r="H11" s="37">
        <f>IFERROR(ROUND(('DCF Model'!C45/(1+$B11)^('DCF Model'!C19+0)+'DCF Model'!D45/(1+$B11)^('DCF Model'!C19+1)+'DCF Model'!E45/(1+$B11)^('DCF Model'!C19+2)+'DCF Model'!F45/(1+$B11)^('DCF Model'!C19+3)+'DCF Model'!G45/(1+$B11)^('DCF Model'!C19+4)+'DCF Model'!G45*(1+H$6)/($B11-H$6)/(1+$B11)^('DCF Model'!C19+4)-'DCF Model'!C16)*1000000/'DCF Model'!C15,0),"")</f>
        <v>678</v>
      </c>
      <c r="I11" s="37">
        <f>IFERROR(ROUND(('DCF Model'!C45/(1+$B11)^('DCF Model'!C19+0)+'DCF Model'!D45/(1+$B11)^('DCF Model'!C19+1)+'DCF Model'!E45/(1+$B11)^('DCF Model'!C19+2)+'DCF Model'!F45/(1+$B11)^('DCF Model'!C19+3)+'DCF Model'!G45/(1+$B11)^('DCF Model'!C19+4)+'DCF Model'!G45*(1+I$6)/($B11-I$6)/(1+$B11)^('DCF Model'!C19+4)-'DCF Model'!C16)*1000000/'DCF Model'!C15,0),"")</f>
        <v>825</v>
      </c>
    </row>
    <row r="12" spans="2:9" ht="13.5" x14ac:dyDescent="0.25">
      <c r="B12" s="39">
        <f>$C$3+0.01</f>
        <v>5.8606162412117212E-2</v>
      </c>
      <c r="C12" s="37">
        <f>IFERROR(ROUND(('DCF Model'!C45/(1+$B12)^('DCF Model'!C19+0)+'DCF Model'!D45/(1+$B12)^('DCF Model'!C19+1)+'DCF Model'!E45/(1+$B12)^('DCF Model'!C19+2)+'DCF Model'!F45/(1+$B12)^('DCF Model'!C19+3)+'DCF Model'!G45/(1+$B12)^('DCF Model'!C19+4)+'DCF Model'!G45*(1+C$6)/($B12-C$6)/(1+$B12)^('DCF Model'!C19+4)-'DCF Model'!C16)*1000000/'DCF Model'!C15,0),"")</f>
        <v>-14</v>
      </c>
      <c r="D12" s="37">
        <f>IFERROR(ROUND(('DCF Model'!C45/(1+$B12)^('DCF Model'!C19+0)+'DCF Model'!D45/(1+$B12)^('DCF Model'!C19+1)+'DCF Model'!E45/(1+$B12)^('DCF Model'!C19+2)+'DCF Model'!F45/(1+$B12)^('DCF Model'!C19+3)+'DCF Model'!G45/(1+$B12)^('DCF Model'!C19+4)+'DCF Model'!G45*(1+D$6)/($B12-D$6)/(1+$B12)^('DCF Model'!C19+4)-'DCF Model'!C16)*1000000/'DCF Model'!C15,0),"")</f>
        <v>53</v>
      </c>
      <c r="E12" s="37">
        <f>IFERROR(ROUND(('DCF Model'!C45/(1+$B12)^('DCF Model'!C19+0)+'DCF Model'!D45/(1+$B12)^('DCF Model'!C19+1)+'DCF Model'!E45/(1+$B12)^('DCF Model'!C19+2)+'DCF Model'!F45/(1+$B12)^('DCF Model'!C19+3)+'DCF Model'!G45/(1+$B12)^('DCF Model'!C19+4)+'DCF Model'!G45*(1+E$6)/($B12-E$6)/(1+$B12)^('DCF Model'!C19+4)-'DCF Model'!C16)*1000000/'DCF Model'!C15,0),"")</f>
        <v>126</v>
      </c>
      <c r="F12" s="37">
        <f>IFERROR(ROUND(('DCF Model'!C45/(1+$B12)^('DCF Model'!C19+0)+'DCF Model'!D45/(1+$B12)^('DCF Model'!C19+1)+'DCF Model'!E45/(1+$B12)^('DCF Model'!C19+2)+'DCF Model'!F45/(1+$B12)^('DCF Model'!C19+3)+'DCF Model'!G45/(1+$B12)^('DCF Model'!C19+4)+'DCF Model'!G45*(1+F$6)/($B12-F$6)/(1+$B12)^('DCF Model'!C19+4)-'DCF Model'!C16)*1000000/'DCF Model'!C15,0),"")</f>
        <v>207</v>
      </c>
      <c r="G12" s="37">
        <f>IFERROR(ROUND(('DCF Model'!C45/(1+$B12)^('DCF Model'!C19+0)+'DCF Model'!D45/(1+$B12)^('DCF Model'!C19+1)+'DCF Model'!E45/(1+$B12)^('DCF Model'!C19+2)+'DCF Model'!F45/(1+$B12)^('DCF Model'!C19+3)+'DCF Model'!G45/(1+$B12)^('DCF Model'!C19+4)+'DCF Model'!G45*(1+G$6)/($B12-G$6)/(1+$B12)^('DCF Model'!C19+4)-'DCF Model'!C16)*1000000/'DCF Model'!C15,0),"")</f>
        <v>297</v>
      </c>
      <c r="H12" s="37">
        <f>IFERROR(ROUND(('DCF Model'!C45/(1+$B12)^('DCF Model'!C19+0)+'DCF Model'!D45/(1+$B12)^('DCF Model'!C19+1)+'DCF Model'!E45/(1+$B12)^('DCF Model'!C19+2)+'DCF Model'!F45/(1+$B12)^('DCF Model'!C19+3)+'DCF Model'!G45/(1+$B12)^('DCF Model'!C19+4)+'DCF Model'!G45*(1+H$6)/($B12-H$6)/(1+$B12)^('DCF Model'!C19+4)-'DCF Model'!C16)*1000000/'DCF Model'!C15,0),"")</f>
        <v>397</v>
      </c>
      <c r="I12" s="37">
        <f>IFERROR(ROUND(('DCF Model'!C45/(1+$B12)^('DCF Model'!C19+0)+'DCF Model'!D45/(1+$B12)^('DCF Model'!C19+1)+'DCF Model'!E45/(1+$B12)^('DCF Model'!C19+2)+'DCF Model'!F45/(1+$B12)^('DCF Model'!C19+3)+'DCF Model'!G45/(1+$B12)^('DCF Model'!C19+4)+'DCF Model'!G45*(1+I$6)/($B12-I$6)/(1+$B12)^('DCF Model'!C19+4)-'DCF Model'!C16)*1000000/'DCF Model'!C15,0),"")</f>
        <v>509</v>
      </c>
    </row>
    <row r="13" spans="2:9" ht="13.5" x14ac:dyDescent="0.25">
      <c r="B13" s="39">
        <f>$C$3+0.015</f>
        <v>6.3606162412117209E-2</v>
      </c>
      <c r="C13" s="37">
        <f>IFERROR(ROUND(('DCF Model'!C45/(1+$B13)^('DCF Model'!C19+0)+'DCF Model'!D45/(1+$B13)^('DCF Model'!C19+1)+'DCF Model'!E45/(1+$B13)^('DCF Model'!C19+2)+'DCF Model'!F45/(1+$B13)^('DCF Model'!C19+3)+'DCF Model'!G45/(1+$B13)^('DCF Model'!C19+4)+'DCF Model'!G45*(1+C$6)/($B13-C$6)/(1+$B13)^('DCF Model'!C19+4)-'DCF Model'!C16)*1000000/'DCF Model'!C15,0),"")</f>
        <v>-159</v>
      </c>
      <c r="D13" s="37">
        <f>IFERROR(ROUND(('DCF Model'!C45/(1+$B13)^('DCF Model'!C19+0)+'DCF Model'!D45/(1+$B13)^('DCF Model'!C19+1)+'DCF Model'!E45/(1+$B13)^('DCF Model'!C19+2)+'DCF Model'!F45/(1+$B13)^('DCF Model'!C19+3)+'DCF Model'!G45/(1+$B13)^('DCF Model'!C19+4)+'DCF Model'!G45*(1+D$6)/($B13-D$6)/(1+$B13)^('DCF Model'!C19+4)-'DCF Model'!C16)*1000000/'DCF Model'!C15,0),"")</f>
        <v>-104</v>
      </c>
      <c r="E13" s="37">
        <f>IFERROR(ROUND(('DCF Model'!C45/(1+$B13)^('DCF Model'!C19+0)+'DCF Model'!D45/(1+$B13)^('DCF Model'!C19+1)+'DCF Model'!E45/(1+$B13)^('DCF Model'!C19+2)+'DCF Model'!F45/(1+$B13)^('DCF Model'!C19+3)+'DCF Model'!G45/(1+$B13)^('DCF Model'!C19+4)+'DCF Model'!G45*(1+E$6)/($B13-E$6)/(1+$B13)^('DCF Model'!C19+4)-'DCF Model'!C16)*1000000/'DCF Model'!C15,0),"")</f>
        <v>-44</v>
      </c>
      <c r="F13" s="37">
        <f>IFERROR(ROUND(('DCF Model'!C45/(1+$B13)^('DCF Model'!C19+0)+'DCF Model'!D45/(1+$B13)^('DCF Model'!C19+1)+'DCF Model'!E45/(1+$B13)^('DCF Model'!C19+2)+'DCF Model'!F45/(1+$B13)^('DCF Model'!C19+3)+'DCF Model'!G45/(1+$B13)^('DCF Model'!C19+4)+'DCF Model'!G45*(1+F$6)/($B13-F$6)/(1+$B13)^('DCF Model'!C19+4)-'DCF Model'!C16)*1000000/'DCF Model'!C15,0),"")</f>
        <v>22</v>
      </c>
      <c r="G13" s="37">
        <f>IFERROR(ROUND(('DCF Model'!C45/(1+$B13)^('DCF Model'!C19+0)+'DCF Model'!D45/(1+$B13)^('DCF Model'!C19+1)+'DCF Model'!E45/(1+$B13)^('DCF Model'!C19+2)+'DCF Model'!F45/(1+$B13)^('DCF Model'!C19+3)+'DCF Model'!G45/(1+$B13)^('DCF Model'!C19+4)+'DCF Model'!G45*(1+G$6)/($B13-G$6)/(1+$B13)^('DCF Model'!C19+4)-'DCF Model'!C16)*1000000/'DCF Model'!C15,0),"")</f>
        <v>94</v>
      </c>
      <c r="H13" s="37">
        <f>IFERROR(ROUND(('DCF Model'!C45/(1+$B13)^('DCF Model'!C19+0)+'DCF Model'!D45/(1+$B13)^('DCF Model'!C19+1)+'DCF Model'!E45/(1+$B13)^('DCF Model'!C19+2)+'DCF Model'!F45/(1+$B13)^('DCF Model'!C19+3)+'DCF Model'!G45/(1+$B13)^('DCF Model'!C19+4)+'DCF Model'!G45*(1+H$6)/($B13-H$6)/(1+$B13)^('DCF Model'!C19+4)-'DCF Model'!C16)*1000000/'DCF Model'!C15,0),"")</f>
        <v>173</v>
      </c>
      <c r="I13" s="37">
        <f>IFERROR(ROUND(('DCF Model'!C45/(1+$B13)^('DCF Model'!C19+0)+'DCF Model'!D45/(1+$B13)^('DCF Model'!C19+1)+'DCF Model'!E45/(1+$B13)^('DCF Model'!C19+2)+'DCF Model'!F45/(1+$B13)^('DCF Model'!C19+3)+'DCF Model'!G45/(1+$B13)^('DCF Model'!C19+4)+'DCF Model'!G45*(1+I$6)/($B13-I$6)/(1+$B13)^('DCF Model'!C19+4)-'DCF Model'!C16)*1000000/'DCF Model'!C15,0),"")</f>
        <v>261</v>
      </c>
    </row>
    <row r="16" spans="2:9" ht="14" x14ac:dyDescent="0.3">
      <c r="B16" s="3" t="s">
        <v>242</v>
      </c>
    </row>
    <row r="17" spans="2:9" ht="14" x14ac:dyDescent="0.3">
      <c r="B17" s="40" t="s">
        <v>243</v>
      </c>
      <c r="C17" s="42">
        <f>$I$3-3</f>
        <v>12.7</v>
      </c>
      <c r="D17" s="42">
        <f>$I$3-2</f>
        <v>13.7</v>
      </c>
      <c r="E17" s="42">
        <f>$I$3-1</f>
        <v>14.7</v>
      </c>
      <c r="F17" s="42">
        <f>$I$3</f>
        <v>15.7</v>
      </c>
      <c r="G17" s="42">
        <f>$I$3+1</f>
        <v>16.7</v>
      </c>
      <c r="H17" s="42">
        <f>$I$3+2</f>
        <v>17.7</v>
      </c>
      <c r="I17" s="42">
        <f>$I$3+3</f>
        <v>18.7</v>
      </c>
    </row>
    <row r="18" spans="2:9" ht="13.5" x14ac:dyDescent="0.25">
      <c r="B18" s="39">
        <f>$C$3-0.015</f>
        <v>3.360616241211721E-2</v>
      </c>
      <c r="C18" s="37">
        <f>IFERROR(ROUND(('DCF Model'!C45/(1+$B18)^('DCF Model'!C19+0)+'DCF Model'!D45/(1+$B18)^('DCF Model'!C19+1)+'DCF Model'!E45/(1+$B18)^('DCF Model'!C19+2)+'DCF Model'!F45/(1+$B18)^('DCF Model'!C19+3)+'DCF Model'!G45/(1+$B18)^('DCF Model'!C19+4)+('DCF Model'!G39+'DCF Model'!G42)*C$17/(1+$B18)^('DCF Model'!C19+4)-'DCF Model'!C16)*1000000/'DCF Model'!C15,0),"")</f>
        <v>1130</v>
      </c>
      <c r="D18" s="37">
        <f>IFERROR(ROUND(('DCF Model'!C45/(1+$B18)^('DCF Model'!C19+0)+'DCF Model'!D45/(1+$B18)^('DCF Model'!C19+1)+'DCF Model'!E45/(1+$B18)^('DCF Model'!C19+2)+'DCF Model'!F45/(1+$B18)^('DCF Model'!C19+3)+'DCF Model'!G45/(1+$B18)^('DCF Model'!C19+4)+('DCF Model'!G39+'DCF Model'!G42)*D$17/(1+$B18)^('DCF Model'!C19+4)-'DCF Model'!C16)*1000000/'DCF Model'!C15,0),"")</f>
        <v>1325</v>
      </c>
      <c r="E18" s="37">
        <f>IFERROR(ROUND(('DCF Model'!C45/(1+$B18)^('DCF Model'!C19+0)+'DCF Model'!D45/(1+$B18)^('DCF Model'!C19+1)+'DCF Model'!E45/(1+$B18)^('DCF Model'!C19+2)+'DCF Model'!F45/(1+$B18)^('DCF Model'!C19+3)+'DCF Model'!G45/(1+$B18)^('DCF Model'!C19+4)+('DCF Model'!G39+'DCF Model'!G42)*E$17/(1+$B18)^('DCF Model'!C19+4)-'DCF Model'!C16)*1000000/'DCF Model'!C15,0),"")</f>
        <v>1520</v>
      </c>
      <c r="F18" s="37">
        <f>IFERROR(ROUND(('DCF Model'!C45/(1+$B18)^('DCF Model'!C19+0)+'DCF Model'!D45/(1+$B18)^('DCF Model'!C19+1)+'DCF Model'!E45/(1+$B18)^('DCF Model'!C19+2)+'DCF Model'!F45/(1+$B18)^('DCF Model'!C19+3)+'DCF Model'!G45/(1+$B18)^('DCF Model'!C19+4)+('DCF Model'!G39+'DCF Model'!G42)*F$17/(1+$B18)^('DCF Model'!C19+4)-'DCF Model'!C16)*1000000/'DCF Model'!C15,0),"")</f>
        <v>1715</v>
      </c>
      <c r="G18" s="37">
        <f>IFERROR(ROUND(('DCF Model'!C45/(1+$B18)^('DCF Model'!C19+0)+'DCF Model'!D45/(1+$B18)^('DCF Model'!C19+1)+'DCF Model'!E45/(1+$B18)^('DCF Model'!C19+2)+'DCF Model'!F45/(1+$B18)^('DCF Model'!C19+3)+'DCF Model'!G45/(1+$B18)^('DCF Model'!C19+4)+('DCF Model'!G39+'DCF Model'!G42)*G$17/(1+$B18)^('DCF Model'!C19+4)-'DCF Model'!C16)*1000000/'DCF Model'!C15,0),"")</f>
        <v>1910</v>
      </c>
      <c r="H18" s="37">
        <f>IFERROR(ROUND(('DCF Model'!C45/(1+$B18)^('DCF Model'!C19+0)+'DCF Model'!D45/(1+$B18)^('DCF Model'!C19+1)+'DCF Model'!E45/(1+$B18)^('DCF Model'!C19+2)+'DCF Model'!F45/(1+$B18)^('DCF Model'!C19+3)+'DCF Model'!G45/(1+$B18)^('DCF Model'!C19+4)+('DCF Model'!G39+'DCF Model'!G42)*H$17/(1+$B18)^('DCF Model'!C19+4)-'DCF Model'!C16)*1000000/'DCF Model'!C15,0),"")</f>
        <v>2105</v>
      </c>
      <c r="I18" s="37">
        <f>IFERROR(ROUND(('DCF Model'!C45/(1+$B18)^('DCF Model'!C19+0)+'DCF Model'!D45/(1+$B18)^('DCF Model'!C19+1)+'DCF Model'!E45/(1+$B18)^('DCF Model'!C19+2)+'DCF Model'!F45/(1+$B18)^('DCF Model'!C19+3)+'DCF Model'!G45/(1+$B18)^('DCF Model'!C19+4)+('DCF Model'!G39+'DCF Model'!G42)*I$17/(1+$B18)^('DCF Model'!C19+4)-'DCF Model'!C16)*1000000/'DCF Model'!C15,0),"")</f>
        <v>2299</v>
      </c>
    </row>
    <row r="19" spans="2:9" ht="13.5" x14ac:dyDescent="0.25">
      <c r="B19" s="39">
        <f>$C$3-0.01</f>
        <v>3.8606162412117208E-2</v>
      </c>
      <c r="C19" s="37">
        <f>IFERROR(ROUND(('DCF Model'!C45/(1+$B19)^('DCF Model'!C19+0)+'DCF Model'!D45/(1+$B19)^('DCF Model'!C19+1)+'DCF Model'!E45/(1+$B19)^('DCF Model'!C19+2)+'DCF Model'!F45/(1+$B19)^('DCF Model'!C19+3)+'DCF Model'!G45/(1+$B19)^('DCF Model'!C19+4)+('DCF Model'!G39+'DCF Model'!G42)*C$17/(1+$B19)^('DCF Model'!C19+4)-'DCF Model'!C16)*1000000/'DCF Model'!C15,0),"")</f>
        <v>1066</v>
      </c>
      <c r="D19" s="37">
        <f>IFERROR(ROUND(('DCF Model'!C45/(1+$B19)^('DCF Model'!C19+0)+'DCF Model'!D45/(1+$B19)^('DCF Model'!C19+1)+'DCF Model'!E45/(1+$B19)^('DCF Model'!C19+2)+'DCF Model'!F45/(1+$B19)^('DCF Model'!C19+3)+'DCF Model'!G45/(1+$B19)^('DCF Model'!C19+4)+('DCF Model'!G39+'DCF Model'!G42)*D$17/(1+$B19)^('DCF Model'!C19+4)-'DCF Model'!C16)*1000000/'DCF Model'!C15,0),"")</f>
        <v>1256</v>
      </c>
      <c r="E19" s="37">
        <f>IFERROR(ROUND(('DCF Model'!C45/(1+$B19)^('DCF Model'!C19+0)+'DCF Model'!D45/(1+$B19)^('DCF Model'!C19+1)+'DCF Model'!E45/(1+$B19)^('DCF Model'!C19+2)+'DCF Model'!F45/(1+$B19)^('DCF Model'!C19+3)+'DCF Model'!G45/(1+$B19)^('DCF Model'!C19+4)+('DCF Model'!G39+'DCF Model'!G42)*E$17/(1+$B19)^('DCF Model'!C19+4)-'DCF Model'!C16)*1000000/'DCF Model'!C15,0),"")</f>
        <v>1446</v>
      </c>
      <c r="F19" s="37">
        <f>IFERROR(ROUND(('DCF Model'!C45/(1+$B19)^('DCF Model'!C19+0)+'DCF Model'!D45/(1+$B19)^('DCF Model'!C19+1)+'DCF Model'!E45/(1+$B19)^('DCF Model'!C19+2)+'DCF Model'!F45/(1+$B19)^('DCF Model'!C19+3)+'DCF Model'!G45/(1+$B19)^('DCF Model'!C19+4)+('DCF Model'!G39+'DCF Model'!G42)*F$17/(1+$B19)^('DCF Model'!C19+4)-'DCF Model'!C16)*1000000/'DCF Model'!C15,0),"")</f>
        <v>1636</v>
      </c>
      <c r="G19" s="37">
        <f>IFERROR(ROUND(('DCF Model'!C45/(1+$B19)^('DCF Model'!C19+0)+'DCF Model'!D45/(1+$B19)^('DCF Model'!C19+1)+'DCF Model'!E45/(1+$B19)^('DCF Model'!C19+2)+'DCF Model'!F45/(1+$B19)^('DCF Model'!C19+3)+'DCF Model'!G45/(1+$B19)^('DCF Model'!C19+4)+('DCF Model'!G39+'DCF Model'!G42)*G$17/(1+$B19)^('DCF Model'!C19+4)-'DCF Model'!C16)*1000000/'DCF Model'!C15,0),"")</f>
        <v>1827</v>
      </c>
      <c r="H19" s="37">
        <f>IFERROR(ROUND(('DCF Model'!C45/(1+$B19)^('DCF Model'!C19+0)+'DCF Model'!D45/(1+$B19)^('DCF Model'!C19+1)+'DCF Model'!E45/(1+$B19)^('DCF Model'!C19+2)+'DCF Model'!F45/(1+$B19)^('DCF Model'!C19+3)+'DCF Model'!G45/(1+$B19)^('DCF Model'!C19+4)+('DCF Model'!G39+'DCF Model'!G42)*H$17/(1+$B19)^('DCF Model'!C19+4)-'DCF Model'!C16)*1000000/'DCF Model'!C15,0),"")</f>
        <v>2017</v>
      </c>
      <c r="I19" s="37">
        <f>IFERROR(ROUND(('DCF Model'!C45/(1+$B19)^('DCF Model'!C19+0)+'DCF Model'!D45/(1+$B19)^('DCF Model'!C19+1)+'DCF Model'!E45/(1+$B19)^('DCF Model'!C19+2)+'DCF Model'!F45/(1+$B19)^('DCF Model'!C19+3)+'DCF Model'!G45/(1+$B19)^('DCF Model'!C19+4)+('DCF Model'!G39+'DCF Model'!G42)*I$17/(1+$B19)^('DCF Model'!C19+4)-'DCF Model'!C16)*1000000/'DCF Model'!C15,0),"")</f>
        <v>2207</v>
      </c>
    </row>
    <row r="20" spans="2:9" ht="13.5" x14ac:dyDescent="0.25">
      <c r="B20" s="39">
        <f>$C$3-0.005</f>
        <v>4.3606162412117212E-2</v>
      </c>
      <c r="C20" s="37">
        <f>IFERROR(ROUND(('DCF Model'!C45/(1+$B20)^('DCF Model'!C19+0)+'DCF Model'!D45/(1+$B20)^('DCF Model'!C19+1)+'DCF Model'!E45/(1+$B20)^('DCF Model'!C19+2)+'DCF Model'!F45/(1+$B20)^('DCF Model'!C19+3)+'DCF Model'!G45/(1+$B20)^('DCF Model'!C19+4)+('DCF Model'!G39+'DCF Model'!G42)*C$17/(1+$B20)^('DCF Model'!C19+4)-'DCF Model'!C16)*1000000/'DCF Model'!C15,0),"")</f>
        <v>1003</v>
      </c>
      <c r="D20" s="37">
        <f>IFERROR(ROUND(('DCF Model'!C45/(1+$B20)^('DCF Model'!C19+0)+'DCF Model'!D45/(1+$B20)^('DCF Model'!C19+1)+'DCF Model'!E45/(1+$B20)^('DCF Model'!C19+2)+'DCF Model'!F45/(1+$B20)^('DCF Model'!C19+3)+'DCF Model'!G45/(1+$B20)^('DCF Model'!C19+4)+('DCF Model'!G39+'DCF Model'!G42)*D$17/(1+$B20)^('DCF Model'!C19+4)-'DCF Model'!C16)*1000000/'DCF Model'!C15,0),"")</f>
        <v>1189</v>
      </c>
      <c r="E20" s="37">
        <f>IFERROR(ROUND(('DCF Model'!C45/(1+$B20)^('DCF Model'!C19+0)+'DCF Model'!D45/(1+$B20)^('DCF Model'!C19+1)+'DCF Model'!E45/(1+$B20)^('DCF Model'!C19+2)+'DCF Model'!F45/(1+$B20)^('DCF Model'!C19+3)+'DCF Model'!G45/(1+$B20)^('DCF Model'!C19+4)+('DCF Model'!G39+'DCF Model'!G42)*E$17/(1+$B20)^('DCF Model'!C19+4)-'DCF Model'!C16)*1000000/'DCF Model'!C15,0),"")</f>
        <v>1375</v>
      </c>
      <c r="F20" s="37">
        <f>IFERROR(ROUND(('DCF Model'!C45/(1+$B20)^('DCF Model'!C19+0)+'DCF Model'!D45/(1+$B20)^('DCF Model'!C19+1)+'DCF Model'!E45/(1+$B20)^('DCF Model'!C19+2)+'DCF Model'!F45/(1+$B20)^('DCF Model'!C19+3)+'DCF Model'!G45/(1+$B20)^('DCF Model'!C19+4)+('DCF Model'!G39+'DCF Model'!G42)*F$17/(1+$B20)^('DCF Model'!C19+4)-'DCF Model'!C16)*1000000/'DCF Model'!C15,0),"")</f>
        <v>1560</v>
      </c>
      <c r="G20" s="37">
        <f>IFERROR(ROUND(('DCF Model'!C45/(1+$B20)^('DCF Model'!C19+0)+'DCF Model'!D45/(1+$B20)^('DCF Model'!C19+1)+'DCF Model'!E45/(1+$B20)^('DCF Model'!C19+2)+'DCF Model'!F45/(1+$B20)^('DCF Model'!C19+3)+'DCF Model'!G45/(1+$B20)^('DCF Model'!C19+4)+('DCF Model'!G39+'DCF Model'!G42)*G$17/(1+$B20)^('DCF Model'!C19+4)-'DCF Model'!C16)*1000000/'DCF Model'!C15,0),"")</f>
        <v>1746</v>
      </c>
      <c r="H20" s="37">
        <f>IFERROR(ROUND(('DCF Model'!C45/(1+$B20)^('DCF Model'!C19+0)+'DCF Model'!D45/(1+$B20)^('DCF Model'!C19+1)+'DCF Model'!E45/(1+$B20)^('DCF Model'!C19+2)+'DCF Model'!F45/(1+$B20)^('DCF Model'!C19+3)+'DCF Model'!G45/(1+$B20)^('DCF Model'!C19+4)+('DCF Model'!G39+'DCF Model'!G42)*H$17/(1+$B20)^('DCF Model'!C19+4)-'DCF Model'!C16)*1000000/'DCF Model'!C15,0),"")</f>
        <v>1932</v>
      </c>
      <c r="I20" s="37">
        <f>IFERROR(ROUND(('DCF Model'!C45/(1+$B20)^('DCF Model'!C19+0)+'DCF Model'!D45/(1+$B20)^('DCF Model'!C19+1)+'DCF Model'!E45/(1+$B20)^('DCF Model'!C19+2)+'DCF Model'!F45/(1+$B20)^('DCF Model'!C19+3)+'DCF Model'!G45/(1+$B20)^('DCF Model'!C19+4)+('DCF Model'!G39+'DCF Model'!G42)*I$17/(1+$B20)^('DCF Model'!C19+4)-'DCF Model'!C16)*1000000/'DCF Model'!C15,0),"")</f>
        <v>2117</v>
      </c>
    </row>
    <row r="21" spans="2:9" ht="13.5" x14ac:dyDescent="0.25">
      <c r="B21" s="39">
        <f>$C$3</f>
        <v>4.860616241211721E-2</v>
      </c>
      <c r="C21" s="37">
        <f>IFERROR(ROUND(('DCF Model'!C45/(1+$B21)^('DCF Model'!C19+0)+'DCF Model'!D45/(1+$B21)^('DCF Model'!C19+1)+'DCF Model'!E45/(1+$B21)^('DCF Model'!C19+2)+'DCF Model'!F45/(1+$B21)^('DCF Model'!C19+3)+'DCF Model'!G45/(1+$B21)^('DCF Model'!C19+4)+('DCF Model'!G39+'DCF Model'!G42)*C$17/(1+$B21)^('DCF Model'!C19+4)-'DCF Model'!C16)*1000000/'DCF Model'!C15,0),"")</f>
        <v>942</v>
      </c>
      <c r="D21" s="37">
        <f>IFERROR(ROUND(('DCF Model'!C45/(1+$B21)^('DCF Model'!C19+0)+'DCF Model'!D45/(1+$B21)^('DCF Model'!C19+1)+'DCF Model'!E45/(1+$B21)^('DCF Model'!C19+2)+'DCF Model'!F45/(1+$B21)^('DCF Model'!C19+3)+'DCF Model'!G45/(1+$B21)^('DCF Model'!C19+4)+('DCF Model'!G39+'DCF Model'!G42)*D$17/(1+$B21)^('DCF Model'!C19+4)-'DCF Model'!C16)*1000000/'DCF Model'!C15,0),"")</f>
        <v>1124</v>
      </c>
      <c r="E21" s="37">
        <f>IFERROR(ROUND(('DCF Model'!C45/(1+$B21)^('DCF Model'!C19+0)+'DCF Model'!D45/(1+$B21)^('DCF Model'!C19+1)+'DCF Model'!E45/(1+$B21)^('DCF Model'!C19+2)+'DCF Model'!F45/(1+$B21)^('DCF Model'!C19+3)+'DCF Model'!G45/(1+$B21)^('DCF Model'!C19+4)+('DCF Model'!G39+'DCF Model'!G42)*E$17/(1+$B21)^('DCF Model'!C19+4)-'DCF Model'!C16)*1000000/'DCF Model'!C15,0),"")</f>
        <v>1305</v>
      </c>
      <c r="F21" s="37">
        <f>IFERROR(ROUND(('DCF Model'!C45/(1+$B21)^('DCF Model'!C19+0)+'DCF Model'!D45/(1+$B21)^('DCF Model'!C19+1)+'DCF Model'!E45/(1+$B21)^('DCF Model'!C19+2)+'DCF Model'!F45/(1+$B21)^('DCF Model'!C19+3)+'DCF Model'!G45/(1+$B21)^('DCF Model'!C19+4)+('DCF Model'!G39+'DCF Model'!G42)*F$17/(1+$B21)^('DCF Model'!C19+4)-'DCF Model'!C16)*1000000/'DCF Model'!C15,0),"")</f>
        <v>1486</v>
      </c>
      <c r="G21" s="37">
        <f>IFERROR(ROUND(('DCF Model'!C45/(1+$B21)^('DCF Model'!C19+0)+'DCF Model'!D45/(1+$B21)^('DCF Model'!C19+1)+'DCF Model'!E45/(1+$B21)^('DCF Model'!C19+2)+'DCF Model'!F45/(1+$B21)^('DCF Model'!C19+3)+'DCF Model'!G45/(1+$B21)^('DCF Model'!C19+4)+('DCF Model'!G39+'DCF Model'!G42)*G$17/(1+$B21)^('DCF Model'!C19+4)-'DCF Model'!C16)*1000000/'DCF Model'!C15,0),"")</f>
        <v>1668</v>
      </c>
      <c r="H21" s="37">
        <f>IFERROR(ROUND(('DCF Model'!C45/(1+$B21)^('DCF Model'!C19+0)+'DCF Model'!D45/(1+$B21)^('DCF Model'!C19+1)+'DCF Model'!E45/(1+$B21)^('DCF Model'!C19+2)+'DCF Model'!F45/(1+$B21)^('DCF Model'!C19+3)+'DCF Model'!G45/(1+$B21)^('DCF Model'!C19+4)+('DCF Model'!G39+'DCF Model'!G42)*H$17/(1+$B21)^('DCF Model'!C19+4)-'DCF Model'!C16)*1000000/'DCF Model'!C15,0),"")</f>
        <v>1849</v>
      </c>
      <c r="I21" s="37">
        <f>IFERROR(ROUND(('DCF Model'!C45/(1+$B21)^('DCF Model'!C19+0)+'DCF Model'!D45/(1+$B21)^('DCF Model'!C19+1)+'DCF Model'!E45/(1+$B21)^('DCF Model'!C19+2)+'DCF Model'!F45/(1+$B21)^('DCF Model'!C19+3)+'DCF Model'!G45/(1+$B21)^('DCF Model'!C19+4)+('DCF Model'!G39+'DCF Model'!G42)*I$17/(1+$B21)^('DCF Model'!C19+4)-'DCF Model'!C16)*1000000/'DCF Model'!C15,0),"")</f>
        <v>2030</v>
      </c>
    </row>
    <row r="22" spans="2:9" ht="13.5" x14ac:dyDescent="0.25">
      <c r="B22" s="39">
        <f>$C$3+0.005</f>
        <v>5.3606162412117207E-2</v>
      </c>
      <c r="C22" s="37">
        <f>IFERROR(ROUND(('DCF Model'!C45/(1+$B22)^('DCF Model'!C19+0)+'DCF Model'!D45/(1+$B22)^('DCF Model'!C19+1)+'DCF Model'!E45/(1+$B22)^('DCF Model'!C19+2)+'DCF Model'!F45/(1+$B22)^('DCF Model'!C19+3)+'DCF Model'!G45/(1+$B22)^('DCF Model'!C19+4)+('DCF Model'!G39+'DCF Model'!G42)*C$17/(1+$B22)^('DCF Model'!C19+4)-'DCF Model'!C16)*1000000/'DCF Model'!C15,0),"")</f>
        <v>883</v>
      </c>
      <c r="D22" s="37">
        <f>IFERROR(ROUND(('DCF Model'!C45/(1+$B22)^('DCF Model'!C19+0)+'DCF Model'!D45/(1+$B22)^('DCF Model'!C19+1)+'DCF Model'!E45/(1+$B22)^('DCF Model'!C19+2)+'DCF Model'!F45/(1+$B22)^('DCF Model'!C19+3)+'DCF Model'!G45/(1+$B22)^('DCF Model'!C19+4)+('DCF Model'!G39+'DCF Model'!G42)*D$17/(1+$B22)^('DCF Model'!C19+4)-'DCF Model'!C16)*1000000/'DCF Model'!C15,0),"")</f>
        <v>1060</v>
      </c>
      <c r="E22" s="37">
        <f>IFERROR(ROUND(('DCF Model'!C45/(1+$B22)^('DCF Model'!C19+0)+'DCF Model'!D45/(1+$B22)^('DCF Model'!C19+1)+'DCF Model'!E45/(1+$B22)^('DCF Model'!C19+2)+'DCF Model'!F45/(1+$B22)^('DCF Model'!C19+3)+'DCF Model'!G45/(1+$B22)^('DCF Model'!C19+4)+('DCF Model'!G39+'DCF Model'!G42)*E$17/(1+$B22)^('DCF Model'!C19+4)-'DCF Model'!C16)*1000000/'DCF Model'!C15,0),"")</f>
        <v>1237</v>
      </c>
      <c r="F22" s="37">
        <f>IFERROR(ROUND(('DCF Model'!C45/(1+$B22)^('DCF Model'!C19+0)+'DCF Model'!D45/(1+$B22)^('DCF Model'!C19+1)+'DCF Model'!E45/(1+$B22)^('DCF Model'!C19+2)+'DCF Model'!F45/(1+$B22)^('DCF Model'!C19+3)+'DCF Model'!G45/(1+$B22)^('DCF Model'!C19+4)+('DCF Model'!G39+'DCF Model'!G42)*F$17/(1+$B22)^('DCF Model'!C19+4)-'DCF Model'!C16)*1000000/'DCF Model'!C15,0),"")</f>
        <v>1414</v>
      </c>
      <c r="G22" s="37">
        <f>IFERROR(ROUND(('DCF Model'!C45/(1+$B22)^('DCF Model'!C19+0)+'DCF Model'!D45/(1+$B22)^('DCF Model'!C19+1)+'DCF Model'!E45/(1+$B22)^('DCF Model'!C19+2)+'DCF Model'!F45/(1+$B22)^('DCF Model'!C19+3)+'DCF Model'!G45/(1+$B22)^('DCF Model'!C19+4)+('DCF Model'!G39+'DCF Model'!G42)*G$17/(1+$B22)^('DCF Model'!C19+4)-'DCF Model'!C16)*1000000/'DCF Model'!C15,0),"")</f>
        <v>1591</v>
      </c>
      <c r="H22" s="37">
        <f>IFERROR(ROUND(('DCF Model'!C45/(1+$B22)^('DCF Model'!C19+0)+'DCF Model'!D45/(1+$B22)^('DCF Model'!C19+1)+'DCF Model'!E45/(1+$B22)^('DCF Model'!C19+2)+'DCF Model'!F45/(1+$B22)^('DCF Model'!C19+3)+'DCF Model'!G45/(1+$B22)^('DCF Model'!C19+4)+('DCF Model'!G39+'DCF Model'!G42)*H$17/(1+$B22)^('DCF Model'!C19+4)-'DCF Model'!C16)*1000000/'DCF Model'!C15,0),"")</f>
        <v>1768</v>
      </c>
      <c r="I22" s="37">
        <f>IFERROR(ROUND(('DCF Model'!C45/(1+$B22)^('DCF Model'!C19+0)+'DCF Model'!D45/(1+$B22)^('DCF Model'!C19+1)+'DCF Model'!E45/(1+$B22)^('DCF Model'!C19+2)+'DCF Model'!F45/(1+$B22)^('DCF Model'!C19+3)+'DCF Model'!G45/(1+$B22)^('DCF Model'!C19+4)+('DCF Model'!G39+'DCF Model'!G42)*I$17/(1+$B22)^('DCF Model'!C19+4)-'DCF Model'!C16)*1000000/'DCF Model'!C15,0),"")</f>
        <v>1946</v>
      </c>
    </row>
    <row r="23" spans="2:9" ht="13.5" x14ac:dyDescent="0.25">
      <c r="B23" s="39">
        <f>$C$3+0.01</f>
        <v>5.8606162412117212E-2</v>
      </c>
      <c r="C23" s="37">
        <f>IFERROR(ROUND(('DCF Model'!C45/(1+$B23)^('DCF Model'!C19+0)+'DCF Model'!D45/(1+$B23)^('DCF Model'!C19+1)+'DCF Model'!E45/(1+$B23)^('DCF Model'!C19+2)+'DCF Model'!F45/(1+$B23)^('DCF Model'!C19+3)+'DCF Model'!G45/(1+$B23)^('DCF Model'!C19+4)+('DCF Model'!G39+'DCF Model'!G42)*C$17/(1+$B23)^('DCF Model'!C19+4)-'DCF Model'!C16)*1000000/'DCF Model'!C15,0),"")</f>
        <v>826</v>
      </c>
      <c r="D23" s="37">
        <f>IFERROR(ROUND(('DCF Model'!C45/(1+$B23)^('DCF Model'!C19+0)+'DCF Model'!D45/(1+$B23)^('DCF Model'!C19+1)+'DCF Model'!E45/(1+$B23)^('DCF Model'!C19+2)+'DCF Model'!F45/(1+$B23)^('DCF Model'!C19+3)+'DCF Model'!G45/(1+$B23)^('DCF Model'!C19+4)+('DCF Model'!G39+'DCF Model'!G42)*D$17/(1+$B23)^('DCF Model'!C19+4)-'DCF Model'!C16)*1000000/'DCF Model'!C15,0),"")</f>
        <v>999</v>
      </c>
      <c r="E23" s="37">
        <f>IFERROR(ROUND(('DCF Model'!C45/(1+$B23)^('DCF Model'!C19+0)+'DCF Model'!D45/(1+$B23)^('DCF Model'!C19+1)+'DCF Model'!E45/(1+$B23)^('DCF Model'!C19+2)+'DCF Model'!F45/(1+$B23)^('DCF Model'!C19+3)+'DCF Model'!G45/(1+$B23)^('DCF Model'!C19+4)+('DCF Model'!G39+'DCF Model'!G42)*E$17/(1+$B23)^('DCF Model'!C19+4)-'DCF Model'!C16)*1000000/'DCF Model'!C15,0),"")</f>
        <v>1171</v>
      </c>
      <c r="F23" s="37">
        <f>IFERROR(ROUND(('DCF Model'!C45/(1+$B23)^('DCF Model'!C19+0)+'DCF Model'!D45/(1+$B23)^('DCF Model'!C19+1)+'DCF Model'!E45/(1+$B23)^('DCF Model'!C19+2)+'DCF Model'!F45/(1+$B23)^('DCF Model'!C19+3)+'DCF Model'!G45/(1+$B23)^('DCF Model'!C19+4)+('DCF Model'!G39+'DCF Model'!G42)*F$17/(1+$B23)^('DCF Model'!C19+4)-'DCF Model'!C16)*1000000/'DCF Model'!C15,0),"")</f>
        <v>1344</v>
      </c>
      <c r="G23" s="37">
        <f>IFERROR(ROUND(('DCF Model'!C45/(1+$B23)^('DCF Model'!C19+0)+'DCF Model'!D45/(1+$B23)^('DCF Model'!C19+1)+'DCF Model'!E45/(1+$B23)^('DCF Model'!C19+2)+'DCF Model'!F45/(1+$B23)^('DCF Model'!C19+3)+'DCF Model'!G45/(1+$B23)^('DCF Model'!C19+4)+('DCF Model'!G39+'DCF Model'!G42)*G$17/(1+$B23)^('DCF Model'!C19+4)-'DCF Model'!C16)*1000000/'DCF Model'!C15,0),"")</f>
        <v>1517</v>
      </c>
      <c r="H23" s="37">
        <f>IFERROR(ROUND(('DCF Model'!C45/(1+$B23)^('DCF Model'!C19+0)+'DCF Model'!D45/(1+$B23)^('DCF Model'!C19+1)+'DCF Model'!E45/(1+$B23)^('DCF Model'!C19+2)+'DCF Model'!F45/(1+$B23)^('DCF Model'!C19+3)+'DCF Model'!G45/(1+$B23)^('DCF Model'!C19+4)+('DCF Model'!G39+'DCF Model'!G42)*H$17/(1+$B23)^('DCF Model'!C19+4)-'DCF Model'!C16)*1000000/'DCF Model'!C15,0),"")</f>
        <v>1690</v>
      </c>
      <c r="I23" s="37">
        <f>IFERROR(ROUND(('DCF Model'!C45/(1+$B23)^('DCF Model'!C19+0)+'DCF Model'!D45/(1+$B23)^('DCF Model'!C19+1)+'DCF Model'!E45/(1+$B23)^('DCF Model'!C19+2)+'DCF Model'!F45/(1+$B23)^('DCF Model'!C19+3)+'DCF Model'!G45/(1+$B23)^('DCF Model'!C19+4)+('DCF Model'!G39+'DCF Model'!G42)*I$17/(1+$B23)^('DCF Model'!C19+4)-'DCF Model'!C16)*1000000/'DCF Model'!C15,0),"")</f>
        <v>1863</v>
      </c>
    </row>
    <row r="24" spans="2:9" ht="13.5" x14ac:dyDescent="0.25">
      <c r="B24" s="39">
        <f>$C$3+0.015</f>
        <v>6.3606162412117209E-2</v>
      </c>
      <c r="C24" s="37">
        <f>IFERROR(ROUND(('DCF Model'!C45/(1+$B24)^('DCF Model'!C19+0)+'DCF Model'!D45/(1+$B24)^('DCF Model'!C19+1)+'DCF Model'!E45/(1+$B24)^('DCF Model'!C19+2)+'DCF Model'!F45/(1+$B24)^('DCF Model'!C19+3)+'DCF Model'!G45/(1+$B24)^('DCF Model'!C19+4)+('DCF Model'!G39+'DCF Model'!G42)*C$17/(1+$B24)^('DCF Model'!C19+4)-'DCF Model'!C16)*1000000/'DCF Model'!C15,0),"")</f>
        <v>770</v>
      </c>
      <c r="D24" s="37">
        <f>IFERROR(ROUND(('DCF Model'!C45/(1+$B24)^('DCF Model'!C19+0)+'DCF Model'!D45/(1+$B24)^('DCF Model'!C19+1)+'DCF Model'!E45/(1+$B24)^('DCF Model'!C19+2)+'DCF Model'!F45/(1+$B24)^('DCF Model'!C19+3)+'DCF Model'!G45/(1+$B24)^('DCF Model'!C19+4)+('DCF Model'!G39+'DCF Model'!G42)*D$17/(1+$B24)^('DCF Model'!C19+4)-'DCF Model'!C16)*1000000/'DCF Model'!C15,0),"")</f>
        <v>939</v>
      </c>
      <c r="E24" s="37">
        <f>IFERROR(ROUND(('DCF Model'!C45/(1+$B24)^('DCF Model'!C19+0)+'DCF Model'!D45/(1+$B24)^('DCF Model'!C19+1)+'DCF Model'!E45/(1+$B24)^('DCF Model'!C19+2)+'DCF Model'!F45/(1+$B24)^('DCF Model'!C19+3)+'DCF Model'!G45/(1+$B24)^('DCF Model'!C19+4)+('DCF Model'!G39+'DCF Model'!G42)*E$17/(1+$B24)^('DCF Model'!C19+4)-'DCF Model'!C16)*1000000/'DCF Model'!C15,0),"")</f>
        <v>1107</v>
      </c>
      <c r="F24" s="37">
        <f>IFERROR(ROUND(('DCF Model'!C45/(1+$B24)^('DCF Model'!C19+0)+'DCF Model'!D45/(1+$B24)^('DCF Model'!C19+1)+'DCF Model'!E45/(1+$B24)^('DCF Model'!C19+2)+'DCF Model'!F45/(1+$B24)^('DCF Model'!C19+3)+'DCF Model'!G45/(1+$B24)^('DCF Model'!C19+4)+('DCF Model'!G39+'DCF Model'!G42)*F$17/(1+$B24)^('DCF Model'!C19+4)-'DCF Model'!C16)*1000000/'DCF Model'!C15,0),"")</f>
        <v>1276</v>
      </c>
      <c r="G24" s="37">
        <f>IFERROR(ROUND(('DCF Model'!C45/(1+$B24)^('DCF Model'!C19+0)+'DCF Model'!D45/(1+$B24)^('DCF Model'!C19+1)+'DCF Model'!E45/(1+$B24)^('DCF Model'!C19+2)+'DCF Model'!F45/(1+$B24)^('DCF Model'!C19+3)+'DCF Model'!G45/(1+$B24)^('DCF Model'!C19+4)+('DCF Model'!G39+'DCF Model'!G42)*G$17/(1+$B24)^('DCF Model'!C19+4)-'DCF Model'!C16)*1000000/'DCF Model'!C15,0),"")</f>
        <v>1445</v>
      </c>
      <c r="H24" s="37">
        <f>IFERROR(ROUND(('DCF Model'!C45/(1+$B24)^('DCF Model'!C19+0)+'DCF Model'!D45/(1+$B24)^('DCF Model'!C19+1)+'DCF Model'!E45/(1+$B24)^('DCF Model'!C19+2)+'DCF Model'!F45/(1+$B24)^('DCF Model'!C19+3)+'DCF Model'!G45/(1+$B24)^('DCF Model'!C19+4)+('DCF Model'!G39+'DCF Model'!G42)*H$17/(1+$B24)^('DCF Model'!C19+4)-'DCF Model'!C16)*1000000/'DCF Model'!C15,0),"")</f>
        <v>1614</v>
      </c>
      <c r="I24" s="37">
        <f>IFERROR(ROUND(('DCF Model'!C45/(1+$B24)^('DCF Model'!C19+0)+'DCF Model'!D45/(1+$B24)^('DCF Model'!C19+1)+'DCF Model'!E45/(1+$B24)^('DCF Model'!C19+2)+'DCF Model'!F45/(1+$B24)^('DCF Model'!C19+3)+'DCF Model'!G45/(1+$B24)^('DCF Model'!C19+4)+('DCF Model'!G39+'DCF Model'!G42)*I$17/(1+$B24)^('DCF Model'!C19+4)-'DCF Model'!C16)*1000000/'DCF Model'!C15,0),"")</f>
        <v>1783</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2026-09-06T10:27:39Z</dcterms:created>
  <dcterms:modified xsi:type="dcterms:W3CDTF">2026-09-06T10:27:43Z</dcterms:modified>
</cp:coreProperties>
</file>