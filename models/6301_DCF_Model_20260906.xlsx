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DABE526C-60B9-4B73-9FEE-7C6AF5D31E26}" xr6:coauthVersionLast="47" xr6:coauthVersionMax="47" xr10:uidLastSave="{00000000-0000-0000-0000-000000000000}"/>
  <bookViews>
    <workbookView xWindow="-110" yWindow="-110" windowWidth="19420" windowHeight="103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 name="Equity Method Value" sheetId="9" r:id="rId9"/>
  </sheets>
  <calcPr calcId="181029"/>
</workbook>
</file>

<file path=xl/calcChain.xml><?xml version="1.0" encoding="utf-8"?>
<calcChain xmlns="http://schemas.openxmlformats.org/spreadsheetml/2006/main">
  <c r="C11" i="9" l="1"/>
  <c r="C8" i="9"/>
  <c r="C12" i="9" s="1"/>
  <c r="C22" i="1" s="1"/>
  <c r="F6" i="7"/>
  <c r="I3" i="7"/>
  <c r="D17" i="7" s="1"/>
  <c r="F3" i="7"/>
  <c r="C6" i="7" s="1"/>
  <c r="O8" i="6"/>
  <c r="N8" i="6"/>
  <c r="M8" i="6"/>
  <c r="L8" i="6"/>
  <c r="K8" i="6"/>
  <c r="J8" i="6"/>
  <c r="O7" i="6"/>
  <c r="N7" i="6"/>
  <c r="M7" i="6"/>
  <c r="L7" i="6"/>
  <c r="K7" i="6"/>
  <c r="J7" i="6"/>
  <c r="O6" i="6"/>
  <c r="N6" i="6"/>
  <c r="M6" i="6"/>
  <c r="L6" i="6"/>
  <c r="F17" i="6" s="1"/>
  <c r="K6" i="6"/>
  <c r="E16" i="6" s="1"/>
  <c r="J6" i="6"/>
  <c r="O5" i="6"/>
  <c r="N5" i="6"/>
  <c r="D5" i="6"/>
  <c r="E5" i="6" s="1"/>
  <c r="C5" i="5"/>
  <c r="C13" i="4"/>
  <c r="C12" i="4"/>
  <c r="C9" i="4"/>
  <c r="C7" i="4"/>
  <c r="C6" i="4"/>
  <c r="C8" i="4" s="1"/>
  <c r="C10" i="4" s="1"/>
  <c r="D27" i="3"/>
  <c r="G32" i="3" s="1"/>
  <c r="C25" i="3"/>
  <c r="C24" i="3"/>
  <c r="C23" i="3"/>
  <c r="C26" i="3" s="1"/>
  <c r="D28" i="2"/>
  <c r="C28" i="2"/>
  <c r="D16" i="2"/>
  <c r="D15" i="2"/>
  <c r="D14" i="2"/>
  <c r="C14" i="2"/>
  <c r="D13" i="2"/>
  <c r="C13" i="2"/>
  <c r="D8" i="2"/>
  <c r="D9" i="2" s="1"/>
  <c r="C8" i="2"/>
  <c r="C9" i="2" s="1"/>
  <c r="D18" i="1"/>
  <c r="F15" i="6" l="1"/>
  <c r="G17" i="6"/>
  <c r="G17" i="7"/>
  <c r="I15" i="6"/>
  <c r="H15" i="6"/>
  <c r="L5" i="6"/>
  <c r="D16" i="6"/>
  <c r="C74" i="4" s="1"/>
  <c r="K5" i="6"/>
  <c r="J5" i="6"/>
  <c r="H36" i="4"/>
  <c r="G36" i="4"/>
  <c r="C11" i="4"/>
  <c r="G46" i="3"/>
  <c r="E46" i="3"/>
  <c r="C3" i="7"/>
  <c r="F36" i="4"/>
  <c r="F46" i="3"/>
  <c r="D36" i="4"/>
  <c r="D46" i="3"/>
  <c r="E36" i="4"/>
  <c r="C46" i="3"/>
  <c r="C24" i="4"/>
  <c r="C25" i="4" s="1"/>
  <c r="C70" i="4"/>
  <c r="C71" i="4"/>
  <c r="E31" i="3"/>
  <c r="D15" i="6"/>
  <c r="F16" i="6"/>
  <c r="C28" i="6" s="1"/>
  <c r="C19" i="1" s="1"/>
  <c r="D19" i="1" s="1"/>
  <c r="H17" i="6"/>
  <c r="D6" i="7"/>
  <c r="E17" i="7"/>
  <c r="E30" i="3"/>
  <c r="C30" i="3"/>
  <c r="C33" i="3" s="1"/>
  <c r="F31" i="3"/>
  <c r="E15" i="6"/>
  <c r="G16" i="6"/>
  <c r="I17" i="6"/>
  <c r="E6" i="7"/>
  <c r="F17" i="7"/>
  <c r="E5" i="5"/>
  <c r="M5" i="6"/>
  <c r="G15" i="6"/>
  <c r="I16" i="6"/>
  <c r="G6" i="7"/>
  <c r="H17" i="7"/>
  <c r="H16" i="6"/>
  <c r="F30" i="3"/>
  <c r="D32" i="3"/>
  <c r="F5" i="5"/>
  <c r="D17" i="6"/>
  <c r="H6" i="7"/>
  <c r="I17" i="7"/>
  <c r="G30" i="3"/>
  <c r="E32" i="3"/>
  <c r="G5" i="5"/>
  <c r="E17" i="6"/>
  <c r="I6" i="7"/>
  <c r="G31" i="3"/>
  <c r="C31" i="3"/>
  <c r="F32" i="3"/>
  <c r="H5" i="5"/>
  <c r="C17" i="7"/>
  <c r="D30" i="3"/>
  <c r="D5" i="5"/>
  <c r="C32" i="3"/>
  <c r="D31" i="3"/>
  <c r="C27" i="6" l="1"/>
  <c r="C27" i="4"/>
  <c r="C26" i="4"/>
  <c r="C29" i="4"/>
  <c r="E41" i="4"/>
  <c r="E51" i="4" s="1"/>
  <c r="E56" i="4" s="1"/>
  <c r="E40" i="4"/>
  <c r="E45" i="4"/>
  <c r="E39" i="4"/>
  <c r="E43" i="4"/>
  <c r="E46" i="4"/>
  <c r="E44" i="4"/>
  <c r="E38" i="4"/>
  <c r="E48" i="4" s="1"/>
  <c r="E53" i="4" s="1"/>
  <c r="G39" i="4"/>
  <c r="G49" i="4" s="1"/>
  <c r="G54" i="4" s="1"/>
  <c r="G43" i="4"/>
  <c r="G46" i="4"/>
  <c r="G40" i="4"/>
  <c r="G38" i="4"/>
  <c r="G44" i="4"/>
  <c r="G41" i="4"/>
  <c r="G45" i="4"/>
  <c r="D9" i="5"/>
  <c r="D18" i="5" s="1"/>
  <c r="D19" i="5" s="1"/>
  <c r="C44" i="3" s="1"/>
  <c r="C35" i="3"/>
  <c r="C43" i="3"/>
  <c r="C42" i="3"/>
  <c r="C34" i="3"/>
  <c r="C37" i="3"/>
  <c r="D33" i="3"/>
  <c r="D38" i="4"/>
  <c r="D48" i="4" s="1"/>
  <c r="D53" i="4" s="1"/>
  <c r="D46" i="4"/>
  <c r="D41" i="4"/>
  <c r="D45" i="4"/>
  <c r="D39" i="4"/>
  <c r="D43" i="4"/>
  <c r="D40" i="4"/>
  <c r="D44" i="4"/>
  <c r="H43" i="4"/>
  <c r="H46" i="4"/>
  <c r="H40" i="4"/>
  <c r="H50" i="4" s="1"/>
  <c r="H55" i="4" s="1"/>
  <c r="H44" i="4"/>
  <c r="H41" i="4"/>
  <c r="H38" i="4"/>
  <c r="H45" i="4"/>
  <c r="H39" i="4"/>
  <c r="F45" i="4"/>
  <c r="F39" i="4"/>
  <c r="F44" i="4"/>
  <c r="F43" i="4"/>
  <c r="F46" i="4"/>
  <c r="F40" i="4"/>
  <c r="F38" i="4"/>
  <c r="F41" i="4"/>
  <c r="B13" i="7"/>
  <c r="B12" i="7"/>
  <c r="B11" i="7"/>
  <c r="B10" i="7"/>
  <c r="B9" i="7"/>
  <c r="B8" i="7"/>
  <c r="B7" i="7"/>
  <c r="B24" i="7"/>
  <c r="B23" i="7"/>
  <c r="B22" i="7"/>
  <c r="B21" i="7"/>
  <c r="B20" i="7"/>
  <c r="B19" i="7"/>
  <c r="B18" i="7"/>
  <c r="F49" i="4" l="1"/>
  <c r="H49" i="4"/>
  <c r="H54" i="4" s="1"/>
  <c r="G51" i="4"/>
  <c r="G56" i="4" s="1"/>
  <c r="F48" i="4"/>
  <c r="F53" i="4" s="1"/>
  <c r="D50" i="4"/>
  <c r="D55" i="4" s="1"/>
  <c r="F51" i="4"/>
  <c r="F56" i="4" s="1"/>
  <c r="D51" i="4"/>
  <c r="D56" i="4" s="1"/>
  <c r="C36" i="3"/>
  <c r="C39" i="3"/>
  <c r="C38" i="3"/>
  <c r="E50" i="4"/>
  <c r="E55" i="4" s="1"/>
  <c r="D42" i="3"/>
  <c r="D34" i="3"/>
  <c r="D35" i="3" s="1"/>
  <c r="D37" i="3"/>
  <c r="D43" i="3"/>
  <c r="E33" i="3"/>
  <c r="E9" i="5"/>
  <c r="E18" i="5" s="1"/>
  <c r="E19" i="5" s="1"/>
  <c r="D44" i="3" s="1"/>
  <c r="C60" i="4"/>
  <c r="F54" i="4"/>
  <c r="B78" i="4"/>
  <c r="F50" i="4"/>
  <c r="F55" i="4" s="1"/>
  <c r="H48" i="4"/>
  <c r="H53" i="4" s="1"/>
  <c r="G48" i="4"/>
  <c r="G53" i="4" s="1"/>
  <c r="H51" i="4"/>
  <c r="H56" i="4" s="1"/>
  <c r="D49" i="4"/>
  <c r="D54" i="4" s="1"/>
  <c r="G50" i="4"/>
  <c r="G55" i="4" s="1"/>
  <c r="E49" i="4"/>
  <c r="E54" i="4" s="1"/>
  <c r="D39" i="3" l="1"/>
  <c r="D38" i="3"/>
  <c r="D36" i="3"/>
  <c r="C66" i="4"/>
  <c r="D66" i="4" s="1"/>
  <c r="C65" i="4"/>
  <c r="D65" i="4" s="1"/>
  <c r="C64" i="4"/>
  <c r="D64" i="4" s="1"/>
  <c r="C67" i="4"/>
  <c r="D67" i="4" s="1"/>
  <c r="C63" i="4"/>
  <c r="D63" i="4" s="1"/>
  <c r="E42" i="3"/>
  <c r="E34" i="3"/>
  <c r="E37" i="3"/>
  <c r="F33" i="3"/>
  <c r="E43" i="3"/>
  <c r="E35" i="3"/>
  <c r="F9" i="5"/>
  <c r="F18" i="5" s="1"/>
  <c r="F19" i="5" s="1"/>
  <c r="E44" i="3" s="1"/>
  <c r="C40" i="3"/>
  <c r="C41" i="3" s="1"/>
  <c r="C45" i="3" s="1"/>
  <c r="E38" i="3" l="1"/>
  <c r="E36" i="3"/>
  <c r="E39" i="3"/>
  <c r="F37" i="3"/>
  <c r="F43" i="3"/>
  <c r="F35" i="3"/>
  <c r="G33" i="3"/>
  <c r="G9" i="5"/>
  <c r="G18" i="5" s="1"/>
  <c r="G19" i="5" s="1"/>
  <c r="F44" i="3" s="1"/>
  <c r="F42" i="3"/>
  <c r="F34" i="3"/>
  <c r="C47" i="3"/>
  <c r="D40" i="3"/>
  <c r="D41" i="3" s="1"/>
  <c r="D45" i="3" s="1"/>
  <c r="D47" i="3" l="1"/>
  <c r="G43" i="3"/>
  <c r="H9" i="5"/>
  <c r="H18" i="5" s="1"/>
  <c r="H19" i="5" s="1"/>
  <c r="G44" i="3" s="1"/>
  <c r="G42" i="3"/>
  <c r="G34" i="3"/>
  <c r="G35" i="3" s="1"/>
  <c r="C16" i="4"/>
  <c r="C28" i="4" s="1"/>
  <c r="G37" i="3"/>
  <c r="F36" i="3"/>
  <c r="F38" i="3"/>
  <c r="F39" i="3"/>
  <c r="E40" i="3"/>
  <c r="E41" i="3"/>
  <c r="E45" i="3" s="1"/>
  <c r="E47" i="3" s="1"/>
  <c r="G39" i="3" l="1"/>
  <c r="G38" i="3"/>
  <c r="G36" i="3"/>
  <c r="C72" i="4"/>
  <c r="C73" i="4"/>
  <c r="F40" i="3"/>
  <c r="F41" i="3" s="1"/>
  <c r="F45" i="3" s="1"/>
  <c r="F47" i="3" l="1"/>
  <c r="G40" i="3"/>
  <c r="G41" i="3" s="1"/>
  <c r="G45" i="3" s="1"/>
  <c r="C59" i="3"/>
  <c r="C60" i="3" s="1"/>
  <c r="C61" i="3" s="1"/>
  <c r="G47" i="3" l="1"/>
  <c r="C51" i="3"/>
  <c r="C52" i="3" s="1"/>
  <c r="E22" i="7"/>
  <c r="E9" i="7"/>
  <c r="C21" i="7"/>
  <c r="G12" i="7"/>
  <c r="H10" i="7"/>
  <c r="G7" i="7"/>
  <c r="F19" i="7"/>
  <c r="E19" i="7"/>
  <c r="H20" i="7"/>
  <c r="H21" i="7"/>
  <c r="E20" i="7"/>
  <c r="E18" i="7"/>
  <c r="I10" i="7"/>
  <c r="H24" i="7"/>
  <c r="C8" i="7"/>
  <c r="E23" i="7"/>
  <c r="G21" i="7"/>
  <c r="E12" i="7"/>
  <c r="E8" i="7"/>
  <c r="G13" i="7"/>
  <c r="E24" i="7"/>
  <c r="C23" i="7"/>
  <c r="H19" i="7"/>
  <c r="F13" i="7"/>
  <c r="C12" i="7"/>
  <c r="E21" i="7"/>
  <c r="I11" i="7"/>
  <c r="F18" i="7"/>
  <c r="E10" i="7"/>
  <c r="D21" i="7"/>
  <c r="D10" i="7"/>
  <c r="F12" i="7"/>
  <c r="I9" i="7"/>
  <c r="H7" i="7"/>
  <c r="H23" i="7"/>
  <c r="F23" i="7"/>
  <c r="I21" i="7"/>
  <c r="D24" i="7"/>
  <c r="C22" i="7"/>
  <c r="I19" i="7"/>
  <c r="D23" i="7"/>
  <c r="G8" i="7"/>
  <c r="I8" i="7"/>
  <c r="D13" i="7"/>
  <c r="C9" i="7"/>
  <c r="D11" i="7"/>
  <c r="H8" i="7"/>
  <c r="F11" i="7"/>
  <c r="D8" i="7"/>
  <c r="F8" i="7"/>
  <c r="G18" i="7"/>
  <c r="D9" i="7"/>
  <c r="D18" i="7"/>
  <c r="G22" i="7"/>
  <c r="D22" i="7"/>
  <c r="D19" i="7"/>
  <c r="C19" i="7"/>
  <c r="H12" i="7"/>
  <c r="E7" i="7"/>
  <c r="I18" i="7"/>
  <c r="G20" i="7"/>
  <c r="G23" i="7"/>
  <c r="H18" i="7"/>
  <c r="C24" i="7"/>
  <c r="F22" i="7"/>
  <c r="G11" i="7"/>
  <c r="I13" i="7"/>
  <c r="I12" i="7"/>
  <c r="H13" i="7"/>
  <c r="E11" i="7"/>
  <c r="C18" i="7"/>
  <c r="D12" i="7"/>
  <c r="G9" i="7"/>
  <c r="G10" i="7"/>
  <c r="H11" i="7"/>
  <c r="I20" i="7"/>
  <c r="H22" i="7"/>
  <c r="C13" i="7"/>
  <c r="C10" i="7"/>
  <c r="F10" i="7"/>
  <c r="I24" i="7"/>
  <c r="I23" i="7"/>
  <c r="F20" i="7"/>
  <c r="I7" i="7"/>
  <c r="F24" i="7"/>
  <c r="D20" i="7"/>
  <c r="C20" i="7"/>
  <c r="E13" i="7"/>
  <c r="H9" i="7"/>
  <c r="C7" i="7"/>
  <c r="F9" i="7"/>
  <c r="G24" i="7"/>
  <c r="I22" i="7"/>
  <c r="D7" i="7"/>
  <c r="F7" i="7"/>
  <c r="C11" i="7"/>
  <c r="G19" i="7"/>
  <c r="F21" i="7"/>
  <c r="C50" i="3"/>
  <c r="C53" i="3" l="1"/>
  <c r="C58" i="3"/>
  <c r="C62" i="3" s="1"/>
  <c r="C63" i="3" l="1"/>
  <c r="C64" i="3" s="1"/>
  <c r="C17" i="1"/>
  <c r="D17" i="1" s="1"/>
  <c r="C54" i="3"/>
  <c r="C55" i="3" s="1"/>
  <c r="C16" i="1"/>
  <c r="C17" i="4"/>
  <c r="C19" i="4" l="1"/>
  <c r="C20" i="4" s="1"/>
  <c r="B79" i="4"/>
  <c r="C21" i="1"/>
  <c r="D16" i="1"/>
  <c r="C10" i="1"/>
  <c r="C12" i="1" s="1"/>
  <c r="C11" i="1" s="1"/>
</calcChain>
</file>

<file path=xl/sharedStrings.xml><?xml version="1.0" encoding="utf-8"?>
<sst xmlns="http://schemas.openxmlformats.org/spreadsheetml/2006/main" count="486" uniqueCount="353">
  <si>
    <t>DISCLAIMER: This is a sample analysis for demonstration purposes only. It does not constitute investment advice.</t>
  </si>
  <si>
    <t>コマツ（事業のみ） (6301.T)</t>
  </si>
  <si>
    <t>Equity Research Report</t>
  </si>
  <si>
    <t>Company</t>
  </si>
  <si>
    <t>コマツ（事業のみ）</t>
  </si>
  <si>
    <t>Ticker</t>
  </si>
  <si>
    <t>6301.T (TSE Prime)</t>
  </si>
  <si>
    <t>Sector</t>
  </si>
  <si>
    <t>機械</t>
  </si>
  <si>
    <t>Current Price</t>
  </si>
  <si>
    <t>Target Price (コアDCF[フロア適用] + 金融事業価値（リテールファイナンス）)</t>
  </si>
  <si>
    <t>Recommendation</t>
  </si>
  <si>
    <t>Upside / Downside</t>
  </si>
  <si>
    <t>Valuation Summary</t>
  </si>
  <si>
    <t>Methodology</t>
  </si>
  <si>
    <t>Implied Value (JPY)</t>
  </si>
  <si>
    <t>vs Current Price</t>
  </si>
  <si>
    <t>DCF - Perpetuity Growth</t>
  </si>
  <si>
    <t>DCF - Exit Multiple</t>
  </si>
  <si>
    <t>Comps - EV/EBITDA Median [参考・Target不算入]（型F: EV倍率は持分法混在で歪むため不使用）</t>
  </si>
  <si>
    <t>N/A</t>
  </si>
  <si>
    <t>Comps - PER Median [参考・Target不算入]</t>
  </si>
  <si>
    <t>Note: Target Mid は DCF 2法（PGM / Exit）の平均のみ。Comps 2法は [参考] で Target 不算入（EV&lt;ネットデットで株式価値が負になる手法は INVALID として平均から除外） ■【型F: 持分法主導】コア営業利益 = 売上総利益 − 販売費及び一般管理費 で定義し、持分法投資損益・受取配当金・金融損益・投資損益をコアから除外している。除外した持分法投資の価値は上の別途加算行で加算する（二重計上なし）。持分法投資価値の算定方式は 'book_value'、詳細は Equity Method Value シート。Comps は EV 倍率が持分法混在で歪むため PER/PBR を参照とする。</t>
  </si>
  <si>
    <t>DCF Valuation Range (PGM - Exit)</t>
  </si>
  <si>
    <t>金融事業価値（リテールファイナンス） [1株・別途加算]</t>
  </si>
  <si>
    <t>Key Investment Thesis</t>
  </si>
  <si>
    <t>1. [Edit] Describe key competitive advantage</t>
  </si>
  <si>
    <t>2. [Edit] Describe growth driver</t>
  </si>
  <si>
    <t>3. [Edit] Describe margin expansion opportunity</t>
  </si>
  <si>
    <t>Key Risks</t>
  </si>
  <si>
    <t>1. [Edit] Describe primary risk factor</t>
  </si>
  <si>
    <t>2. [Edit] Describe secondary risk factor</t>
  </si>
  <si>
    <t>3. [Edit] Describe tertiary risk factor</t>
  </si>
  <si>
    <t>コマツ（事業のみ） - Historical Financials (JPY mn)</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</si>
  <si>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</si>
  <si>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</si>
  <si>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</si>
  <si>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</si>
  <si>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</si>
  <si>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</si>
  <si>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</si>
  <si>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</si>
  <si>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</si>
  <si>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</si>
  <si>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</si>
  <si>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</si>
  <si>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</si>
  <si>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</si>
  <si>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</si>
  <si>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</si>
  <si>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</si>
  <si>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</si>
  <si>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</si>
  <si>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</si>
  <si>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</si>
  <si>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</si>
  <si>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</si>
  <si>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</si>
  <si>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</si>
  <si>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0/2, Cash 2/2, Debt 2/2 — blank cells are years with no year-key match in the source data (verify against 決算短信 or set hist_ocf / hist_cash / hist_debt in overrides).</t>
  </si>
  <si>
    <t>DCF Valuation Model - コマツ（事業のみ）</t>
  </si>
  <si>
    <t>Assumptions</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</si>
  <si>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</si>
  <si>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</si>
  <si>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</si>
  <si>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</si>
  <si>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</si>
  <si>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</si>
  <si>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</si>
  <si>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</si>
  <si>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</si>
  <si>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</si>
  <si>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</si>
  <si>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</si>
  <si>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</si>
  <si>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</si>
  <si>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</si>
  <si>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</si>
  <si>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</si>
  <si>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</si>
  <si>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</si>
  <si>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</si>
  <si>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</si>
  <si>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</si>
  <si>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</si>
  <si>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</si>
  <si>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</si>
  <si>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</si>
  <si>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</si>
  <si>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</si>
  <si>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</si>
  <si>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</si>
  <si>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</si>
  <si>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</si>
  <si>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</si>
  <si>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</si>
  <si>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</si>
  <si>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</si>
  <si>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</si>
  <si>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</si>
  <si>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</si>
  <si>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</si>
  <si>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</si>
  <si>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</si>
  <si>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</si>
  <si>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</si>
  <si>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</si>
  <si>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</si>
  <si>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</si>
  <si>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</si>
  <si>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</si>
  <si>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</si>
  <si>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</si>
  <si>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</si>
  <si>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</si>
  <si>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</si>
  <si>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</si>
  <si>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</si>
  <si>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</si>
  <si>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</si>
  <si>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</si>
  <si>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</si>
  <si>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</si>
  <si>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</si>
  <si>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コマツ（事業のみ） (6301.T)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</si>
  <si>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</si>
  <si>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</si>
  <si>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</si>
  <si>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</si>
  <si>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</si>
  <si>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</si>
  <si>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</si>
  <si>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</si>
  <si>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</si>
  <si>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(FY2025 actual)</t>
  </si>
  <si>
    <t>Terminal-year Revenue, active scenario (JPY mn)</t>
  </si>
  <si>
    <t>Base-case DCF Enterprise Value, PGM (JPY mn)</t>
  </si>
  <si>
    <t>Cycle-peak Operating Margin (FY2025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</si>
  <si>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</si>
  <si>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</si>
  <si>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</si>
  <si>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</si>
  <si>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</si>
  <si>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</si>
  <si>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FY2025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</si>
  <si>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</si>
  <si>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</si>
  <si>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</si>
  <si>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</si>
  <si>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</si>
  <si>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</si>
  <si>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</si>
  <si>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</si>
  <si>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</si>
  <si>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</si>
  <si>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</si>
  <si>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</si>
  <si>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</si>
  <si>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</si>
  <si>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</si>
  <si>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FY2025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</si>
  <si>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</si>
  <si>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</si>
  <si>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</si>
  <si>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</si>
  <si>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</si>
  <si>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</si>
  <si>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(FY2025)</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</si>
  <si>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</si>
  <si>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</si>
  <si>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</si>
  <si>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</si>
  <si>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</si>
  <si>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</si>
  <si>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</si>
  <si>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</si>
  <si>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コマツ（事業のみ）</t>
  </si>
  <si>
    <t>Working Capital Drivers (% of Revenue)</t>
  </si>
  <si>
    <t>Base Year</t>
  </si>
  <si>
    <t>NWC % of Revenue</t>
  </si>
  <si>
    <t>—</t>
  </si>
  <si>
    <t>P&amp;L Reference (JPY mn)</t>
  </si>
  <si>
    <t>Working Capital Items (JPY mn)</t>
  </si>
  <si>
    <t>Net Working Capital (JPY mn)</t>
  </si>
  <si>
    <t>Net Working Capital</t>
  </si>
  <si>
    <t>Scenario Input Matrix (NWC % of Revenue)</t>
  </si>
  <si>
    <t>Comparable Company Analysis</t>
  </si>
  <si>
    <t>Peer prices as of 2026-09-07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</si>
  <si>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</si>
  <si>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</si>
  <si>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</si>
  <si>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</si>
  <si>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</si>
  <si>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</si>
  <si>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</si>
  <si>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</si>
  <si>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</si>
  <si>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</si>
  <si>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</si>
  <si>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</si>
  <si>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</si>
  <si>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</si>
  <si>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Komatsu (industrial only)</t>
  </si>
  <si>
    <t>6301.T</t>
  </si>
  <si>
    <t>HITACHI CONSTRUCTION MACHINERY</t>
  </si>
  <si>
    <t>6305.T</t>
  </si>
  <si>
    <t>SMC CORP</t>
  </si>
  <si>
    <t>6273.T</t>
  </si>
  <si>
    <t>DAIKIN INDUSTRIES</t>
  </si>
  <si>
    <t>6367.T</t>
  </si>
  <si>
    <t>Statistics</t>
  </si>
  <si>
    <t>25th Percentile</t>
  </si>
  <si>
    <t>Median (50th)</t>
  </si>
  <si>
    <t>75th Percentile</t>
  </si>
  <si>
    <t>Implied Valuation for コマツ（事業のみ）</t>
  </si>
  <si>
    <t>コマツ（事業のみ）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</si>
  <si>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</si>
  <si>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</si>
  <si>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</si>
  <si>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</si>
  <si>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</si>
  <si>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</si>
  <si>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</si>
  <si>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</si>
  <si>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</si>
  <si>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</si>
  <si>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</si>
  <si>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</si>
  <si>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</si>
  <si>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</si>
  <si>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</si>
  <si>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コマツ（事業のみ）</t>
  </si>
  <si>
    <t>日付</t>
  </si>
  <si>
    <t>セル</t>
  </si>
  <si>
    <t>変更内容</t>
  </si>
  <si>
    <t>理由</t>
  </si>
  <si>
    <t>元の値</t>
  </si>
  <si>
    <t>状態</t>
  </si>
  <si>
    <t>2026-09-07</t>
  </si>
  <si>
    <t>-</t>
  </si>
  <si>
    <t>Generated by pipeline on 2026-09-07 13:19, template rev 1e927a2</t>
  </si>
  <si>
    <t>初期生成（手修正なし）</t>
  </si>
  <si>
    <t>generated</t>
  </si>
  <si>
    <t>DCF Model!C8</t>
  </si>
  <si>
    <t>Beta = 1.139（採用値）</t>
  </si>
  <si>
    <t>実測β(raw) = 1.207 → Blume調整 0.67×raw + 0.33×1.00 = 1.139 → 採用 1.139。クランプ域 [0.3, 2.0] の内側。置換なし。回帰βは平均回帰するため Blume 調整を既定とする（2026-09-05 バッチで85件中57件が旧下限 0.60 に張り付き、両裾の歪みが実証された）。</t>
  </si>
  <si>
    <t>実測 1.207</t>
  </si>
  <si>
    <t>確定</t>
  </si>
  <si>
    <t>Pipeline Metadata (do not edit — read by scripts/validate_output.py)</t>
  </si>
  <si>
    <t>key</t>
  </si>
  <si>
    <t>value</t>
  </si>
  <si>
    <t>annual_doc_ids</t>
  </si>
  <si>
    <t>2026-03-31=S100YD25 (有価証券報告書, 2026-06-18 提出)</t>
  </si>
  <si>
    <t>auto_log_entries</t>
  </si>
  <si>
    <t>1</t>
  </si>
  <si>
    <t>beta_adopted_c8</t>
  </si>
  <si>
    <t>1.1385</t>
  </si>
  <si>
    <t>beta_basis</t>
  </si>
  <si>
    <t>Blume: 0.67 x 1.207 + 0.33 x 1.00 = 1.139</t>
  </si>
  <si>
    <t>beta_blume_adjusted</t>
  </si>
  <si>
    <t>beta_clamped</t>
  </si>
  <si>
    <t>no</t>
  </si>
  <si>
    <t>beta_raw</t>
  </si>
  <si>
    <t>1.2067</t>
  </si>
  <si>
    <t>capex_pct_basis</t>
  </si>
  <si>
    <t>explicit_override</t>
  </si>
  <si>
    <t>capex_pct_c5</t>
  </si>
  <si>
    <t>0.03022</t>
  </si>
  <si>
    <t>capex_pct_hist3yr</t>
  </si>
  <si>
    <t>company_name</t>
  </si>
  <si>
    <t>comps_asof</t>
  </si>
  <si>
    <t>comps_da_missing</t>
  </si>
  <si>
    <t>none</t>
  </si>
  <si>
    <t>comps_ebitda_excluded</t>
  </si>
  <si>
    <t>comps_ev_ebitda_invalid</t>
  </si>
  <si>
    <t>comps_ev_ebitda_rows</t>
  </si>
  <si>
    <t>6,7,8</t>
  </si>
  <si>
    <t>comps_impl_mult_row</t>
  </si>
  <si>
    <t>27</t>
  </si>
  <si>
    <t>comps_impl_per_row</t>
  </si>
  <si>
    <t>28</t>
  </si>
  <si>
    <t>comps_peer_rows</t>
  </si>
  <si>
    <t>comps_per_excluded</t>
  </si>
  <si>
    <t>comps_stale_excluded</t>
  </si>
  <si>
    <t>comps_stat_median_row</t>
  </si>
  <si>
    <t>16</t>
  </si>
  <si>
    <t>comps_subject_row</t>
  </si>
  <si>
    <t>5</t>
  </si>
  <si>
    <t>core_ebitda</t>
  </si>
  <si>
    <t>651808</t>
  </si>
  <si>
    <t>core_net_income</t>
  </si>
  <si>
    <t>186459.0</t>
  </si>
  <si>
    <t>cost_of_debt_at_c11</t>
  </si>
  <si>
    <t>0.01</t>
  </si>
  <si>
    <t>cost_of_debt_basis</t>
  </si>
  <si>
    <t>assumption</t>
  </si>
  <si>
    <t>da_pct_basis</t>
  </si>
  <si>
    <t>da_pct_c18</t>
  </si>
  <si>
    <t>da_pct_hist3yr</t>
  </si>
  <si>
    <t>0.00287</t>
  </si>
  <si>
    <t>disclosure_basis_date</t>
  </si>
  <si>
    <t>2026-03-31</t>
  </si>
  <si>
    <t>fs_year_coverage</t>
  </si>
  <si>
    <t>OCF 0/2, Cash 2/2, Debt 2/2</t>
  </si>
  <si>
    <t>fs_year_map</t>
  </si>
  <si>
    <t>FY2025&lt;-FY2025[cash+debt]; FY2026&lt;-FY2026[cash+debt]</t>
  </si>
  <si>
    <t>fs_year_sources</t>
  </si>
  <si>
    <t>overrides: none | EDINET year-key match: hist_ocf, hist_cash, hist_debt, hist_capex, hist_depreciation</t>
  </si>
  <si>
    <t>fx_sensitivity</t>
  </si>
  <si>
    <t>not enabled</t>
  </si>
  <si>
    <t>generated_at</t>
  </si>
  <si>
    <t>2026-09-07 13:19:31</t>
  </si>
  <si>
    <t>guidance_note</t>
  </si>
  <si>
    <t>screener DB: no guidance row for code=6301 in the TDnet archive | EDINET XBRL: 5 cached EDINET XBRL file(s) for this ticker carry no ForecastMember context | EDINET tanshin: skipped (--tanshin-fallback not given; EDINET does not host 決算短信)</t>
  </si>
  <si>
    <t>guidance_source</t>
  </si>
  <si>
    <t>latest_operating_income</t>
  </si>
  <si>
    <t>530735.0</t>
  </si>
  <si>
    <t>ltm_revenue_c20</t>
  </si>
  <si>
    <t>1116059.0</t>
  </si>
  <si>
    <t>ltm_revenue_source</t>
  </si>
  <si>
    <t>latest FY (no LTM)</t>
  </si>
  <si>
    <t>market_data_source</t>
  </si>
  <si>
    <t>yfinance; from overrides: beta, current_price, shares_outstanding</t>
  </si>
  <si>
    <t>narrative_tokens_used</t>
  </si>
  <si>
    <t>net_debt_source</t>
  </si>
  <si>
    <t>EDINET net_debt</t>
  </si>
  <si>
    <t>reverse_dcf_sheet</t>
  </si>
  <si>
    <t>op0=530,735(FY2026) peak=627,703(FY2025) peak_opm=0.1566 N=3/5/7/10</t>
  </si>
  <si>
    <t>scenario_index_range</t>
  </si>
  <si>
    <t>B69:B73</t>
  </si>
  <si>
    <t>tax_rate_c6</t>
  </si>
  <si>
    <t>0.25</t>
  </si>
  <si>
    <t>template_rev</t>
  </si>
  <si>
    <t>1e927a2</t>
  </si>
  <si>
    <t>ticker</t>
  </si>
  <si>
    <t>equity_method_method</t>
  </si>
  <si>
    <t>book_value</t>
  </si>
  <si>
    <t>equity_method_balance_mn</t>
  </si>
  <si>
    <t>equity_method_multiple</t>
  </si>
  <si>
    <t>equity_method_fair_value_based</t>
  </si>
  <si>
    <t>equity_method_basis</t>
  </si>
  <si>
    <t>簿価（BS残高×1.0）。上場先の簿価が注記から取れないため上場分の時価評価は行わない</t>
  </si>
  <si>
    <t>Equity Method Value（型F: 1株あたり別途加算）</t>
  </si>
  <si>
    <t>連結利益の相当部分が持分法投資損益であり、対応するキャッシュは受取配当のみである。コア DCF は売上総利益 − 販管費で測ったコア営業利益に基づくため持分法損益を含まず、その分の価値をこのシートで別途加算する。二重計上を避けるため、コア側には持分法損益も受取配当も入っていない。</t>
  </si>
  <si>
    <t>持分法投資価値の算定</t>
  </si>
  <si>
    <t>持分法で会計処理されている投資（連結BS 残高、JPY mn）</t>
  </si>
  <si>
    <t>評価倍率（簿価に対する倍率）</t>
  </si>
  <si>
    <t>持分法投資価値（JPY mn）</t>
  </si>
  <si>
    <t>方式: 簿価（BS残高 × 1.0）。上場持分先の【簿価】が注記から取れないため、上場分の時価評価は行わない。上場分を簿価と時価で二度足す危険を避ける代わりに、含み益のある上場持分の分だけ保守的（過小）に出る。</t>
  </si>
  <si>
    <t>希薄化後株式数</t>
  </si>
  <si>
    <t>1株あたり持分法投資価値（JPY）</t>
  </si>
  <si>
    <t>金融セグメント資産 1,617,867 − 按分した金融部門純有利子負債 227,000 = 1,390,867。按分仮定であり過大側に出る（_debt_allocation_WARN 参照）。</t>
  </si>
  <si>
    <t>基準日: 2026-03-31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</si>
</sst>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13"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
      <i/>
      <sz val="9"/>
      <color rgb="FF808080"/>
      <name val="Arial"/>
    </font>
    <font>
      <sz val="10"/>
      <color rgb="FF000000"/>
      <name val="Arial"/>
    </font>
    <font>
      <sz val="10"/>
      <color rgb="FF0000FF"/>
      <name val="Arial"/>
    </font>
    <font>
      <sz val="10"/>
      <color rgb="FF008000"/>
      <name val="Arial"/>
    </font>
  </fonts>
  <fills count="8">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
      <patternFill patternType="solid">
        <fgColor rgb="FFE2EFDA"/>
        <bgColor rgb="FFE2EFDA"/>
      </patternFill>
    </fill>
    <fill>
      <patternFill patternType="solid">
        <fgColor rgb="FFFFF2CC"/>
        <bgColor rgb="FFFFF2CC"/>
      </patternFill>
    </fill>
  </fills>
  <borders count="10">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double">
        <color auto="1"/>
      </bottom>
      <diagonal/>
    </border>
  </borders>
  <cellStyleXfs count="1">
    <xf numFmtId="0" fontId="0" fillId="0" borderId="0"/>
  </cellStyleXfs>
  <cellXfs count="56">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177" fontId="5" fillId="0" borderId="5" xfId="0" applyNumberFormat="1" applyFont="1" applyBorder="1"/>
    <xf numFmtId="0" fontId="1" fillId="0" borderId="5" xfId="0"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176" fontId="4" fillId="0" borderId="0" xfId="0" applyNumberFormat="1" applyFont="1"/>
    <xf numFmtId="0" fontId="9" fillId="0" borderId="0" xfId="0" applyFont="1"/>
    <xf numFmtId="0" fontId="10" fillId="0" borderId="7" xfId="0" applyFont="1" applyBorder="1"/>
    <xf numFmtId="176" fontId="11" fillId="0" borderId="8" xfId="0" applyNumberFormat="1" applyFont="1" applyBorder="1"/>
    <xf numFmtId="179" fontId="11" fillId="0" borderId="8" xfId="0" applyNumberFormat="1" applyFont="1" applyBorder="1"/>
    <xf numFmtId="0" fontId="4" fillId="6" borderId="9" xfId="0" applyFont="1" applyFill="1" applyBorder="1"/>
    <xf numFmtId="176" fontId="4" fillId="6" borderId="9" xfId="0" applyNumberFormat="1" applyFont="1" applyFill="1" applyBorder="1"/>
    <xf numFmtId="0" fontId="9" fillId="7" borderId="0" xfId="0" applyFont="1" applyFill="1"/>
    <xf numFmtId="3" fontId="12" fillId="0" borderId="7" xfId="0" applyNumberFormat="1" applyFont="1" applyBorder="1"/>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customHeight="1" x14ac:dyDescent="0.3">
      <c r="B1" s="55" t="s">
        <v>0</v>
      </c>
      <c r="C1" s="54"/>
      <c r="D1" s="54"/>
      <c r="E1" s="54"/>
    </row>
    <row r="3" spans="2:5" ht="18" customHeight="1" x14ac:dyDescent="0.4">
      <c r="B3" s="53" t="s">
        <v>1</v>
      </c>
      <c r="C3" s="54"/>
      <c r="D3" s="54"/>
    </row>
    <row r="4" spans="2:5" ht="14" customHeight="1" x14ac:dyDescent="0.3">
      <c r="B4" s="3" t="s">
        <v>2</v>
      </c>
    </row>
    <row r="6" spans="2:5" ht="14" customHeight="1" x14ac:dyDescent="0.3">
      <c r="B6" s="4" t="s">
        <v>3</v>
      </c>
      <c r="C6" t="s">
        <v>4</v>
      </c>
    </row>
    <row r="7" spans="2:5" ht="14" customHeight="1" x14ac:dyDescent="0.3">
      <c r="B7" s="4" t="s">
        <v>5</v>
      </c>
      <c r="C7" t="s">
        <v>6</v>
      </c>
    </row>
    <row r="8" spans="2:5" ht="14" customHeight="1" x14ac:dyDescent="0.3">
      <c r="B8" s="4" t="s">
        <v>7</v>
      </c>
      <c r="C8" t="s">
        <v>8</v>
      </c>
    </row>
    <row r="9" spans="2:5" ht="14" customHeight="1" x14ac:dyDescent="0.3">
      <c r="B9" s="4" t="s">
        <v>9</v>
      </c>
      <c r="C9" s="5">
        <v>7493</v>
      </c>
    </row>
    <row r="10" spans="2:5" ht="14" customHeight="1" x14ac:dyDescent="0.3">
      <c r="B10" s="4" t="s">
        <v>10</v>
      </c>
      <c r="C10" s="5">
        <f>MAX(0,IFERROR((IF(COUNT(C16:C17)=0,"N/A",ROUND(AVERAGE(C16:C17),0)))*1,0))+C22</f>
        <v>3578</v>
      </c>
    </row>
    <row r="11" spans="2:5" ht="14" customHeight="1" x14ac:dyDescent="0.3">
      <c r="B11" s="4" t="s">
        <v>11</v>
      </c>
      <c r="C11" s="6" t="str">
        <f>IF(NOT(ISNUMBER(C12)),"N/A",IF(C12&gt;0.15,"BUY",IF(C12&gt;0.05,"HOLD","SELL")))</f>
        <v>SELL</v>
      </c>
    </row>
    <row r="12" spans="2:5" ht="14" customHeight="1" x14ac:dyDescent="0.3">
      <c r="B12" s="4" t="s">
        <v>12</v>
      </c>
      <c r="C12" s="7">
        <f>IF(ISNUMBER(C10),(C10-C9)/C9,"N/A")</f>
        <v>-0.52248765514480178</v>
      </c>
    </row>
    <row r="14" spans="2:5" ht="14" customHeight="1" x14ac:dyDescent="0.3">
      <c r="B14" s="8" t="s">
        <v>13</v>
      </c>
      <c r="C14" s="9"/>
      <c r="D14" s="9"/>
    </row>
    <row r="15" spans="2:5" ht="14" customHeight="1" x14ac:dyDescent="0.3">
      <c r="B15" s="10" t="s">
        <v>14</v>
      </c>
      <c r="C15" s="10" t="s">
        <v>15</v>
      </c>
      <c r="D15" s="10" t="s">
        <v>16</v>
      </c>
    </row>
    <row r="16" spans="2:5" ht="13.5" customHeight="1" x14ac:dyDescent="0.25">
      <c r="B16" t="s">
        <v>17</v>
      </c>
      <c r="C16" s="11">
        <f>IF('DCF Model'!C53&lt;'DCF Model'!C16,"INVALID (EV &lt; net debt)",'DCF Model'!C55)</f>
        <v>1592</v>
      </c>
      <c r="D16" s="7">
        <f>IF(ISNUMBER(C16),(C16-C9)/C9,"N/A")</f>
        <v>-0.78753503269718406</v>
      </c>
    </row>
    <row r="17" spans="2:5" ht="13.5" customHeight="1" x14ac:dyDescent="0.25">
      <c r="B17" t="s">
        <v>18</v>
      </c>
      <c r="C17" s="11">
        <f>IF('DCF Model'!C62&lt;'DCF Model'!C16,"INVALID (EV &lt; net debt)",'DCF Model'!C64)</f>
        <v>2475</v>
      </c>
      <c r="D17" s="7">
        <f>IF(ISNUMBER(C17),(C17-C9)/C9,"N/A")</f>
        <v>-0.66969171226478041</v>
      </c>
    </row>
    <row r="18" spans="2:5" ht="13.5" customHeight="1" x14ac:dyDescent="0.25">
      <c r="B18" t="s">
        <v>19</v>
      </c>
      <c r="C18" s="11" t="s">
        <v>20</v>
      </c>
      <c r="D18" s="7" t="str">
        <f>IF(ISNUMBER(C18),(C18-C9)/C9,"N/A")</f>
        <v>N/A</v>
      </c>
    </row>
    <row r="19" spans="2:5" ht="13.5" customHeight="1" x14ac:dyDescent="0.25">
      <c r="B19" t="s">
        <v>21</v>
      </c>
      <c r="C19" s="11">
        <f>'Comps Analysis'!C28</f>
        <v>4317</v>
      </c>
      <c r="D19" s="7">
        <f>IF(ISNUMBER(C19),(C19-C9)/C9,"N/A")</f>
        <v>-0.42386227145335648</v>
      </c>
    </row>
    <row r="20" spans="2:5" ht="14" customHeight="1" x14ac:dyDescent="0.3">
      <c r="B20" s="55" t="s">
        <v>22</v>
      </c>
      <c r="C20" s="54"/>
      <c r="D20" s="54"/>
      <c r="E20" s="54"/>
    </row>
    <row r="21" spans="2:5" ht="14" customHeight="1" x14ac:dyDescent="0.3">
      <c r="B21" s="4" t="s">
        <v>23</v>
      </c>
      <c r="C21" s="6" t="str">
        <f>IF(COUNT(C16:C17)=0,"N/A",MIN(C16:C17)&amp;" - "&amp;MAX(C16:C17))</f>
        <v>1592 - 2475</v>
      </c>
    </row>
    <row r="22" spans="2:5" ht="14" x14ac:dyDescent="0.3">
      <c r="B22" s="4" t="s">
        <v>24</v>
      </c>
      <c r="C22" s="44">
        <f>'Equity Method Value'!C12</f>
        <v>1544</v>
      </c>
    </row>
    <row r="23" spans="2:5" ht="14" customHeight="1" x14ac:dyDescent="0.3">
      <c r="B23" s="8" t="s">
        <v>25</v>
      </c>
      <c r="C23" s="9"/>
      <c r="D23" s="9"/>
    </row>
    <row r="24" spans="2:5" x14ac:dyDescent="0.2">
      <c r="B24" t="s">
        <v>26</v>
      </c>
    </row>
    <row r="25" spans="2:5" x14ac:dyDescent="0.2">
      <c r="B25" t="s">
        <v>27</v>
      </c>
    </row>
    <row r="26" spans="2:5" x14ac:dyDescent="0.2">
      <c r="B26" t="s">
        <v>28</v>
      </c>
    </row>
    <row r="28" spans="2:5" ht="14" customHeight="1" x14ac:dyDescent="0.3">
      <c r="B28" s="8" t="s">
        <v>29</v>
      </c>
      <c r="C28" s="9"/>
      <c r="D28" s="9"/>
    </row>
    <row r="29" spans="2:5" x14ac:dyDescent="0.2">
      <c r="B29" t="s">
        <v>30</v>
      </c>
    </row>
    <row r="30" spans="2:5" x14ac:dyDescent="0.2">
      <c r="B30" t="s">
        <v>31</v>
      </c>
    </row>
    <row r="31" spans="2:5" x14ac:dyDescent="0.2">
      <c r="B31" t="s">
        <v>32</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D30"/>
  <sheetViews>
    <sheetView workbookViewId="0"/>
  </sheetViews>
  <sheetFormatPr defaultRowHeight="13" x14ac:dyDescent="0.2"/>
  <cols>
    <col min="1" max="1" width="3" customWidth="1"/>
    <col min="2" max="2" width="32" customWidth="1"/>
    <col min="3" max="4" width="18" customWidth="1"/>
  </cols>
  <sheetData>
    <row r="2" spans="2:4" ht="18" customHeight="1" x14ac:dyDescent="0.4">
      <c r="B2" s="2" t="s">
        <v>33</v>
      </c>
    </row>
    <row r="4" spans="2:4" ht="14" customHeight="1" x14ac:dyDescent="0.3">
      <c r="C4" s="10" t="s">
        <v>34</v>
      </c>
      <c r="D4" s="10" t="s">
        <v>35</v>
      </c>
    </row>
    <row r="5" spans="2:4" ht="14" customHeight="1" x14ac:dyDescent="0.3">
      <c r="B5" s="3" t="s">
        <v>36</v>
      </c>
    </row>
    <row r="6" spans="2:4" ht="14" customHeight="1" x14ac:dyDescent="0.3">
      <c r="B6" s="4" t="s">
        <v>37</v>
      </c>
      <c r="C6" s="5">
        <v>4008175</v>
      </c>
      <c r="D6" s="5">
        <v>4006614</v>
      </c>
    </row>
    <row r="7" spans="2:4" ht="14" customHeight="1" x14ac:dyDescent="0.3">
      <c r="B7" s="4" t="s">
        <v>38</v>
      </c>
      <c r="C7" s="5">
        <v>541128</v>
      </c>
      <c r="D7" s="5">
        <v>747172</v>
      </c>
    </row>
    <row r="8" spans="2:4" ht="14" customHeight="1" x14ac:dyDescent="0.3">
      <c r="B8" s="4" t="s">
        <v>39</v>
      </c>
      <c r="C8" s="5">
        <f>C6-C7</f>
        <v>3467047</v>
      </c>
      <c r="D8" s="5">
        <f>D6-D7</f>
        <v>3259442</v>
      </c>
    </row>
    <row r="9" spans="2:4" ht="13.5" customHeight="1" x14ac:dyDescent="0.25">
      <c r="B9" t="s">
        <v>40</v>
      </c>
      <c r="C9" s="7">
        <f>C8/C6</f>
        <v>0.86499391867870046</v>
      </c>
      <c r="D9" s="7">
        <f>D8/D6</f>
        <v>0.81351535236486472</v>
      </c>
    </row>
    <row r="10" spans="2:4" ht="14" customHeight="1" x14ac:dyDescent="0.3">
      <c r="B10" s="4" t="s">
        <v>41</v>
      </c>
      <c r="C10" s="5">
        <v>122330</v>
      </c>
      <c r="D10" s="5">
        <v>139717</v>
      </c>
    </row>
    <row r="11" spans="2:4" ht="14" customHeight="1" x14ac:dyDescent="0.3">
      <c r="B11" s="4" t="s">
        <v>42</v>
      </c>
      <c r="C11" s="5">
        <v>627703</v>
      </c>
      <c r="D11" s="5">
        <v>530735</v>
      </c>
    </row>
    <row r="12" spans="2:4" ht="14" customHeight="1" x14ac:dyDescent="0.3">
      <c r="B12" s="4" t="s">
        <v>43</v>
      </c>
      <c r="C12" s="5">
        <v>439614</v>
      </c>
      <c r="D12" s="5">
        <v>376391</v>
      </c>
    </row>
    <row r="13" spans="2:4" ht="13.5" customHeight="1" x14ac:dyDescent="0.25">
      <c r="B13" t="s">
        <v>44</v>
      </c>
      <c r="C13" s="7">
        <f>C11/C6</f>
        <v>0.15660568712693432</v>
      </c>
      <c r="D13" s="7">
        <f>D11/D6</f>
        <v>0.13246471958616426</v>
      </c>
    </row>
    <row r="14" spans="2:4" ht="13.5" customHeight="1" x14ac:dyDescent="0.25">
      <c r="B14" t="s">
        <v>45</v>
      </c>
      <c r="C14" s="7">
        <f>C12/C6</f>
        <v>0.10967934284306449</v>
      </c>
      <c r="D14" s="7">
        <f>D12/D6</f>
        <v>9.394241621478884E-2</v>
      </c>
    </row>
    <row r="15" spans="2:4" ht="13.5" customHeight="1" x14ac:dyDescent="0.25">
      <c r="B15" t="s">
        <v>46</v>
      </c>
      <c r="C15" t="s">
        <v>47</v>
      </c>
      <c r="D15" s="7">
        <f>(D6-C6)/C6</f>
        <v>-3.8945405327861184E-4</v>
      </c>
    </row>
    <row r="16" spans="2:4" ht="13.5" customHeight="1" x14ac:dyDescent="0.25">
      <c r="B16" t="s">
        <v>48</v>
      </c>
      <c r="C16" t="s">
        <v>47</v>
      </c>
      <c r="D16" s="7">
        <f>(D11-C11)/C11</f>
        <v>-0.15448070186059332</v>
      </c>
    </row>
    <row r="18" spans="2:4" ht="14" customHeight="1" x14ac:dyDescent="0.3">
      <c r="B18" s="3" t="s">
        <v>49</v>
      </c>
    </row>
    <row r="19" spans="2:4" ht="14" customHeight="1" x14ac:dyDescent="0.3">
      <c r="B19" s="4" t="s">
        <v>50</v>
      </c>
      <c r="C19" s="5"/>
      <c r="D19" s="5"/>
    </row>
    <row r="20" spans="2:4" ht="14" customHeight="1" x14ac:dyDescent="0.3">
      <c r="B20" s="4" t="s">
        <v>51</v>
      </c>
      <c r="C20" s="5"/>
      <c r="D20" s="5"/>
    </row>
    <row r="21" spans="2:4" ht="14" customHeight="1" x14ac:dyDescent="0.3">
      <c r="B21" s="4" t="s">
        <v>52</v>
      </c>
    </row>
    <row r="22" spans="2:4" x14ac:dyDescent="0.2">
      <c r="B22" t="s">
        <v>53</v>
      </c>
    </row>
    <row r="23" spans="2:4" x14ac:dyDescent="0.2">
      <c r="B23" t="s">
        <v>54</v>
      </c>
    </row>
    <row r="25" spans="2:4" ht="14" customHeight="1" x14ac:dyDescent="0.3">
      <c r="B25" s="3" t="s">
        <v>55</v>
      </c>
    </row>
    <row r="26" spans="2:4" ht="14" customHeight="1" x14ac:dyDescent="0.3">
      <c r="B26" s="4" t="s">
        <v>56</v>
      </c>
      <c r="C26" s="5">
        <v>224642</v>
      </c>
      <c r="D26" s="5">
        <v>218671</v>
      </c>
    </row>
    <row r="27" spans="2:4" ht="14" customHeight="1" x14ac:dyDescent="0.3">
      <c r="B27" s="4" t="s">
        <v>57</v>
      </c>
      <c r="C27" s="5">
        <v>188890</v>
      </c>
      <c r="D27" s="5">
        <v>171410</v>
      </c>
    </row>
    <row r="28" spans="2:4" ht="14" customHeight="1" x14ac:dyDescent="0.3">
      <c r="B28" s="4" t="s">
        <v>58</v>
      </c>
      <c r="C28" s="5">
        <f>C27-C26</f>
        <v>-35752</v>
      </c>
      <c r="D28" s="5">
        <f>D27-D26</f>
        <v>-47261</v>
      </c>
    </row>
    <row r="30" spans="2:4" ht="14" customHeight="1" x14ac:dyDescent="0.3">
      <c r="B30" s="1" t="s">
        <v>59</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customHeight="1" x14ac:dyDescent="0.4">
      <c r="B2" s="2" t="s">
        <v>60</v>
      </c>
    </row>
    <row r="4" spans="2:7" ht="14" customHeight="1" x14ac:dyDescent="0.3">
      <c r="B4" s="8" t="s">
        <v>61</v>
      </c>
      <c r="C4" s="9"/>
      <c r="D4" s="9"/>
      <c r="E4" s="9"/>
      <c r="F4" s="9"/>
      <c r="G4" s="9"/>
    </row>
    <row r="5" spans="2:7" ht="14" customHeight="1" x14ac:dyDescent="0.3">
      <c r="B5" s="4" t="s">
        <v>54</v>
      </c>
      <c r="C5" s="7">
        <v>3.022E-2</v>
      </c>
    </row>
    <row r="6" spans="2:7" ht="14" customHeight="1" x14ac:dyDescent="0.3">
      <c r="B6" s="4" t="s">
        <v>62</v>
      </c>
      <c r="C6" s="7">
        <v>0.25</v>
      </c>
    </row>
    <row r="7" spans="2:7" ht="14" customHeight="1" x14ac:dyDescent="0.3">
      <c r="B7" s="4" t="s">
        <v>63</v>
      </c>
      <c r="C7" s="7">
        <v>2.9700000000000001E-2</v>
      </c>
    </row>
    <row r="8" spans="2:7" ht="14" customHeight="1" x14ac:dyDescent="0.3">
      <c r="B8" s="4" t="s">
        <v>64</v>
      </c>
      <c r="C8" s="12">
        <v>1.1385000000000001</v>
      </c>
    </row>
    <row r="9" spans="2:7" ht="14" customHeight="1" x14ac:dyDescent="0.3">
      <c r="B9" s="4" t="s">
        <v>65</v>
      </c>
      <c r="C9" s="7">
        <v>6.5000000000000002E-2</v>
      </c>
    </row>
    <row r="10" spans="2:7" ht="14" customHeight="1" x14ac:dyDescent="0.3">
      <c r="B10" s="4" t="s">
        <v>66</v>
      </c>
      <c r="C10" s="7">
        <v>0.01</v>
      </c>
    </row>
    <row r="11" spans="2:7" ht="14" customHeight="1" x14ac:dyDescent="0.3">
      <c r="B11" s="4" t="s">
        <v>67</v>
      </c>
      <c r="C11" s="7">
        <v>0.01</v>
      </c>
    </row>
    <row r="12" spans="2:7" ht="14" customHeight="1" x14ac:dyDescent="0.3">
      <c r="B12" s="4" t="s">
        <v>68</v>
      </c>
      <c r="C12" s="13">
        <v>0.12909999999999999</v>
      </c>
    </row>
    <row r="13" spans="2:7" ht="14" customHeight="1" x14ac:dyDescent="0.3">
      <c r="B13" s="4" t="s">
        <v>69</v>
      </c>
      <c r="C13" s="7">
        <v>0.01</v>
      </c>
    </row>
    <row r="14" spans="2:7" ht="14" customHeight="1" x14ac:dyDescent="0.3">
      <c r="B14" s="4" t="s">
        <v>70</v>
      </c>
      <c r="C14" s="14">
        <v>8.1999999999999993</v>
      </c>
    </row>
    <row r="15" spans="2:7" ht="14" customHeight="1" x14ac:dyDescent="0.3">
      <c r="B15" s="4" t="s">
        <v>71</v>
      </c>
      <c r="C15" s="15">
        <v>901098026</v>
      </c>
    </row>
    <row r="16" spans="2:7" ht="14" customHeight="1" x14ac:dyDescent="0.3">
      <c r="B16" s="4" t="s">
        <v>72</v>
      </c>
      <c r="C16" s="5">
        <v>871989</v>
      </c>
    </row>
    <row r="17" spans="2:7" ht="14" customHeight="1" x14ac:dyDescent="0.3">
      <c r="B17" s="4" t="s">
        <v>73</v>
      </c>
      <c r="C17" s="5">
        <v>4006614</v>
      </c>
    </row>
    <row r="18" spans="2:7" ht="14" customHeight="1" x14ac:dyDescent="0.3">
      <c r="B18" s="4" t="s">
        <v>74</v>
      </c>
      <c r="C18" s="7">
        <v>3.022E-2</v>
      </c>
    </row>
    <row r="19" spans="2:7" ht="14" customHeight="1" x14ac:dyDescent="0.3">
      <c r="B19" s="4" t="s">
        <v>75</v>
      </c>
      <c r="C19" s="12">
        <v>1</v>
      </c>
    </row>
    <row r="20" spans="2:7" ht="14" customHeight="1" x14ac:dyDescent="0.3">
      <c r="B20" s="4" t="s">
        <v>76</v>
      </c>
      <c r="C20" s="5">
        <v>1116059</v>
      </c>
    </row>
    <row r="22" spans="2:7" ht="14" customHeight="1" x14ac:dyDescent="0.3">
      <c r="B22" s="8" t="s">
        <v>77</v>
      </c>
      <c r="C22" s="9"/>
      <c r="D22" s="9"/>
      <c r="E22" s="9"/>
      <c r="F22" s="9"/>
      <c r="G22" s="9"/>
    </row>
    <row r="23" spans="2:7" ht="14" customHeight="1" x14ac:dyDescent="0.3">
      <c r="B23" s="4" t="s">
        <v>78</v>
      </c>
      <c r="C23" s="16">
        <f>C7+C8*C9+C10</f>
        <v>0.11370250000000001</v>
      </c>
    </row>
    <row r="24" spans="2:7" ht="14" customHeight="1" x14ac:dyDescent="0.3">
      <c r="B24" s="4" t="s">
        <v>79</v>
      </c>
      <c r="C24" s="16">
        <f>1/(1+C12)</f>
        <v>0.88566114604552304</v>
      </c>
    </row>
    <row r="25" spans="2:7" ht="14" customHeight="1" x14ac:dyDescent="0.3">
      <c r="B25" s="4" t="s">
        <v>80</v>
      </c>
      <c r="C25" s="16">
        <f>C12/(1+C12)</f>
        <v>0.11433885395447702</v>
      </c>
    </row>
    <row r="26" spans="2:7" ht="14" customHeight="1" x14ac:dyDescent="0.3">
      <c r="B26" s="4" t="s">
        <v>81</v>
      </c>
      <c r="C26" s="16">
        <f>C23*C24+C11*C25</f>
        <v>0.10184527499778585</v>
      </c>
    </row>
    <row r="27" spans="2:7" ht="14" customHeight="1" x14ac:dyDescent="0.3">
      <c r="B27" s="4" t="s">
        <v>82</v>
      </c>
      <c r="C27" s="17" t="s">
        <v>83</v>
      </c>
      <c r="D27" s="6">
        <f>MATCH(C27,B69:B73,0)</f>
        <v>1</v>
      </c>
    </row>
    <row r="28" spans="2:7" ht="14" customHeight="1" x14ac:dyDescent="0.3">
      <c r="B28" s="8" t="s">
        <v>84</v>
      </c>
      <c r="C28" s="9"/>
      <c r="D28" s="9"/>
      <c r="E28" s="9"/>
      <c r="F28" s="9"/>
      <c r="G28" s="9"/>
    </row>
    <row r="29" spans="2:7" ht="14" customHeight="1" x14ac:dyDescent="0.3">
      <c r="C29" s="10" t="s">
        <v>85</v>
      </c>
      <c r="D29" s="10" t="s">
        <v>86</v>
      </c>
      <c r="E29" s="10" t="s">
        <v>87</v>
      </c>
      <c r="F29" s="10" t="s">
        <v>88</v>
      </c>
      <c r="G29" s="10" t="s">
        <v>89</v>
      </c>
    </row>
    <row r="30" spans="2:7" ht="14" customHeight="1" x14ac:dyDescent="0.3">
      <c r="B30" s="4" t="s">
        <v>46</v>
      </c>
      <c r="C30" s="18">
        <f>CHOOSE($D$27,C69,C70,C71,C72,C73)</f>
        <v>0.01</v>
      </c>
      <c r="D30" s="18">
        <f>CHOOSE($D$27,D69,D70,D71,D72,D73)</f>
        <v>1.4999999999999999E-2</v>
      </c>
      <c r="E30" s="18">
        <f>CHOOSE($D$27,E69,E70,E71,E72,E73)</f>
        <v>1.4999999999999999E-2</v>
      </c>
      <c r="F30" s="18">
        <f>CHOOSE($D$27,F69,F70,F71,F72,F73)</f>
        <v>0.01</v>
      </c>
      <c r="G30" s="18">
        <f>CHOOSE($D$27,G69,G70,G71,G72,G73)</f>
        <v>0.01</v>
      </c>
    </row>
    <row r="31" spans="2:7" ht="14" customHeight="1" x14ac:dyDescent="0.3">
      <c r="B31" s="4" t="s">
        <v>90</v>
      </c>
      <c r="C31" s="18">
        <f>CHOOSE($D$27,C76,C77,C78,C79,C80)</f>
        <v>0.69499999999999995</v>
      </c>
      <c r="D31" s="18">
        <f>CHOOSE($D$27,D76,D77,D78,D79,D80)</f>
        <v>0.69499999999999995</v>
      </c>
      <c r="E31" s="18">
        <f>CHOOSE($D$27,E76,E77,E78,E79,E80)</f>
        <v>0.69499999999999995</v>
      </c>
      <c r="F31" s="18">
        <f>CHOOSE($D$27,F76,F77,F78,F79,F80)</f>
        <v>0.69499999999999995</v>
      </c>
      <c r="G31" s="18">
        <f>CHOOSE($D$27,G76,G77,G78,G79,G80)</f>
        <v>0.69499999999999995</v>
      </c>
    </row>
    <row r="32" spans="2:7" ht="14" customHeight="1" x14ac:dyDescent="0.3">
      <c r="B32" s="4" t="s">
        <v>91</v>
      </c>
      <c r="C32" s="18">
        <f>CHOOSE($D$27,C83,C84,C85,C86,C87)</f>
        <v>0.17249999999999999</v>
      </c>
      <c r="D32" s="18">
        <f>CHOOSE($D$27,D83,D84,D85,D86,D87)</f>
        <v>0.17249999999999999</v>
      </c>
      <c r="E32" s="18">
        <f>CHOOSE($D$27,E83,E84,E85,E86,E87)</f>
        <v>0.17249999999999999</v>
      </c>
      <c r="F32" s="18">
        <f>CHOOSE($D$27,F83,F84,F85,F86,F87)</f>
        <v>0.17249999999999999</v>
      </c>
      <c r="G32" s="18">
        <f>CHOOSE($D$27,G83,G84,G85,G86,G87)</f>
        <v>0.17249999999999999</v>
      </c>
    </row>
    <row r="33" spans="2:7" ht="14" customHeight="1" x14ac:dyDescent="0.3">
      <c r="B33" s="4" t="s">
        <v>37</v>
      </c>
      <c r="C33" s="5">
        <f>C17*(1+C30)</f>
        <v>4046680.14</v>
      </c>
      <c r="D33" s="5">
        <f>C33*(1+D30)</f>
        <v>4107380.3420999995</v>
      </c>
      <c r="E33" s="5">
        <f>D33*(1+E30)</f>
        <v>4168991.0472314991</v>
      </c>
      <c r="F33" s="5">
        <f>E33*(1+F30)</f>
        <v>4210680.9577038139</v>
      </c>
      <c r="G33" s="5">
        <f>F33*(1+G30)</f>
        <v>4252787.7672808524</v>
      </c>
    </row>
    <row r="34" spans="2:7" ht="14" customHeight="1" x14ac:dyDescent="0.3">
      <c r="B34" s="4" t="s">
        <v>38</v>
      </c>
      <c r="C34" s="5">
        <f>C33*C31</f>
        <v>2812442.6973000001</v>
      </c>
      <c r="D34" s="5">
        <f>D33*D31</f>
        <v>2854629.3377594994</v>
      </c>
      <c r="E34" s="5">
        <f>E33*E31</f>
        <v>2897448.7778258915</v>
      </c>
      <c r="F34" s="5">
        <f>F33*F31</f>
        <v>2926423.2656041505</v>
      </c>
      <c r="G34" s="5">
        <f>G33*G31</f>
        <v>2955687.4982601921</v>
      </c>
    </row>
    <row r="35" spans="2:7" ht="14" customHeight="1" x14ac:dyDescent="0.3">
      <c r="B35" s="4" t="s">
        <v>39</v>
      </c>
      <c r="C35" s="19">
        <f>C33-C34</f>
        <v>1234237.4427</v>
      </c>
      <c r="D35" s="19">
        <f>D33-D34</f>
        <v>1252751.0043405001</v>
      </c>
      <c r="E35" s="19">
        <f>E33-E34</f>
        <v>1271542.2694056076</v>
      </c>
      <c r="F35" s="19">
        <f>F33-F34</f>
        <v>1284257.6920996634</v>
      </c>
      <c r="G35" s="19">
        <f>G33-G34</f>
        <v>1297100.2690206603</v>
      </c>
    </row>
    <row r="36" spans="2:7" ht="14" customHeight="1" x14ac:dyDescent="0.3">
      <c r="B36" s="4" t="s">
        <v>40</v>
      </c>
      <c r="C36" s="7">
        <f>C35/C33</f>
        <v>0.30499999999999999</v>
      </c>
      <c r="D36" s="7">
        <f>D35/D33</f>
        <v>0.30500000000000005</v>
      </c>
      <c r="E36" s="7">
        <f>E35/E33</f>
        <v>0.3050000000000001</v>
      </c>
      <c r="F36" s="7">
        <f>F35/F33</f>
        <v>0.30500000000000005</v>
      </c>
      <c r="G36" s="7">
        <f>G35/G33</f>
        <v>0.3050000000000001</v>
      </c>
    </row>
    <row r="37" spans="2:7" ht="14" customHeight="1" x14ac:dyDescent="0.3">
      <c r="B37" s="4" t="s">
        <v>92</v>
      </c>
      <c r="C37" s="5">
        <f>C33*C32</f>
        <v>698052.32415</v>
      </c>
      <c r="D37" s="5">
        <f>D33*D32</f>
        <v>708523.10901224986</v>
      </c>
      <c r="E37" s="5">
        <f>E33*E32</f>
        <v>719150.95564743353</v>
      </c>
      <c r="F37" s="5">
        <f>F33*F32</f>
        <v>726342.46520390781</v>
      </c>
      <c r="G37" s="5">
        <f>G33*G32</f>
        <v>733605.889855947</v>
      </c>
    </row>
    <row r="38" spans="2:7" ht="14" customHeight="1" x14ac:dyDescent="0.3">
      <c r="B38" s="4" t="s">
        <v>93</v>
      </c>
      <c r="C38" s="7">
        <f>(C35-C37)/C33</f>
        <v>0.13250000000000001</v>
      </c>
      <c r="D38" s="7">
        <f>(D35-D37)/D33</f>
        <v>0.13250000000000006</v>
      </c>
      <c r="E38" s="7">
        <f>(E35-E37)/E33</f>
        <v>0.13250000000000012</v>
      </c>
      <c r="F38" s="7">
        <f>(F35-F37)/F33</f>
        <v>0.13250000000000006</v>
      </c>
      <c r="G38" s="7">
        <f>(G35-G37)/G33</f>
        <v>0.13250000000000009</v>
      </c>
    </row>
    <row r="39" spans="2:7" ht="14" customHeight="1" x14ac:dyDescent="0.3">
      <c r="B39" s="4" t="s">
        <v>94</v>
      </c>
      <c r="C39" s="19">
        <f>C35-C37</f>
        <v>536185.11855000001</v>
      </c>
      <c r="D39" s="19">
        <f>D35-D37</f>
        <v>544227.89532825025</v>
      </c>
      <c r="E39" s="19">
        <f>E35-E37</f>
        <v>552391.31375817407</v>
      </c>
      <c r="F39" s="19">
        <f>F35-F37</f>
        <v>557915.22689575562</v>
      </c>
      <c r="G39" s="19">
        <f>G35-G37</f>
        <v>563494.37916471332</v>
      </c>
    </row>
    <row r="40" spans="2:7" ht="14" customHeight="1" x14ac:dyDescent="0.3">
      <c r="B40" s="4" t="s">
        <v>95</v>
      </c>
      <c r="C40" s="5">
        <f>MAX(0,C39*C6)</f>
        <v>134046.2796375</v>
      </c>
      <c r="D40" s="5">
        <f>MAX(0,D39*C6)</f>
        <v>136056.97383206256</v>
      </c>
      <c r="E40" s="5">
        <f>MAX(0,E39*C6)</f>
        <v>138097.82843954352</v>
      </c>
      <c r="F40" s="5">
        <f>MAX(0,F39*C6)</f>
        <v>139478.80672393891</v>
      </c>
      <c r="G40" s="5">
        <f>MAX(0,G39*C6)</f>
        <v>140873.59479117833</v>
      </c>
    </row>
    <row r="41" spans="2:7" ht="14" customHeight="1" x14ac:dyDescent="0.3">
      <c r="B41" s="4" t="s">
        <v>96</v>
      </c>
      <c r="C41" s="19">
        <f>C39-C40</f>
        <v>402138.83891250001</v>
      </c>
      <c r="D41" s="19">
        <f>D39-D40</f>
        <v>408170.92149618769</v>
      </c>
      <c r="E41" s="19">
        <f>E39-E40</f>
        <v>414293.48531863058</v>
      </c>
      <c r="F41" s="19">
        <f>F39-F40</f>
        <v>418436.42017181672</v>
      </c>
      <c r="G41" s="19">
        <f>G39-G40</f>
        <v>422620.78437353496</v>
      </c>
    </row>
    <row r="42" spans="2:7" ht="14" customHeight="1" x14ac:dyDescent="0.3">
      <c r="B42" s="4" t="s">
        <v>97</v>
      </c>
      <c r="C42" s="5">
        <f>C33*C18</f>
        <v>122290.67383080001</v>
      </c>
      <c r="D42" s="5">
        <f>D33*C18</f>
        <v>124125.03393826199</v>
      </c>
      <c r="E42" s="5">
        <f>E33*C18</f>
        <v>125986.9094473359</v>
      </c>
      <c r="F42" s="5">
        <f>F33*C18</f>
        <v>127246.77854180925</v>
      </c>
      <c r="G42" s="5">
        <f>G33*C18</f>
        <v>128519.24632722736</v>
      </c>
    </row>
    <row r="43" spans="2:7" ht="14" customHeight="1" x14ac:dyDescent="0.3">
      <c r="B43" s="4" t="s">
        <v>98</v>
      </c>
      <c r="C43" s="5">
        <f>C33*C5</f>
        <v>122290.67383080001</v>
      </c>
      <c r="D43" s="5">
        <f>D33*C5</f>
        <v>124125.03393826199</v>
      </c>
      <c r="E43" s="5">
        <f>E33*C5</f>
        <v>125986.9094473359</v>
      </c>
      <c r="F43" s="5">
        <f>F33*C5</f>
        <v>127246.77854180925</v>
      </c>
      <c r="G43" s="5">
        <f>G33*C5</f>
        <v>128519.24632722736</v>
      </c>
    </row>
    <row r="44" spans="2:7" ht="14" customHeight="1" x14ac:dyDescent="0.3">
      <c r="B44" s="4" t="s">
        <v>99</v>
      </c>
      <c r="C44" s="5">
        <f>'NWC Schedule'!D19</f>
        <v>2049651.3963179998</v>
      </c>
      <c r="D44" s="5">
        <f>'NWC Schedule'!E19</f>
        <v>34823.705944770016</v>
      </c>
      <c r="E44" s="5">
        <f>'NWC Schedule'!F19</f>
        <v>35346.061533940956</v>
      </c>
      <c r="F44" s="5">
        <f>'NWC Schedule'!G19</f>
        <v>23917.501637967303</v>
      </c>
      <c r="G44" s="5">
        <f>'NWC Schedule'!H19</f>
        <v>24156.676654346753</v>
      </c>
    </row>
    <row r="45" spans="2:7" ht="14" customHeight="1" x14ac:dyDescent="0.3">
      <c r="B45" s="4" t="s">
        <v>100</v>
      </c>
      <c r="C45" s="20">
        <f>C41+C42-C43-C44</f>
        <v>-1647512.5574054997</v>
      </c>
      <c r="D45" s="20">
        <f>D41+D42-D43-D44</f>
        <v>373347.21555141773</v>
      </c>
      <c r="E45" s="20">
        <f>E41+E42-E43-E44</f>
        <v>378947.42378468963</v>
      </c>
      <c r="F45" s="20">
        <f>F41+F42-F43-F44</f>
        <v>394518.91853384947</v>
      </c>
      <c r="G45" s="20">
        <f>G41+G42-G43-G44</f>
        <v>398464.10771918821</v>
      </c>
    </row>
    <row r="46" spans="2:7" ht="14" customHeight="1" x14ac:dyDescent="0.3">
      <c r="B46" s="4" t="s">
        <v>101</v>
      </c>
      <c r="C46" s="21">
        <f>1/(1+C26)^(C19+0)</f>
        <v>0.90756844240404766</v>
      </c>
      <c r="D46" s="21">
        <f>1/(1+C26)^(C19+1)</f>
        <v>0.82368047764770902</v>
      </c>
      <c r="E46" s="21">
        <f>1/(1+C26)^(C19+2)</f>
        <v>0.74754640813735329</v>
      </c>
      <c r="F46" s="21">
        <f>1/(1+C26)^(C19+3)</f>
        <v>0.67844952925795821</v>
      </c>
      <c r="G46" s="21">
        <f>1/(1+C26)^(C19+4)</f>
        <v>0.61573938251840443</v>
      </c>
    </row>
    <row r="47" spans="2:7" ht="14" customHeight="1" x14ac:dyDescent="0.3">
      <c r="B47" s="4" t="s">
        <v>102</v>
      </c>
      <c r="C47" s="19">
        <f>C45*C46</f>
        <v>-1495230.4055656185</v>
      </c>
      <c r="D47" s="19">
        <f>D45*D46</f>
        <v>307518.81283383392</v>
      </c>
      <c r="E47" s="19">
        <f>E45*E46</f>
        <v>283280.7855231482</v>
      </c>
      <c r="F47" s="19">
        <f>F45*F46</f>
        <v>267661.17456264893</v>
      </c>
      <c r="G47" s="19">
        <f>G45*G46</f>
        <v>245350.04364275993</v>
      </c>
    </row>
    <row r="49" spans="2:7" ht="14" customHeight="1" x14ac:dyDescent="0.3">
      <c r="B49" s="22" t="s">
        <v>103</v>
      </c>
      <c r="C49" s="23"/>
      <c r="D49" s="23"/>
      <c r="E49" s="23"/>
      <c r="F49" s="23"/>
      <c r="G49" s="23"/>
    </row>
    <row r="50" spans="2:7" ht="14" customHeight="1" x14ac:dyDescent="0.3">
      <c r="B50" s="4" t="s">
        <v>104</v>
      </c>
      <c r="C50" s="5">
        <f>SUM(C47:G47)</f>
        <v>-391419.58900322753</v>
      </c>
    </row>
    <row r="51" spans="2:7" ht="14" customHeight="1" x14ac:dyDescent="0.3">
      <c r="B51" s="4" t="s">
        <v>105</v>
      </c>
      <c r="C51" s="5">
        <f>G45*(1+C13)/(C26-C13)</f>
        <v>4381812.225028256</v>
      </c>
    </row>
    <row r="52" spans="2:7" ht="14" customHeight="1" x14ac:dyDescent="0.3">
      <c r="B52" s="4" t="s">
        <v>106</v>
      </c>
      <c r="C52" s="5">
        <f>C51*G46</f>
        <v>2698054.3537504943</v>
      </c>
    </row>
    <row r="53" spans="2:7" ht="14" customHeight="1" x14ac:dyDescent="0.3">
      <c r="B53" s="4" t="s">
        <v>107</v>
      </c>
      <c r="C53" s="5">
        <f>C50+C52</f>
        <v>2306634.7647472667</v>
      </c>
    </row>
    <row r="54" spans="2:7" ht="14" customHeight="1" x14ac:dyDescent="0.3">
      <c r="B54" s="4" t="s">
        <v>108</v>
      </c>
      <c r="C54" s="5">
        <f>C53-C16</f>
        <v>1434645.7647472667</v>
      </c>
    </row>
    <row r="55" spans="2:7" ht="14" customHeight="1" x14ac:dyDescent="0.3">
      <c r="B55" s="4" t="s">
        <v>109</v>
      </c>
      <c r="C55" s="24">
        <f>ROUND(C54*1000000/C15,0)</f>
        <v>1592</v>
      </c>
    </row>
    <row r="57" spans="2:7" ht="14" customHeight="1" x14ac:dyDescent="0.3">
      <c r="B57" s="22" t="s">
        <v>110</v>
      </c>
      <c r="C57" s="23"/>
      <c r="D57" s="23"/>
      <c r="E57" s="23"/>
      <c r="F57" s="23"/>
      <c r="G57" s="23"/>
    </row>
    <row r="58" spans="2:7" ht="14" customHeight="1" x14ac:dyDescent="0.3">
      <c r="B58" s="4" t="s">
        <v>104</v>
      </c>
      <c r="C58" s="5">
        <f>C50</f>
        <v>-391419.58900322753</v>
      </c>
    </row>
    <row r="59" spans="2:7" ht="14" customHeight="1" x14ac:dyDescent="0.3">
      <c r="B59" s="4" t="s">
        <v>111</v>
      </c>
      <c r="C59" s="5">
        <f>G39+G42</f>
        <v>692013.62549194065</v>
      </c>
    </row>
    <row r="60" spans="2:7" ht="14" customHeight="1" x14ac:dyDescent="0.3">
      <c r="B60" s="4" t="s">
        <v>112</v>
      </c>
      <c r="C60" s="5">
        <f>C59*C14</f>
        <v>5674511.7290339125</v>
      </c>
    </row>
    <row r="61" spans="2:7" ht="14" customHeight="1" x14ac:dyDescent="0.3">
      <c r="B61" s="4" t="s">
        <v>106</v>
      </c>
      <c r="C61" s="5">
        <f>C60*G46</f>
        <v>3494020.3481287849</v>
      </c>
    </row>
    <row r="62" spans="2:7" ht="14" customHeight="1" x14ac:dyDescent="0.3">
      <c r="B62" s="4" t="s">
        <v>107</v>
      </c>
      <c r="C62" s="5">
        <f>C58+C61</f>
        <v>3102600.7591255573</v>
      </c>
    </row>
    <row r="63" spans="2:7" ht="14" customHeight="1" x14ac:dyDescent="0.3">
      <c r="B63" s="4" t="s">
        <v>108</v>
      </c>
      <c r="C63" s="5">
        <f>C62-C16</f>
        <v>2230611.7591255573</v>
      </c>
    </row>
    <row r="64" spans="2:7" ht="14" customHeight="1" x14ac:dyDescent="0.3">
      <c r="B64" s="4" t="s">
        <v>113</v>
      </c>
      <c r="C64" s="24">
        <f>ROUND(C63*1000000/C15,0)</f>
        <v>2475</v>
      </c>
    </row>
    <row r="66" spans="2:7" ht="14" customHeight="1" x14ac:dyDescent="0.3">
      <c r="B66" s="22" t="s">
        <v>114</v>
      </c>
      <c r="C66" s="23"/>
      <c r="D66" s="23"/>
      <c r="E66" s="23"/>
      <c r="F66" s="23"/>
      <c r="G66" s="23"/>
    </row>
    <row r="67" spans="2:7" ht="14" customHeight="1" x14ac:dyDescent="0.3">
      <c r="C67" s="25" t="s">
        <v>115</v>
      </c>
      <c r="D67" s="25" t="s">
        <v>116</v>
      </c>
      <c r="E67" s="25" t="s">
        <v>117</v>
      </c>
      <c r="F67" s="25" t="s">
        <v>118</v>
      </c>
      <c r="G67" s="25" t="s">
        <v>119</v>
      </c>
    </row>
    <row r="68" spans="2:7" ht="14" customHeight="1" x14ac:dyDescent="0.3">
      <c r="B68" s="3" t="s">
        <v>46</v>
      </c>
    </row>
    <row r="69" spans="2:7" ht="14" customHeight="1" x14ac:dyDescent="0.3">
      <c r="B69" s="4" t="s">
        <v>83</v>
      </c>
      <c r="C69" s="26">
        <v>0.01</v>
      </c>
      <c r="D69" s="26">
        <v>1.4999999999999999E-2</v>
      </c>
      <c r="E69" s="26">
        <v>1.4999999999999999E-2</v>
      </c>
      <c r="F69" s="26">
        <v>0.01</v>
      </c>
      <c r="G69" s="26">
        <v>0.01</v>
      </c>
    </row>
    <row r="70" spans="2:7" ht="14" customHeight="1" x14ac:dyDescent="0.3">
      <c r="B70" s="4" t="s">
        <v>120</v>
      </c>
      <c r="C70" s="26">
        <v>0.04</v>
      </c>
      <c r="D70" s="26">
        <v>0.03</v>
      </c>
      <c r="E70" s="26">
        <v>2.5000000000000001E-2</v>
      </c>
      <c r="F70" s="26">
        <v>0.02</v>
      </c>
      <c r="G70" s="26">
        <v>1.4999999999999999E-2</v>
      </c>
    </row>
    <row r="71" spans="2:7" ht="14" customHeight="1" x14ac:dyDescent="0.3">
      <c r="B71" s="4" t="s">
        <v>121</v>
      </c>
      <c r="C71" s="26">
        <v>0.01</v>
      </c>
      <c r="D71" s="26">
        <v>1.4999999999999999E-2</v>
      </c>
      <c r="E71" s="26">
        <v>1.4999999999999999E-2</v>
      </c>
      <c r="F71" s="26">
        <v>0.01</v>
      </c>
      <c r="G71" s="26">
        <v>0.01</v>
      </c>
    </row>
    <row r="72" spans="2:7" ht="14" customHeight="1" x14ac:dyDescent="0.3">
      <c r="B72" s="4" t="s">
        <v>122</v>
      </c>
      <c r="C72" s="26">
        <v>-0.02</v>
      </c>
      <c r="D72" s="26">
        <v>0</v>
      </c>
      <c r="E72" s="26">
        <v>0.01</v>
      </c>
      <c r="F72" s="26">
        <v>0.01</v>
      </c>
      <c r="G72" s="26">
        <v>0.01</v>
      </c>
    </row>
    <row r="73" spans="2:7" ht="14" customHeight="1" x14ac:dyDescent="0.3">
      <c r="B73" s="4" t="s">
        <v>123</v>
      </c>
      <c r="C73" s="26">
        <v>-0.08</v>
      </c>
      <c r="D73" s="26">
        <v>-0.03</v>
      </c>
      <c r="E73" s="26">
        <v>0</v>
      </c>
      <c r="F73" s="26">
        <v>0.01</v>
      </c>
      <c r="G73" s="26">
        <v>0.01</v>
      </c>
    </row>
    <row r="75" spans="2:7" ht="14" customHeight="1" x14ac:dyDescent="0.3">
      <c r="B75" s="3" t="s">
        <v>90</v>
      </c>
    </row>
    <row r="76" spans="2:7" ht="14" customHeight="1" x14ac:dyDescent="0.3">
      <c r="B76" s="4" t="s">
        <v>83</v>
      </c>
      <c r="C76" s="26">
        <v>0.69499999999999995</v>
      </c>
      <c r="D76" s="26">
        <v>0.69499999999999995</v>
      </c>
      <c r="E76" s="26">
        <v>0.69499999999999995</v>
      </c>
      <c r="F76" s="26">
        <v>0.69499999999999995</v>
      </c>
      <c r="G76" s="26">
        <v>0.69499999999999995</v>
      </c>
    </row>
    <row r="77" spans="2:7" ht="14" customHeight="1" x14ac:dyDescent="0.3">
      <c r="B77" s="4" t="s">
        <v>120</v>
      </c>
      <c r="C77" s="26">
        <v>0.69499999999999995</v>
      </c>
      <c r="D77" s="26">
        <v>0.69499999999999995</v>
      </c>
      <c r="E77" s="26">
        <v>0.69499999999999995</v>
      </c>
      <c r="F77" s="26">
        <v>0.69499999999999995</v>
      </c>
      <c r="G77" s="26">
        <v>0.69499999999999995</v>
      </c>
    </row>
    <row r="78" spans="2:7" ht="14" customHeight="1" x14ac:dyDescent="0.3">
      <c r="B78" s="4" t="s">
        <v>121</v>
      </c>
      <c r="C78" s="26">
        <v>0.69499999999999995</v>
      </c>
      <c r="D78" s="26">
        <v>0.69499999999999995</v>
      </c>
      <c r="E78" s="26">
        <v>0.69499999999999995</v>
      </c>
      <c r="F78" s="26">
        <v>0.69499999999999995</v>
      </c>
      <c r="G78" s="26">
        <v>0.69499999999999995</v>
      </c>
    </row>
    <row r="79" spans="2:7" ht="14" customHeight="1" x14ac:dyDescent="0.3">
      <c r="B79" s="4" t="s">
        <v>122</v>
      </c>
      <c r="C79" s="26">
        <v>0.69499999999999995</v>
      </c>
      <c r="D79" s="26">
        <v>0.69499999999999995</v>
      </c>
      <c r="E79" s="26">
        <v>0.69499999999999995</v>
      </c>
      <c r="F79" s="26">
        <v>0.69499999999999995</v>
      </c>
      <c r="G79" s="26">
        <v>0.69499999999999995</v>
      </c>
    </row>
    <row r="80" spans="2:7" ht="14" customHeight="1" x14ac:dyDescent="0.3">
      <c r="B80" s="4" t="s">
        <v>123</v>
      </c>
      <c r="C80" s="26">
        <v>0.69499999999999995</v>
      </c>
      <c r="D80" s="26">
        <v>0.69499999999999995</v>
      </c>
      <c r="E80" s="26">
        <v>0.69499999999999995</v>
      </c>
      <c r="F80" s="26">
        <v>0.69499999999999995</v>
      </c>
      <c r="G80" s="26">
        <v>0.69499999999999995</v>
      </c>
    </row>
    <row r="82" spans="2:7" ht="14" customHeight="1" x14ac:dyDescent="0.3">
      <c r="B82" s="3" t="s">
        <v>91</v>
      </c>
    </row>
    <row r="83" spans="2:7" ht="14" customHeight="1" x14ac:dyDescent="0.3">
      <c r="B83" s="4" t="s">
        <v>83</v>
      </c>
      <c r="C83" s="26">
        <v>0.17249999999999999</v>
      </c>
      <c r="D83" s="26">
        <v>0.17249999999999999</v>
      </c>
      <c r="E83" s="26">
        <v>0.17249999999999999</v>
      </c>
      <c r="F83" s="26">
        <v>0.17249999999999999</v>
      </c>
      <c r="G83" s="26">
        <v>0.17249999999999999</v>
      </c>
    </row>
    <row r="84" spans="2:7" ht="14" customHeight="1" x14ac:dyDescent="0.3">
      <c r="B84" s="4" t="s">
        <v>120</v>
      </c>
      <c r="C84" s="26">
        <v>0.1527</v>
      </c>
      <c r="D84" s="26">
        <v>0.1527</v>
      </c>
      <c r="E84" s="26">
        <v>0.1527</v>
      </c>
      <c r="F84" s="26">
        <v>0.1527</v>
      </c>
      <c r="G84" s="26">
        <v>0.1527</v>
      </c>
    </row>
    <row r="85" spans="2:7" ht="14" customHeight="1" x14ac:dyDescent="0.3">
      <c r="B85" s="4" t="s">
        <v>121</v>
      </c>
      <c r="C85" s="26">
        <v>0.17249999999999999</v>
      </c>
      <c r="D85" s="26">
        <v>0.17249999999999999</v>
      </c>
      <c r="E85" s="26">
        <v>0.17249999999999999</v>
      </c>
      <c r="F85" s="26">
        <v>0.17249999999999999</v>
      </c>
      <c r="G85" s="26">
        <v>0.17249999999999999</v>
      </c>
    </row>
    <row r="86" spans="2:7" ht="14" customHeight="1" x14ac:dyDescent="0.3">
      <c r="B86" s="4" t="s">
        <v>122</v>
      </c>
      <c r="C86" s="26">
        <v>0.19239999999999999</v>
      </c>
      <c r="D86" s="26">
        <v>0.19239999999999999</v>
      </c>
      <c r="E86" s="26">
        <v>0.19239999999999999</v>
      </c>
      <c r="F86" s="26">
        <v>0.19239999999999999</v>
      </c>
      <c r="G86" s="26">
        <v>0.19239999999999999</v>
      </c>
    </row>
    <row r="87" spans="2:7" ht="14" customHeight="1" x14ac:dyDescent="0.3">
      <c r="B87" s="4" t="s">
        <v>123</v>
      </c>
      <c r="C87" s="26">
        <v>0.21229999999999999</v>
      </c>
      <c r="D87" s="26">
        <v>0.21229999999999999</v>
      </c>
      <c r="E87" s="26">
        <v>0.21229999999999999</v>
      </c>
      <c r="F87" s="26">
        <v>0.21229999999999999</v>
      </c>
      <c r="G87" s="26">
        <v>0.21229999999999999</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customHeight="1" x14ac:dyDescent="0.4">
      <c r="B2" s="2" t="s">
        <v>124</v>
      </c>
    </row>
    <row r="3" spans="2:9" ht="14" customHeight="1" x14ac:dyDescent="0.3">
      <c r="B3" s="1" t="s">
        <v>125</v>
      </c>
    </row>
    <row r="5" spans="2:9" ht="14" customHeight="1" x14ac:dyDescent="0.3">
      <c r="B5" s="8" t="s">
        <v>126</v>
      </c>
      <c r="C5" s="9"/>
      <c r="D5" s="9"/>
      <c r="E5" s="9"/>
      <c r="F5" s="9"/>
      <c r="G5" s="9"/>
      <c r="H5" s="9"/>
      <c r="I5" s="9"/>
    </row>
    <row r="6" spans="2:9" ht="14" customHeight="1" x14ac:dyDescent="0.3">
      <c r="B6" s="4" t="s">
        <v>127</v>
      </c>
      <c r="C6" s="15">
        <f>'Executive Summary'!C9</f>
        <v>7493</v>
      </c>
    </row>
    <row r="7" spans="2:9" ht="14" customHeight="1" x14ac:dyDescent="0.3">
      <c r="B7" s="4" t="s">
        <v>71</v>
      </c>
      <c r="C7" s="15">
        <f>'DCF Model'!C15</f>
        <v>901098026</v>
      </c>
    </row>
    <row r="8" spans="2:9" ht="14" customHeight="1" x14ac:dyDescent="0.3">
      <c r="B8" s="4" t="s">
        <v>128</v>
      </c>
      <c r="C8" s="5">
        <f>C6*C7/1000000</f>
        <v>6751927.5088179996</v>
      </c>
    </row>
    <row r="9" spans="2:9" ht="14" customHeight="1" x14ac:dyDescent="0.3">
      <c r="B9" s="4" t="s">
        <v>72</v>
      </c>
      <c r="C9" s="5">
        <f>'DCF Model'!C16</f>
        <v>871989</v>
      </c>
    </row>
    <row r="10" spans="2:9" ht="14" customHeight="1" x14ac:dyDescent="0.3">
      <c r="B10" s="4" t="s">
        <v>129</v>
      </c>
      <c r="C10" s="5">
        <f>C8+C9</f>
        <v>7623916.5088179996</v>
      </c>
    </row>
    <row r="11" spans="2:9" ht="14" customHeight="1" x14ac:dyDescent="0.3">
      <c r="B11" s="4" t="s">
        <v>130</v>
      </c>
      <c r="C11" s="16">
        <f>'DCF Model'!C26</f>
        <v>0.10184527499778585</v>
      </c>
    </row>
    <row r="12" spans="2:9" ht="14" customHeight="1" x14ac:dyDescent="0.3">
      <c r="B12" s="4" t="s">
        <v>131</v>
      </c>
      <c r="C12" s="16">
        <f>'DCF Model'!C13</f>
        <v>0.01</v>
      </c>
    </row>
    <row r="13" spans="2:9" ht="14" customHeight="1" x14ac:dyDescent="0.3">
      <c r="B13" s="4" t="s">
        <v>132</v>
      </c>
      <c r="C13" s="16">
        <f>'DCF Model'!C6</f>
        <v>0.25</v>
      </c>
    </row>
    <row r="14" spans="2:9" ht="14" customHeight="1" x14ac:dyDescent="0.3">
      <c r="B14" s="4" t="s">
        <v>133</v>
      </c>
      <c r="C14" s="27">
        <v>530735</v>
      </c>
    </row>
    <row r="15" spans="2:9" ht="14" customHeight="1" x14ac:dyDescent="0.3">
      <c r="B15" s="4" t="s">
        <v>134</v>
      </c>
      <c r="C15" s="27">
        <v>627703</v>
      </c>
    </row>
    <row r="16" spans="2:9" ht="14" customHeight="1" x14ac:dyDescent="0.3">
      <c r="B16" s="4" t="s">
        <v>135</v>
      </c>
      <c r="C16" s="5">
        <f>'DCF Model'!G33</f>
        <v>4252787.7672808524</v>
      </c>
    </row>
    <row r="17" spans="2:9" ht="14" customHeight="1" x14ac:dyDescent="0.3">
      <c r="B17" s="4" t="s">
        <v>136</v>
      </c>
      <c r="C17" s="5">
        <f>'DCF Model'!C53</f>
        <v>2306634.7647472667</v>
      </c>
    </row>
    <row r="18" spans="2:9" ht="14" customHeight="1" x14ac:dyDescent="0.3">
      <c r="B18" s="4" t="s">
        <v>137</v>
      </c>
      <c r="C18" s="26">
        <v>0.15660568712693429</v>
      </c>
    </row>
    <row r="19" spans="2:9" ht="14" customHeight="1" x14ac:dyDescent="0.3">
      <c r="B19" s="4" t="s">
        <v>138</v>
      </c>
      <c r="C19" s="5">
        <f>C10-C17</f>
        <v>5317281.744070733</v>
      </c>
    </row>
    <row r="20" spans="2:9" ht="14" customHeight="1" x14ac:dyDescent="0.3">
      <c r="B20" s="4" t="s">
        <v>139</v>
      </c>
      <c r="C20" s="15">
        <f>IFERROR(ROUND(C19*1000000/C7,0),"N/A")</f>
        <v>5901</v>
      </c>
    </row>
    <row r="22" spans="2:9" ht="14" customHeight="1" x14ac:dyDescent="0.3">
      <c r="B22" s="8" t="s">
        <v>140</v>
      </c>
      <c r="C22" s="9"/>
      <c r="D22" s="9"/>
      <c r="E22" s="9"/>
      <c r="F22" s="9"/>
      <c r="G22" s="9"/>
      <c r="H22" s="9"/>
      <c r="I22" s="9"/>
    </row>
    <row r="23" spans="2:9" ht="14" customHeight="1" x14ac:dyDescent="0.3">
      <c r="B23" s="1" t="s">
        <v>141</v>
      </c>
    </row>
    <row r="24" spans="2:9" ht="14" customHeight="1" x14ac:dyDescent="0.3">
      <c r="B24" s="4" t="s">
        <v>142</v>
      </c>
      <c r="C24" s="5">
        <f>C10*(C11-C12)</f>
        <v>700220.7083125487</v>
      </c>
    </row>
    <row r="25" spans="2:9" ht="14" customHeight="1" x14ac:dyDescent="0.3">
      <c r="B25" s="4" t="s">
        <v>143</v>
      </c>
      <c r="C25" s="5">
        <f>IFERROR(C24/(1-C13),"N/A")</f>
        <v>933627.61108339822</v>
      </c>
    </row>
    <row r="26" spans="2:9" ht="13.5" customHeight="1" x14ac:dyDescent="0.25">
      <c r="B26" s="6" t="s">
        <v>144</v>
      </c>
      <c r="C26" s="14">
        <f>IFERROR(C25/C15,"N/A")</f>
        <v>1.4873715930677378</v>
      </c>
    </row>
    <row r="27" spans="2:9" ht="13.5" customHeight="1" x14ac:dyDescent="0.25">
      <c r="B27" s="6" t="s">
        <v>145</v>
      </c>
      <c r="C27" s="14">
        <f>IFERROR(C25/C14,"N/A")</f>
        <v>1.7591219932421984</v>
      </c>
    </row>
    <row r="28" spans="2:9" ht="13.5" customHeight="1" x14ac:dyDescent="0.25">
      <c r="B28" s="6" t="s">
        <v>146</v>
      </c>
      <c r="C28" s="7">
        <f>IFERROR(C25/C16,"N/A")</f>
        <v>0.21953308327923945</v>
      </c>
    </row>
    <row r="29" spans="2:9" ht="13.5" customHeight="1" x14ac:dyDescent="0.25">
      <c r="B29" s="6" t="s">
        <v>147</v>
      </c>
      <c r="C29" s="5">
        <f>IFERROR(C25/C18,"N/A")</f>
        <v>5961645.6350442814</v>
      </c>
    </row>
    <row r="32" spans="2:9" ht="14" customHeight="1" x14ac:dyDescent="0.3">
      <c r="B32" s="8" t="s">
        <v>148</v>
      </c>
      <c r="C32" s="9"/>
      <c r="D32" s="9"/>
      <c r="E32" s="9"/>
      <c r="F32" s="9"/>
      <c r="G32" s="9"/>
      <c r="H32" s="9"/>
      <c r="I32" s="9"/>
    </row>
    <row r="33" spans="2:9" ht="14" customHeight="1" x14ac:dyDescent="0.3">
      <c r="B33" s="1" t="s">
        <v>149</v>
      </c>
    </row>
    <row r="34" spans="2:9" ht="14" customHeight="1" x14ac:dyDescent="0.3">
      <c r="B34" s="1" t="s">
        <v>150</v>
      </c>
    </row>
    <row r="36" spans="2:9" ht="14" customHeight="1" x14ac:dyDescent="0.3">
      <c r="B36" s="28" t="s">
        <v>151</v>
      </c>
      <c r="C36" s="28" t="s">
        <v>152</v>
      </c>
      <c r="D36" s="29">
        <f>'DCF Model'!C26-0.02</f>
        <v>8.184527499778585E-2</v>
      </c>
      <c r="E36" s="29">
        <f>'DCF Model'!C26-0.01</f>
        <v>9.1845274997785858E-2</v>
      </c>
      <c r="F36" s="29">
        <f>'DCF Model'!C26</f>
        <v>0.10184527499778585</v>
      </c>
      <c r="G36" s="29">
        <f>'DCF Model'!C26+0.01</f>
        <v>0.11184527499778585</v>
      </c>
      <c r="H36" s="29">
        <f>'DCF Model'!C26+0.02</f>
        <v>0.12184527499778586</v>
      </c>
    </row>
    <row r="37" spans="2:9" ht="14" customHeight="1" x14ac:dyDescent="0.3">
      <c r="B37" s="3" t="s">
        <v>153</v>
      </c>
    </row>
    <row r="38" spans="2:9" ht="14" customHeight="1" x14ac:dyDescent="0.3">
      <c r="B38" s="4" t="s">
        <v>154</v>
      </c>
      <c r="C38" s="30">
        <v>3</v>
      </c>
      <c r="D38" s="13">
        <f t="shared" ref="D38:H41" si="0">IFERROR((1-(1+D$36)^(-$C38))/D$36-(1+D$36)/(D$36^2*$C38)*(1-($C38+1)/(1+D$36)^$C38+$C38/(1+D$36)^($C38+1)),"N/A")</f>
        <v>0.90103661032986682</v>
      </c>
      <c r="E38" s="13">
        <f t="shared" si="0"/>
        <v>0.89019960161497691</v>
      </c>
      <c r="F38" s="13">
        <f t="shared" si="0"/>
        <v>0.87960578748527407</v>
      </c>
      <c r="G38" s="13">
        <f t="shared" si="0"/>
        <v>0.86924736295603533</v>
      </c>
      <c r="H38" s="13">
        <f t="shared" si="0"/>
        <v>0.85911684526067122</v>
      </c>
    </row>
    <row r="39" spans="2:9" ht="14" customHeight="1" x14ac:dyDescent="0.3">
      <c r="B39" s="4" t="s">
        <v>155</v>
      </c>
      <c r="C39" s="30">
        <v>5</v>
      </c>
      <c r="D39" s="13">
        <f t="shared" si="0"/>
        <v>1.7140436598783779</v>
      </c>
      <c r="E39" s="13">
        <f t="shared" si="0"/>
        <v>1.6840466569183152</v>
      </c>
      <c r="F39" s="13">
        <f t="shared" si="0"/>
        <v>1.6549715096183895</v>
      </c>
      <c r="G39" s="13">
        <f t="shared" si="0"/>
        <v>1.6267794654408112</v>
      </c>
      <c r="H39" s="13">
        <f t="shared" si="0"/>
        <v>1.5994337976535671</v>
      </c>
    </row>
    <row r="40" spans="2:9" ht="14" customHeight="1" x14ac:dyDescent="0.3">
      <c r="B40" s="4" t="s">
        <v>156</v>
      </c>
      <c r="C40" s="30">
        <v>7</v>
      </c>
      <c r="D40" s="13">
        <f t="shared" si="0"/>
        <v>2.4486714048282572</v>
      </c>
      <c r="E40" s="13">
        <f t="shared" si="0"/>
        <v>2.3932397346466119</v>
      </c>
      <c r="F40" s="13">
        <f t="shared" si="0"/>
        <v>2.3399502371917071</v>
      </c>
      <c r="G40" s="13">
        <f t="shared" si="0"/>
        <v>2.2886923440951725</v>
      </c>
      <c r="H40" s="13">
        <f t="shared" si="0"/>
        <v>2.2393624438113826</v>
      </c>
    </row>
    <row r="41" spans="2:9" ht="14" customHeight="1" x14ac:dyDescent="0.3">
      <c r="B41" s="4" t="s">
        <v>157</v>
      </c>
      <c r="C41" s="30">
        <v>10</v>
      </c>
      <c r="D41" s="13">
        <f t="shared" si="0"/>
        <v>3.4220224591718655</v>
      </c>
      <c r="E41" s="13">
        <f t="shared" si="0"/>
        <v>3.3202214503511231</v>
      </c>
      <c r="F41" s="13">
        <f t="shared" si="0"/>
        <v>3.2234934425009176</v>
      </c>
      <c r="G41" s="13">
        <f t="shared" si="0"/>
        <v>3.131507123231259</v>
      </c>
      <c r="H41" s="13">
        <f t="shared" si="0"/>
        <v>3.0439571023723193</v>
      </c>
    </row>
    <row r="42" spans="2:9" ht="14" customHeight="1" x14ac:dyDescent="0.3">
      <c r="B42" s="3" t="s">
        <v>158</v>
      </c>
    </row>
    <row r="43" spans="2:9" ht="14" customHeight="1" x14ac:dyDescent="0.3">
      <c r="B43" s="4" t="s">
        <v>154</v>
      </c>
      <c r="C43" s="30">
        <v>3</v>
      </c>
      <c r="D43" s="13">
        <f t="shared" ref="D43:H46" si="1">IFERROR((1+D$36)/(D$36^2*$C43)*(1-($C43+1)/(1+D$36)^$C43+$C43/(1+D$36)^($C43+1))+(1+$C$12)/((D$36-$C$12)*(1+D$36)^$C43),"N/A")</f>
        <v>12.770180706396051</v>
      </c>
      <c r="E43" s="13">
        <f t="shared" si="1"/>
        <v>11.113582154179422</v>
      </c>
      <c r="F43" s="13">
        <f t="shared" si="1"/>
        <v>9.8197743474554997</v>
      </c>
      <c r="G43" s="13">
        <f t="shared" si="1"/>
        <v>8.7818300810579011</v>
      </c>
      <c r="H43" s="13">
        <f t="shared" si="1"/>
        <v>7.9310656623816334</v>
      </c>
    </row>
    <row r="44" spans="2:9" ht="14" customHeight="1" x14ac:dyDescent="0.3">
      <c r="B44" s="4" t="s">
        <v>155</v>
      </c>
      <c r="C44" s="30">
        <v>5</v>
      </c>
      <c r="D44" s="13">
        <f t="shared" si="1"/>
        <v>11.745635056152</v>
      </c>
      <c r="E44" s="13">
        <f t="shared" si="1"/>
        <v>10.139892922267755</v>
      </c>
      <c r="F44" s="13">
        <f t="shared" si="1"/>
        <v>8.8891479505157918</v>
      </c>
      <c r="G44" s="13">
        <f t="shared" si="1"/>
        <v>7.8886092440964504</v>
      </c>
      <c r="H44" s="13">
        <f t="shared" si="1"/>
        <v>7.07097425101</v>
      </c>
    </row>
    <row r="45" spans="2:9" ht="14" customHeight="1" x14ac:dyDescent="0.3">
      <c r="B45" s="4" t="s">
        <v>156</v>
      </c>
      <c r="C45" s="30">
        <v>7</v>
      </c>
      <c r="D45" s="13">
        <f t="shared" si="1"/>
        <v>10.830265212018411</v>
      </c>
      <c r="E45" s="13">
        <f t="shared" si="1"/>
        <v>9.2798414949704071</v>
      </c>
      <c r="F45" s="13">
        <f t="shared" si="1"/>
        <v>8.076284036157876</v>
      </c>
      <c r="G45" s="13">
        <f t="shared" si="1"/>
        <v>7.1169335893963037</v>
      </c>
      <c r="H45" s="13">
        <f t="shared" si="1"/>
        <v>6.3358759944150034</v>
      </c>
    </row>
    <row r="46" spans="2:9" ht="14" customHeight="1" x14ac:dyDescent="0.3">
      <c r="B46" s="4" t="s">
        <v>157</v>
      </c>
      <c r="C46" s="30">
        <v>10</v>
      </c>
      <c r="D46" s="13">
        <f t="shared" si="1"/>
        <v>9.6339180595450564</v>
      </c>
      <c r="E46" s="13">
        <f t="shared" si="1"/>
        <v>8.1709081871453328</v>
      </c>
      <c r="F46" s="13">
        <f t="shared" si="1"/>
        <v>7.0419204030478664</v>
      </c>
      <c r="G46" s="13">
        <f t="shared" si="1"/>
        <v>6.147513700818533</v>
      </c>
      <c r="H46" s="13">
        <f t="shared" si="1"/>
        <v>5.4238943919420439</v>
      </c>
    </row>
    <row r="47" spans="2:9" ht="14" customHeight="1" x14ac:dyDescent="0.3">
      <c r="B47" s="22" t="s">
        <v>159</v>
      </c>
      <c r="C47" s="23"/>
      <c r="D47" s="23"/>
      <c r="E47" s="23"/>
      <c r="F47" s="23"/>
      <c r="G47" s="23"/>
      <c r="H47" s="23"/>
      <c r="I47" s="23"/>
    </row>
    <row r="48" spans="2:9" ht="14" customHeight="1" x14ac:dyDescent="0.3">
      <c r="B48" s="4" t="s">
        <v>154</v>
      </c>
      <c r="C48" s="30">
        <v>3</v>
      </c>
      <c r="D48" s="5">
        <f t="shared" ref="D48:H51" si="2">IFERROR(($C$10/(1-$C$13)-$C$14*D38)/D43,"N/A")</f>
        <v>758564.86052089231</v>
      </c>
      <c r="E48" s="5">
        <f t="shared" si="2"/>
        <v>872154.61151282396</v>
      </c>
      <c r="F48" s="5">
        <f t="shared" si="2"/>
        <v>987638.21763881797</v>
      </c>
      <c r="G48" s="5">
        <f t="shared" si="2"/>
        <v>1104995.4192930462</v>
      </c>
      <c r="H48" s="5">
        <f t="shared" si="2"/>
        <v>1224206.0583283964</v>
      </c>
    </row>
    <row r="49" spans="2:9" ht="14" customHeight="1" x14ac:dyDescent="0.3">
      <c r="B49" s="4" t="s">
        <v>155</v>
      </c>
      <c r="C49" s="30">
        <v>5</v>
      </c>
      <c r="D49" s="5">
        <f t="shared" si="2"/>
        <v>787996.47747305303</v>
      </c>
      <c r="E49" s="5">
        <f t="shared" si="2"/>
        <v>914352.80237892899</v>
      </c>
      <c r="F49" s="5">
        <f t="shared" si="2"/>
        <v>1044742.5061770005</v>
      </c>
      <c r="G49" s="5">
        <f t="shared" si="2"/>
        <v>1179147.4167804369</v>
      </c>
      <c r="H49" s="5">
        <f t="shared" si="2"/>
        <v>1317547.792488276</v>
      </c>
    </row>
    <row r="50" spans="2:9" ht="14" customHeight="1" x14ac:dyDescent="0.3">
      <c r="B50" s="4" t="s">
        <v>156</v>
      </c>
      <c r="C50" s="30">
        <v>7</v>
      </c>
      <c r="D50" s="5">
        <f t="shared" si="2"/>
        <v>818597.34920226783</v>
      </c>
      <c r="E50" s="5">
        <f t="shared" si="2"/>
        <v>958534.25147516804</v>
      </c>
      <c r="F50" s="5">
        <f t="shared" si="2"/>
        <v>1104880.4725875489</v>
      </c>
      <c r="G50" s="5">
        <f t="shared" si="2"/>
        <v>1257638.9491465259</v>
      </c>
      <c r="H50" s="5">
        <f t="shared" si="2"/>
        <v>1416807.0828807196</v>
      </c>
    </row>
    <row r="51" spans="2:9" ht="14" customHeight="1" x14ac:dyDescent="0.3">
      <c r="B51" s="4" t="s">
        <v>157</v>
      </c>
      <c r="C51" s="30">
        <v>10</v>
      </c>
      <c r="D51" s="5">
        <f t="shared" si="2"/>
        <v>866629.22294805362</v>
      </c>
      <c r="E51" s="5">
        <f t="shared" si="2"/>
        <v>1028412.5201070219</v>
      </c>
      <c r="F51" s="5">
        <f t="shared" si="2"/>
        <v>1200581.7640160196</v>
      </c>
      <c r="G51" s="5">
        <f t="shared" si="2"/>
        <v>1383196.8487645662</v>
      </c>
      <c r="H51" s="5">
        <f t="shared" si="2"/>
        <v>1576300.4994587507</v>
      </c>
    </row>
    <row r="52" spans="2:9" ht="14" customHeight="1" x14ac:dyDescent="0.3">
      <c r="B52" s="22" t="s">
        <v>160</v>
      </c>
      <c r="C52" s="23"/>
      <c r="D52" s="23"/>
      <c r="E52" s="23"/>
      <c r="F52" s="23"/>
      <c r="G52" s="23"/>
      <c r="H52" s="23"/>
      <c r="I52" s="23"/>
    </row>
    <row r="53" spans="2:9" ht="14" customHeight="1" x14ac:dyDescent="0.3">
      <c r="B53" s="4" t="s">
        <v>154</v>
      </c>
      <c r="C53" s="30">
        <v>3</v>
      </c>
      <c r="D53" s="14">
        <f t="shared" ref="D53:H56" si="3">IFERROR(D48/$C$15,"N/A")</f>
        <v>1.2084773539729654</v>
      </c>
      <c r="E53" s="14">
        <f t="shared" si="3"/>
        <v>1.3894383355071172</v>
      </c>
      <c r="F53" s="14">
        <f t="shared" si="3"/>
        <v>1.5734164368161663</v>
      </c>
      <c r="G53" s="14">
        <f t="shared" si="3"/>
        <v>1.7603793821170939</v>
      </c>
      <c r="H53" s="14">
        <f t="shared" si="3"/>
        <v>1.9502950572617885</v>
      </c>
    </row>
    <row r="54" spans="2:9" ht="14" customHeight="1" x14ac:dyDescent="0.3">
      <c r="B54" s="4" t="s">
        <v>155</v>
      </c>
      <c r="C54" s="30">
        <v>5</v>
      </c>
      <c r="D54" s="14">
        <f t="shared" si="3"/>
        <v>1.2553651607098468</v>
      </c>
      <c r="E54" s="14">
        <f t="shared" si="3"/>
        <v>1.4566647003103841</v>
      </c>
      <c r="F54" s="14">
        <f t="shared" si="3"/>
        <v>1.6643898566312421</v>
      </c>
      <c r="G54" s="14">
        <f t="shared" si="3"/>
        <v>1.8785116795370371</v>
      </c>
      <c r="H54" s="14">
        <f t="shared" si="3"/>
        <v>2.0989987183242329</v>
      </c>
    </row>
    <row r="55" spans="2:9" ht="14" customHeight="1" x14ac:dyDescent="0.3">
      <c r="B55" s="4" t="s">
        <v>156</v>
      </c>
      <c r="C55" s="30">
        <v>7</v>
      </c>
      <c r="D55" s="14">
        <f t="shared" si="3"/>
        <v>1.30411571906183</v>
      </c>
      <c r="E55" s="14">
        <f t="shared" si="3"/>
        <v>1.5270506138654236</v>
      </c>
      <c r="F55" s="14">
        <f t="shared" si="3"/>
        <v>1.7601962593576084</v>
      </c>
      <c r="G55" s="14">
        <f t="shared" si="3"/>
        <v>2.0035573338768908</v>
      </c>
      <c r="H55" s="14">
        <f t="shared" si="3"/>
        <v>2.2571296980908482</v>
      </c>
    </row>
    <row r="56" spans="2:9" ht="14" customHeight="1" x14ac:dyDescent="0.3">
      <c r="B56" s="4" t="s">
        <v>157</v>
      </c>
      <c r="C56" s="30">
        <v>10</v>
      </c>
      <c r="D56" s="14">
        <f t="shared" si="3"/>
        <v>1.3806357830822118</v>
      </c>
      <c r="E56" s="14">
        <f t="shared" si="3"/>
        <v>1.638374390606739</v>
      </c>
      <c r="F56" s="14">
        <f t="shared" si="3"/>
        <v>1.9126589549771462</v>
      </c>
      <c r="G56" s="14">
        <f t="shared" si="3"/>
        <v>2.2035848940734173</v>
      </c>
      <c r="H56" s="14">
        <f t="shared" si="3"/>
        <v>2.5112202736943279</v>
      </c>
    </row>
    <row r="58" spans="2:9" ht="14" customHeight="1" x14ac:dyDescent="0.3">
      <c r="B58" s="8" t="s">
        <v>161</v>
      </c>
      <c r="C58" s="9"/>
      <c r="D58" s="9"/>
      <c r="E58" s="9"/>
      <c r="F58" s="9"/>
      <c r="G58" s="9"/>
      <c r="H58" s="9"/>
      <c r="I58" s="9"/>
    </row>
    <row r="59" spans="2:9" ht="14" customHeight="1" x14ac:dyDescent="0.3">
      <c r="B59" s="1" t="s">
        <v>162</v>
      </c>
    </row>
    <row r="60" spans="2:9" ht="14" customHeight="1" x14ac:dyDescent="0.3">
      <c r="B60" s="4" t="s">
        <v>163</v>
      </c>
      <c r="C60" s="5">
        <f>F49</f>
        <v>1044742.5061770005</v>
      </c>
    </row>
    <row r="62" spans="2:9" ht="14" customHeight="1" x14ac:dyDescent="0.3">
      <c r="B62" s="28" t="s">
        <v>164</v>
      </c>
      <c r="C62" s="28" t="s">
        <v>165</v>
      </c>
      <c r="D62" s="28" t="s">
        <v>166</v>
      </c>
    </row>
    <row r="63" spans="2:9" ht="14" customHeight="1" x14ac:dyDescent="0.3">
      <c r="B63" s="31">
        <v>7.8299999999999995E-2</v>
      </c>
      <c r="C63" s="5">
        <f>IFERROR($C$60/B63,"N/A")</f>
        <v>13342816.170842919</v>
      </c>
      <c r="D63" s="14">
        <f>IFERROR(C63/'DCF Model'!C17,"N/A")</f>
        <v>3.3301975610435446</v>
      </c>
    </row>
    <row r="64" spans="2:9" ht="14" customHeight="1" x14ac:dyDescent="0.3">
      <c r="B64" s="31">
        <v>0.11749999999999999</v>
      </c>
      <c r="C64" s="5">
        <f>IFERROR($C$60/B64,"N/A")</f>
        <v>8891425.5844851118</v>
      </c>
      <c r="D64" s="14">
        <f>IFERROR(C64/'DCF Model'!C17,"N/A")</f>
        <v>2.2191869704656129</v>
      </c>
    </row>
    <row r="65" spans="2:9" ht="14" customHeight="1" x14ac:dyDescent="0.3">
      <c r="B65" s="4" t="s">
        <v>167</v>
      </c>
      <c r="C65" s="5">
        <f>IFERROR($C$60/$C$18,"N/A")</f>
        <v>6671165.8136029299</v>
      </c>
      <c r="D65" s="14">
        <f>IFERROR(C65/'DCF Model'!C17,"N/A")</f>
        <v>1.6650383125509296</v>
      </c>
    </row>
    <row r="66" spans="2:9" ht="14" customHeight="1" x14ac:dyDescent="0.3">
      <c r="B66" s="31">
        <v>0.1958</v>
      </c>
      <c r="C66" s="5">
        <f>IFERROR($C$60/B66,"N/A")</f>
        <v>5335763.5657660905</v>
      </c>
      <c r="D66" s="14">
        <f>IFERROR(C66/'DCF Model'!C17,"N/A")</f>
        <v>1.3317388612344714</v>
      </c>
    </row>
    <row r="67" spans="2:9" ht="14" customHeight="1" x14ac:dyDescent="0.3">
      <c r="B67" s="31">
        <v>0.2349</v>
      </c>
      <c r="C67" s="5">
        <f>IFERROR($C$60/B67,"N/A")</f>
        <v>4447605.3902809722</v>
      </c>
      <c r="D67" s="14">
        <f>IFERROR(C67/'DCF Model'!C17,"N/A")</f>
        <v>1.1100658536811812</v>
      </c>
    </row>
    <row r="69" spans="2:9" ht="14" customHeight="1" x14ac:dyDescent="0.3">
      <c r="B69" s="8" t="s">
        <v>168</v>
      </c>
      <c r="C69" s="9"/>
      <c r="D69" s="9"/>
      <c r="E69" s="9"/>
      <c r="F69" s="9"/>
      <c r="G69" s="9"/>
      <c r="H69" s="9"/>
      <c r="I69" s="9"/>
    </row>
    <row r="70" spans="2:9" ht="13.5" customHeight="1" x14ac:dyDescent="0.25">
      <c r="B70" s="6" t="s">
        <v>169</v>
      </c>
      <c r="C70" s="14">
        <f>IFERROR(C10/'Comps Analysis'!G5,"N/A")</f>
        <v>11.696460200023319</v>
      </c>
    </row>
    <row r="71" spans="2:9" ht="13.5" customHeight="1" x14ac:dyDescent="0.25">
      <c r="B71" s="6" t="s">
        <v>170</v>
      </c>
      <c r="C71" s="14">
        <f>IFERROR(C10/'Comps Analysis'!F5,"N/A")</f>
        <v>1.9028327931809752</v>
      </c>
    </row>
    <row r="72" spans="2:9" ht="14" customHeight="1" x14ac:dyDescent="0.3">
      <c r="B72" s="4" t="s">
        <v>171</v>
      </c>
      <c r="C72" s="14">
        <f>IFERROR(C10/(C25+'DCF Model'!G42),"N/A")</f>
        <v>7.1778365257362866</v>
      </c>
    </row>
    <row r="73" spans="2:9" ht="14" customHeight="1" x14ac:dyDescent="0.3">
      <c r="B73" s="4" t="s">
        <v>172</v>
      </c>
      <c r="C73" s="14">
        <f>IFERROR(C10/(C60+'DCF Model'!G42),"N/A")</f>
        <v>6.4980525381871477</v>
      </c>
    </row>
    <row r="74" spans="2:9" ht="14" customHeight="1" x14ac:dyDescent="0.3">
      <c r="B74" s="4" t="s">
        <v>173</v>
      </c>
      <c r="C74" s="14">
        <f>IFERROR('Comps Analysis'!D16,"N/A")</f>
        <v>8.5404992491297715</v>
      </c>
    </row>
    <row r="75" spans="2:9" ht="14" customHeight="1" x14ac:dyDescent="0.3">
      <c r="B75" s="1" t="s">
        <v>174</v>
      </c>
    </row>
    <row r="77" spans="2:9" ht="14" customHeight="1" x14ac:dyDescent="0.3">
      <c r="B77" s="22" t="s">
        <v>175</v>
      </c>
      <c r="C77" s="23"/>
      <c r="D77" s="23"/>
      <c r="E77" s="23"/>
      <c r="F77" s="23"/>
      <c r="G77" s="23"/>
      <c r="H77" s="23"/>
      <c r="I77" s="23"/>
    </row>
    <row r="78" spans="2:9" ht="14" customHeight="1" x14ac:dyDescent="0.3">
      <c r="B78" s="4" t="str">
        <f>"At "&amp;TEXT(C6,"#,##0")&amp;" yen the market is paying for a steady-state operating profit of "&amp;TEXT(F49,"#,##0")&amp;" mn JPY - "&amp;TEXT(F54,"0.00")&amp;"x the FY2025 cycle peak of "&amp;TEXT(C15,"#,##0")&amp;" mn - reached in 5 years and sustained for ever, against "&amp;TEXT(C14,"#,##0")&amp;" mn actually earned in FY2026."</f>
        <v>At 7,493 yen the market is paying for a steady-state operating profit of 1,044,743 mn JPY - 1.66x the FY2025 cycle peak of 627,703 mn - reached in 5 years and sustained for ever, against 530,735 mn actually earned in FY2026.</v>
      </c>
    </row>
    <row r="79" spans="2:9" ht="14" customHeight="1"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933,628 mn, or 1.49x the peak. The base case supports an EV of only 2,306,635 mn, leaving 5,901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29"/>
  <sheetViews>
    <sheetView workbookViewId="0"/>
  </sheetViews>
  <sheetFormatPr defaultRowHeight="13" x14ac:dyDescent="0.2"/>
  <cols>
    <col min="1" max="1" width="3" customWidth="1"/>
    <col min="2" max="2" width="28" customWidth="1"/>
    <col min="3" max="8" width="16" customWidth="1"/>
  </cols>
  <sheetData>
    <row r="2" spans="2:8" ht="18" customHeight="1" x14ac:dyDescent="0.4">
      <c r="B2" s="2" t="s">
        <v>176</v>
      </c>
    </row>
    <row r="4" spans="2:8" ht="14" customHeight="1" x14ac:dyDescent="0.3">
      <c r="B4" s="8" t="s">
        <v>177</v>
      </c>
      <c r="C4" s="32" t="s">
        <v>178</v>
      </c>
      <c r="D4" s="32" t="s">
        <v>85</v>
      </c>
      <c r="E4" s="32" t="s">
        <v>86</v>
      </c>
      <c r="F4" s="32" t="s">
        <v>87</v>
      </c>
      <c r="G4" s="32" t="s">
        <v>88</v>
      </c>
      <c r="H4" s="32" t="s">
        <v>89</v>
      </c>
    </row>
    <row r="5" spans="2:8" ht="14" customHeight="1" x14ac:dyDescent="0.3">
      <c r="B5" s="33" t="s">
        <v>179</v>
      </c>
      <c r="C5" s="34">
        <f>C18/C9</f>
        <v>6.7870026910503478E-2</v>
      </c>
      <c r="D5" s="34">
        <f>CHOOSE('DCF Model'!$D$27,D25,D26,D27,D28,D29)</f>
        <v>0.57369999999999999</v>
      </c>
      <c r="E5" s="34">
        <f>CHOOSE('DCF Model'!$D$27,E25,E26,E27,E28,E29)</f>
        <v>0.57369999999999999</v>
      </c>
      <c r="F5" s="34">
        <f>CHOOSE('DCF Model'!$D$27,F25,F26,F27,F28,F29)</f>
        <v>0.57369999999999999</v>
      </c>
      <c r="G5" s="34">
        <f>CHOOSE('DCF Model'!$D$27,G25,G26,G27,G28,G29)</f>
        <v>0.57369999999999999</v>
      </c>
      <c r="H5" s="34">
        <f>CHOOSE('DCF Model'!$D$27,H25,H26,H27,H28,H29)</f>
        <v>0.57369999999999999</v>
      </c>
    </row>
    <row r="6" spans="2:8" ht="14" customHeight="1" x14ac:dyDescent="0.3">
      <c r="B6" s="35" t="s">
        <v>180</v>
      </c>
      <c r="C6" s="35" t="s">
        <v>180</v>
      </c>
      <c r="D6" s="35" t="s">
        <v>180</v>
      </c>
      <c r="E6" s="35" t="s">
        <v>180</v>
      </c>
      <c r="F6" s="35" t="s">
        <v>180</v>
      </c>
      <c r="G6" s="35" t="s">
        <v>180</v>
      </c>
      <c r="H6" s="35" t="s">
        <v>180</v>
      </c>
    </row>
    <row r="7" spans="2:8" ht="14" customHeight="1" x14ac:dyDescent="0.3">
      <c r="B7" s="35" t="s">
        <v>180</v>
      </c>
      <c r="C7" s="35" t="s">
        <v>180</v>
      </c>
      <c r="D7" s="35" t="s">
        <v>180</v>
      </c>
      <c r="E7" s="35" t="s">
        <v>180</v>
      </c>
      <c r="F7" s="35" t="s">
        <v>180</v>
      </c>
      <c r="G7" s="35" t="s">
        <v>180</v>
      </c>
      <c r="H7" s="35" t="s">
        <v>180</v>
      </c>
    </row>
    <row r="8" spans="2:8" ht="14" customHeight="1" x14ac:dyDescent="0.3">
      <c r="B8" s="8" t="s">
        <v>181</v>
      </c>
      <c r="C8" s="9"/>
      <c r="D8" s="9"/>
      <c r="E8" s="9"/>
      <c r="F8" s="9"/>
      <c r="G8" s="9"/>
      <c r="H8" s="9"/>
    </row>
    <row r="9" spans="2:8" ht="14" customHeight="1" x14ac:dyDescent="0.3">
      <c r="B9" s="33" t="s">
        <v>37</v>
      </c>
      <c r="C9" s="36">
        <v>4006614</v>
      </c>
      <c r="D9" s="36">
        <f>'DCF Model'!C33</f>
        <v>4046680.14</v>
      </c>
      <c r="E9" s="36">
        <f>'DCF Model'!D33</f>
        <v>4107380.3420999995</v>
      </c>
      <c r="F9" s="36">
        <f>'DCF Model'!E33</f>
        <v>4168991.0472314991</v>
      </c>
      <c r="G9" s="36">
        <f>'DCF Model'!F33</f>
        <v>4210680.9577038139</v>
      </c>
      <c r="H9" s="36">
        <f>'DCF Model'!G33</f>
        <v>4252787.7672808524</v>
      </c>
    </row>
    <row r="10" spans="2:8" ht="14" customHeight="1" x14ac:dyDescent="0.3">
      <c r="B10" s="35" t="s">
        <v>180</v>
      </c>
      <c r="C10" s="35" t="s">
        <v>180</v>
      </c>
      <c r="D10" s="35" t="s">
        <v>180</v>
      </c>
      <c r="E10" s="35" t="s">
        <v>180</v>
      </c>
      <c r="F10" s="35" t="s">
        <v>180</v>
      </c>
      <c r="G10" s="35" t="s">
        <v>180</v>
      </c>
      <c r="H10" s="35" t="s">
        <v>180</v>
      </c>
    </row>
    <row r="11" spans="2:8" ht="14" customHeight="1" x14ac:dyDescent="0.3">
      <c r="B11" s="8" t="s">
        <v>182</v>
      </c>
      <c r="C11" s="9"/>
      <c r="D11" s="9"/>
      <c r="E11" s="9"/>
      <c r="F11" s="9"/>
      <c r="G11" s="9"/>
      <c r="H11" s="9"/>
    </row>
    <row r="12" spans="2:8" ht="14" customHeight="1" x14ac:dyDescent="0.3">
      <c r="B12" s="35" t="s">
        <v>180</v>
      </c>
      <c r="C12" s="35" t="s">
        <v>180</v>
      </c>
      <c r="D12" s="35" t="s">
        <v>180</v>
      </c>
      <c r="E12" s="35" t="s">
        <v>180</v>
      </c>
      <c r="F12" s="35" t="s">
        <v>180</v>
      </c>
      <c r="G12" s="35" t="s">
        <v>180</v>
      </c>
      <c r="H12" s="35" t="s">
        <v>180</v>
      </c>
    </row>
    <row r="13" spans="2:8" ht="14" customHeight="1" x14ac:dyDescent="0.3">
      <c r="B13" s="35" t="s">
        <v>180</v>
      </c>
      <c r="C13" s="35" t="s">
        <v>180</v>
      </c>
      <c r="D13" s="35" t="s">
        <v>180</v>
      </c>
      <c r="E13" s="35" t="s">
        <v>180</v>
      </c>
      <c r="F13" s="35" t="s">
        <v>180</v>
      </c>
      <c r="G13" s="35" t="s">
        <v>180</v>
      </c>
      <c r="H13" s="35" t="s">
        <v>180</v>
      </c>
    </row>
    <row r="14" spans="2:8" ht="14" customHeight="1" x14ac:dyDescent="0.3">
      <c r="B14" s="35" t="s">
        <v>180</v>
      </c>
      <c r="C14" s="35" t="s">
        <v>180</v>
      </c>
      <c r="D14" s="35" t="s">
        <v>180</v>
      </c>
      <c r="E14" s="35" t="s">
        <v>180</v>
      </c>
      <c r="F14" s="35" t="s">
        <v>180</v>
      </c>
      <c r="G14" s="35" t="s">
        <v>180</v>
      </c>
      <c r="H14" s="35" t="s">
        <v>180</v>
      </c>
    </row>
    <row r="15" spans="2:8" ht="14" customHeight="1" x14ac:dyDescent="0.3">
      <c r="B15" s="35" t="s">
        <v>180</v>
      </c>
      <c r="C15" s="35" t="s">
        <v>180</v>
      </c>
      <c r="D15" s="35" t="s">
        <v>180</v>
      </c>
      <c r="E15" s="35" t="s">
        <v>180</v>
      </c>
      <c r="F15" s="35" t="s">
        <v>180</v>
      </c>
      <c r="G15" s="35" t="s">
        <v>180</v>
      </c>
      <c r="H15" s="35" t="s">
        <v>180</v>
      </c>
    </row>
    <row r="16" spans="2:8" ht="14" customHeight="1" x14ac:dyDescent="0.3">
      <c r="B16" s="35" t="s">
        <v>180</v>
      </c>
      <c r="C16" s="35" t="s">
        <v>180</v>
      </c>
      <c r="D16" s="35" t="s">
        <v>180</v>
      </c>
      <c r="E16" s="35" t="s">
        <v>180</v>
      </c>
      <c r="F16" s="35" t="s">
        <v>180</v>
      </c>
      <c r="G16" s="35" t="s">
        <v>180</v>
      </c>
      <c r="H16" s="35" t="s">
        <v>180</v>
      </c>
    </row>
    <row r="17" spans="2:8" ht="14" customHeight="1" x14ac:dyDescent="0.3">
      <c r="B17" s="22" t="s">
        <v>183</v>
      </c>
      <c r="C17" s="23"/>
      <c r="D17" s="23"/>
      <c r="E17" s="23"/>
      <c r="F17" s="23"/>
      <c r="G17" s="23"/>
      <c r="H17" s="23"/>
    </row>
    <row r="18" spans="2:8" ht="14" customHeight="1" x14ac:dyDescent="0.3">
      <c r="B18" s="33" t="s">
        <v>184</v>
      </c>
      <c r="C18" s="20">
        <v>271929</v>
      </c>
      <c r="D18" s="20">
        <f>D9*D5</f>
        <v>2321580.3963179998</v>
      </c>
      <c r="E18" s="20">
        <f>E9*E5</f>
        <v>2356404.1022627698</v>
      </c>
      <c r="F18" s="20">
        <f>F9*F5</f>
        <v>2391750.1637967108</v>
      </c>
      <c r="G18" s="20">
        <f>G9*G5</f>
        <v>2415667.6654346781</v>
      </c>
      <c r="H18" s="20">
        <f>H9*H5</f>
        <v>2439824.3420890248</v>
      </c>
    </row>
    <row r="19" spans="2:8" ht="14" customHeight="1" x14ac:dyDescent="0.3">
      <c r="B19" s="33" t="s">
        <v>99</v>
      </c>
      <c r="C19" s="37" t="s">
        <v>47</v>
      </c>
      <c r="D19" s="24">
        <f>D18-C18</f>
        <v>2049651.3963179998</v>
      </c>
      <c r="E19" s="24">
        <f>E18-D18</f>
        <v>34823.705944770016</v>
      </c>
      <c r="F19" s="24">
        <f>F18-E18</f>
        <v>35346.061533940956</v>
      </c>
      <c r="G19" s="24">
        <f>G18-F18</f>
        <v>23917.501637967303</v>
      </c>
      <c r="H19" s="24">
        <f>H18-G18</f>
        <v>24156.676654346753</v>
      </c>
    </row>
    <row r="22" spans="2:8" ht="14" customHeight="1" x14ac:dyDescent="0.3">
      <c r="B22" s="22" t="s">
        <v>185</v>
      </c>
      <c r="C22" s="23"/>
      <c r="D22" s="23"/>
      <c r="E22" s="23"/>
      <c r="F22" s="23"/>
      <c r="G22" s="23"/>
      <c r="H22" s="23"/>
    </row>
    <row r="23" spans="2:8" ht="14" customHeight="1" x14ac:dyDescent="0.3">
      <c r="D23" s="25" t="s">
        <v>85</v>
      </c>
      <c r="E23" s="25" t="s">
        <v>86</v>
      </c>
      <c r="F23" s="25" t="s">
        <v>87</v>
      </c>
      <c r="G23" s="25" t="s">
        <v>88</v>
      </c>
      <c r="H23" s="25" t="s">
        <v>89</v>
      </c>
    </row>
    <row r="24" spans="2:8" ht="14" customHeight="1" x14ac:dyDescent="0.3">
      <c r="B24" s="3" t="s">
        <v>179</v>
      </c>
    </row>
    <row r="25" spans="2:8" ht="14" customHeight="1" x14ac:dyDescent="0.3">
      <c r="B25" s="4" t="s">
        <v>83</v>
      </c>
      <c r="D25" s="26">
        <v>0.57369999999999999</v>
      </c>
      <c r="E25" s="26">
        <v>0.57369999999999999</v>
      </c>
      <c r="F25" s="26">
        <v>0.57369999999999999</v>
      </c>
      <c r="G25" s="26">
        <v>0.57369999999999999</v>
      </c>
      <c r="H25" s="26">
        <v>0.57369999999999999</v>
      </c>
    </row>
    <row r="26" spans="2:8" ht="14" customHeight="1" x14ac:dyDescent="0.3">
      <c r="B26" s="4" t="s">
        <v>120</v>
      </c>
      <c r="D26" s="26">
        <v>0.57369999999999999</v>
      </c>
      <c r="E26" s="26">
        <v>0.57369999999999999</v>
      </c>
      <c r="F26" s="26">
        <v>0.57369999999999999</v>
      </c>
      <c r="G26" s="26">
        <v>0.57369999999999999</v>
      </c>
      <c r="H26" s="26">
        <v>0.57369999999999999</v>
      </c>
    </row>
    <row r="27" spans="2:8" ht="14" customHeight="1" x14ac:dyDescent="0.3">
      <c r="B27" s="4" t="s">
        <v>121</v>
      </c>
      <c r="D27" s="26">
        <v>0.57369999999999999</v>
      </c>
      <c r="E27" s="26">
        <v>0.57369999999999999</v>
      </c>
      <c r="F27" s="26">
        <v>0.57369999999999999</v>
      </c>
      <c r="G27" s="26">
        <v>0.57369999999999999</v>
      </c>
      <c r="H27" s="26">
        <v>0.57369999999999999</v>
      </c>
    </row>
    <row r="28" spans="2:8" ht="14" customHeight="1" x14ac:dyDescent="0.3">
      <c r="B28" s="4" t="s">
        <v>122</v>
      </c>
      <c r="D28" s="26">
        <v>0.57369999999999999</v>
      </c>
      <c r="E28" s="26">
        <v>0.57369999999999999</v>
      </c>
      <c r="F28" s="26">
        <v>0.57369999999999999</v>
      </c>
      <c r="G28" s="26">
        <v>0.57369999999999999</v>
      </c>
      <c r="H28" s="26">
        <v>0.57369999999999999</v>
      </c>
    </row>
    <row r="29" spans="2:8" ht="14" customHeight="1" x14ac:dyDescent="0.3">
      <c r="B29" s="4" t="s">
        <v>123</v>
      </c>
      <c r="D29" s="26">
        <v>0.57369999999999999</v>
      </c>
      <c r="E29" s="26">
        <v>0.57369999999999999</v>
      </c>
      <c r="F29" s="26">
        <v>0.57369999999999999</v>
      </c>
      <c r="G29" s="26">
        <v>0.57369999999999999</v>
      </c>
      <c r="H29" s="26">
        <v>0.57369999999999999</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customHeight="1" x14ac:dyDescent="0.4">
      <c r="B2" s="2" t="s">
        <v>186</v>
      </c>
    </row>
    <row r="3" spans="2:17" ht="14" customHeight="1" x14ac:dyDescent="0.3">
      <c r="B3" s="1" t="s">
        <v>187</v>
      </c>
    </row>
    <row r="4" spans="2:17" ht="28" customHeight="1" x14ac:dyDescent="0.3">
      <c r="B4" s="10" t="s">
        <v>3</v>
      </c>
      <c r="C4" s="10" t="s">
        <v>5</v>
      </c>
      <c r="D4" s="10" t="s">
        <v>188</v>
      </c>
      <c r="E4" s="10" t="s">
        <v>189</v>
      </c>
      <c r="F4" s="10" t="s">
        <v>190</v>
      </c>
      <c r="G4" s="10" t="s">
        <v>191</v>
      </c>
      <c r="H4" s="10" t="s">
        <v>192</v>
      </c>
      <c r="I4" s="10" t="s">
        <v>193</v>
      </c>
      <c r="J4" s="10" t="s">
        <v>194</v>
      </c>
      <c r="K4" s="10" t="s">
        <v>195</v>
      </c>
      <c r="L4" s="10" t="s">
        <v>196</v>
      </c>
      <c r="M4" s="10" t="s">
        <v>197</v>
      </c>
      <c r="N4" s="10" t="s">
        <v>198</v>
      </c>
      <c r="O4" s="10" t="s">
        <v>199</v>
      </c>
      <c r="P4" s="10" t="s">
        <v>200</v>
      </c>
      <c r="Q4" s="10" t="s">
        <v>201</v>
      </c>
    </row>
    <row r="5" spans="2:17" ht="14" customHeight="1" x14ac:dyDescent="0.3">
      <c r="B5" s="4" t="s">
        <v>202</v>
      </c>
      <c r="C5" t="s">
        <v>203</v>
      </c>
      <c r="D5" s="38">
        <f>'Executive Summary'!C9*C23/1000000</f>
        <v>6751927.5088179996</v>
      </c>
      <c r="E5" s="38">
        <f>D5+C24</f>
        <v>7623916.5088179996</v>
      </c>
      <c r="F5" s="38">
        <v>4006614</v>
      </c>
      <c r="G5" s="38">
        <v>651814</v>
      </c>
      <c r="H5" s="38">
        <v>530735</v>
      </c>
      <c r="I5" s="38">
        <v>376391</v>
      </c>
      <c r="J5" s="39">
        <f>IFERROR(E5/G5,"")</f>
        <v>11.696460200023319</v>
      </c>
      <c r="K5" s="39">
        <f>IFERROR(E5/F5,"")</f>
        <v>1.9028327931809752</v>
      </c>
      <c r="L5" s="39">
        <f>IFERROR(D5/I5,"")</f>
        <v>17.938599777407003</v>
      </c>
      <c r="M5" s="39">
        <f>IFERROR(D5/P5,"")</f>
        <v>1.9232052670008384</v>
      </c>
      <c r="N5" s="40">
        <f>IFERROR(H5/F5,"")</f>
        <v>0.13246471958616426</v>
      </c>
      <c r="O5" s="40">
        <f>IFERROR(I5/P5,"")</f>
        <v>0.10721044512197901</v>
      </c>
      <c r="P5" s="38">
        <v>3510768</v>
      </c>
    </row>
    <row r="6" spans="2:17" ht="14" customHeight="1" x14ac:dyDescent="0.3">
      <c r="B6" s="4" t="s">
        <v>204</v>
      </c>
      <c r="C6" t="s">
        <v>205</v>
      </c>
      <c r="D6" s="38">
        <v>1274823</v>
      </c>
      <c r="E6" s="38">
        <v>1701902</v>
      </c>
      <c r="F6" s="38">
        <v>1405493</v>
      </c>
      <c r="G6" s="38">
        <v>207997</v>
      </c>
      <c r="H6" s="38">
        <v>130144</v>
      </c>
      <c r="I6" s="38">
        <v>73193</v>
      </c>
      <c r="J6" s="39">
        <f>IFERROR(E6/G6,"")</f>
        <v>8.1823391683533906</v>
      </c>
      <c r="K6" s="39">
        <f>IFERROR(E6/F6,"")</f>
        <v>1.2108932595181905</v>
      </c>
      <c r="L6" s="39">
        <f>IFERROR(D6/I6,"")</f>
        <v>17.417280341016216</v>
      </c>
      <c r="M6" s="39">
        <f>IFERROR(D6/P6,"")</f>
        <v>1.416208788156851</v>
      </c>
      <c r="N6" s="40">
        <f>IFERROR(H6/F6,"")</f>
        <v>9.2596690271669793E-2</v>
      </c>
      <c r="O6" s="40">
        <f>IFERROR(I6/P6,"")</f>
        <v>8.1310558274807085E-2</v>
      </c>
      <c r="P6" s="38">
        <v>900166</v>
      </c>
    </row>
    <row r="7" spans="2:17" ht="14" customHeight="1" x14ac:dyDescent="0.3">
      <c r="B7" s="4" t="s">
        <v>206</v>
      </c>
      <c r="C7" t="s">
        <v>207</v>
      </c>
      <c r="D7" s="38">
        <v>4281603</v>
      </c>
      <c r="E7" s="38">
        <v>3622825</v>
      </c>
      <c r="F7" s="38">
        <v>842541</v>
      </c>
      <c r="G7" s="38">
        <v>235405</v>
      </c>
      <c r="H7" s="38">
        <v>190559</v>
      </c>
      <c r="I7" s="38">
        <v>167304</v>
      </c>
      <c r="J7" s="39">
        <f>IFERROR(E7/G7,"")</f>
        <v>15.389753828508315</v>
      </c>
      <c r="K7" s="39">
        <f>IFERROR(E7/F7,"")</f>
        <v>4.299879768462306</v>
      </c>
      <c r="L7" s="39">
        <f>IFERROR(D7/I7,"")</f>
        <v>25.591755128389039</v>
      </c>
      <c r="M7" s="39">
        <f>IFERROR(D7/P7,"")</f>
        <v>2.0243124406053643</v>
      </c>
      <c r="N7" s="40">
        <f>IFERROR(H7/F7,"")</f>
        <v>0.22617178273816943</v>
      </c>
      <c r="O7" s="40">
        <f>IFERROR(I7/P7,"")</f>
        <v>7.9100180134178688E-2</v>
      </c>
      <c r="P7" s="38">
        <v>2115090</v>
      </c>
    </row>
    <row r="8" spans="2:17" ht="14" customHeight="1" x14ac:dyDescent="0.3">
      <c r="B8" s="4" t="s">
        <v>208</v>
      </c>
      <c r="C8" t="s">
        <v>209</v>
      </c>
      <c r="D8" s="38">
        <v>5742075</v>
      </c>
      <c r="E8" s="38">
        <v>5903176</v>
      </c>
      <c r="F8" s="38">
        <v>5015036</v>
      </c>
      <c r="G8" s="38">
        <v>691198</v>
      </c>
      <c r="H8" s="38">
        <v>414992</v>
      </c>
      <c r="I8" s="38">
        <v>275229</v>
      </c>
      <c r="J8" s="39">
        <f>IFERROR(E8/G8,"")</f>
        <v>8.5404992491297715</v>
      </c>
      <c r="K8" s="39">
        <f>IFERROR(E8/F8,"")</f>
        <v>1.1770954385970509</v>
      </c>
      <c r="L8" s="39">
        <f>IFERROR(D8/I8,"")</f>
        <v>20.862899621769508</v>
      </c>
      <c r="M8" s="39">
        <f>IFERROR(D8/P8,"")</f>
        <v>1.7642669631038894</v>
      </c>
      <c r="N8" s="40">
        <f>IFERROR(H8/F8,"")</f>
        <v>8.2749555536590372E-2</v>
      </c>
      <c r="O8" s="40">
        <f>IFERROR(I8/P8,"")</f>
        <v>8.4564801398121822E-2</v>
      </c>
      <c r="P8" s="38">
        <v>3254652</v>
      </c>
    </row>
    <row r="14" spans="2:17" ht="14" customHeight="1" x14ac:dyDescent="0.3">
      <c r="B14" s="3" t="s">
        <v>210</v>
      </c>
    </row>
    <row r="15" spans="2:17" ht="14" customHeight="1" x14ac:dyDescent="0.3">
      <c r="B15" s="4" t="s">
        <v>211</v>
      </c>
      <c r="D15" s="39">
        <f t="shared" ref="D15:I15" si="0">PERCENTILE(J6:J8,0.25)</f>
        <v>8.3614192087415802</v>
      </c>
      <c r="E15" s="39">
        <f t="shared" si="0"/>
        <v>1.1939943490576206</v>
      </c>
      <c r="F15" s="39">
        <f t="shared" si="0"/>
        <v>19.140089981392862</v>
      </c>
      <c r="G15" s="39">
        <f t="shared" si="0"/>
        <v>1.5902378756303701</v>
      </c>
      <c r="H15" s="40">
        <f t="shared" si="0"/>
        <v>8.7673122904130082E-2</v>
      </c>
      <c r="I15" s="40">
        <f t="shared" si="0"/>
        <v>8.0205369204492893E-2</v>
      </c>
    </row>
    <row r="16" spans="2:17" ht="14" customHeight="1" x14ac:dyDescent="0.3">
      <c r="B16" s="4" t="s">
        <v>212</v>
      </c>
      <c r="D16" s="39">
        <f t="shared" ref="D16:I16" si="1">MEDIAN(J6:J8)</f>
        <v>8.5404992491297715</v>
      </c>
      <c r="E16" s="39">
        <f t="shared" si="1"/>
        <v>1.2108932595181905</v>
      </c>
      <c r="F16" s="39">
        <f t="shared" si="1"/>
        <v>20.862899621769508</v>
      </c>
      <c r="G16" s="39">
        <f t="shared" si="1"/>
        <v>1.7642669631038894</v>
      </c>
      <c r="H16" s="40">
        <f t="shared" si="1"/>
        <v>9.2596690271669793E-2</v>
      </c>
      <c r="I16" s="40">
        <f t="shared" si="1"/>
        <v>8.1310558274807085E-2</v>
      </c>
    </row>
    <row r="17" spans="2:9" ht="14" customHeight="1" x14ac:dyDescent="0.3">
      <c r="B17" s="4" t="s">
        <v>213</v>
      </c>
      <c r="D17" s="39">
        <f t="shared" ref="D17:I17" si="2">PERCENTILE(J6:J8,0.75)</f>
        <v>11.965126538819042</v>
      </c>
      <c r="E17" s="39">
        <f t="shared" si="2"/>
        <v>2.7553865139902483</v>
      </c>
      <c r="F17" s="39">
        <f t="shared" si="2"/>
        <v>23.227327375079273</v>
      </c>
      <c r="G17" s="39">
        <f t="shared" si="2"/>
        <v>1.894289701854627</v>
      </c>
      <c r="H17" s="40">
        <f t="shared" si="2"/>
        <v>0.15938423650491962</v>
      </c>
      <c r="I17" s="40">
        <f t="shared" si="2"/>
        <v>8.2937679836464454E-2</v>
      </c>
    </row>
    <row r="19" spans="2:9" ht="14" customHeight="1" x14ac:dyDescent="0.3">
      <c r="B19" s="22" t="s">
        <v>214</v>
      </c>
      <c r="C19" s="23"/>
      <c r="D19" s="23"/>
      <c r="E19" s="23"/>
      <c r="F19" s="23"/>
      <c r="G19" s="23"/>
      <c r="H19" s="23"/>
      <c r="I19" s="23"/>
    </row>
    <row r="20" spans="2:9" ht="14" customHeight="1" x14ac:dyDescent="0.3">
      <c r="B20" s="3" t="s">
        <v>215</v>
      </c>
    </row>
    <row r="21" spans="2:9" ht="14" customHeight="1" x14ac:dyDescent="0.3">
      <c r="B21" s="4" t="s">
        <v>216</v>
      </c>
      <c r="C21" s="5">
        <v>651808</v>
      </c>
    </row>
    <row r="22" spans="2:9" ht="14" customHeight="1" x14ac:dyDescent="0.3">
      <c r="B22" s="4" t="s">
        <v>217</v>
      </c>
      <c r="C22" s="5">
        <v>186459</v>
      </c>
    </row>
    <row r="23" spans="2:9" ht="14" customHeight="1" x14ac:dyDescent="0.3">
      <c r="B23" s="4" t="s">
        <v>218</v>
      </c>
      <c r="C23" s="15">
        <v>901098026</v>
      </c>
    </row>
    <row r="24" spans="2:9" ht="14" customHeight="1" x14ac:dyDescent="0.3">
      <c r="B24" s="4" t="s">
        <v>72</v>
      </c>
      <c r="C24" s="5">
        <v>871989</v>
      </c>
    </row>
    <row r="26" spans="2:9" ht="14" customHeight="1" x14ac:dyDescent="0.3">
      <c r="B26" s="3" t="s">
        <v>219</v>
      </c>
    </row>
    <row r="27" spans="2:9" ht="14" customHeight="1" x14ac:dyDescent="0.3">
      <c r="B27" s="4" t="s">
        <v>220</v>
      </c>
      <c r="C27" s="24">
        <f>ROUND((C21*D16-C24)*1000000/C23,0)</f>
        <v>5210</v>
      </c>
    </row>
    <row r="28" spans="2:9" ht="14" customHeight="1" x14ac:dyDescent="0.3">
      <c r="B28" s="4" t="s">
        <v>221</v>
      </c>
      <c r="C28" s="24">
        <f>ROUND(C22*F16*1000000/C23,0)</f>
        <v>4317</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customHeight="1" x14ac:dyDescent="0.4">
      <c r="B2" s="2" t="s">
        <v>222</v>
      </c>
    </row>
    <row r="3" spans="2:9" ht="14" customHeight="1" x14ac:dyDescent="0.3">
      <c r="B3" s="4" t="s">
        <v>223</v>
      </c>
      <c r="C3" s="16">
        <f>'DCF Model'!C26</f>
        <v>0.10184527499778585</v>
      </c>
      <c r="E3" s="4" t="s">
        <v>224</v>
      </c>
      <c r="F3" s="16">
        <f>'DCF Model'!C13</f>
        <v>0.01</v>
      </c>
      <c r="H3" s="4" t="s">
        <v>225</v>
      </c>
      <c r="I3" s="14">
        <f>'DCF Model'!C14</f>
        <v>8.1999999999999993</v>
      </c>
    </row>
    <row r="5" spans="2:9" ht="14" customHeight="1" x14ac:dyDescent="0.3">
      <c r="B5" s="3" t="s">
        <v>226</v>
      </c>
    </row>
    <row r="6" spans="2:9" ht="14" customHeight="1" x14ac:dyDescent="0.3">
      <c r="B6" s="41" t="s">
        <v>227</v>
      </c>
      <c r="C6" s="42">
        <f>$F$3-0.0075</f>
        <v>2.5000000000000005E-3</v>
      </c>
      <c r="D6" s="42">
        <f>$F$3-0.005</f>
        <v>5.0000000000000001E-3</v>
      </c>
      <c r="E6" s="42">
        <f>$F$3-0.0025</f>
        <v>7.4999999999999997E-3</v>
      </c>
      <c r="F6" s="42">
        <f>$F$3</f>
        <v>0.01</v>
      </c>
      <c r="G6" s="42">
        <f>$F$3+0.0025</f>
        <v>1.2500000000000001E-2</v>
      </c>
      <c r="H6" s="42">
        <f>$F$3+0.005</f>
        <v>1.4999999999999999E-2</v>
      </c>
      <c r="I6" s="42">
        <f>$F$3+0.0075</f>
        <v>1.7500000000000002E-2</v>
      </c>
    </row>
    <row r="7" spans="2:9" ht="13.5" customHeight="1" x14ac:dyDescent="0.25">
      <c r="B7" s="40">
        <f>$C$3-0.015</f>
        <v>8.6845274997785854E-2</v>
      </c>
      <c r="C7" s="38">
        <f>IFERROR(ROUND(('DCF Model'!C45/(1+$B7)^('DCF Model'!C19+0)+'DCF Model'!D45/(1+$B7)^('DCF Model'!C19+1)+'DCF Model'!E45/(1+$B7)^('DCF Model'!C19+2)+'DCF Model'!F45/(1+$B7)^('DCF Model'!C19+3)+'DCF Model'!G45/(1+$B7)^('DCF Model'!C19+4)+'DCF Model'!G45*(1+C$6)/($B7-C$6)/(1+$B7)^('DCF Model'!C19+4)-'DCF Model'!C16)*1000000/'DCF Model'!C15,0),"")</f>
        <v>2100</v>
      </c>
      <c r="D7" s="38">
        <f>IFERROR(ROUND(('DCF Model'!C45/(1+$B7)^('DCF Model'!C19+0)+'DCF Model'!D45/(1+$B7)^('DCF Model'!C19+1)+'DCF Model'!E45/(1+$B7)^('DCF Model'!C19+2)+'DCF Model'!F45/(1+$B7)^('DCF Model'!C19+3)+'DCF Model'!G45/(1+$B7)^('DCF Model'!C19+4)+'DCF Model'!G45*(1+D$6)/($B7-D$6)/(1+$B7)^('DCF Model'!C19+4)-'DCF Model'!C16)*1000000/'DCF Model'!C15,0),"")</f>
        <v>2214</v>
      </c>
      <c r="E7" s="38">
        <f>IFERROR(ROUND(('DCF Model'!C45/(1+$B7)^('DCF Model'!C19+0)+'DCF Model'!D45/(1+$B7)^('DCF Model'!C19+1)+'DCF Model'!E45/(1+$B7)^('DCF Model'!C19+2)+'DCF Model'!F45/(1+$B7)^('DCF Model'!C19+3)+'DCF Model'!G45/(1+$B7)^('DCF Model'!C19+4)+'DCF Model'!G45*(1+E$6)/($B7-E$6)/(1+$B7)^('DCF Model'!C19+4)-'DCF Model'!C16)*1000000/'DCF Model'!C15,0),"")</f>
        <v>2336</v>
      </c>
      <c r="F7" s="38">
        <f>IFERROR(ROUND(('DCF Model'!C45/(1+$B7)^('DCF Model'!C19+0)+'DCF Model'!D45/(1+$B7)^('DCF Model'!C19+1)+'DCF Model'!E45/(1+$B7)^('DCF Model'!C19+2)+'DCF Model'!F45/(1+$B7)^('DCF Model'!C19+3)+'DCF Model'!G45/(1+$B7)^('DCF Model'!C19+4)+'DCF Model'!G45*(1+F$6)/($B7-F$6)/(1+$B7)^('DCF Model'!C19+4)-'DCF Model'!C16)*1000000/'DCF Model'!C15,0),"")</f>
        <v>2466</v>
      </c>
      <c r="G7" s="38">
        <f>IFERROR(ROUND(('DCF Model'!C45/(1+$B7)^('DCF Model'!C19+0)+'DCF Model'!D45/(1+$B7)^('DCF Model'!C19+1)+'DCF Model'!E45/(1+$B7)^('DCF Model'!C19+2)+'DCF Model'!F45/(1+$B7)^('DCF Model'!C19+3)+'DCF Model'!G45/(1+$B7)^('DCF Model'!C19+4)+'DCF Model'!G45*(1+G$6)/($B7-G$6)/(1+$B7)^('DCF Model'!C19+4)-'DCF Model'!C16)*1000000/'DCF Model'!C15,0),"")</f>
        <v>2605</v>
      </c>
      <c r="H7" s="38">
        <f>IFERROR(ROUND(('DCF Model'!C45/(1+$B7)^('DCF Model'!C19+0)+'DCF Model'!D45/(1+$B7)^('DCF Model'!C19+1)+'DCF Model'!E45/(1+$B7)^('DCF Model'!C19+2)+'DCF Model'!F45/(1+$B7)^('DCF Model'!C19+3)+'DCF Model'!G45/(1+$B7)^('DCF Model'!C19+4)+'DCF Model'!G45*(1+H$6)/($B7-H$6)/(1+$B7)^('DCF Model'!C19+4)-'DCF Model'!C16)*1000000/'DCF Model'!C15,0),"")</f>
        <v>2753</v>
      </c>
      <c r="I7" s="38">
        <f>IFERROR(ROUND(('DCF Model'!C45/(1+$B7)^('DCF Model'!C19+0)+'DCF Model'!D45/(1+$B7)^('DCF Model'!C19+1)+'DCF Model'!E45/(1+$B7)^('DCF Model'!C19+2)+'DCF Model'!F45/(1+$B7)^('DCF Model'!C19+3)+'DCF Model'!G45/(1+$B7)^('DCF Model'!C19+4)+'DCF Model'!G45*(1+I$6)/($B7-I$6)/(1+$B7)^('DCF Model'!C19+4)-'DCF Model'!C16)*1000000/'DCF Model'!C15,0),"")</f>
        <v>2912</v>
      </c>
    </row>
    <row r="8" spans="2:9" ht="13.5" customHeight="1" x14ac:dyDescent="0.25">
      <c r="B8" s="40">
        <f>$C$3-0.01</f>
        <v>9.1845274997785858E-2</v>
      </c>
      <c r="C8" s="38">
        <f>IFERROR(ROUND(('DCF Model'!C45/(1+$B8)^('DCF Model'!C19+0)+'DCF Model'!D45/(1+$B8)^('DCF Model'!C19+1)+'DCF Model'!E45/(1+$B8)^('DCF Model'!C19+2)+'DCF Model'!F45/(1+$B8)^('DCF Model'!C19+3)+'DCF Model'!G45/(1+$B8)^('DCF Model'!C19+4)+'DCF Model'!G45*(1+C$6)/($B8-C$6)/(1+$B8)^('DCF Model'!C19+4)-'DCF Model'!C16)*1000000/'DCF Model'!C15,0),"")</f>
        <v>1819</v>
      </c>
      <c r="D8" s="38">
        <f>IFERROR(ROUND(('DCF Model'!C45/(1+$B8)^('DCF Model'!C19+0)+'DCF Model'!D45/(1+$B8)^('DCF Model'!C19+1)+'DCF Model'!E45/(1+$B8)^('DCF Model'!C19+2)+'DCF Model'!F45/(1+$B8)^('DCF Model'!C19+3)+'DCF Model'!G45/(1+$B8)^('DCF Model'!C19+4)+'DCF Model'!G45*(1+D$6)/($B8-D$6)/(1+$B8)^('DCF Model'!C19+4)-'DCF Model'!C16)*1000000/'DCF Model'!C15,0),"")</f>
        <v>1919</v>
      </c>
      <c r="E8" s="38">
        <f>IFERROR(ROUND(('DCF Model'!C45/(1+$B8)^('DCF Model'!C19+0)+'DCF Model'!D45/(1+$B8)^('DCF Model'!C19+1)+'DCF Model'!E45/(1+$B8)^('DCF Model'!C19+2)+'DCF Model'!F45/(1+$B8)^('DCF Model'!C19+3)+'DCF Model'!G45/(1+$B8)^('DCF Model'!C19+4)+'DCF Model'!G45*(1+E$6)/($B8-E$6)/(1+$B8)^('DCF Model'!C19+4)-'DCF Model'!C16)*1000000/'DCF Model'!C15,0),"")</f>
        <v>2026</v>
      </c>
      <c r="F8" s="38">
        <f>IFERROR(ROUND(('DCF Model'!C45/(1+$B8)^('DCF Model'!C19+0)+'DCF Model'!D45/(1+$B8)^('DCF Model'!C19+1)+'DCF Model'!E45/(1+$B8)^('DCF Model'!C19+2)+'DCF Model'!F45/(1+$B8)^('DCF Model'!C19+3)+'DCF Model'!G45/(1+$B8)^('DCF Model'!C19+4)+'DCF Model'!G45*(1+F$6)/($B8-F$6)/(1+$B8)^('DCF Model'!C19+4)-'DCF Model'!C16)*1000000/'DCF Model'!C15,0),"")</f>
        <v>2138</v>
      </c>
      <c r="G8" s="38">
        <f>IFERROR(ROUND(('DCF Model'!C45/(1+$B8)^('DCF Model'!C19+0)+'DCF Model'!D45/(1+$B8)^('DCF Model'!C19+1)+'DCF Model'!E45/(1+$B8)^('DCF Model'!C19+2)+'DCF Model'!F45/(1+$B8)^('DCF Model'!C19+3)+'DCF Model'!G45/(1+$B8)^('DCF Model'!C19+4)+'DCF Model'!G45*(1+G$6)/($B8-G$6)/(1+$B8)^('DCF Model'!C19+4)-'DCF Model'!C16)*1000000/'DCF Model'!C15,0),"")</f>
        <v>2258</v>
      </c>
      <c r="H8" s="38">
        <f>IFERROR(ROUND(('DCF Model'!C45/(1+$B8)^('DCF Model'!C19+0)+'DCF Model'!D45/(1+$B8)^('DCF Model'!C19+1)+'DCF Model'!E45/(1+$B8)^('DCF Model'!C19+2)+'DCF Model'!F45/(1+$B8)^('DCF Model'!C19+3)+'DCF Model'!G45/(1+$B8)^('DCF Model'!C19+4)+'DCF Model'!G45*(1+H$6)/($B8-H$6)/(1+$B8)^('DCF Model'!C19+4)-'DCF Model'!C16)*1000000/'DCF Model'!C15,0),"")</f>
        <v>2386</v>
      </c>
      <c r="I8" s="38">
        <f>IFERROR(ROUND(('DCF Model'!C45/(1+$B8)^('DCF Model'!C19+0)+'DCF Model'!D45/(1+$B8)^('DCF Model'!C19+1)+'DCF Model'!E45/(1+$B8)^('DCF Model'!C19+2)+'DCF Model'!F45/(1+$B8)^('DCF Model'!C19+3)+'DCF Model'!G45/(1+$B8)^('DCF Model'!C19+4)+'DCF Model'!G45*(1+I$6)/($B8-I$6)/(1+$B8)^('DCF Model'!C19+4)-'DCF Model'!C16)*1000000/'DCF Model'!C15,0),"")</f>
        <v>2522</v>
      </c>
    </row>
    <row r="9" spans="2:9" ht="13.5" customHeight="1" x14ac:dyDescent="0.25">
      <c r="B9" s="40">
        <f>$C$3-0.005</f>
        <v>9.6845274997785849E-2</v>
      </c>
      <c r="C9" s="38">
        <f>IFERROR(ROUND(('DCF Model'!C45/(1+$B9)^('DCF Model'!C19+0)+'DCF Model'!D45/(1+$B9)^('DCF Model'!C19+1)+'DCF Model'!E45/(1+$B9)^('DCF Model'!C19+2)+'DCF Model'!F45/(1+$B9)^('DCF Model'!C19+3)+'DCF Model'!G45/(1+$B9)^('DCF Model'!C19+4)+'DCF Model'!G45*(1+C$6)/($B9-C$6)/(1+$B9)^('DCF Model'!C19+4)-'DCF Model'!C16)*1000000/'DCF Model'!C15,0),"")</f>
        <v>1569</v>
      </c>
      <c r="D9" s="38">
        <f>IFERROR(ROUND(('DCF Model'!C45/(1+$B9)^('DCF Model'!C19+0)+'DCF Model'!D45/(1+$B9)^('DCF Model'!C19+1)+'DCF Model'!E45/(1+$B9)^('DCF Model'!C19+2)+'DCF Model'!F45/(1+$B9)^('DCF Model'!C19+3)+'DCF Model'!G45/(1+$B9)^('DCF Model'!C19+4)+'DCF Model'!G45*(1+D$6)/($B9-D$6)/(1+$B9)^('DCF Model'!C19+4)-'DCF Model'!C16)*1000000/'DCF Model'!C15,0),"")</f>
        <v>1657</v>
      </c>
      <c r="E9" s="38">
        <f>IFERROR(ROUND(('DCF Model'!C45/(1+$B9)^('DCF Model'!C19+0)+'DCF Model'!D45/(1+$B9)^('DCF Model'!C19+1)+'DCF Model'!E45/(1+$B9)^('DCF Model'!C19+2)+'DCF Model'!F45/(1+$B9)^('DCF Model'!C19+3)+'DCF Model'!G45/(1+$B9)^('DCF Model'!C19+4)+'DCF Model'!G45*(1+E$6)/($B9-E$6)/(1+$B9)^('DCF Model'!C19+4)-'DCF Model'!C16)*1000000/'DCF Model'!C15,0),"")</f>
        <v>1750</v>
      </c>
      <c r="F9" s="38">
        <f>IFERROR(ROUND(('DCF Model'!C45/(1+$B9)^('DCF Model'!C19+0)+'DCF Model'!D45/(1+$B9)^('DCF Model'!C19+1)+'DCF Model'!E45/(1+$B9)^('DCF Model'!C19+2)+'DCF Model'!F45/(1+$B9)^('DCF Model'!C19+3)+'DCF Model'!G45/(1+$B9)^('DCF Model'!C19+4)+'DCF Model'!G45*(1+F$6)/($B9-F$6)/(1+$B9)^('DCF Model'!C19+4)-'DCF Model'!C16)*1000000/'DCF Model'!C15,0),"")</f>
        <v>1849</v>
      </c>
      <c r="G9" s="38">
        <f>IFERROR(ROUND(('DCF Model'!C45/(1+$B9)^('DCF Model'!C19+0)+'DCF Model'!D45/(1+$B9)^('DCF Model'!C19+1)+'DCF Model'!E45/(1+$B9)^('DCF Model'!C19+2)+'DCF Model'!F45/(1+$B9)^('DCF Model'!C19+3)+'DCF Model'!G45/(1+$B9)^('DCF Model'!C19+4)+'DCF Model'!G45*(1+G$6)/($B9-G$6)/(1+$B9)^('DCF Model'!C19+4)-'DCF Model'!C16)*1000000/'DCF Model'!C15,0),"")</f>
        <v>1953</v>
      </c>
      <c r="H9" s="38">
        <f>IFERROR(ROUND(('DCF Model'!C45/(1+$B9)^('DCF Model'!C19+0)+'DCF Model'!D45/(1+$B9)^('DCF Model'!C19+1)+'DCF Model'!E45/(1+$B9)^('DCF Model'!C19+2)+'DCF Model'!F45/(1+$B9)^('DCF Model'!C19+3)+'DCF Model'!G45/(1+$B9)^('DCF Model'!C19+4)+'DCF Model'!G45*(1+H$6)/($B9-H$6)/(1+$B9)^('DCF Model'!C19+4)-'DCF Model'!C16)*1000000/'DCF Model'!C15,0),"")</f>
        <v>2064</v>
      </c>
      <c r="I9" s="38">
        <f>IFERROR(ROUND(('DCF Model'!C45/(1+$B9)^('DCF Model'!C19+0)+'DCF Model'!D45/(1+$B9)^('DCF Model'!C19+1)+'DCF Model'!E45/(1+$B9)^('DCF Model'!C19+2)+'DCF Model'!F45/(1+$B9)^('DCF Model'!C19+3)+'DCF Model'!G45/(1+$B9)^('DCF Model'!C19+4)+'DCF Model'!G45*(1+I$6)/($B9-I$6)/(1+$B9)^('DCF Model'!C19+4)-'DCF Model'!C16)*1000000/'DCF Model'!C15,0),"")</f>
        <v>2181</v>
      </c>
    </row>
    <row r="10" spans="2:9" ht="13.5" customHeight="1" x14ac:dyDescent="0.25">
      <c r="B10" s="40">
        <f>$C$3</f>
        <v>0.10184527499778585</v>
      </c>
      <c r="C10" s="38">
        <f>IFERROR(ROUND(('DCF Model'!C45/(1+$B10)^('DCF Model'!C19+0)+'DCF Model'!D45/(1+$B10)^('DCF Model'!C19+1)+'DCF Model'!E45/(1+$B10)^('DCF Model'!C19+2)+'DCF Model'!F45/(1+$B10)^('DCF Model'!C19+3)+'DCF Model'!G45/(1+$B10)^('DCF Model'!C19+4)+'DCF Model'!G45*(1+C$6)/($B10-C$6)/(1+$B10)^('DCF Model'!C19+4)-'DCF Model'!C16)*1000000/'DCF Model'!C15,0),"")</f>
        <v>1346</v>
      </c>
      <c r="D10" s="38">
        <f>IFERROR(ROUND(('DCF Model'!C45/(1+$B10)^('DCF Model'!C19+0)+'DCF Model'!D45/(1+$B10)^('DCF Model'!C19+1)+'DCF Model'!E45/(1+$B10)^('DCF Model'!C19+2)+'DCF Model'!F45/(1+$B10)^('DCF Model'!C19+3)+'DCF Model'!G45/(1+$B10)^('DCF Model'!C19+4)+'DCF Model'!G45*(1+D$6)/($B10-D$6)/(1+$B10)^('DCF Model'!C19+4)-'DCF Model'!C16)*1000000/'DCF Model'!C15,0),"")</f>
        <v>1423</v>
      </c>
      <c r="E10" s="38">
        <f>IFERROR(ROUND(('DCF Model'!C45/(1+$B10)^('DCF Model'!C19+0)+'DCF Model'!D45/(1+$B10)^('DCF Model'!C19+1)+'DCF Model'!E45/(1+$B10)^('DCF Model'!C19+2)+'DCF Model'!F45/(1+$B10)^('DCF Model'!C19+3)+'DCF Model'!G45/(1+$B10)^('DCF Model'!C19+4)+'DCF Model'!G45*(1+E$6)/($B10-E$6)/(1+$B10)^('DCF Model'!C19+4)-'DCF Model'!C16)*1000000/'DCF Model'!C15,0),"")</f>
        <v>1506</v>
      </c>
      <c r="F10" s="38">
        <f>IFERROR(ROUND(('DCF Model'!C45/(1+$B10)^('DCF Model'!C19+0)+'DCF Model'!D45/(1+$B10)^('DCF Model'!C19+1)+'DCF Model'!E45/(1+$B10)^('DCF Model'!C19+2)+'DCF Model'!F45/(1+$B10)^('DCF Model'!C19+3)+'DCF Model'!G45/(1+$B10)^('DCF Model'!C19+4)+'DCF Model'!G45*(1+F$6)/($B10-F$6)/(1+$B10)^('DCF Model'!C19+4)-'DCF Model'!C16)*1000000/'DCF Model'!C15,0),"")</f>
        <v>1592</v>
      </c>
      <c r="G10" s="38">
        <f>IFERROR(ROUND(('DCF Model'!C45/(1+$B10)^('DCF Model'!C19+0)+'DCF Model'!D45/(1+$B10)^('DCF Model'!C19+1)+'DCF Model'!E45/(1+$B10)^('DCF Model'!C19+2)+'DCF Model'!F45/(1+$B10)^('DCF Model'!C19+3)+'DCF Model'!G45/(1+$B10)^('DCF Model'!C19+4)+'DCF Model'!G45*(1+G$6)/($B10-G$6)/(1+$B10)^('DCF Model'!C19+4)-'DCF Model'!C16)*1000000/'DCF Model'!C15,0),"")</f>
        <v>1684</v>
      </c>
      <c r="H10" s="38">
        <f>IFERROR(ROUND(('DCF Model'!C45/(1+$B10)^('DCF Model'!C19+0)+'DCF Model'!D45/(1+$B10)^('DCF Model'!C19+1)+'DCF Model'!E45/(1+$B10)^('DCF Model'!C19+2)+'DCF Model'!F45/(1+$B10)^('DCF Model'!C19+3)+'DCF Model'!G45/(1+$B10)^('DCF Model'!C19+4)+'DCF Model'!G45*(1+H$6)/($B10-H$6)/(1+$B10)^('DCF Model'!C19+4)-'DCF Model'!C16)*1000000/'DCF Model'!C15,0),"")</f>
        <v>1780</v>
      </c>
      <c r="I10" s="38">
        <f>IFERROR(ROUND(('DCF Model'!C45/(1+$B10)^('DCF Model'!C19+0)+'DCF Model'!D45/(1+$B10)^('DCF Model'!C19+1)+'DCF Model'!E45/(1+$B10)^('DCF Model'!C19+2)+'DCF Model'!F45/(1+$B10)^('DCF Model'!C19+3)+'DCF Model'!G45/(1+$B10)^('DCF Model'!C19+4)+'DCF Model'!G45*(1+I$6)/($B10-I$6)/(1+$B10)^('DCF Model'!C19+4)-'DCF Model'!C16)*1000000/'DCF Model'!C15,0),"")</f>
        <v>1883</v>
      </c>
    </row>
    <row r="11" spans="2:9" ht="13.5" customHeight="1" x14ac:dyDescent="0.25">
      <c r="B11" s="40">
        <f>$C$3+0.005</f>
        <v>0.10684527499778586</v>
      </c>
      <c r="C11" s="38">
        <f>IFERROR(ROUND(('DCF Model'!C45/(1+$B11)^('DCF Model'!C19+0)+'DCF Model'!D45/(1+$B11)^('DCF Model'!C19+1)+'DCF Model'!E45/(1+$B11)^('DCF Model'!C19+2)+'DCF Model'!F45/(1+$B11)^('DCF Model'!C19+3)+'DCF Model'!G45/(1+$B11)^('DCF Model'!C19+4)+'DCF Model'!G45*(1+C$6)/($B11-C$6)/(1+$B11)^('DCF Model'!C19+4)-'DCF Model'!C16)*1000000/'DCF Model'!C15,0),"")</f>
        <v>1144</v>
      </c>
      <c r="D11" s="38">
        <f>IFERROR(ROUND(('DCF Model'!C45/(1+$B11)^('DCF Model'!C19+0)+'DCF Model'!D45/(1+$B11)^('DCF Model'!C19+1)+'DCF Model'!E45/(1+$B11)^('DCF Model'!C19+2)+'DCF Model'!F45/(1+$B11)^('DCF Model'!C19+3)+'DCF Model'!G45/(1+$B11)^('DCF Model'!C19+4)+'DCF Model'!G45*(1+D$6)/($B11-D$6)/(1+$B11)^('DCF Model'!C19+4)-'DCF Model'!C16)*1000000/'DCF Model'!C15,0),"")</f>
        <v>1213</v>
      </c>
      <c r="E11" s="38">
        <f>IFERROR(ROUND(('DCF Model'!C45/(1+$B11)^('DCF Model'!C19+0)+'DCF Model'!D45/(1+$B11)^('DCF Model'!C19+1)+'DCF Model'!E45/(1+$B11)^('DCF Model'!C19+2)+'DCF Model'!F45/(1+$B11)^('DCF Model'!C19+3)+'DCF Model'!G45/(1+$B11)^('DCF Model'!C19+4)+'DCF Model'!G45*(1+E$6)/($B11-E$6)/(1+$B11)^('DCF Model'!C19+4)-'DCF Model'!C16)*1000000/'DCF Model'!C15,0),"")</f>
        <v>1286</v>
      </c>
      <c r="F11" s="38">
        <f>IFERROR(ROUND(('DCF Model'!C45/(1+$B11)^('DCF Model'!C19+0)+'DCF Model'!D45/(1+$B11)^('DCF Model'!C19+1)+'DCF Model'!E45/(1+$B11)^('DCF Model'!C19+2)+'DCF Model'!F45/(1+$B11)^('DCF Model'!C19+3)+'DCF Model'!G45/(1+$B11)^('DCF Model'!C19+4)+'DCF Model'!G45*(1+F$6)/($B11-F$6)/(1+$B11)^('DCF Model'!C19+4)-'DCF Model'!C16)*1000000/'DCF Model'!C15,0),"")</f>
        <v>1363</v>
      </c>
      <c r="G11" s="38">
        <f>IFERROR(ROUND(('DCF Model'!C45/(1+$B11)^('DCF Model'!C19+0)+'DCF Model'!D45/(1+$B11)^('DCF Model'!C19+1)+'DCF Model'!E45/(1+$B11)^('DCF Model'!C19+2)+'DCF Model'!F45/(1+$B11)^('DCF Model'!C19+3)+'DCF Model'!G45/(1+$B11)^('DCF Model'!C19+4)+'DCF Model'!G45*(1+G$6)/($B11-G$6)/(1+$B11)^('DCF Model'!C19+4)-'DCF Model'!C16)*1000000/'DCF Model'!C15,0),"")</f>
        <v>1443</v>
      </c>
      <c r="H11" s="38">
        <f>IFERROR(ROUND(('DCF Model'!C45/(1+$B11)^('DCF Model'!C19+0)+'DCF Model'!D45/(1+$B11)^('DCF Model'!C19+1)+'DCF Model'!E45/(1+$B11)^('DCF Model'!C19+2)+'DCF Model'!F45/(1+$B11)^('DCF Model'!C19+3)+'DCF Model'!G45/(1+$B11)^('DCF Model'!C19+4)+'DCF Model'!G45*(1+H$6)/($B11-H$6)/(1+$B11)^('DCF Model'!C19+4)-'DCF Model'!C16)*1000000/'DCF Model'!C15,0),"")</f>
        <v>1528</v>
      </c>
      <c r="I11" s="38">
        <f>IFERROR(ROUND(('DCF Model'!C45/(1+$B11)^('DCF Model'!C19+0)+'DCF Model'!D45/(1+$B11)^('DCF Model'!C19+1)+'DCF Model'!E45/(1+$B11)^('DCF Model'!C19+2)+'DCF Model'!F45/(1+$B11)^('DCF Model'!C19+3)+'DCF Model'!G45/(1+$B11)^('DCF Model'!C19+4)+'DCF Model'!G45*(1+I$6)/($B11-I$6)/(1+$B11)^('DCF Model'!C19+4)-'DCF Model'!C16)*1000000/'DCF Model'!C15,0),"")</f>
        <v>1618</v>
      </c>
    </row>
    <row r="12" spans="2:9" ht="13.5" customHeight="1" x14ac:dyDescent="0.25">
      <c r="B12" s="40">
        <f>$C$3+0.01</f>
        <v>0.11184527499778585</v>
      </c>
      <c r="C12" s="38">
        <f>IFERROR(ROUND(('DCF Model'!C45/(1+$B12)^('DCF Model'!C19+0)+'DCF Model'!D45/(1+$B12)^('DCF Model'!C19+1)+'DCF Model'!E45/(1+$B12)^('DCF Model'!C19+2)+'DCF Model'!F45/(1+$B12)^('DCF Model'!C19+3)+'DCF Model'!G45/(1+$B12)^('DCF Model'!C19+4)+'DCF Model'!G45*(1+C$6)/($B12-C$6)/(1+$B12)^('DCF Model'!C19+4)-'DCF Model'!C16)*1000000/'DCF Model'!C15,0),"")</f>
        <v>962</v>
      </c>
      <c r="D12" s="38">
        <f>IFERROR(ROUND(('DCF Model'!C45/(1+$B12)^('DCF Model'!C19+0)+'DCF Model'!D45/(1+$B12)^('DCF Model'!C19+1)+'DCF Model'!E45/(1+$B12)^('DCF Model'!C19+2)+'DCF Model'!F45/(1+$B12)^('DCF Model'!C19+3)+'DCF Model'!G45/(1+$B12)^('DCF Model'!C19+4)+'DCF Model'!G45*(1+D$6)/($B12-D$6)/(1+$B12)^('DCF Model'!C19+4)-'DCF Model'!C16)*1000000/'DCF Model'!C15,0),"")</f>
        <v>1024</v>
      </c>
      <c r="E12" s="38">
        <f>IFERROR(ROUND(('DCF Model'!C45/(1+$B12)^('DCF Model'!C19+0)+'DCF Model'!D45/(1+$B12)^('DCF Model'!C19+1)+'DCF Model'!E45/(1+$B12)^('DCF Model'!C19+2)+'DCF Model'!F45/(1+$B12)^('DCF Model'!C19+3)+'DCF Model'!G45/(1+$B12)^('DCF Model'!C19+4)+'DCF Model'!G45*(1+E$6)/($B12-E$6)/(1+$B12)^('DCF Model'!C19+4)-'DCF Model'!C16)*1000000/'DCF Model'!C15,0),"")</f>
        <v>1089</v>
      </c>
      <c r="F12" s="38">
        <f>IFERROR(ROUND(('DCF Model'!C45/(1+$B12)^('DCF Model'!C19+0)+'DCF Model'!D45/(1+$B12)^('DCF Model'!C19+1)+'DCF Model'!E45/(1+$B12)^('DCF Model'!C19+2)+'DCF Model'!F45/(1+$B12)^('DCF Model'!C19+3)+'DCF Model'!G45/(1+$B12)^('DCF Model'!C19+4)+'DCF Model'!G45*(1+F$6)/($B12-F$6)/(1+$B12)^('DCF Model'!C19+4)-'DCF Model'!C16)*1000000/'DCF Model'!C15,0),"")</f>
        <v>1157</v>
      </c>
      <c r="G12" s="38">
        <f>IFERROR(ROUND(('DCF Model'!C45/(1+$B12)^('DCF Model'!C19+0)+'DCF Model'!D45/(1+$B12)^('DCF Model'!C19+1)+'DCF Model'!E45/(1+$B12)^('DCF Model'!C19+2)+'DCF Model'!F45/(1+$B12)^('DCF Model'!C19+3)+'DCF Model'!G45/(1+$B12)^('DCF Model'!C19+4)+'DCF Model'!G45*(1+G$6)/($B12-G$6)/(1+$B12)^('DCF Model'!C19+4)-'DCF Model'!C16)*1000000/'DCF Model'!C15,0),"")</f>
        <v>1228</v>
      </c>
      <c r="H12" s="38">
        <f>IFERROR(ROUND(('DCF Model'!C45/(1+$B12)^('DCF Model'!C19+0)+'DCF Model'!D45/(1+$B12)^('DCF Model'!C19+1)+'DCF Model'!E45/(1+$B12)^('DCF Model'!C19+2)+'DCF Model'!F45/(1+$B12)^('DCF Model'!C19+3)+'DCF Model'!G45/(1+$B12)^('DCF Model'!C19+4)+'DCF Model'!G45*(1+H$6)/($B12-H$6)/(1+$B12)^('DCF Model'!C19+4)-'DCF Model'!C16)*1000000/'DCF Model'!C15,0),"")</f>
        <v>1303</v>
      </c>
      <c r="I12" s="38">
        <f>IFERROR(ROUND(('DCF Model'!C45/(1+$B12)^('DCF Model'!C19+0)+'DCF Model'!D45/(1+$B12)^('DCF Model'!C19+1)+'DCF Model'!E45/(1+$B12)^('DCF Model'!C19+2)+'DCF Model'!F45/(1+$B12)^('DCF Model'!C19+3)+'DCF Model'!G45/(1+$B12)^('DCF Model'!C19+4)+'DCF Model'!G45*(1+I$6)/($B12-I$6)/(1+$B12)^('DCF Model'!C19+4)-'DCF Model'!C16)*1000000/'DCF Model'!C15,0),"")</f>
        <v>1383</v>
      </c>
    </row>
    <row r="13" spans="2:9" ht="13.5" customHeight="1" x14ac:dyDescent="0.25">
      <c r="B13" s="40">
        <f>$C$3+0.015</f>
        <v>0.11684527499778585</v>
      </c>
      <c r="C13" s="38">
        <f>IFERROR(ROUND(('DCF Model'!C45/(1+$B13)^('DCF Model'!C19+0)+'DCF Model'!D45/(1+$B13)^('DCF Model'!C19+1)+'DCF Model'!E45/(1+$B13)^('DCF Model'!C19+2)+'DCF Model'!F45/(1+$B13)^('DCF Model'!C19+3)+'DCF Model'!G45/(1+$B13)^('DCF Model'!C19+4)+'DCF Model'!G45*(1+C$6)/($B13-C$6)/(1+$B13)^('DCF Model'!C19+4)-'DCF Model'!C16)*1000000/'DCF Model'!C15,0),"")</f>
        <v>796</v>
      </c>
      <c r="D13" s="38">
        <f>IFERROR(ROUND(('DCF Model'!C45/(1+$B13)^('DCF Model'!C19+0)+'DCF Model'!D45/(1+$B13)^('DCF Model'!C19+1)+'DCF Model'!E45/(1+$B13)^('DCF Model'!C19+2)+'DCF Model'!F45/(1+$B13)^('DCF Model'!C19+3)+'DCF Model'!G45/(1+$B13)^('DCF Model'!C19+4)+'DCF Model'!G45*(1+D$6)/($B13-D$6)/(1+$B13)^('DCF Model'!C19+4)-'DCF Model'!C16)*1000000/'DCF Model'!C15,0),"")</f>
        <v>852</v>
      </c>
      <c r="E13" s="38">
        <f>IFERROR(ROUND(('DCF Model'!C45/(1+$B13)^('DCF Model'!C19+0)+'DCF Model'!D45/(1+$B13)^('DCF Model'!C19+1)+'DCF Model'!E45/(1+$B13)^('DCF Model'!C19+2)+'DCF Model'!F45/(1+$B13)^('DCF Model'!C19+3)+'DCF Model'!G45/(1+$B13)^('DCF Model'!C19+4)+'DCF Model'!G45*(1+E$6)/($B13-E$6)/(1+$B13)^('DCF Model'!C19+4)-'DCF Model'!C16)*1000000/'DCF Model'!C15,0),"")</f>
        <v>910</v>
      </c>
      <c r="F13" s="38">
        <f>IFERROR(ROUND(('DCF Model'!C45/(1+$B13)^('DCF Model'!C19+0)+'DCF Model'!D45/(1+$B13)^('DCF Model'!C19+1)+'DCF Model'!E45/(1+$B13)^('DCF Model'!C19+2)+'DCF Model'!F45/(1+$B13)^('DCF Model'!C19+3)+'DCF Model'!G45/(1+$B13)^('DCF Model'!C19+4)+'DCF Model'!G45*(1+F$6)/($B13-F$6)/(1+$B13)^('DCF Model'!C19+4)-'DCF Model'!C16)*1000000/'DCF Model'!C15,0),"")</f>
        <v>971</v>
      </c>
      <c r="G13" s="38">
        <f>IFERROR(ROUND(('DCF Model'!C45/(1+$B13)^('DCF Model'!C19+0)+'DCF Model'!D45/(1+$B13)^('DCF Model'!C19+1)+'DCF Model'!E45/(1+$B13)^('DCF Model'!C19+2)+'DCF Model'!F45/(1+$B13)^('DCF Model'!C19+3)+'DCF Model'!G45/(1+$B13)^('DCF Model'!C19+4)+'DCF Model'!G45*(1+G$6)/($B13-G$6)/(1+$B13)^('DCF Model'!C19+4)-'DCF Model'!C16)*1000000/'DCF Model'!C15,0),"")</f>
        <v>1034</v>
      </c>
      <c r="H13" s="38">
        <f>IFERROR(ROUND(('DCF Model'!C45/(1+$B13)^('DCF Model'!C19+0)+'DCF Model'!D45/(1+$B13)^('DCF Model'!C19+1)+'DCF Model'!E45/(1+$B13)^('DCF Model'!C19+2)+'DCF Model'!F45/(1+$B13)^('DCF Model'!C19+3)+'DCF Model'!G45/(1+$B13)^('DCF Model'!C19+4)+'DCF Model'!G45*(1+H$6)/($B13-H$6)/(1+$B13)^('DCF Model'!C19+4)-'DCF Model'!C16)*1000000/'DCF Model'!C15,0),"")</f>
        <v>1101</v>
      </c>
      <c r="I13" s="38">
        <f>IFERROR(ROUND(('DCF Model'!C45/(1+$B13)^('DCF Model'!C19+0)+'DCF Model'!D45/(1+$B13)^('DCF Model'!C19+1)+'DCF Model'!E45/(1+$B13)^('DCF Model'!C19+2)+'DCF Model'!F45/(1+$B13)^('DCF Model'!C19+3)+'DCF Model'!G45/(1+$B13)^('DCF Model'!C19+4)+'DCF Model'!G45*(1+I$6)/($B13-I$6)/(1+$B13)^('DCF Model'!C19+4)-'DCF Model'!C16)*1000000/'DCF Model'!C15,0),"")</f>
        <v>1172</v>
      </c>
    </row>
    <row r="16" spans="2:9" ht="14" customHeight="1" x14ac:dyDescent="0.3">
      <c r="B16" s="3" t="s">
        <v>228</v>
      </c>
    </row>
    <row r="17" spans="2:9" ht="14" customHeight="1" x14ac:dyDescent="0.3">
      <c r="B17" s="41" t="s">
        <v>229</v>
      </c>
      <c r="C17" s="43">
        <f>$I$3-3</f>
        <v>5.1999999999999993</v>
      </c>
      <c r="D17" s="43">
        <f>$I$3-2</f>
        <v>6.1999999999999993</v>
      </c>
      <c r="E17" s="43">
        <f>$I$3-1</f>
        <v>7.1999999999999993</v>
      </c>
      <c r="F17" s="43">
        <f>$I$3</f>
        <v>8.1999999999999993</v>
      </c>
      <c r="G17" s="43">
        <f>$I$3+1</f>
        <v>9.1999999999999993</v>
      </c>
      <c r="H17" s="43">
        <f>$I$3+2</f>
        <v>10.199999999999999</v>
      </c>
      <c r="I17" s="43">
        <f>$I$3+3</f>
        <v>11.2</v>
      </c>
    </row>
    <row r="18" spans="2:9" ht="13.5" customHeight="1" x14ac:dyDescent="0.25">
      <c r="B18" s="40">
        <f>$C$3-0.015</f>
        <v>8.6845274997785854E-2</v>
      </c>
      <c r="C18" s="38">
        <f>IFERROR(ROUND(('DCF Model'!C45/(1+$B18)^('DCF Model'!C19+0)+'DCF Model'!D45/(1+$B18)^('DCF Model'!C19+1)+'DCF Model'!E45/(1+$B18)^('DCF Model'!C19+2)+'DCF Model'!F45/(1+$B18)^('DCF Model'!C19+3)+'DCF Model'!G45/(1+$B18)^('DCF Model'!C19+4)+('DCF Model'!G39+'DCF Model'!G42)*C$17/(1+$B18)^('DCF Model'!C19+4)-'DCF Model'!C16)*1000000/'DCF Model'!C15,0),"")</f>
        <v>1267</v>
      </c>
      <c r="D18" s="38">
        <f>IFERROR(ROUND(('DCF Model'!C45/(1+$B18)^('DCF Model'!C19+0)+'DCF Model'!D45/(1+$B18)^('DCF Model'!C19+1)+'DCF Model'!E45/(1+$B18)^('DCF Model'!C19+2)+'DCF Model'!F45/(1+$B18)^('DCF Model'!C19+3)+'DCF Model'!G45/(1+$B18)^('DCF Model'!C19+4)+('DCF Model'!G39+'DCF Model'!G42)*D$17/(1+$B18)^('DCF Model'!C19+4)-'DCF Model'!C16)*1000000/'DCF Model'!C15,0),"")</f>
        <v>1774</v>
      </c>
      <c r="E18" s="38">
        <f>IFERROR(ROUND(('DCF Model'!C45/(1+$B18)^('DCF Model'!C19+0)+'DCF Model'!D45/(1+$B18)^('DCF Model'!C19+1)+'DCF Model'!E45/(1+$B18)^('DCF Model'!C19+2)+'DCF Model'!F45/(1+$B18)^('DCF Model'!C19+3)+'DCF Model'!G45/(1+$B18)^('DCF Model'!C19+4)+('DCF Model'!G39+'DCF Model'!G42)*E$17/(1+$B18)^('DCF Model'!C19+4)-'DCF Model'!C16)*1000000/'DCF Model'!C15,0),"")</f>
        <v>2280</v>
      </c>
      <c r="F18" s="38">
        <f>IFERROR(ROUND(('DCF Model'!C45/(1+$B18)^('DCF Model'!C19+0)+'DCF Model'!D45/(1+$B18)^('DCF Model'!C19+1)+'DCF Model'!E45/(1+$B18)^('DCF Model'!C19+2)+'DCF Model'!F45/(1+$B18)^('DCF Model'!C19+3)+'DCF Model'!G45/(1+$B18)^('DCF Model'!C19+4)+('DCF Model'!G39+'DCF Model'!G42)*F$17/(1+$B18)^('DCF Model'!C19+4)-'DCF Model'!C16)*1000000/'DCF Model'!C15,0),"")</f>
        <v>2786</v>
      </c>
      <c r="G18" s="38">
        <f>IFERROR(ROUND(('DCF Model'!C45/(1+$B18)^('DCF Model'!C19+0)+'DCF Model'!D45/(1+$B18)^('DCF Model'!C19+1)+'DCF Model'!E45/(1+$B18)^('DCF Model'!C19+2)+'DCF Model'!F45/(1+$B18)^('DCF Model'!C19+3)+'DCF Model'!G45/(1+$B18)^('DCF Model'!C19+4)+('DCF Model'!G39+'DCF Model'!G42)*G$17/(1+$B18)^('DCF Model'!C19+4)-'DCF Model'!C16)*1000000/'DCF Model'!C15,0),"")</f>
        <v>3293</v>
      </c>
      <c r="H18" s="38">
        <f>IFERROR(ROUND(('DCF Model'!C45/(1+$B18)^('DCF Model'!C19+0)+'DCF Model'!D45/(1+$B18)^('DCF Model'!C19+1)+'DCF Model'!E45/(1+$B18)^('DCF Model'!C19+2)+'DCF Model'!F45/(1+$B18)^('DCF Model'!C19+3)+'DCF Model'!G45/(1+$B18)^('DCF Model'!C19+4)+('DCF Model'!G39+'DCF Model'!G42)*H$17/(1+$B18)^('DCF Model'!C19+4)-'DCF Model'!C16)*1000000/'DCF Model'!C15,0),"")</f>
        <v>3799</v>
      </c>
      <c r="I18" s="38">
        <f>IFERROR(ROUND(('DCF Model'!C45/(1+$B18)^('DCF Model'!C19+0)+'DCF Model'!D45/(1+$B18)^('DCF Model'!C19+1)+'DCF Model'!E45/(1+$B18)^('DCF Model'!C19+2)+'DCF Model'!F45/(1+$B18)^('DCF Model'!C19+3)+'DCF Model'!G45/(1+$B18)^('DCF Model'!C19+4)+('DCF Model'!G39+'DCF Model'!G42)*I$17/(1+$B18)^('DCF Model'!C19+4)-'DCF Model'!C16)*1000000/'DCF Model'!C15,0),"")</f>
        <v>4306</v>
      </c>
    </row>
    <row r="19" spans="2:9" ht="13.5" customHeight="1" x14ac:dyDescent="0.25">
      <c r="B19" s="40">
        <f>$C$3-0.01</f>
        <v>9.1845274997785858E-2</v>
      </c>
      <c r="C19" s="38">
        <f>IFERROR(ROUND(('DCF Model'!C45/(1+$B19)^('DCF Model'!C19+0)+'DCF Model'!D45/(1+$B19)^('DCF Model'!C19+1)+'DCF Model'!E45/(1+$B19)^('DCF Model'!C19+2)+'DCF Model'!F45/(1+$B19)^('DCF Model'!C19+3)+'DCF Model'!G45/(1+$B19)^('DCF Model'!C19+4)+('DCF Model'!G39+'DCF Model'!G42)*C$17/(1+$B19)^('DCF Model'!C19+4)-'DCF Model'!C16)*1000000/'DCF Model'!C15,0),"")</f>
        <v>1195</v>
      </c>
      <c r="D19" s="38">
        <f>IFERROR(ROUND(('DCF Model'!C45/(1+$B19)^('DCF Model'!C19+0)+'DCF Model'!D45/(1+$B19)^('DCF Model'!C19+1)+'DCF Model'!E45/(1+$B19)^('DCF Model'!C19+2)+'DCF Model'!F45/(1+$B19)^('DCF Model'!C19+3)+'DCF Model'!G45/(1+$B19)^('DCF Model'!C19+4)+('DCF Model'!G39+'DCF Model'!G42)*D$17/(1+$B19)^('DCF Model'!C19+4)-'DCF Model'!C16)*1000000/'DCF Model'!C15,0),"")</f>
        <v>1690</v>
      </c>
      <c r="E19" s="38">
        <f>IFERROR(ROUND(('DCF Model'!C45/(1+$B19)^('DCF Model'!C19+0)+'DCF Model'!D45/(1+$B19)^('DCF Model'!C19+1)+'DCF Model'!E45/(1+$B19)^('DCF Model'!C19+2)+'DCF Model'!F45/(1+$B19)^('DCF Model'!C19+3)+'DCF Model'!G45/(1+$B19)^('DCF Model'!C19+4)+('DCF Model'!G39+'DCF Model'!G42)*E$17/(1+$B19)^('DCF Model'!C19+4)-'DCF Model'!C16)*1000000/'DCF Model'!C15,0),"")</f>
        <v>2185</v>
      </c>
      <c r="F19" s="38">
        <f>IFERROR(ROUND(('DCF Model'!C45/(1+$B19)^('DCF Model'!C19+0)+'DCF Model'!D45/(1+$B19)^('DCF Model'!C19+1)+'DCF Model'!E45/(1+$B19)^('DCF Model'!C19+2)+'DCF Model'!F45/(1+$B19)^('DCF Model'!C19+3)+'DCF Model'!G45/(1+$B19)^('DCF Model'!C19+4)+('DCF Model'!G39+'DCF Model'!G42)*F$17/(1+$B19)^('DCF Model'!C19+4)-'DCF Model'!C16)*1000000/'DCF Model'!C15,0),"")</f>
        <v>2680</v>
      </c>
      <c r="G19" s="38">
        <f>IFERROR(ROUND(('DCF Model'!C45/(1+$B19)^('DCF Model'!C19+0)+'DCF Model'!D45/(1+$B19)^('DCF Model'!C19+1)+'DCF Model'!E45/(1+$B19)^('DCF Model'!C19+2)+'DCF Model'!F45/(1+$B19)^('DCF Model'!C19+3)+'DCF Model'!G45/(1+$B19)^('DCF Model'!C19+4)+('DCF Model'!G39+'DCF Model'!G42)*G$17/(1+$B19)^('DCF Model'!C19+4)-'DCF Model'!C16)*1000000/'DCF Model'!C15,0),"")</f>
        <v>3175</v>
      </c>
      <c r="H19" s="38">
        <f>IFERROR(ROUND(('DCF Model'!C45/(1+$B19)^('DCF Model'!C19+0)+'DCF Model'!D45/(1+$B19)^('DCF Model'!C19+1)+'DCF Model'!E45/(1+$B19)^('DCF Model'!C19+2)+'DCF Model'!F45/(1+$B19)^('DCF Model'!C19+3)+'DCF Model'!G45/(1+$B19)^('DCF Model'!C19+4)+('DCF Model'!G39+'DCF Model'!G42)*H$17/(1+$B19)^('DCF Model'!C19+4)-'DCF Model'!C16)*1000000/'DCF Model'!C15,0),"")</f>
        <v>3670</v>
      </c>
      <c r="I19" s="38">
        <f>IFERROR(ROUND(('DCF Model'!C45/(1+$B19)^('DCF Model'!C19+0)+'DCF Model'!D45/(1+$B19)^('DCF Model'!C19+1)+'DCF Model'!E45/(1+$B19)^('DCF Model'!C19+2)+'DCF Model'!F45/(1+$B19)^('DCF Model'!C19+3)+'DCF Model'!G45/(1+$B19)^('DCF Model'!C19+4)+('DCF Model'!G39+'DCF Model'!G42)*I$17/(1+$B19)^('DCF Model'!C19+4)-'DCF Model'!C16)*1000000/'DCF Model'!C15,0),"")</f>
        <v>4165</v>
      </c>
    </row>
    <row r="20" spans="2:9" ht="13.5" customHeight="1" x14ac:dyDescent="0.25">
      <c r="B20" s="40">
        <f>$C$3-0.005</f>
        <v>9.6845274997785849E-2</v>
      </c>
      <c r="C20" s="38">
        <f>IFERROR(ROUND(('DCF Model'!C45/(1+$B20)^('DCF Model'!C19+0)+'DCF Model'!D45/(1+$B20)^('DCF Model'!C19+1)+'DCF Model'!E45/(1+$B20)^('DCF Model'!C19+2)+'DCF Model'!F45/(1+$B20)^('DCF Model'!C19+3)+'DCF Model'!G45/(1+$B20)^('DCF Model'!C19+4)+('DCF Model'!G39+'DCF Model'!G42)*C$17/(1+$B20)^('DCF Model'!C19+4)-'DCF Model'!C16)*1000000/'DCF Model'!C15,0),"")</f>
        <v>1125</v>
      </c>
      <c r="D20" s="38">
        <f>IFERROR(ROUND(('DCF Model'!C45/(1+$B20)^('DCF Model'!C19+0)+'DCF Model'!D45/(1+$B20)^('DCF Model'!C19+1)+'DCF Model'!E45/(1+$B20)^('DCF Model'!C19+2)+'DCF Model'!F45/(1+$B20)^('DCF Model'!C19+3)+'DCF Model'!G45/(1+$B20)^('DCF Model'!C19+4)+('DCF Model'!G39+'DCF Model'!G42)*D$17/(1+$B20)^('DCF Model'!C19+4)-'DCF Model'!C16)*1000000/'DCF Model'!C15,0),"")</f>
        <v>1609</v>
      </c>
      <c r="E20" s="38">
        <f>IFERROR(ROUND(('DCF Model'!C45/(1+$B20)^('DCF Model'!C19+0)+'DCF Model'!D45/(1+$B20)^('DCF Model'!C19+1)+'DCF Model'!E45/(1+$B20)^('DCF Model'!C19+2)+'DCF Model'!F45/(1+$B20)^('DCF Model'!C19+3)+'DCF Model'!G45/(1+$B20)^('DCF Model'!C19+4)+('DCF Model'!G39+'DCF Model'!G42)*E$17/(1+$B20)^('DCF Model'!C19+4)-'DCF Model'!C16)*1000000/'DCF Model'!C15,0),"")</f>
        <v>2092</v>
      </c>
      <c r="F20" s="38">
        <f>IFERROR(ROUND(('DCF Model'!C45/(1+$B20)^('DCF Model'!C19+0)+'DCF Model'!D45/(1+$B20)^('DCF Model'!C19+1)+'DCF Model'!E45/(1+$B20)^('DCF Model'!C19+2)+'DCF Model'!F45/(1+$B20)^('DCF Model'!C19+3)+'DCF Model'!G45/(1+$B20)^('DCF Model'!C19+4)+('DCF Model'!G39+'DCF Model'!G42)*F$17/(1+$B20)^('DCF Model'!C19+4)-'DCF Model'!C16)*1000000/'DCF Model'!C15,0),"")</f>
        <v>2576</v>
      </c>
      <c r="G20" s="38">
        <f>IFERROR(ROUND(('DCF Model'!C45/(1+$B20)^('DCF Model'!C19+0)+'DCF Model'!D45/(1+$B20)^('DCF Model'!C19+1)+'DCF Model'!E45/(1+$B20)^('DCF Model'!C19+2)+'DCF Model'!F45/(1+$B20)^('DCF Model'!C19+3)+'DCF Model'!G45/(1+$B20)^('DCF Model'!C19+4)+('DCF Model'!G39+'DCF Model'!G42)*G$17/(1+$B20)^('DCF Model'!C19+4)-'DCF Model'!C16)*1000000/'DCF Model'!C15,0),"")</f>
        <v>3060</v>
      </c>
      <c r="H20" s="38">
        <f>IFERROR(ROUND(('DCF Model'!C45/(1+$B20)^('DCF Model'!C19+0)+'DCF Model'!D45/(1+$B20)^('DCF Model'!C19+1)+'DCF Model'!E45/(1+$B20)^('DCF Model'!C19+2)+'DCF Model'!F45/(1+$B20)^('DCF Model'!C19+3)+'DCF Model'!G45/(1+$B20)^('DCF Model'!C19+4)+('DCF Model'!G39+'DCF Model'!G42)*H$17/(1+$B20)^('DCF Model'!C19+4)-'DCF Model'!C16)*1000000/'DCF Model'!C15,0),"")</f>
        <v>3544</v>
      </c>
      <c r="I20" s="38">
        <f>IFERROR(ROUND(('DCF Model'!C45/(1+$B20)^('DCF Model'!C19+0)+'DCF Model'!D45/(1+$B20)^('DCF Model'!C19+1)+'DCF Model'!E45/(1+$B20)^('DCF Model'!C19+2)+'DCF Model'!F45/(1+$B20)^('DCF Model'!C19+3)+'DCF Model'!G45/(1+$B20)^('DCF Model'!C19+4)+('DCF Model'!G39+'DCF Model'!G42)*I$17/(1+$B20)^('DCF Model'!C19+4)-'DCF Model'!C16)*1000000/'DCF Model'!C15,0),"")</f>
        <v>4027</v>
      </c>
    </row>
    <row r="21" spans="2:9" ht="13.5" customHeight="1" x14ac:dyDescent="0.25">
      <c r="B21" s="40">
        <f>$C$3</f>
        <v>0.10184527499778585</v>
      </c>
      <c r="C21" s="38">
        <f>IFERROR(ROUND(('DCF Model'!C45/(1+$B21)^('DCF Model'!C19+0)+'DCF Model'!D45/(1+$B21)^('DCF Model'!C19+1)+'DCF Model'!E45/(1+$B21)^('DCF Model'!C19+2)+'DCF Model'!F45/(1+$B21)^('DCF Model'!C19+3)+'DCF Model'!G45/(1+$B21)^('DCF Model'!C19+4)+('DCF Model'!G39+'DCF Model'!G42)*C$17/(1+$B21)^('DCF Model'!C19+4)-'DCF Model'!C16)*1000000/'DCF Model'!C15,0),"")</f>
        <v>1057</v>
      </c>
      <c r="D21" s="38">
        <f>IFERROR(ROUND(('DCF Model'!C45/(1+$B21)^('DCF Model'!C19+0)+'DCF Model'!D45/(1+$B21)^('DCF Model'!C19+1)+'DCF Model'!E45/(1+$B21)^('DCF Model'!C19+2)+'DCF Model'!F45/(1+$B21)^('DCF Model'!C19+3)+'DCF Model'!G45/(1+$B21)^('DCF Model'!C19+4)+('DCF Model'!G39+'DCF Model'!G42)*D$17/(1+$B21)^('DCF Model'!C19+4)-'DCF Model'!C16)*1000000/'DCF Model'!C15,0),"")</f>
        <v>1530</v>
      </c>
      <c r="E21" s="38">
        <f>IFERROR(ROUND(('DCF Model'!C45/(1+$B21)^('DCF Model'!C19+0)+'DCF Model'!D45/(1+$B21)^('DCF Model'!C19+1)+'DCF Model'!E45/(1+$B21)^('DCF Model'!C19+2)+'DCF Model'!F45/(1+$B21)^('DCF Model'!C19+3)+'DCF Model'!G45/(1+$B21)^('DCF Model'!C19+4)+('DCF Model'!G39+'DCF Model'!G42)*E$17/(1+$B21)^('DCF Model'!C19+4)-'DCF Model'!C16)*1000000/'DCF Model'!C15,0),"")</f>
        <v>2003</v>
      </c>
      <c r="F21" s="38">
        <f>IFERROR(ROUND(('DCF Model'!C45/(1+$B21)^('DCF Model'!C19+0)+'DCF Model'!D45/(1+$B21)^('DCF Model'!C19+1)+'DCF Model'!E45/(1+$B21)^('DCF Model'!C19+2)+'DCF Model'!F45/(1+$B21)^('DCF Model'!C19+3)+'DCF Model'!G45/(1+$B21)^('DCF Model'!C19+4)+('DCF Model'!G39+'DCF Model'!G42)*F$17/(1+$B21)^('DCF Model'!C19+4)-'DCF Model'!C16)*1000000/'DCF Model'!C15,0),"")</f>
        <v>2475</v>
      </c>
      <c r="G21" s="38">
        <f>IFERROR(ROUND(('DCF Model'!C45/(1+$B21)^('DCF Model'!C19+0)+'DCF Model'!D45/(1+$B21)^('DCF Model'!C19+1)+'DCF Model'!E45/(1+$B21)^('DCF Model'!C19+2)+'DCF Model'!F45/(1+$B21)^('DCF Model'!C19+3)+'DCF Model'!G45/(1+$B21)^('DCF Model'!C19+4)+('DCF Model'!G39+'DCF Model'!G42)*G$17/(1+$B21)^('DCF Model'!C19+4)-'DCF Model'!C16)*1000000/'DCF Model'!C15,0),"")</f>
        <v>2948</v>
      </c>
      <c r="H21" s="38">
        <f>IFERROR(ROUND(('DCF Model'!C45/(1+$B21)^('DCF Model'!C19+0)+'DCF Model'!D45/(1+$B21)^('DCF Model'!C19+1)+'DCF Model'!E45/(1+$B21)^('DCF Model'!C19+2)+'DCF Model'!F45/(1+$B21)^('DCF Model'!C19+3)+'DCF Model'!G45/(1+$B21)^('DCF Model'!C19+4)+('DCF Model'!G39+'DCF Model'!G42)*H$17/(1+$B21)^('DCF Model'!C19+4)-'DCF Model'!C16)*1000000/'DCF Model'!C15,0),"")</f>
        <v>3421</v>
      </c>
      <c r="I21" s="38">
        <f>IFERROR(ROUND(('DCF Model'!C45/(1+$B21)^('DCF Model'!C19+0)+'DCF Model'!D45/(1+$B21)^('DCF Model'!C19+1)+'DCF Model'!E45/(1+$B21)^('DCF Model'!C19+2)+'DCF Model'!F45/(1+$B21)^('DCF Model'!C19+3)+'DCF Model'!G45/(1+$B21)^('DCF Model'!C19+4)+('DCF Model'!G39+'DCF Model'!G42)*I$17/(1+$B21)^('DCF Model'!C19+4)-'DCF Model'!C16)*1000000/'DCF Model'!C15,0),"")</f>
        <v>3894</v>
      </c>
    </row>
    <row r="22" spans="2:9" ht="13.5" customHeight="1" x14ac:dyDescent="0.25">
      <c r="B22" s="40">
        <f>$C$3+0.005</f>
        <v>0.10684527499778586</v>
      </c>
      <c r="C22" s="38">
        <f>IFERROR(ROUND(('DCF Model'!C45/(1+$B22)^('DCF Model'!C19+0)+'DCF Model'!D45/(1+$B22)^('DCF Model'!C19+1)+'DCF Model'!E45/(1+$B22)^('DCF Model'!C19+2)+'DCF Model'!F45/(1+$B22)^('DCF Model'!C19+3)+'DCF Model'!G45/(1+$B22)^('DCF Model'!C19+4)+('DCF Model'!G39+'DCF Model'!G42)*C$17/(1+$B22)^('DCF Model'!C19+4)-'DCF Model'!C16)*1000000/'DCF Model'!C15,0),"")</f>
        <v>991</v>
      </c>
      <c r="D22" s="38">
        <f>IFERROR(ROUND(('DCF Model'!C45/(1+$B22)^('DCF Model'!C19+0)+'DCF Model'!D45/(1+$B22)^('DCF Model'!C19+1)+'DCF Model'!E45/(1+$B22)^('DCF Model'!C19+2)+'DCF Model'!F45/(1+$B22)^('DCF Model'!C19+3)+'DCF Model'!G45/(1+$B22)^('DCF Model'!C19+4)+('DCF Model'!G39+'DCF Model'!G42)*D$17/(1+$B22)^('DCF Model'!C19+4)-'DCF Model'!C16)*1000000/'DCF Model'!C15,0),"")</f>
        <v>1453</v>
      </c>
      <c r="E22" s="38">
        <f>IFERROR(ROUND(('DCF Model'!C45/(1+$B22)^('DCF Model'!C19+0)+'DCF Model'!D45/(1+$B22)^('DCF Model'!C19+1)+'DCF Model'!E45/(1+$B22)^('DCF Model'!C19+2)+'DCF Model'!F45/(1+$B22)^('DCF Model'!C19+3)+'DCF Model'!G45/(1+$B22)^('DCF Model'!C19+4)+('DCF Model'!G39+'DCF Model'!G42)*E$17/(1+$B22)^('DCF Model'!C19+4)-'DCF Model'!C16)*1000000/'DCF Model'!C15,0),"")</f>
        <v>1915</v>
      </c>
      <c r="F22" s="38">
        <f>IFERROR(ROUND(('DCF Model'!C45/(1+$B22)^('DCF Model'!C19+0)+'DCF Model'!D45/(1+$B22)^('DCF Model'!C19+1)+'DCF Model'!E45/(1+$B22)^('DCF Model'!C19+2)+'DCF Model'!F45/(1+$B22)^('DCF Model'!C19+3)+'DCF Model'!G45/(1+$B22)^('DCF Model'!C19+4)+('DCF Model'!G39+'DCF Model'!G42)*F$17/(1+$B22)^('DCF Model'!C19+4)-'DCF Model'!C16)*1000000/'DCF Model'!C15,0),"")</f>
        <v>2377</v>
      </c>
      <c r="G22" s="38">
        <f>IFERROR(ROUND(('DCF Model'!C45/(1+$B22)^('DCF Model'!C19+0)+'DCF Model'!D45/(1+$B22)^('DCF Model'!C19+1)+'DCF Model'!E45/(1+$B22)^('DCF Model'!C19+2)+'DCF Model'!F45/(1+$B22)^('DCF Model'!C19+3)+'DCF Model'!G45/(1+$B22)^('DCF Model'!C19+4)+('DCF Model'!G39+'DCF Model'!G42)*G$17/(1+$B22)^('DCF Model'!C19+4)-'DCF Model'!C16)*1000000/'DCF Model'!C15,0),"")</f>
        <v>2840</v>
      </c>
      <c r="H22" s="38">
        <f>IFERROR(ROUND(('DCF Model'!C45/(1+$B22)^('DCF Model'!C19+0)+'DCF Model'!D45/(1+$B22)^('DCF Model'!C19+1)+'DCF Model'!E45/(1+$B22)^('DCF Model'!C19+2)+'DCF Model'!F45/(1+$B22)^('DCF Model'!C19+3)+'DCF Model'!G45/(1+$B22)^('DCF Model'!C19+4)+('DCF Model'!G39+'DCF Model'!G42)*H$17/(1+$B22)^('DCF Model'!C19+4)-'DCF Model'!C16)*1000000/'DCF Model'!C15,0),"")</f>
        <v>3302</v>
      </c>
      <c r="I22" s="38">
        <f>IFERROR(ROUND(('DCF Model'!C45/(1+$B22)^('DCF Model'!C19+0)+'DCF Model'!D45/(1+$B22)^('DCF Model'!C19+1)+'DCF Model'!E45/(1+$B22)^('DCF Model'!C19+2)+'DCF Model'!F45/(1+$B22)^('DCF Model'!C19+3)+'DCF Model'!G45/(1+$B22)^('DCF Model'!C19+4)+('DCF Model'!G39+'DCF Model'!G42)*I$17/(1+$B22)^('DCF Model'!C19+4)-'DCF Model'!C16)*1000000/'DCF Model'!C15,0),"")</f>
        <v>3764</v>
      </c>
    </row>
    <row r="23" spans="2:9" ht="13.5" customHeight="1" x14ac:dyDescent="0.25">
      <c r="B23" s="40">
        <f>$C$3+0.01</f>
        <v>0.11184527499778585</v>
      </c>
      <c r="C23" s="38">
        <f>IFERROR(ROUND(('DCF Model'!C45/(1+$B23)^('DCF Model'!C19+0)+'DCF Model'!D45/(1+$B23)^('DCF Model'!C19+1)+'DCF Model'!E45/(1+$B23)^('DCF Model'!C19+2)+'DCF Model'!F45/(1+$B23)^('DCF Model'!C19+3)+'DCF Model'!G45/(1+$B23)^('DCF Model'!C19+4)+('DCF Model'!G39+'DCF Model'!G42)*C$17/(1+$B23)^('DCF Model'!C19+4)-'DCF Model'!C16)*1000000/'DCF Model'!C15,0),"")</f>
        <v>926</v>
      </c>
      <c r="D23" s="38">
        <f>IFERROR(ROUND(('DCF Model'!C45/(1+$B23)^('DCF Model'!C19+0)+'DCF Model'!D45/(1+$B23)^('DCF Model'!C19+1)+'DCF Model'!E45/(1+$B23)^('DCF Model'!C19+2)+'DCF Model'!F45/(1+$B23)^('DCF Model'!C19+3)+'DCF Model'!G45/(1+$B23)^('DCF Model'!C19+4)+('DCF Model'!G39+'DCF Model'!G42)*D$17/(1+$B23)^('DCF Model'!C19+4)-'DCF Model'!C16)*1000000/'DCF Model'!C15,0),"")</f>
        <v>1378</v>
      </c>
      <c r="E23" s="38">
        <f>IFERROR(ROUND(('DCF Model'!C45/(1+$B23)^('DCF Model'!C19+0)+'DCF Model'!D45/(1+$B23)^('DCF Model'!C19+1)+'DCF Model'!E45/(1+$B23)^('DCF Model'!C19+2)+'DCF Model'!F45/(1+$B23)^('DCF Model'!C19+3)+'DCF Model'!G45/(1+$B23)^('DCF Model'!C19+4)+('DCF Model'!G39+'DCF Model'!G42)*E$17/(1+$B23)^('DCF Model'!C19+4)-'DCF Model'!C16)*1000000/'DCF Model'!C15,0),"")</f>
        <v>1830</v>
      </c>
      <c r="F23" s="38">
        <f>IFERROR(ROUND(('DCF Model'!C45/(1+$B23)^('DCF Model'!C19+0)+'DCF Model'!D45/(1+$B23)^('DCF Model'!C19+1)+'DCF Model'!E45/(1+$B23)^('DCF Model'!C19+2)+'DCF Model'!F45/(1+$B23)^('DCF Model'!C19+3)+'DCF Model'!G45/(1+$B23)^('DCF Model'!C19+4)+('DCF Model'!G39+'DCF Model'!G42)*F$17/(1+$B23)^('DCF Model'!C19+4)-'DCF Model'!C16)*1000000/'DCF Model'!C15,0),"")</f>
        <v>2282</v>
      </c>
      <c r="G23" s="38">
        <f>IFERROR(ROUND(('DCF Model'!C45/(1+$B23)^('DCF Model'!C19+0)+'DCF Model'!D45/(1+$B23)^('DCF Model'!C19+1)+'DCF Model'!E45/(1+$B23)^('DCF Model'!C19+2)+'DCF Model'!F45/(1+$B23)^('DCF Model'!C19+3)+'DCF Model'!G45/(1+$B23)^('DCF Model'!C19+4)+('DCF Model'!G39+'DCF Model'!G42)*G$17/(1+$B23)^('DCF Model'!C19+4)-'DCF Model'!C16)*1000000/'DCF Model'!C15,0),"")</f>
        <v>2734</v>
      </c>
      <c r="H23" s="38">
        <f>IFERROR(ROUND(('DCF Model'!C45/(1+$B23)^('DCF Model'!C19+0)+'DCF Model'!D45/(1+$B23)^('DCF Model'!C19+1)+'DCF Model'!E45/(1+$B23)^('DCF Model'!C19+2)+'DCF Model'!F45/(1+$B23)^('DCF Model'!C19+3)+'DCF Model'!G45/(1+$B23)^('DCF Model'!C19+4)+('DCF Model'!G39+'DCF Model'!G42)*H$17/(1+$B23)^('DCF Model'!C19+4)-'DCF Model'!C16)*1000000/'DCF Model'!C15,0),"")</f>
        <v>3186</v>
      </c>
      <c r="I23" s="38">
        <f>IFERROR(ROUND(('DCF Model'!C45/(1+$B23)^('DCF Model'!C19+0)+'DCF Model'!D45/(1+$B23)^('DCF Model'!C19+1)+'DCF Model'!E45/(1+$B23)^('DCF Model'!C19+2)+'DCF Model'!F45/(1+$B23)^('DCF Model'!C19+3)+'DCF Model'!G45/(1+$B23)^('DCF Model'!C19+4)+('DCF Model'!G39+'DCF Model'!G42)*I$17/(1+$B23)^('DCF Model'!C19+4)-'DCF Model'!C16)*1000000/'DCF Model'!C15,0),"")</f>
        <v>3638</v>
      </c>
    </row>
    <row r="24" spans="2:9" ht="13.5" customHeight="1" x14ac:dyDescent="0.25">
      <c r="B24" s="40">
        <f>$C$3+0.015</f>
        <v>0.11684527499778585</v>
      </c>
      <c r="C24" s="38">
        <f>IFERROR(ROUND(('DCF Model'!C45/(1+$B24)^('DCF Model'!C19+0)+'DCF Model'!D45/(1+$B24)^('DCF Model'!C19+1)+'DCF Model'!E45/(1+$B24)^('DCF Model'!C19+2)+'DCF Model'!F45/(1+$B24)^('DCF Model'!C19+3)+'DCF Model'!G45/(1+$B24)^('DCF Model'!C19+4)+('DCF Model'!G39+'DCF Model'!G42)*C$17/(1+$B24)^('DCF Model'!C19+4)-'DCF Model'!C16)*1000000/'DCF Model'!C15,0),"")</f>
        <v>863</v>
      </c>
      <c r="D24" s="38">
        <f>IFERROR(ROUND(('DCF Model'!C45/(1+$B24)^('DCF Model'!C19+0)+'DCF Model'!D45/(1+$B24)^('DCF Model'!C19+1)+'DCF Model'!E45/(1+$B24)^('DCF Model'!C19+2)+'DCF Model'!F45/(1+$B24)^('DCF Model'!C19+3)+'DCF Model'!G45/(1+$B24)^('DCF Model'!C19+4)+('DCF Model'!G39+'DCF Model'!G42)*D$17/(1+$B24)^('DCF Model'!C19+4)-'DCF Model'!C16)*1000000/'DCF Model'!C15,0),"")</f>
        <v>1305</v>
      </c>
      <c r="E24" s="38">
        <f>IFERROR(ROUND(('DCF Model'!C45/(1+$B24)^('DCF Model'!C19+0)+'DCF Model'!D45/(1+$B24)^('DCF Model'!C19+1)+'DCF Model'!E45/(1+$B24)^('DCF Model'!C19+2)+'DCF Model'!F45/(1+$B24)^('DCF Model'!C19+3)+'DCF Model'!G45/(1+$B24)^('DCF Model'!C19+4)+('DCF Model'!G39+'DCF Model'!G42)*E$17/(1+$B24)^('DCF Model'!C19+4)-'DCF Model'!C16)*1000000/'DCF Model'!C15,0),"")</f>
        <v>1747</v>
      </c>
      <c r="F24" s="38">
        <f>IFERROR(ROUND(('DCF Model'!C45/(1+$B24)^('DCF Model'!C19+0)+'DCF Model'!D45/(1+$B24)^('DCF Model'!C19+1)+'DCF Model'!E45/(1+$B24)^('DCF Model'!C19+2)+'DCF Model'!F45/(1+$B24)^('DCF Model'!C19+3)+'DCF Model'!G45/(1+$B24)^('DCF Model'!C19+4)+('DCF Model'!G39+'DCF Model'!G42)*F$17/(1+$B24)^('DCF Model'!C19+4)-'DCF Model'!C16)*1000000/'DCF Model'!C15,0),"")</f>
        <v>2189</v>
      </c>
      <c r="G24" s="38">
        <f>IFERROR(ROUND(('DCF Model'!C45/(1+$B24)^('DCF Model'!C19+0)+'DCF Model'!D45/(1+$B24)^('DCF Model'!C19+1)+'DCF Model'!E45/(1+$B24)^('DCF Model'!C19+2)+'DCF Model'!F45/(1+$B24)^('DCF Model'!C19+3)+'DCF Model'!G45/(1+$B24)^('DCF Model'!C19+4)+('DCF Model'!G39+'DCF Model'!G42)*G$17/(1+$B24)^('DCF Model'!C19+4)-'DCF Model'!C16)*1000000/'DCF Model'!C15,0),"")</f>
        <v>2631</v>
      </c>
      <c r="H24" s="38">
        <f>IFERROR(ROUND(('DCF Model'!C45/(1+$B24)^('DCF Model'!C19+0)+'DCF Model'!D45/(1+$B24)^('DCF Model'!C19+1)+'DCF Model'!E45/(1+$B24)^('DCF Model'!C19+2)+'DCF Model'!F45/(1+$B24)^('DCF Model'!C19+3)+'DCF Model'!G45/(1+$B24)^('DCF Model'!C19+4)+('DCF Model'!G39+'DCF Model'!G42)*H$17/(1+$B24)^('DCF Model'!C19+4)-'DCF Model'!C16)*1000000/'DCF Model'!C15,0),"")</f>
        <v>3073</v>
      </c>
      <c r="I24" s="38">
        <f>IFERROR(ROUND(('DCF Model'!C45/(1+$B24)^('DCF Model'!C19+0)+'DCF Model'!D45/(1+$B24)^('DCF Model'!C19+1)+'DCF Model'!E45/(1+$B24)^('DCF Model'!C19+2)+'DCF Model'!F45/(1+$B24)^('DCF Model'!C19+3)+'DCF Model'!G45/(1+$B24)^('DCF Model'!C19+4)+('DCF Model'!G39+'DCF Model'!G42)*I$17/(1+$B24)^('DCF Model'!C19+4)-'DCF Model'!C16)*1000000/'DCF Model'!C15,0),"")</f>
        <v>3515</v>
      </c>
    </row>
    <row r="26" spans="2:9" ht="14" customHeight="1" x14ac:dyDescent="0.3">
      <c r="B26" s="55" t="s">
        <v>230</v>
      </c>
      <c r="C26" s="54"/>
      <c r="D26" s="54"/>
      <c r="E26" s="54"/>
      <c r="F26" s="54"/>
      <c r="G26" s="54"/>
      <c r="H26" s="54"/>
      <c r="I26" s="54"/>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7"/>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customHeight="1" x14ac:dyDescent="0.4">
      <c r="B2" s="2" t="s">
        <v>231</v>
      </c>
    </row>
    <row r="4" spans="2:7" ht="14" customHeight="1" x14ac:dyDescent="0.3">
      <c r="B4" s="10" t="s">
        <v>232</v>
      </c>
      <c r="C4" s="10" t="s">
        <v>233</v>
      </c>
      <c r="D4" s="10" t="s">
        <v>234</v>
      </c>
      <c r="E4" s="10" t="s">
        <v>235</v>
      </c>
      <c r="F4" s="10" t="s">
        <v>236</v>
      </c>
      <c r="G4" s="10" t="s">
        <v>237</v>
      </c>
    </row>
    <row r="5" spans="2:7" x14ac:dyDescent="0.2">
      <c r="B5" t="s">
        <v>238</v>
      </c>
      <c r="C5" t="s">
        <v>239</v>
      </c>
      <c r="D5" t="s">
        <v>240</v>
      </c>
      <c r="E5" t="s">
        <v>241</v>
      </c>
      <c r="F5" t="s">
        <v>239</v>
      </c>
      <c r="G5" t="s">
        <v>242</v>
      </c>
    </row>
    <row r="6" spans="2:7" ht="30" customHeight="1" x14ac:dyDescent="0.3">
      <c r="B6" t="s">
        <v>238</v>
      </c>
      <c r="C6" s="4" t="s">
        <v>243</v>
      </c>
      <c r="D6" t="s">
        <v>244</v>
      </c>
      <c r="E6" t="s">
        <v>245</v>
      </c>
      <c r="F6" t="s">
        <v>246</v>
      </c>
      <c r="G6" t="s">
        <v>247</v>
      </c>
    </row>
    <row r="12" spans="2:7" ht="14" customHeight="1" x14ac:dyDescent="0.3">
      <c r="B12" s="8" t="s">
        <v>248</v>
      </c>
    </row>
    <row r="13" spans="2:7" ht="14" customHeight="1" x14ac:dyDescent="0.3">
      <c r="B13" s="10" t="s">
        <v>249</v>
      </c>
      <c r="C13" s="10" t="s">
        <v>250</v>
      </c>
    </row>
    <row r="14" spans="2:7" ht="14" customHeight="1" x14ac:dyDescent="0.3">
      <c r="B14" s="4" t="s">
        <v>251</v>
      </c>
      <c r="C14" t="s">
        <v>252</v>
      </c>
    </row>
    <row r="15" spans="2:7" ht="14" customHeight="1" x14ac:dyDescent="0.3">
      <c r="B15" s="4" t="s">
        <v>253</v>
      </c>
      <c r="C15" t="s">
        <v>254</v>
      </c>
    </row>
    <row r="16" spans="2:7" ht="14" customHeight="1" x14ac:dyDescent="0.3">
      <c r="B16" s="4" t="s">
        <v>255</v>
      </c>
      <c r="C16" t="s">
        <v>256</v>
      </c>
    </row>
    <row r="17" spans="2:3" ht="14" customHeight="1" x14ac:dyDescent="0.3">
      <c r="B17" s="4" t="s">
        <v>257</v>
      </c>
      <c r="C17" t="s">
        <v>258</v>
      </c>
    </row>
    <row r="18" spans="2:3" ht="14" customHeight="1" x14ac:dyDescent="0.3">
      <c r="B18" s="4" t="s">
        <v>259</v>
      </c>
      <c r="C18" t="s">
        <v>256</v>
      </c>
    </row>
    <row r="19" spans="2:3" ht="14" customHeight="1" x14ac:dyDescent="0.3">
      <c r="B19" s="4" t="s">
        <v>260</v>
      </c>
      <c r="C19" t="s">
        <v>261</v>
      </c>
    </row>
    <row r="20" spans="2:3" ht="14" customHeight="1" x14ac:dyDescent="0.3">
      <c r="B20" s="4" t="s">
        <v>262</v>
      </c>
      <c r="C20" t="s">
        <v>263</v>
      </c>
    </row>
    <row r="21" spans="2:3" ht="14" customHeight="1" x14ac:dyDescent="0.3">
      <c r="B21" s="4" t="s">
        <v>264</v>
      </c>
      <c r="C21" t="s">
        <v>265</v>
      </c>
    </row>
    <row r="22" spans="2:3" ht="14" customHeight="1" x14ac:dyDescent="0.3">
      <c r="B22" s="4" t="s">
        <v>266</v>
      </c>
      <c r="C22" t="s">
        <v>267</v>
      </c>
    </row>
    <row r="23" spans="2:3" ht="14" customHeight="1" x14ac:dyDescent="0.3">
      <c r="B23" s="4" t="s">
        <v>268</v>
      </c>
      <c r="C23" t="s">
        <v>47</v>
      </c>
    </row>
    <row r="24" spans="2:3" ht="14" customHeight="1" x14ac:dyDescent="0.3">
      <c r="B24" s="4" t="s">
        <v>269</v>
      </c>
      <c r="C24" t="s">
        <v>4</v>
      </c>
    </row>
    <row r="25" spans="2:3" ht="14" customHeight="1" x14ac:dyDescent="0.3">
      <c r="B25" s="4" t="s">
        <v>270</v>
      </c>
      <c r="C25" t="s">
        <v>238</v>
      </c>
    </row>
    <row r="26" spans="2:3" ht="14" customHeight="1" x14ac:dyDescent="0.3">
      <c r="B26" s="4" t="s">
        <v>271</v>
      </c>
      <c r="C26" t="s">
        <v>272</v>
      </c>
    </row>
    <row r="27" spans="2:3" ht="14" customHeight="1" x14ac:dyDescent="0.3">
      <c r="B27" s="4" t="s">
        <v>273</v>
      </c>
      <c r="C27" t="s">
        <v>261</v>
      </c>
    </row>
    <row r="28" spans="2:3" ht="14" customHeight="1" x14ac:dyDescent="0.3">
      <c r="B28" s="4" t="s">
        <v>274</v>
      </c>
      <c r="C28" t="s">
        <v>261</v>
      </c>
    </row>
    <row r="29" spans="2:3" ht="14" customHeight="1" x14ac:dyDescent="0.3">
      <c r="B29" s="4" t="s">
        <v>275</v>
      </c>
      <c r="C29" t="s">
        <v>276</v>
      </c>
    </row>
    <row r="30" spans="2:3" ht="14" customHeight="1" x14ac:dyDescent="0.3">
      <c r="B30" s="4" t="s">
        <v>277</v>
      </c>
      <c r="C30" t="s">
        <v>278</v>
      </c>
    </row>
    <row r="31" spans="2:3" ht="14" customHeight="1" x14ac:dyDescent="0.3">
      <c r="B31" s="4" t="s">
        <v>279</v>
      </c>
      <c r="C31" t="s">
        <v>280</v>
      </c>
    </row>
    <row r="32" spans="2:3" ht="14" customHeight="1" x14ac:dyDescent="0.3">
      <c r="B32" s="4" t="s">
        <v>281</v>
      </c>
      <c r="C32" t="s">
        <v>276</v>
      </c>
    </row>
    <row r="33" spans="2:3" ht="14" customHeight="1" x14ac:dyDescent="0.3">
      <c r="B33" s="4" t="s">
        <v>282</v>
      </c>
      <c r="C33" t="s">
        <v>261</v>
      </c>
    </row>
    <row r="34" spans="2:3" ht="14" customHeight="1" x14ac:dyDescent="0.3">
      <c r="B34" s="4" t="s">
        <v>283</v>
      </c>
      <c r="C34" t="s">
        <v>272</v>
      </c>
    </row>
    <row r="35" spans="2:3" ht="14" customHeight="1" x14ac:dyDescent="0.3">
      <c r="B35" s="4" t="s">
        <v>284</v>
      </c>
      <c r="C35" t="s">
        <v>285</v>
      </c>
    </row>
    <row r="36" spans="2:3" ht="14" customHeight="1" x14ac:dyDescent="0.3">
      <c r="B36" s="4" t="s">
        <v>286</v>
      </c>
      <c r="C36" t="s">
        <v>287</v>
      </c>
    </row>
    <row r="37" spans="2:3" ht="14" customHeight="1" x14ac:dyDescent="0.3">
      <c r="B37" s="4" t="s">
        <v>288</v>
      </c>
      <c r="C37" t="s">
        <v>289</v>
      </c>
    </row>
    <row r="38" spans="2:3" ht="14" customHeight="1" x14ac:dyDescent="0.3">
      <c r="B38" s="4" t="s">
        <v>290</v>
      </c>
      <c r="C38" t="s">
        <v>291</v>
      </c>
    </row>
    <row r="39" spans="2:3" ht="14" customHeight="1" x14ac:dyDescent="0.3">
      <c r="B39" s="4" t="s">
        <v>292</v>
      </c>
      <c r="C39" t="s">
        <v>293</v>
      </c>
    </row>
    <row r="40" spans="2:3" ht="14" customHeight="1" x14ac:dyDescent="0.3">
      <c r="B40" s="4" t="s">
        <v>294</v>
      </c>
      <c r="C40" t="s">
        <v>295</v>
      </c>
    </row>
    <row r="41" spans="2:3" ht="14" customHeight="1" x14ac:dyDescent="0.3">
      <c r="B41" s="4" t="s">
        <v>296</v>
      </c>
      <c r="C41" t="s">
        <v>265</v>
      </c>
    </row>
    <row r="42" spans="2:3" ht="14" customHeight="1" x14ac:dyDescent="0.3">
      <c r="B42" s="4" t="s">
        <v>297</v>
      </c>
      <c r="C42" t="s">
        <v>267</v>
      </c>
    </row>
    <row r="43" spans="2:3" ht="14" customHeight="1" x14ac:dyDescent="0.3">
      <c r="B43" s="4" t="s">
        <v>298</v>
      </c>
      <c r="C43" t="s">
        <v>299</v>
      </c>
    </row>
    <row r="44" spans="2:3" ht="14" customHeight="1" x14ac:dyDescent="0.3">
      <c r="B44" s="4" t="s">
        <v>300</v>
      </c>
      <c r="C44" t="s">
        <v>301</v>
      </c>
    </row>
    <row r="45" spans="2:3" ht="14" customHeight="1" x14ac:dyDescent="0.3">
      <c r="B45" s="4" t="s">
        <v>302</v>
      </c>
      <c r="C45" t="s">
        <v>303</v>
      </c>
    </row>
    <row r="46" spans="2:3" ht="14" customHeight="1" x14ac:dyDescent="0.3">
      <c r="B46" s="4" t="s">
        <v>304</v>
      </c>
      <c r="C46" t="s">
        <v>305</v>
      </c>
    </row>
    <row r="47" spans="2:3" ht="14" customHeight="1" x14ac:dyDescent="0.3">
      <c r="B47" s="4" t="s">
        <v>306</v>
      </c>
      <c r="C47" t="s">
        <v>307</v>
      </c>
    </row>
    <row r="48" spans="2:3" ht="14" customHeight="1" x14ac:dyDescent="0.3">
      <c r="B48" s="4" t="s">
        <v>308</v>
      </c>
      <c r="C48" t="s">
        <v>309</v>
      </c>
    </row>
    <row r="49" spans="2:3" ht="14" customHeight="1" x14ac:dyDescent="0.3">
      <c r="B49" s="4" t="s">
        <v>310</v>
      </c>
      <c r="C49" t="s">
        <v>311</v>
      </c>
    </row>
    <row r="50" spans="2:3" ht="14" customHeight="1" x14ac:dyDescent="0.3">
      <c r="B50" s="4" t="s">
        <v>312</v>
      </c>
      <c r="C50" t="s">
        <v>313</v>
      </c>
    </row>
    <row r="51" spans="2:3" ht="14" customHeight="1" x14ac:dyDescent="0.3">
      <c r="B51" s="4" t="s">
        <v>314</v>
      </c>
      <c r="C51" t="s">
        <v>272</v>
      </c>
    </row>
    <row r="52" spans="2:3" ht="14" customHeight="1" x14ac:dyDescent="0.3">
      <c r="B52" s="4" t="s">
        <v>315</v>
      </c>
      <c r="C52" t="s">
        <v>316</v>
      </c>
    </row>
    <row r="53" spans="2:3" ht="14" customHeight="1" x14ac:dyDescent="0.3">
      <c r="B53" s="4" t="s">
        <v>317</v>
      </c>
      <c r="C53" t="s">
        <v>318</v>
      </c>
    </row>
    <row r="54" spans="2:3" ht="14" customHeight="1" x14ac:dyDescent="0.3">
      <c r="B54" s="4" t="s">
        <v>319</v>
      </c>
      <c r="C54" t="s">
        <v>320</v>
      </c>
    </row>
    <row r="55" spans="2:3" ht="14" customHeight="1" x14ac:dyDescent="0.3">
      <c r="B55" s="4" t="s">
        <v>321</v>
      </c>
      <c r="C55" t="s">
        <v>322</v>
      </c>
    </row>
    <row r="56" spans="2:3" ht="14" customHeight="1" x14ac:dyDescent="0.3">
      <c r="B56" s="4" t="s">
        <v>323</v>
      </c>
      <c r="C56" t="s">
        <v>272</v>
      </c>
    </row>
    <row r="57" spans="2:3" ht="14" customHeight="1" x14ac:dyDescent="0.3">
      <c r="B57" s="4" t="s">
        <v>324</v>
      </c>
      <c r="C57" t="s">
        <v>325</v>
      </c>
    </row>
    <row r="58" spans="2:3" ht="14" customHeight="1" x14ac:dyDescent="0.3">
      <c r="B58" s="4" t="s">
        <v>326</v>
      </c>
      <c r="C58" t="s">
        <v>327</v>
      </c>
    </row>
    <row r="59" spans="2:3" ht="14" customHeight="1" x14ac:dyDescent="0.3">
      <c r="B59" s="4" t="s">
        <v>328</v>
      </c>
      <c r="C59" t="s">
        <v>329</v>
      </c>
    </row>
    <row r="60" spans="2:3" ht="14" customHeight="1" x14ac:dyDescent="0.3">
      <c r="B60" s="4" t="s">
        <v>330</v>
      </c>
      <c r="C60" t="s">
        <v>331</v>
      </c>
    </row>
    <row r="61" spans="2:3" ht="14" customHeight="1" x14ac:dyDescent="0.3">
      <c r="B61" s="4" t="s">
        <v>332</v>
      </c>
      <c r="C61" t="s">
        <v>333</v>
      </c>
    </row>
    <row r="62" spans="2:3" ht="14" customHeight="1" x14ac:dyDescent="0.3">
      <c r="B62" s="4" t="s">
        <v>334</v>
      </c>
      <c r="C62" t="s">
        <v>203</v>
      </c>
    </row>
    <row r="63" spans="2:3" x14ac:dyDescent="0.2">
      <c r="B63" t="s">
        <v>335</v>
      </c>
      <c r="C63" t="s">
        <v>336</v>
      </c>
    </row>
    <row r="64" spans="2:3" x14ac:dyDescent="0.2">
      <c r="B64" t="s">
        <v>337</v>
      </c>
      <c r="C64">
        <v>1390867</v>
      </c>
    </row>
    <row r="65" spans="2:3" x14ac:dyDescent="0.2">
      <c r="B65" t="s">
        <v>338</v>
      </c>
      <c r="C65">
        <v>1</v>
      </c>
    </row>
    <row r="66" spans="2:3" x14ac:dyDescent="0.2">
      <c r="B66" t="s">
        <v>339</v>
      </c>
      <c r="C66" t="s">
        <v>261</v>
      </c>
    </row>
    <row r="67" spans="2:3" x14ac:dyDescent="0.2">
      <c r="B67" t="s">
        <v>340</v>
      </c>
      <c r="C67" t="s">
        <v>341</v>
      </c>
    </row>
  </sheetData>
  <phoneticPr fontId="8"/>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7030A0"/>
  </sheetPr>
  <dimension ref="B2:C15"/>
  <sheetViews>
    <sheetView workbookViewId="0">
      <pane xSplit="2" ySplit="3" topLeftCell="C4" activePane="bottomRight" state="frozen"/>
      <selection pane="topRight"/>
      <selection pane="bottomLeft"/>
      <selection pane="bottomRight"/>
    </sheetView>
  </sheetViews>
  <sheetFormatPr defaultRowHeight="13" x14ac:dyDescent="0.2"/>
  <cols>
    <col min="1" max="1" width="3" customWidth="1"/>
    <col min="2" max="2" width="42" customWidth="1"/>
    <col min="3" max="7" width="18" customWidth="1"/>
  </cols>
  <sheetData>
    <row r="2" spans="2:3" ht="18" x14ac:dyDescent="0.4">
      <c r="B2" s="2" t="s">
        <v>342</v>
      </c>
    </row>
    <row r="3" spans="2:3" ht="30" customHeight="1" x14ac:dyDescent="0.3">
      <c r="B3" s="45" t="s">
        <v>343</v>
      </c>
    </row>
    <row r="5" spans="2:3" ht="14" x14ac:dyDescent="0.3">
      <c r="B5" s="3" t="s">
        <v>344</v>
      </c>
    </row>
    <row r="6" spans="2:3" ht="13.5" x14ac:dyDescent="0.25">
      <c r="B6" s="46" t="s">
        <v>345</v>
      </c>
      <c r="C6" s="47">
        <v>1390867</v>
      </c>
    </row>
    <row r="7" spans="2:3" ht="13.5" x14ac:dyDescent="0.25">
      <c r="B7" s="46" t="s">
        <v>346</v>
      </c>
      <c r="C7" s="48">
        <v>1</v>
      </c>
    </row>
    <row r="8" spans="2:3" ht="14" x14ac:dyDescent="0.3">
      <c r="B8" s="49" t="s">
        <v>347</v>
      </c>
      <c r="C8" s="50">
        <f>C6*C7</f>
        <v>1390867</v>
      </c>
    </row>
    <row r="9" spans="2:3" ht="30" customHeight="1" x14ac:dyDescent="0.3">
      <c r="B9" s="51" t="s">
        <v>348</v>
      </c>
    </row>
    <row r="11" spans="2:3" ht="13.5" x14ac:dyDescent="0.25">
      <c r="B11" s="46" t="s">
        <v>349</v>
      </c>
      <c r="C11" s="52">
        <f>'DCF Model'!C15</f>
        <v>901098026</v>
      </c>
    </row>
    <row r="12" spans="2:3" ht="14" x14ac:dyDescent="0.3">
      <c r="B12" s="49" t="s">
        <v>350</v>
      </c>
      <c r="C12" s="50">
        <f>ROUND(C8/C11*1000000,0)</f>
        <v>1544</v>
      </c>
    </row>
    <row r="14" spans="2:3" ht="30" customHeight="1" x14ac:dyDescent="0.3">
      <c r="B14" s="45" t="s">
        <v>351</v>
      </c>
    </row>
    <row r="15" spans="2:3" ht="14" x14ac:dyDescent="0.3">
      <c r="B15" s="45" t="s">
        <v>352</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Executive Summary</vt:lpstr>
      <vt:lpstr>Financial Statements</vt:lpstr>
      <vt:lpstr>DCF Model</vt:lpstr>
      <vt:lpstr>Reverse DCF</vt:lpstr>
      <vt:lpstr>NWC Schedule</vt:lpstr>
      <vt:lpstr>Comps Analysis</vt:lpstr>
      <vt:lpstr>Sensitivity Analysis</vt:lpstr>
      <vt:lpstr>Adjustments Log</vt:lpstr>
      <vt:lpstr>Equity Method Value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2026-09-07T04:19:31Z</dcterms:created>
  <dcterms:modified xsi:type="dcterms:W3CDTF">2026-09-07T04:19:42Z</dcterms:modified>
</cp:coreProperties>
</file>