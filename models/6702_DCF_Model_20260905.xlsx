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F32296A-68CB-4B31-A01B-7EE892C6DB56}"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D15" i="6" s="1"/>
  <c r="O6" i="6"/>
  <c r="N6" i="6"/>
  <c r="M6" i="6"/>
  <c r="L6" i="6"/>
  <c r="K6" i="6"/>
  <c r="J6" i="6"/>
  <c r="O5" i="6"/>
  <c r="N5" i="6"/>
  <c r="D5" i="6"/>
  <c r="L5" i="6" s="1"/>
  <c r="B31" i="1" s="1"/>
  <c r="C16" i="5"/>
  <c r="C14" i="5"/>
  <c r="C7" i="5"/>
  <c r="C6" i="5"/>
  <c r="C5" i="5"/>
  <c r="C13" i="4"/>
  <c r="C12" i="4"/>
  <c r="C9" i="4"/>
  <c r="C7" i="4"/>
  <c r="C6" i="4"/>
  <c r="D27" i="3"/>
  <c r="C32" i="3" s="1"/>
  <c r="C25" i="3"/>
  <c r="C24" i="3"/>
  <c r="C23" i="3"/>
  <c r="C26" i="3" s="1"/>
  <c r="D36" i="4" s="1"/>
  <c r="F16" i="2"/>
  <c r="E16" i="2"/>
  <c r="D16" i="2"/>
  <c r="F15" i="2"/>
  <c r="E15" i="2"/>
  <c r="D15" i="2"/>
  <c r="F14" i="2"/>
  <c r="E14" i="2"/>
  <c r="D14" i="2"/>
  <c r="C14" i="2"/>
  <c r="F13" i="2"/>
  <c r="E13" i="2"/>
  <c r="D13" i="2"/>
  <c r="C13" i="2"/>
  <c r="D9" i="2"/>
  <c r="C9" i="2"/>
  <c r="F8" i="2"/>
  <c r="F9" i="2" s="1"/>
  <c r="E8" i="2"/>
  <c r="E9" i="2" s="1"/>
  <c r="D8" i="2"/>
  <c r="C8" i="2"/>
  <c r="E5" i="6" l="1"/>
  <c r="J5" i="6" s="1"/>
  <c r="F16" i="6"/>
  <c r="C28" i="6" s="1"/>
  <c r="C19" i="1" s="1"/>
  <c r="D19" i="1" s="1"/>
  <c r="E16" i="6"/>
  <c r="M5" i="6"/>
  <c r="G16" i="6"/>
  <c r="B24" i="1"/>
  <c r="F6" i="7"/>
  <c r="C6" i="7"/>
  <c r="C8" i="4"/>
  <c r="C10" i="4" s="1"/>
  <c r="C71" i="4" s="1"/>
  <c r="C18" i="5"/>
  <c r="G6" i="7"/>
  <c r="C70" i="4"/>
  <c r="D45" i="4"/>
  <c r="D43" i="4"/>
  <c r="D38" i="4"/>
  <c r="D48" i="4" s="1"/>
  <c r="D53" i="4" s="1"/>
  <c r="D39" i="4"/>
  <c r="D49" i="4" s="1"/>
  <c r="D54" i="4" s="1"/>
  <c r="D41" i="4"/>
  <c r="D51" i="4" s="1"/>
  <c r="D56" i="4" s="1"/>
  <c r="D44" i="4"/>
  <c r="D46" i="4"/>
  <c r="D40" i="4"/>
  <c r="D50" i="4" s="1"/>
  <c r="D55" i="4" s="1"/>
  <c r="G17" i="6"/>
  <c r="E30" i="3"/>
  <c r="H15" i="6"/>
  <c r="E31" i="3"/>
  <c r="C46" i="3"/>
  <c r="F7" i="5"/>
  <c r="I16" i="6"/>
  <c r="I17" i="6"/>
  <c r="I15" i="6"/>
  <c r="G7" i="5"/>
  <c r="D46" i="3"/>
  <c r="E15" i="6"/>
  <c r="B25" i="1"/>
  <c r="D17" i="6"/>
  <c r="F15" i="6"/>
  <c r="G5" i="5"/>
  <c r="E32" i="3"/>
  <c r="G30" i="3"/>
  <c r="G6" i="5"/>
  <c r="E5" i="5"/>
  <c r="E7" i="5"/>
  <c r="G32" i="3"/>
  <c r="D31" i="3"/>
  <c r="F5" i="5"/>
  <c r="D32" i="3"/>
  <c r="D7" i="5"/>
  <c r="H5" i="5"/>
  <c r="F32" i="3"/>
  <c r="C31" i="3"/>
  <c r="H6" i="5"/>
  <c r="F30" i="3"/>
  <c r="D6" i="5"/>
  <c r="E17" i="6"/>
  <c r="G15" i="6"/>
  <c r="G31" i="3"/>
  <c r="H7" i="5"/>
  <c r="F31" i="3"/>
  <c r="D5" i="5"/>
  <c r="C3" i="7"/>
  <c r="G36" i="4"/>
  <c r="C11" i="4"/>
  <c r="G46" i="3"/>
  <c r="E36" i="4"/>
  <c r="H36" i="4"/>
  <c r="F36" i="4"/>
  <c r="F46" i="3"/>
  <c r="E46" i="3"/>
  <c r="C30" i="3"/>
  <c r="C33" i="3" s="1"/>
  <c r="E6" i="5"/>
  <c r="F17" i="6"/>
  <c r="D30" i="3"/>
  <c r="F6" i="5"/>
  <c r="K5" i="6"/>
  <c r="I6" i="7"/>
  <c r="D16" i="6"/>
  <c r="C17" i="7"/>
  <c r="D17" i="7"/>
  <c r="H17" i="6"/>
  <c r="D6" i="7"/>
  <c r="E17" i="7"/>
  <c r="E6" i="7"/>
  <c r="F17" i="7"/>
  <c r="H16" i="6"/>
  <c r="G17" i="7"/>
  <c r="H17" i="7"/>
  <c r="C24" i="4" l="1"/>
  <c r="C25" i="4" s="1"/>
  <c r="E39" i="4"/>
  <c r="E46" i="4"/>
  <c r="E41" i="4"/>
  <c r="E45" i="4"/>
  <c r="E43" i="4"/>
  <c r="E44" i="4"/>
  <c r="E38" i="4"/>
  <c r="E48" i="4" s="1"/>
  <c r="E53" i="4" s="1"/>
  <c r="E40" i="4"/>
  <c r="F43" i="4"/>
  <c r="F40" i="4"/>
  <c r="F45" i="4"/>
  <c r="F39" i="4"/>
  <c r="F49" i="4" s="1"/>
  <c r="F46" i="4"/>
  <c r="F38" i="4"/>
  <c r="F48" i="4" s="1"/>
  <c r="F53" i="4" s="1"/>
  <c r="F41" i="4"/>
  <c r="F51" i="4" s="1"/>
  <c r="F56" i="4" s="1"/>
  <c r="F44" i="4"/>
  <c r="H40" i="4"/>
  <c r="H38" i="4"/>
  <c r="H43" i="4"/>
  <c r="H46" i="4"/>
  <c r="H44" i="4"/>
  <c r="H41" i="4"/>
  <c r="H45" i="4"/>
  <c r="H39" i="4"/>
  <c r="C42" i="3"/>
  <c r="C34" i="3"/>
  <c r="D10" i="5" s="1"/>
  <c r="D9" i="5"/>
  <c r="D12" i="5" s="1"/>
  <c r="C37" i="3"/>
  <c r="D33" i="3"/>
  <c r="C43" i="3"/>
  <c r="C27" i="4"/>
  <c r="C26" i="4"/>
  <c r="C29" i="4"/>
  <c r="B13" i="7"/>
  <c r="B12" i="7"/>
  <c r="B11" i="7"/>
  <c r="B10" i="7"/>
  <c r="B9" i="7"/>
  <c r="B8" i="7"/>
  <c r="B7" i="7"/>
  <c r="B24" i="7"/>
  <c r="B23" i="7"/>
  <c r="B22" i="7"/>
  <c r="B21" i="7"/>
  <c r="B20" i="7"/>
  <c r="B19" i="7"/>
  <c r="B18" i="7"/>
  <c r="G46" i="4"/>
  <c r="G44" i="4"/>
  <c r="G39" i="4"/>
  <c r="G43" i="4"/>
  <c r="G40" i="4"/>
  <c r="G50" i="4" s="1"/>
  <c r="G55" i="4" s="1"/>
  <c r="G38" i="4"/>
  <c r="G41" i="4"/>
  <c r="G45" i="4"/>
  <c r="C27" i="6"/>
  <c r="C18" i="1" s="1"/>
  <c r="D18" i="1" s="1"/>
  <c r="C74" i="4"/>
  <c r="C35" i="3" l="1"/>
  <c r="H51" i="4"/>
  <c r="H56" i="4" s="1"/>
  <c r="G49" i="4"/>
  <c r="G54" i="4" s="1"/>
  <c r="E51" i="4"/>
  <c r="E56" i="4" s="1"/>
  <c r="C36" i="3"/>
  <c r="C39" i="3"/>
  <c r="C38" i="3"/>
  <c r="C60" i="4"/>
  <c r="F54" i="4"/>
  <c r="B78" i="4"/>
  <c r="D37" i="3"/>
  <c r="D43" i="3"/>
  <c r="D42" i="3"/>
  <c r="D34" i="3"/>
  <c r="E10" i="5" s="1"/>
  <c r="E9" i="5"/>
  <c r="E12" i="5" s="1"/>
  <c r="E33" i="3"/>
  <c r="D15" i="5"/>
  <c r="D16" i="5" s="1"/>
  <c r="D13" i="5"/>
  <c r="D14" i="5" s="1"/>
  <c r="H48" i="4"/>
  <c r="H53" i="4" s="1"/>
  <c r="F50" i="4"/>
  <c r="F55" i="4" s="1"/>
  <c r="H50" i="4"/>
  <c r="H55" i="4" s="1"/>
  <c r="E49" i="4"/>
  <c r="E54" i="4" s="1"/>
  <c r="G51" i="4"/>
  <c r="G56" i="4" s="1"/>
  <c r="G48" i="4"/>
  <c r="G53" i="4" s="1"/>
  <c r="H49" i="4"/>
  <c r="H54" i="4" s="1"/>
  <c r="E50" i="4"/>
  <c r="E55" i="4" s="1"/>
  <c r="D18" i="5" l="1"/>
  <c r="D19" i="5" s="1"/>
  <c r="C44" i="3" s="1"/>
  <c r="D35" i="3"/>
  <c r="D38" i="3" s="1"/>
  <c r="C66" i="4"/>
  <c r="D66" i="4" s="1"/>
  <c r="C65" i="4"/>
  <c r="D65" i="4" s="1"/>
  <c r="C67" i="4"/>
  <c r="D67" i="4" s="1"/>
  <c r="C64" i="4"/>
  <c r="D64" i="4" s="1"/>
  <c r="C63" i="4"/>
  <c r="D63" i="4" s="1"/>
  <c r="D39" i="3"/>
  <c r="D36" i="3"/>
  <c r="F9" i="5"/>
  <c r="F12" i="5" s="1"/>
  <c r="E42" i="3"/>
  <c r="E34" i="3"/>
  <c r="F10" i="5" s="1"/>
  <c r="E37" i="3"/>
  <c r="E43" i="3"/>
  <c r="F33" i="3"/>
  <c r="E13" i="5"/>
  <c r="E14" i="5" s="1"/>
  <c r="E15" i="5"/>
  <c r="E16" i="5" s="1"/>
  <c r="C40" i="3"/>
  <c r="C41" i="3" s="1"/>
  <c r="C45" i="3" s="1"/>
  <c r="E18" i="5" l="1"/>
  <c r="E19" i="5" s="1"/>
  <c r="D44" i="3" s="1"/>
  <c r="C47" i="3"/>
  <c r="D40" i="3"/>
  <c r="D41" i="3" s="1"/>
  <c r="D45" i="3" s="1"/>
  <c r="F43" i="3"/>
  <c r="F37" i="3"/>
  <c r="G9" i="5"/>
  <c r="G12" i="5" s="1"/>
  <c r="G33" i="3"/>
  <c r="F42" i="3"/>
  <c r="F34" i="3"/>
  <c r="G10" i="5" s="1"/>
  <c r="E35" i="3"/>
  <c r="F15" i="5"/>
  <c r="F16" i="5" s="1"/>
  <c r="F13" i="5"/>
  <c r="F14" i="5"/>
  <c r="F18" i="5" l="1"/>
  <c r="F19" i="5" s="1"/>
  <c r="E44" i="3" s="1"/>
  <c r="D47" i="3"/>
  <c r="F35" i="3"/>
  <c r="E36" i="3"/>
  <c r="E39" i="3"/>
  <c r="E38" i="3"/>
  <c r="G13" i="5"/>
  <c r="G14" i="5" s="1"/>
  <c r="G15" i="5"/>
  <c r="G16" i="5" s="1"/>
  <c r="H9" i="5"/>
  <c r="H12" i="5" s="1"/>
  <c r="G43" i="3"/>
  <c r="C16" i="4"/>
  <c r="C28" i="4" s="1"/>
  <c r="G42" i="3"/>
  <c r="G34" i="3"/>
  <c r="H10" i="5" s="1"/>
  <c r="G37" i="3"/>
  <c r="G18" i="5" l="1"/>
  <c r="G19" i="5" s="1"/>
  <c r="F44" i="3" s="1"/>
  <c r="H13" i="5"/>
  <c r="H14" i="5" s="1"/>
  <c r="H18" i="5" s="1"/>
  <c r="H19" i="5" s="1"/>
  <c r="G44" i="3" s="1"/>
  <c r="H15" i="5"/>
  <c r="H16" i="5" s="1"/>
  <c r="G35" i="3"/>
  <c r="C72" i="4"/>
  <c r="C73" i="4"/>
  <c r="E40" i="3"/>
  <c r="E41" i="3" s="1"/>
  <c r="E45" i="3" s="1"/>
  <c r="F38" i="3"/>
  <c r="F36" i="3"/>
  <c r="F39" i="3"/>
  <c r="E47" i="3" l="1"/>
  <c r="F40" i="3"/>
  <c r="F41" i="3"/>
  <c r="F45" i="3" s="1"/>
  <c r="F47" i="3" s="1"/>
  <c r="G38" i="3"/>
  <c r="G36" i="3"/>
  <c r="G39" i="3"/>
  <c r="G40" i="3" l="1"/>
  <c r="G41" i="3"/>
  <c r="G45" i="3" s="1"/>
  <c r="C24" i="7" s="1"/>
  <c r="C59" i="3"/>
  <c r="C60" i="3" s="1"/>
  <c r="C61" i="3" s="1"/>
  <c r="D7" i="7"/>
  <c r="F18" i="7"/>
  <c r="E18" i="7"/>
  <c r="D13" i="7"/>
  <c r="I24" i="7"/>
  <c r="E10" i="7"/>
  <c r="F11" i="7"/>
  <c r="I23" i="7"/>
  <c r="C7" i="7"/>
  <c r="G22" i="7"/>
  <c r="D9" i="7"/>
  <c r="I20" i="7"/>
  <c r="F23" i="7"/>
  <c r="E9" i="7"/>
  <c r="F8" i="7"/>
  <c r="H19" i="7"/>
  <c r="D10" i="7"/>
  <c r="D8" i="7"/>
  <c r="I9" i="7"/>
  <c r="I7" i="7"/>
  <c r="E22" i="7"/>
  <c r="F13" i="7"/>
  <c r="H8" i="7"/>
  <c r="F24" i="7"/>
  <c r="I13" i="7"/>
  <c r="C22" i="7"/>
  <c r="C18" i="7"/>
  <c r="E21" i="7"/>
  <c r="D20" i="7"/>
  <c r="H10" i="7"/>
  <c r="C21" i="7"/>
  <c r="F20" i="7"/>
  <c r="C19" i="7"/>
  <c r="E11" i="7"/>
  <c r="G21" i="7"/>
  <c r="H13" i="7"/>
  <c r="G7" i="7"/>
  <c r="G12" i="7"/>
  <c r="D11" i="7"/>
  <c r="H18" i="7"/>
  <c r="C11" i="7"/>
  <c r="C8" i="7"/>
  <c r="E23" i="7"/>
  <c r="G8" i="7"/>
  <c r="E19" i="7"/>
  <c r="H21" i="7"/>
  <c r="I10" i="7"/>
  <c r="H22" i="7"/>
  <c r="D19" i="7"/>
  <c r="E7" i="7"/>
  <c r="F10" i="7"/>
  <c r="C9" i="7"/>
  <c r="G18" i="7"/>
  <c r="G13" i="7"/>
  <c r="I8" i="7"/>
  <c r="I21" i="7"/>
  <c r="H9" i="7"/>
  <c r="G19" i="7"/>
  <c r="G9" i="7"/>
  <c r="G10" i="7"/>
  <c r="D22" i="7"/>
  <c r="I11" i="7"/>
  <c r="E24" i="7"/>
  <c r="C51" i="3" l="1"/>
  <c r="C52" i="3" s="1"/>
  <c r="G47" i="3"/>
  <c r="C50" i="3" s="1"/>
  <c r="H11" i="7"/>
  <c r="G23" i="7"/>
  <c r="G20" i="7"/>
  <c r="C13" i="7"/>
  <c r="F21" i="7"/>
  <c r="E13" i="7"/>
  <c r="H7" i="7"/>
  <c r="H23" i="7"/>
  <c r="C23" i="7"/>
  <c r="E20" i="7"/>
  <c r="E12" i="7"/>
  <c r="F9" i="7"/>
  <c r="H12" i="7"/>
  <c r="H24" i="7"/>
  <c r="E8" i="7"/>
  <c r="I12" i="7"/>
  <c r="D24" i="7"/>
  <c r="C12" i="7"/>
  <c r="D18" i="7"/>
  <c r="D23" i="7"/>
  <c r="I18" i="7"/>
  <c r="F7" i="7"/>
  <c r="F19" i="7"/>
  <c r="F12" i="7"/>
  <c r="D12" i="7"/>
  <c r="F22" i="7"/>
  <c r="I19" i="7"/>
  <c r="H20" i="7"/>
  <c r="C10" i="7"/>
  <c r="C20" i="7"/>
  <c r="G24" i="7"/>
  <c r="G11" i="7"/>
  <c r="D21" i="7"/>
  <c r="I22" i="7"/>
  <c r="C53" i="3" l="1"/>
  <c r="C58" i="3"/>
  <c r="C62" i="3" s="1"/>
  <c r="C63" i="3" l="1"/>
  <c r="C64" i="3" s="1"/>
  <c r="C17" i="1" s="1"/>
  <c r="D17" i="1" s="1"/>
  <c r="C54" i="3"/>
  <c r="C55" i="3" s="1"/>
  <c r="C16" i="1" s="1"/>
  <c r="C17" i="4"/>
  <c r="C10" i="1" l="1"/>
  <c r="D16" i="1"/>
  <c r="C21" i="1"/>
  <c r="C19" i="4"/>
  <c r="C20" i="4" s="1"/>
  <c r="B79" i="4"/>
  <c r="C12" i="1" l="1"/>
  <c r="C11" i="1" s="1"/>
  <c r="B29" i="1"/>
  <c r="B26" i="1"/>
</calcChain>
</file>

<file path=xl/sharedStrings.xml><?xml version="1.0" encoding="utf-8"?>
<sst xmlns="http://schemas.openxmlformats.org/spreadsheetml/2006/main" count="518" uniqueCount="389">
  <si>
    <t>DISCLAIMER: This is a sample analysis for demonstration purposes only. It does not constitute investment advice.</t>
  </si>
  <si>
    <t>富士通 (6702.T)</t>
  </si>
  <si>
    <t>Equity Research Report</t>
  </si>
  <si>
    <t>Company</t>
  </si>
  <si>
    <t>富士通</t>
  </si>
  <si>
    <t>Ticker</t>
  </si>
  <si>
    <t>6702.T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</si>
  <si>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</si>
  <si>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</si>
  <si>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</si>
  <si>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</si>
  <si>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</si>
  <si>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</si>
  <si>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</si>
  <si>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</si>
  <si>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</si>
  <si>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</si>
  <si>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</si>
  <si>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</si>
  <si>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</si>
  <si>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</si>
  <si>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</si>
  <si>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</si>
  <si>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</si>
  <si>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</si>
  <si>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has fallen for three consecutive years on divestitures, and the base case assumes the shrinking stops — which the reported top line has not yet shown.</t>
  </si>
  <si>
    <t>富士通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</si>
  <si>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</si>
  <si>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</si>
  <si>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</si>
  <si>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</si>
  <si>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</si>
  <si>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</si>
  <si>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</si>
  <si>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</si>
  <si>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</si>
  <si>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</si>
  <si>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</si>
  <si>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</si>
  <si>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</si>
  <si>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</si>
  <si>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</si>
  <si>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</si>
  <si>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</si>
  <si>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</si>
  <si>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</si>
  <si>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</si>
  <si>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</si>
  <si>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</si>
  <si>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</si>
  <si>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</si>
  <si>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</si>
  <si>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</si>
  <si>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</si>
  <si>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</si>
  <si>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富士通</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</si>
  <si>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</si>
  <si>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</si>
  <si>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</si>
  <si>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</si>
  <si>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</si>
  <si>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</si>
  <si>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</si>
  <si>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</si>
  <si>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</si>
  <si>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</si>
  <si>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</si>
  <si>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</si>
  <si>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</si>
  <si>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</si>
  <si>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</si>
  <si>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</si>
  <si>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</si>
  <si>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</si>
  <si>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</si>
  <si>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</si>
  <si>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</si>
  <si>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</si>
  <si>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</si>
  <si>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</si>
  <si>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</si>
  <si>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</si>
  <si>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</si>
  <si>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</si>
  <si>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</si>
  <si>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</si>
  <si>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</si>
  <si>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</si>
  <si>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</si>
  <si>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</si>
  <si>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</si>
  <si>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</si>
  <si>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</si>
  <si>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</si>
  <si>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</si>
  <si>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</si>
  <si>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</si>
  <si>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</si>
  <si>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</si>
  <si>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</si>
  <si>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</si>
  <si>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</si>
  <si>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</si>
  <si>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</si>
  <si>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</si>
  <si>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</si>
  <si>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</si>
  <si>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</si>
  <si>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</si>
  <si>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</si>
  <si>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</si>
  <si>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</si>
  <si>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</si>
  <si>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</si>
  <si>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</si>
  <si>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</si>
  <si>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</si>
  <si>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</si>
  <si>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</si>
  <si>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富士通 (6702.T)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</si>
  <si>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</si>
  <si>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</si>
  <si>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</si>
  <si>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</si>
  <si>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</si>
  <si>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</si>
  <si>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</si>
  <si>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</si>
  <si>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</si>
  <si>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</si>
  <si>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</si>
  <si>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</si>
  <si>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</si>
  <si>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</si>
  <si>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</si>
  <si>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</si>
  <si>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</si>
  <si>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</si>
  <si>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</si>
  <si>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</si>
  <si>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</si>
  <si>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</si>
  <si>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</si>
  <si>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</si>
  <si>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</si>
  <si>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</si>
  <si>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</si>
  <si>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</si>
  <si>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</si>
  <si>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</si>
  <si>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</si>
  <si>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</si>
  <si>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</si>
  <si>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</si>
  <si>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</si>
  <si>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</si>
  <si>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</si>
  <si>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</si>
  <si>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</si>
  <si>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</si>
  <si>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</si>
  <si>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</si>
  <si>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</si>
  <si>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</si>
  <si>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</si>
  <si>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</si>
  <si>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</si>
  <si>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</si>
  <si>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</si>
  <si>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</si>
  <si>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</si>
  <si>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富士通</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</si>
  <si>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</si>
  <si>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</si>
  <si>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</si>
  <si>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</si>
  <si>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</si>
  <si>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</si>
  <si>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</si>
  <si>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</si>
  <si>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</si>
  <si>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</si>
  <si>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</si>
  <si>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</si>
  <si>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</si>
  <si>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</si>
  <si>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</si>
  <si>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</si>
  <si>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</si>
  <si>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</si>
  <si>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</si>
  <si>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</si>
  <si>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</si>
  <si>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</si>
  <si>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</si>
  <si>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</si>
  <si>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</si>
  <si>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</si>
  <si>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</si>
  <si>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</si>
  <si>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</si>
  <si>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</si>
  <si>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</si>
  <si>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</si>
  <si>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</si>
  <si>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</si>
  <si>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Fujitsu Limited</t>
  </si>
  <si>
    <t>6702.T</t>
  </si>
  <si>
    <t>NEC Corporation</t>
  </si>
  <si>
    <t>6701.T</t>
  </si>
  <si>
    <t>Nomura Research Institute, Ltd.</t>
  </si>
  <si>
    <t>4307.T</t>
  </si>
  <si>
    <t>Mitsubishi Electric Corporation</t>
  </si>
  <si>
    <t>6503.T</t>
  </si>
  <si>
    <t>Panasonic Holdings Corporation</t>
  </si>
  <si>
    <t>6752.T</t>
  </si>
  <si>
    <t>Hitachi, Ltd.</t>
  </si>
  <si>
    <t>6501.T</t>
  </si>
  <si>
    <t>Statistics</t>
  </si>
  <si>
    <t>25th Percentile</t>
  </si>
  <si>
    <t>Median (50th)</t>
  </si>
  <si>
    <t>75th Percentile</t>
  </si>
  <si>
    <t>Implied Valuation for 富士通</t>
  </si>
  <si>
    <t>富士通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</si>
  <si>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</si>
  <si>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</si>
  <si>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</si>
  <si>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</si>
  <si>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</si>
  <si>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</si>
  <si>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</si>
  <si>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</si>
  <si>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</si>
  <si>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</si>
  <si>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</si>
  <si>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</si>
  <si>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</si>
  <si>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</si>
  <si>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</si>
  <si>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富士通</t>
  </si>
  <si>
    <t>日付</t>
  </si>
  <si>
    <t>セル</t>
  </si>
  <si>
    <t>変更内容</t>
  </si>
  <si>
    <t>理由</t>
  </si>
  <si>
    <t>元の値</t>
  </si>
  <si>
    <t>状態</t>
  </si>
  <si>
    <t>2026-09-05</t>
  </si>
  <si>
    <t>-</t>
  </si>
  <si>
    <t>Generated by pipeline on 2026-09-05 20:45,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</si>
  <si>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</si>
  <si>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</si>
  <si>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</si>
  <si>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</si>
  <si>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</si>
  <si>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</si>
  <si>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</si>
  <si>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</si>
  <si>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</si>
  <si>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</si>
  <si>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</si>
  <si>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</si>
  <si>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</si>
  <si>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</si>
  <si>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6,750,996百万円。■テンプレートの自動規則(&gt;=1兆円 -&gt; 0.0%、&gt;=1,000億円 -&gt; 1.5%)とは異なる値であり、明示指定で上書きしている。</t>
  </si>
  <si>
    <t>テンプレ自動値</t>
  </si>
  <si>
    <t>DCF Model!C8</t>
  </si>
  <si>
    <t>Beta = 0.75</t>
  </si>
  <si>
    <t>yfinance実測 **0.748** はテンプレのクランプ域 [0.6, 1.75] の**内側**のため素通し（置換なし）。</t>
  </si>
  <si>
    <t>yfinance実測 0.748</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</si>
  <si>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</si>
  <si>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</si>
  <si>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</si>
  <si>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</si>
  <si>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</si>
  <si>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</si>
  <si>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</si>
  <si>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ネットキャッシュで D/E = 0 のため、負債コストは WACC に一切寄与しない（WACC = Ke）。実績Kd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</si>
  <si>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</si>
  <si>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</si>
  <si>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</si>
  <si>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</si>
  <si>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</si>
  <si>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</si>
  <si>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15.6x</t>
  </si>
  <si>
    <t>Peer 5社の実測EV/EBITDA中央値 15.55x。■**追補4 §Q の判定**: `batch/check_growth_premium.py` で機械判定した結果、**非該当**。（3条件のうち「仮定Exit倍率 &gt; 25倍」を満たさないため。Exit法は Target に算入されたまま） 自社の現在倍率 13.14x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</si>
  <si>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</si>
  <si>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</si>
  <si>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</si>
  <si>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CLEAN。赤字年なしで型Bにも該当しない。</t>
  </si>
  <si>
    <t>Financial Statements / hist_* / 市場データ / net_debt / core_ebitda</t>
  </si>
  <si>
    <t>追補2 §F-2 + 追補3 §L + 追補2 §G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</si>
  <si>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で逆算。current_price / shares_outstanding / net_debt / core_ebitda も予防的に明示指定（追補3 §L / 追補2 §G）。■**結果として初回生成で合格（リトライ0回）**。</t>
  </si>
  <si>
    <t>EDINET自動抽出値</t>
  </si>
  <si>
    <t>DCF Model!C5 / C18</t>
  </si>
  <si>
    <t>capex / D&amp;A 方式</t>
  </si>
  <si>
    <t>capex_method / da_method とも revenue_pct（capex 4.20% / D&amp;A 4.00%）。実績は capex 3.1-5.6% / D&amp;A 4.0-5.3% で近接。ターミナル比率 1.050x（レンジ内）。</t>
  </si>
  <si>
    <t>Executive Summary(追補4 §Q 判定)</t>
  </si>
  <si>
    <t>**非該当** — Exit は Target に算入したまま</t>
  </si>
  <si>
    <t>batch/check_growth_premium.py による機械判定: WARN11乖離 2.50倍 / PGM逆算Exit 6.23倍 / 仮定Exit 15.60倍。3条件のうち「仮定Exit倍率 &gt; 25倍」を満たさないため §Q の降格は適用しない。■ただし PGM と Exit の乖離自体は存在しており、Target は点推定ではなくレンジの中点として読むこと。</t>
  </si>
  <si>
    <t>DCF Model シナリオ5本</t>
  </si>
  <si>
    <t>実績OPM分布からの導出（min 4.29 / p25 6.67 / med 8.25 / p75 9.26 / max 9.94 %）</t>
  </si>
  <si>
    <t>■COGS% を直近実績 64.4% に固定し SGA% を逆算した。■FY2024/3 の落ち込みは事業構造改革費用によるもので、わずか2年前に半分以下のマージンを記録している点に注意。 Base 到達OPM は 9.60%、Upside は 10.94%、Downside 1 は 6.67%、Downside 2 は 4.3–5.0%。既存銘柄からの流用なし。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</si>
  <si>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</si>
  <si>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</si>
  <si>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</si>
  <si>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</si>
  <si>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</si>
  <si>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</si>
  <si>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94 / DIH 40 / DPO 65 日</t>
  </si>
  <si>
    <t>実績4期平均。ハードウェア縮小で在庫が軽く、DPO が DIH を上回り運転資本は資金供給側にある。</t>
  </si>
  <si>
    <t>Comps Analysis</t>
  </si>
  <si>
    <t>Peer 5社 = 6701 NEC / 4307 野村総合研究所 / 6503 三菱電機 / 6752 パナソニックHD / 6501 日立製作所</t>
  </si>
  <si>
    <t>■選定理由: 総合電機・ITサービス・大型産業機械。■時価総額バンド（2.03〜20.3兆円）から 6501(24.1兆) が外れるが総合電機としての比較可能性で採用した。■海外Peer（Siemens / GE / IBM / Accenture 等）は v2 §5 により不使用。■D&amp;A取得状況: 全6社で減価償却費を取得でき統一。**D&amp;A欠損による除外はゼロ**（validate チェック12 PASS）。</t>
  </si>
  <si>
    <t>Executive Summary!C10 / Target</t>
  </si>
  <si>
    <t>Target Price = 2,928円 = PGM 1,982円 と Exit 3,874円 の2本平均。Comps 2本(EV/EBITDA 4,582円 / PER 7,788円)は [参考・Target不算入]</t>
  </si>
  <si>
    <t>メモ§2 の規約どおり。validate チェック14 PASS(C10 が C16:C17 のみを平均)。EV&lt;net_debt による INVALID 化は発生していない（チェック10・15 とも PASS）。**追補4 §Q は非該当**（仮定Exit倍率が25倍未満）のため Exit は Target に算入されている。</t>
  </si>
  <si>
    <t>全体(納品状態)</t>
  </si>
  <si>
    <t>本ファイルは DRAFT。_FINAL は付けない</t>
  </si>
  <si>
    <t>バッチモードでの機械生成物であり人間の検証を経ていない。FINAL化は手順書v2 §6 に従い検証後に行う。</t>
  </si>
  <si>
    <t>DRAFT</t>
  </si>
  <si>
    <t>全体(未解決)</t>
  </si>
  <si>
    <t>**わずか2年前に OPM 4.29% を記録している**</t>
  </si>
  <si>
    <t>回復は2年しか経っておらず、Downside 2 はその水準への回帰を想定している。構造改革費用が再発性であれば Base（9.60%）は楽観的。</t>
  </si>
  <si>
    <t>未解決</t>
  </si>
  <si>
    <t>売上が3年連続で減少</t>
  </si>
  <si>
    <t>事業売却によるもので、Base は縮小が止まることを仮定している。報告売上はまだそれを示していない。</t>
  </si>
  <si>
    <t>**純利益（449,408）が営業利益（348,329）を大きく上回っている**</t>
  </si>
  <si>
    <t>Comps の PER 中央値ベース参考値 7,788円 は、この一過性利益を含む分母で計算されており他手法（1,982〜4,582円）から大きく外れている。[参考] 扱いとして読むこと。</t>
  </si>
  <si>
    <t>Pipeline Metadata (do not edit — read by scripts/validate_output.py)</t>
  </si>
  <si>
    <t>key</t>
  </si>
  <si>
    <t>value</t>
  </si>
  <si>
    <t>auto_log_entries</t>
  </si>
  <si>
    <t>0</t>
  </si>
  <si>
    <t>capex_pct_basis</t>
  </si>
  <si>
    <t>assumption</t>
  </si>
  <si>
    <t>capex_pct_c5</t>
  </si>
  <si>
    <t>0.042</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</si>
  <si>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</si>
  <si>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</si>
  <si>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</si>
  <si>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</si>
  <si>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</si>
  <si>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</si>
  <si>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</si>
  <si>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</si>
  <si>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</si>
  <si>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</si>
  <si>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</si>
  <si>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</si>
  <si>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</si>
  <si>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</si>
  <si>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</si>
  <si>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</si>
  <si>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</si>
  <si>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</si>
  <si>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</si>
  <si>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</si>
  <si>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</si>
  <si>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</si>
  <si>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</si>
  <si>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</si>
  <si>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0.04</t>
  </si>
  <si>
    <t>da_pct_hist3yr</t>
  </si>
  <si>
    <t>0.039901</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</si>
  <si>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</si>
  <si>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</si>
  <si>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</si>
  <si>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</si>
  <si>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</si>
  <si>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</si>
  <si>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</si>
  <si>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</si>
  <si>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</si>
  <si>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2026-09-05 20:45:07</t>
  </si>
  <si>
    <t>ltm_revenue_c20</t>
  </si>
  <si>
    <t>3502971.0</t>
  </si>
  <si>
    <t>ltm_revenue_source</t>
  </si>
  <si>
    <t>latest FY (no LTM)</t>
  </si>
  <si>
    <t>narrative_tokens_used</t>
  </si>
  <si>
    <t>pb,per,price,target_price,upside_pct,wacc</t>
  </si>
  <si>
    <t>reverse_dcf_sheet</t>
  </si>
  <si>
    <t>op0=348,329(FY2026) peak=348,329(FY2026) peak_opm=0.0994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</si>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</sst>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3900</v>
      </c>
    </row>
    <row r="10" spans="2:5" ht="14" customHeight="1" x14ac:dyDescent="0.3">
      <c r="B10" s="4" t="s">
        <v>10</v>
      </c>
      <c r="C10" s="5">
        <f>IF(COUNT(C16:C17)=0,"N/A",ROUND(AVERAGE(C16:C17),0))</f>
        <v>2928</v>
      </c>
    </row>
    <row r="11" spans="2:5" ht="14" customHeight="1" x14ac:dyDescent="0.3">
      <c r="B11" s="4" t="s">
        <v>11</v>
      </c>
      <c r="C11" s="6" t="str">
        <f>IF(NOT(ISNUMBER(C12)),"N/A",IF(C12&gt;0.15,"BUY",IF(C12&gt;0.05,"HOLD","SELL")))</f>
        <v>SELL</v>
      </c>
    </row>
    <row r="12" spans="2:5" ht="14" customHeight="1" x14ac:dyDescent="0.3">
      <c r="B12" s="4" t="s">
        <v>12</v>
      </c>
      <c r="C12" s="7">
        <f>IF(ISNUMBER(C10),(C10-C9)/C9,"N/A")</f>
        <v>-0.24923076923076923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1982</v>
      </c>
      <c r="D16" s="7">
        <f>IF(ISNUMBER(C16),(C16-C9)/C9,"N/A")</f>
        <v>-0.4917948717948718</v>
      </c>
    </row>
    <row r="17" spans="2:5" ht="13.5" customHeight="1" x14ac:dyDescent="0.25">
      <c r="B17" t="s">
        <v>18</v>
      </c>
      <c r="C17" s="11">
        <f>IF('DCF Model'!C62&lt;'DCF Model'!C16,"INVALID (EV &lt; net debt)",'DCF Model'!C64)</f>
        <v>3874</v>
      </c>
      <c r="D17" s="7">
        <f>IF(ISNUMBER(C17),(C17-C9)/C9,"N/A")</f>
        <v>-6.6666666666666671E-3</v>
      </c>
    </row>
    <row r="18" spans="2:5" ht="13.5" customHeight="1" x14ac:dyDescent="0.25">
      <c r="B18" t="s">
        <v>19</v>
      </c>
      <c r="C18" s="11">
        <f>'Comps Analysis'!C27</f>
        <v>4582</v>
      </c>
      <c r="D18" s="7">
        <f>IF(ISNUMBER(C18),(C18-C9)/C9,"N/A")</f>
        <v>0.17487179487179488</v>
      </c>
    </row>
    <row r="19" spans="2:5" ht="13.5" customHeight="1" x14ac:dyDescent="0.25">
      <c r="B19" t="s">
        <v>20</v>
      </c>
      <c r="C19" s="11">
        <f>'Comps Analysis'!C28</f>
        <v>7788</v>
      </c>
      <c r="D19" s="7">
        <f>IF(ISNUMBER(C19),(C19-C9)/C9,"N/A")</f>
        <v>0.99692307692307691</v>
      </c>
    </row>
    <row r="20" spans="2:5" ht="14" customHeight="1" x14ac:dyDescent="0.3">
      <c r="B20" s="46" t="s">
        <v>21</v>
      </c>
      <c r="C20" s="45"/>
      <c r="D20" s="45"/>
      <c r="E20" s="45"/>
    </row>
    <row r="21" spans="2:5" ht="14" customHeight="1" x14ac:dyDescent="0.3">
      <c r="B21" s="4" t="s">
        <v>22</v>
      </c>
      <c r="C21" s="6" t="str">
        <f>IF(COUNT(C16:C17)=0,"N/A",MIN(C16:C17)&amp;" - "&amp;MAX(C16:C17))</f>
        <v>1982 - 3874</v>
      </c>
    </row>
    <row r="23" spans="2:5" ht="14" customHeight="1" x14ac:dyDescent="0.3">
      <c r="B23" s="8" t="s">
        <v>23</v>
      </c>
      <c r="C23" s="9"/>
      <c r="D23" s="9"/>
    </row>
    <row r="24" spans="2:5" x14ac:dyDescent="0.2">
      <c r="B24" t="str">
        <f>"Fujitsu has narrowed to domestic IT services and Uvance while shedding hardware, and the operating margin has recovered to the top of its four-year range; the shares trade at "&amp;TEXT('Comps Analysis'!L5,"0.0""x""")&amp;" earnings and "&amp;TEXT('Comps Analysis'!M5,"0.00""x""")&amp;" book."</f>
        <v>Fujitsu has narrowed to domestic IT services and Uvance while shedding hardware, and the operating margin has recovered to the top of its four-year range; the shares trade at 15.0x earnings and 3.33x book.</v>
      </c>
    </row>
    <row r="25" spans="2:5" x14ac:dyDescent="0.2">
      <c r="B25" t="str">
        <f>"The balance sheet is net cash with interest-bearing debt at just four percent of revenue, so the "&amp;TEXT('DCF Model'!C26,"0.00%")&amp;" discount rate is the cost of equity with no leverage assumed."</f>
        <v>The balance sheet is net cash with interest-bearing debt at just four percent of revenue, so the 8.85% discount rate is the cost of equity with no leverage assumed.</v>
      </c>
    </row>
    <row r="26" spans="2:5" x14ac:dyDescent="0.2">
      <c r="B26" t="str">
        <f>"At "&amp;TEXT(C9,"#,##0")&amp;" the shares are valued below the diversified-electronics and IT-services peer median on EV/EBITDA; a base case that holds the current margin supports "&amp;TEXT(C10,"#,##0")&amp;", or "&amp;TEXT(C12,"+0.0%;-0.0%")&amp;" from here."</f>
        <v>At 3,900 the shares are valued below the diversified-electronics and IT-services peer median on EV/EBITDA; a base case that holds the current margin supports 2,928, or -24.9% from here.</v>
      </c>
    </row>
    <row r="28" spans="2:5" ht="14" customHeight="1" x14ac:dyDescent="0.3">
      <c r="B28" s="8" t="s">
        <v>24</v>
      </c>
      <c r="C28" s="9"/>
      <c r="D28" s="9"/>
    </row>
    <row r="29" spans="2:5" x14ac:dyDescent="0.2">
      <c r="B29" t="str">
        <f>"The operating margin was 4.29% just two years ago on restructuring charges, so the recovery behind "&amp;TEXT(C10,"#,##0")&amp;" is only two years old and the second downside case returns to that level."</f>
        <v>The operating margin was 4.29% just two years ago on restructuring charges, so the recovery behind 2,928 is only two years old and the second downside case returns to that level.</v>
      </c>
    </row>
    <row r="30" spans="2:5" x14ac:dyDescent="0.2">
      <c r="B30" t="s">
        <v>25</v>
      </c>
    </row>
    <row r="31" spans="2:5" x14ac:dyDescent="0.2">
      <c r="B31" t="str">
        <f>"Reported net income in the latest year far exceeded operating income, so the "&amp;TEXT('Comps Analysis'!L5,"0.0""x""")&amp;" the market pays is measured against an earnings base that includes items the operating result does not."</f>
        <v>Reported net income in the latest year far exceeded operating income, so the 15.0x the market pays is measured against an earnings base that includes items the operating result does not.</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3713767</v>
      </c>
      <c r="D6" s="5">
        <v>3476985</v>
      </c>
      <c r="E6" s="5">
        <v>3550116</v>
      </c>
      <c r="F6" s="5">
        <v>3502971</v>
      </c>
    </row>
    <row r="7" spans="2:6" ht="14" customHeight="1" x14ac:dyDescent="0.3">
      <c r="B7" s="4" t="s">
        <v>33</v>
      </c>
      <c r="C7" s="5">
        <v>2569685</v>
      </c>
      <c r="D7" s="5">
        <v>2358996</v>
      </c>
      <c r="E7" s="5">
        <v>2382138</v>
      </c>
      <c r="F7" s="5">
        <v>2256104</v>
      </c>
    </row>
    <row r="8" spans="2:6" ht="14" customHeight="1" x14ac:dyDescent="0.3">
      <c r="B8" s="4" t="s">
        <v>34</v>
      </c>
      <c r="C8" s="5">
        <f>C6-C7</f>
        <v>1144082</v>
      </c>
      <c r="D8" s="5">
        <f>D6-D7</f>
        <v>1117989</v>
      </c>
      <c r="E8" s="5">
        <f>E6-E7</f>
        <v>1167978</v>
      </c>
      <c r="F8" s="5">
        <f>F6-F7</f>
        <v>1246867</v>
      </c>
    </row>
    <row r="9" spans="2:6" ht="13.5" customHeight="1" x14ac:dyDescent="0.25">
      <c r="B9" t="s">
        <v>35</v>
      </c>
      <c r="C9" s="7">
        <f>C8/C6</f>
        <v>0.30806509939907378</v>
      </c>
      <c r="D9" s="7">
        <f>D8/D6</f>
        <v>0.32153978231139912</v>
      </c>
      <c r="E9" s="7">
        <f>E8/E6</f>
        <v>0.32899713699496014</v>
      </c>
      <c r="F9" s="7">
        <f>F8/F6</f>
        <v>0.35594556734840227</v>
      </c>
    </row>
    <row r="10" spans="2:6" ht="14" customHeight="1" x14ac:dyDescent="0.3">
      <c r="B10" s="4" t="s">
        <v>36</v>
      </c>
      <c r="C10" s="5">
        <v>808468</v>
      </c>
      <c r="D10" s="5">
        <v>968663</v>
      </c>
      <c r="E10" s="5">
        <v>902889</v>
      </c>
      <c r="F10" s="5">
        <v>898538</v>
      </c>
    </row>
    <row r="11" spans="2:6" ht="14" customHeight="1" x14ac:dyDescent="0.3">
      <c r="B11" s="4" t="s">
        <v>37</v>
      </c>
      <c r="C11" s="5">
        <v>335614</v>
      </c>
      <c r="D11" s="5">
        <v>149326</v>
      </c>
      <c r="E11" s="5">
        <v>265089</v>
      </c>
      <c r="F11" s="5">
        <v>348329</v>
      </c>
    </row>
    <row r="12" spans="2:6" ht="14" customHeight="1" x14ac:dyDescent="0.3">
      <c r="B12" s="4" t="s">
        <v>38</v>
      </c>
      <c r="C12" s="5">
        <v>215182</v>
      </c>
      <c r="D12" s="5">
        <v>254478</v>
      </c>
      <c r="E12" s="5">
        <v>219807</v>
      </c>
      <c r="F12" s="5">
        <v>449408</v>
      </c>
    </row>
    <row r="13" spans="2:6" ht="13.5" customHeight="1" x14ac:dyDescent="0.25">
      <c r="B13" t="s">
        <v>39</v>
      </c>
      <c r="C13" s="7">
        <f>C11/C6</f>
        <v>9.0370235935641627E-2</v>
      </c>
      <c r="D13" s="7">
        <f>D11/D6</f>
        <v>4.2946978488546832E-2</v>
      </c>
      <c r="E13" s="7">
        <f>E11/E6</f>
        <v>7.4670517808432174E-2</v>
      </c>
      <c r="F13" s="7">
        <f>F11/F6</f>
        <v>9.9438162633947016E-2</v>
      </c>
    </row>
    <row r="14" spans="2:6" ht="13.5" customHeight="1" x14ac:dyDescent="0.25">
      <c r="B14" t="s">
        <v>40</v>
      </c>
      <c r="C14" s="7">
        <f>C12/C6</f>
        <v>5.7941707166873961E-2</v>
      </c>
      <c r="D14" s="7">
        <f>D12/D6</f>
        <v>7.3189271739740033E-2</v>
      </c>
      <c r="E14" s="7">
        <f>E12/E6</f>
        <v>6.1915441636273293E-2</v>
      </c>
      <c r="F14" s="7">
        <f>F12/F6</f>
        <v>0.12829338295977899</v>
      </c>
    </row>
    <row r="15" spans="2:6" ht="13.5" customHeight="1" x14ac:dyDescent="0.25">
      <c r="B15" t="s">
        <v>41</v>
      </c>
      <c r="C15" t="s">
        <v>42</v>
      </c>
      <c r="D15" s="7">
        <f>(D6-C6)/C6</f>
        <v>-6.3757904036521401E-2</v>
      </c>
      <c r="E15" s="7">
        <f>(E6-D6)/D6</f>
        <v>2.1032877622422876E-2</v>
      </c>
      <c r="F15" s="7">
        <f>(F6-E6)/E6</f>
        <v>-1.3279847757087375E-2</v>
      </c>
    </row>
    <row r="16" spans="2:6" ht="13.5" customHeight="1" x14ac:dyDescent="0.25">
      <c r="B16" t="s">
        <v>43</v>
      </c>
      <c r="C16" t="s">
        <v>42</v>
      </c>
      <c r="D16" s="7">
        <f>(D11-C11)/C11</f>
        <v>-0.55506623680776135</v>
      </c>
      <c r="E16" s="7">
        <f>(E11-D11)/D11</f>
        <v>0.77523673037515239</v>
      </c>
      <c r="F16" s="7">
        <f>(F11-E11)/E11</f>
        <v>0.31400774834112316</v>
      </c>
    </row>
    <row r="18" spans="2:6" ht="14" customHeight="1" x14ac:dyDescent="0.3">
      <c r="B18" s="3" t="s">
        <v>44</v>
      </c>
    </row>
    <row r="19" spans="2:6" ht="14" customHeight="1" x14ac:dyDescent="0.3">
      <c r="B19" s="4" t="s">
        <v>45</v>
      </c>
      <c r="C19" s="5">
        <v>220329</v>
      </c>
      <c r="D19" s="5">
        <v>309221</v>
      </c>
      <c r="E19" s="5">
        <v>303882</v>
      </c>
      <c r="F19" s="5">
        <v>338130</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355901</v>
      </c>
      <c r="D26" s="5">
        <v>342139</v>
      </c>
      <c r="E26" s="5">
        <v>236079</v>
      </c>
      <c r="F26" s="5">
        <v>450366</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4.2000000000000003E-2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0.75</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15.6</v>
      </c>
    </row>
    <row r="15" spans="2:7" ht="14" customHeight="1" x14ac:dyDescent="0.3">
      <c r="B15" s="4" t="s">
        <v>66</v>
      </c>
      <c r="C15" s="15">
        <v>1731026775</v>
      </c>
    </row>
    <row r="16" spans="2:7" ht="14" customHeight="1" x14ac:dyDescent="0.3">
      <c r="B16" s="4" t="s">
        <v>67</v>
      </c>
      <c r="C16" s="5">
        <v>-317272</v>
      </c>
    </row>
    <row r="17" spans="2:7" ht="14" customHeight="1" x14ac:dyDescent="0.3">
      <c r="B17" s="4" t="s">
        <v>68</v>
      </c>
      <c r="C17" s="5">
        <v>3502971</v>
      </c>
    </row>
    <row r="18" spans="2:7" ht="14" customHeight="1" x14ac:dyDescent="0.3">
      <c r="B18" s="4" t="s">
        <v>69</v>
      </c>
      <c r="C18" s="7">
        <v>0.04</v>
      </c>
    </row>
    <row r="19" spans="2:7" ht="14" customHeight="1" x14ac:dyDescent="0.3">
      <c r="B19" s="4" t="s">
        <v>70</v>
      </c>
      <c r="C19" s="12">
        <v>1</v>
      </c>
    </row>
    <row r="20" spans="2:7" ht="14" customHeight="1" x14ac:dyDescent="0.3">
      <c r="B20" s="4" t="s">
        <v>71</v>
      </c>
      <c r="C20" s="5">
        <v>3502971</v>
      </c>
    </row>
    <row r="22" spans="2:7" ht="14" customHeight="1" x14ac:dyDescent="0.3">
      <c r="B22" s="8" t="s">
        <v>72</v>
      </c>
      <c r="C22" s="9"/>
      <c r="D22" s="9"/>
      <c r="E22" s="9"/>
      <c r="F22" s="9"/>
      <c r="G22" s="9"/>
    </row>
    <row r="23" spans="2:7" ht="14" customHeight="1" x14ac:dyDescent="0.3">
      <c r="B23" s="4" t="s">
        <v>73</v>
      </c>
      <c r="C23" s="16">
        <f>C7+C8*C9+C10</f>
        <v>8.8450000000000001E-2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8.8450000000000001E-2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0.02</v>
      </c>
      <c r="D30" s="18">
        <f>CHOOSE($D$27,D69,D70,D71,D72,D73)</f>
        <v>2.5000000000000001E-2</v>
      </c>
      <c r="E30" s="18">
        <f>CHOOSE($D$27,E69,E70,E71,E72,E73)</f>
        <v>2.5000000000000001E-2</v>
      </c>
      <c r="F30" s="18">
        <f>CHOOSE($D$27,F69,F70,F71,F72,F73)</f>
        <v>2.5000000000000001E-2</v>
      </c>
      <c r="G30" s="18">
        <f>CHOOSE($D$27,G69,G70,G71,G72,G73)</f>
        <v>0.02</v>
      </c>
    </row>
    <row r="31" spans="2:7" ht="14" customHeight="1" x14ac:dyDescent="0.3">
      <c r="B31" s="4" t="s">
        <v>85</v>
      </c>
      <c r="C31" s="18">
        <f>CHOOSE($D$27,C76,C77,C78,C79,C80)</f>
        <v>0.64400000000000002</v>
      </c>
      <c r="D31" s="18">
        <f>CHOOSE($D$27,D76,D77,D78,D79,D80)</f>
        <v>0.64400000000000002</v>
      </c>
      <c r="E31" s="18">
        <f>CHOOSE($D$27,E76,E77,E78,E79,E80)</f>
        <v>0.64400000000000002</v>
      </c>
      <c r="F31" s="18">
        <f>CHOOSE($D$27,F76,F77,F78,F79,F80)</f>
        <v>0.64400000000000002</v>
      </c>
      <c r="G31" s="18">
        <f>CHOOSE($D$27,G76,G77,G78,G79,G80)</f>
        <v>0.64400000000000002</v>
      </c>
    </row>
    <row r="32" spans="2:7" ht="14" customHeight="1" x14ac:dyDescent="0.3">
      <c r="B32" s="4" t="s">
        <v>86</v>
      </c>
      <c r="C32" s="18">
        <f>CHOOSE($D$27,C83,C84,C85,C86,C87)</f>
        <v>0.25750000000000001</v>
      </c>
      <c r="D32" s="18">
        <f>CHOOSE($D$27,D83,D84,D85,D86,D87)</f>
        <v>0.25800000000000001</v>
      </c>
      <c r="E32" s="18">
        <f>CHOOSE($D$27,E83,E84,E85,E86,E87)</f>
        <v>0.25879999999999997</v>
      </c>
      <c r="F32" s="18">
        <f>CHOOSE($D$27,F83,F84,F85,F86,F87)</f>
        <v>0.25950000000000001</v>
      </c>
      <c r="G32" s="18">
        <f>CHOOSE($D$27,G83,G84,G85,G86,G87)</f>
        <v>0.26</v>
      </c>
    </row>
    <row r="33" spans="2:7" ht="14" customHeight="1" x14ac:dyDescent="0.3">
      <c r="B33" s="4" t="s">
        <v>32</v>
      </c>
      <c r="C33" s="5">
        <f>C17*(1+C30)</f>
        <v>3573030.42</v>
      </c>
      <c r="D33" s="5">
        <f>C33*(1+D30)</f>
        <v>3662356.1804999998</v>
      </c>
      <c r="E33" s="5">
        <f>D33*(1+E30)</f>
        <v>3753915.0850124992</v>
      </c>
      <c r="F33" s="5">
        <f>E33*(1+F30)</f>
        <v>3847762.9621378114</v>
      </c>
      <c r="G33" s="5">
        <f>F33*(1+G30)</f>
        <v>3924718.2213805676</v>
      </c>
    </row>
    <row r="34" spans="2:7" ht="14" customHeight="1" x14ac:dyDescent="0.3">
      <c r="B34" s="4" t="s">
        <v>33</v>
      </c>
      <c r="C34" s="5">
        <f>C33*C31</f>
        <v>2301031.5904799998</v>
      </c>
      <c r="D34" s="5">
        <f>D33*D31</f>
        <v>2358557.3802419999</v>
      </c>
      <c r="E34" s="5">
        <f>E33*E31</f>
        <v>2417521.3147480497</v>
      </c>
      <c r="F34" s="5">
        <f>F33*F31</f>
        <v>2477959.3476167507</v>
      </c>
      <c r="G34" s="5">
        <f>G33*G31</f>
        <v>2527518.5345690856</v>
      </c>
    </row>
    <row r="35" spans="2:7" ht="14" customHeight="1" x14ac:dyDescent="0.3">
      <c r="B35" s="4" t="s">
        <v>34</v>
      </c>
      <c r="C35" s="19">
        <f>C33-C34</f>
        <v>1271998.8295200001</v>
      </c>
      <c r="D35" s="19">
        <f>D33-D34</f>
        <v>1303798.8002579999</v>
      </c>
      <c r="E35" s="19">
        <f>E33-E34</f>
        <v>1336393.7702644495</v>
      </c>
      <c r="F35" s="19">
        <f>F33-F34</f>
        <v>1369803.6145210606</v>
      </c>
      <c r="G35" s="19">
        <f>G33-G34</f>
        <v>1397199.6868114821</v>
      </c>
    </row>
    <row r="36" spans="2:7" ht="14" customHeight="1" x14ac:dyDescent="0.3">
      <c r="B36" s="4" t="s">
        <v>35</v>
      </c>
      <c r="C36" s="7">
        <f>C35/C33</f>
        <v>0.35600000000000004</v>
      </c>
      <c r="D36" s="7">
        <f>D35/D33</f>
        <v>0.35599999999999998</v>
      </c>
      <c r="E36" s="7">
        <f>E35/E33</f>
        <v>0.35599999999999993</v>
      </c>
      <c r="F36" s="7">
        <f>F35/F33</f>
        <v>0.35599999999999993</v>
      </c>
      <c r="G36" s="7">
        <f>G35/G33</f>
        <v>0.35599999999999998</v>
      </c>
    </row>
    <row r="37" spans="2:7" ht="14" customHeight="1" x14ac:dyDescent="0.3">
      <c r="B37" s="4" t="s">
        <v>87</v>
      </c>
      <c r="C37" s="5">
        <f>C33*C32</f>
        <v>920055.33314999996</v>
      </c>
      <c r="D37" s="5">
        <f>D33*D32</f>
        <v>944887.894569</v>
      </c>
      <c r="E37" s="5">
        <f>E33*E32</f>
        <v>971513.22400123475</v>
      </c>
      <c r="F37" s="5">
        <f>F33*F32</f>
        <v>998494.48867476208</v>
      </c>
      <c r="G37" s="5">
        <f>G33*G32</f>
        <v>1020426.7375589476</v>
      </c>
    </row>
    <row r="38" spans="2:7" ht="14" customHeight="1" x14ac:dyDescent="0.3">
      <c r="B38" s="4" t="s">
        <v>88</v>
      </c>
      <c r="C38" s="7">
        <f>(C35-C37)/C33</f>
        <v>9.850000000000006E-2</v>
      </c>
      <c r="D38" s="7">
        <f>(D35-D37)/D33</f>
        <v>9.799999999999999E-2</v>
      </c>
      <c r="E38" s="7">
        <f>(E35-E37)/E33</f>
        <v>9.7199999999999967E-2</v>
      </c>
      <c r="F38" s="7">
        <f>(F35-F37)/F33</f>
        <v>9.6499999999999933E-2</v>
      </c>
      <c r="G38" s="7">
        <f>(G35-G37)/G33</f>
        <v>9.5999999999999988E-2</v>
      </c>
    </row>
    <row r="39" spans="2:7" ht="14" customHeight="1" x14ac:dyDescent="0.3">
      <c r="B39" s="4" t="s">
        <v>89</v>
      </c>
      <c r="C39" s="19">
        <f>C35-C37</f>
        <v>351943.49637000018</v>
      </c>
      <c r="D39" s="19">
        <f>D35-D37</f>
        <v>358910.90568899992</v>
      </c>
      <c r="E39" s="19">
        <f>E35-E37</f>
        <v>364880.54626321478</v>
      </c>
      <c r="F39" s="19">
        <f>F35-F37</f>
        <v>371309.12584629853</v>
      </c>
      <c r="G39" s="19">
        <f>G35-G37</f>
        <v>376772.94925253442</v>
      </c>
    </row>
    <row r="40" spans="2:7" ht="14" customHeight="1" x14ac:dyDescent="0.3">
      <c r="B40" s="4" t="s">
        <v>90</v>
      </c>
      <c r="C40" s="5">
        <f>MAX(0,C39*C6)</f>
        <v>87985.874092500046</v>
      </c>
      <c r="D40" s="5">
        <f>MAX(0,D39*C6)</f>
        <v>89727.72642224998</v>
      </c>
      <c r="E40" s="5">
        <f>MAX(0,E39*C6)</f>
        <v>91220.136565803696</v>
      </c>
      <c r="F40" s="5">
        <f>MAX(0,F39*C6)</f>
        <v>92827.281461574632</v>
      </c>
      <c r="G40" s="5">
        <f>MAX(0,G39*C6)</f>
        <v>94193.237313133606</v>
      </c>
    </row>
    <row r="41" spans="2:7" ht="14" customHeight="1" x14ac:dyDescent="0.3">
      <c r="B41" s="4" t="s">
        <v>91</v>
      </c>
      <c r="C41" s="19">
        <f>C39-C40</f>
        <v>263957.62227750011</v>
      </c>
      <c r="D41" s="19">
        <f>D39-D40</f>
        <v>269183.17926674994</v>
      </c>
      <c r="E41" s="19">
        <f>E39-E40</f>
        <v>273660.40969741112</v>
      </c>
      <c r="F41" s="19">
        <f>F39-F40</f>
        <v>278481.84438472393</v>
      </c>
      <c r="G41" s="19">
        <f>G39-G40</f>
        <v>282579.71193940082</v>
      </c>
    </row>
    <row r="42" spans="2:7" ht="14" customHeight="1" x14ac:dyDescent="0.3">
      <c r="B42" s="4" t="s">
        <v>92</v>
      </c>
      <c r="C42" s="5">
        <f>C33*C18</f>
        <v>142921.21679999999</v>
      </c>
      <c r="D42" s="5">
        <f>D33*C18</f>
        <v>146494.24721999999</v>
      </c>
      <c r="E42" s="5">
        <f>E33*C18</f>
        <v>150156.60340049997</v>
      </c>
      <c r="F42" s="5">
        <f>F33*C18</f>
        <v>153910.51848551247</v>
      </c>
      <c r="G42" s="5">
        <f>G33*C18</f>
        <v>156988.7288552227</v>
      </c>
    </row>
    <row r="43" spans="2:7" ht="14" customHeight="1" x14ac:dyDescent="0.3">
      <c r="B43" s="4" t="s">
        <v>93</v>
      </c>
      <c r="C43" s="5">
        <f>C33*C5</f>
        <v>150067.27764000001</v>
      </c>
      <c r="D43" s="5">
        <f>D33*C5</f>
        <v>153818.959581</v>
      </c>
      <c r="E43" s="5">
        <f>E33*C5</f>
        <v>157664.43357052497</v>
      </c>
      <c r="F43" s="5">
        <f>F33*C5</f>
        <v>161606.0444097881</v>
      </c>
      <c r="G43" s="5">
        <f>G33*C5</f>
        <v>164838.16529798385</v>
      </c>
    </row>
    <row r="44" spans="2:7" ht="14" customHeight="1" x14ac:dyDescent="0.3">
      <c r="B44" s="4" t="s">
        <v>94</v>
      </c>
      <c r="C44" s="5">
        <f>'NWC Schedule'!D19</f>
        <v>45945.793747945223</v>
      </c>
      <c r="D44" s="5">
        <f>'NWC Schedule'!E19</f>
        <v>19064.319843698759</v>
      </c>
      <c r="E44" s="5">
        <f>'NWC Schedule'!F19</f>
        <v>19540.927839790704</v>
      </c>
      <c r="F44" s="5">
        <f>'NWC Schedule'!G19</f>
        <v>20029.451035785954</v>
      </c>
      <c r="G44" s="5">
        <f>'NWC Schedule'!H19</f>
        <v>16424.149849344278</v>
      </c>
    </row>
    <row r="45" spans="2:7" ht="14" customHeight="1" x14ac:dyDescent="0.3">
      <c r="B45" s="4" t="s">
        <v>95</v>
      </c>
      <c r="C45" s="20">
        <f>C41+C42-C43-C44</f>
        <v>210865.76768955486</v>
      </c>
      <c r="D45" s="20">
        <f>D41+D42-D43-D44</f>
        <v>242794.14706205114</v>
      </c>
      <c r="E45" s="20">
        <f>E41+E42-E43-E44</f>
        <v>246611.65168759541</v>
      </c>
      <c r="F45" s="20">
        <f>F41+F42-F43-F44</f>
        <v>250756.86742466234</v>
      </c>
      <c r="G45" s="20">
        <f>G41+G42-G43-G44</f>
        <v>258306.12564729538</v>
      </c>
    </row>
    <row r="46" spans="2:7" ht="14" customHeight="1" x14ac:dyDescent="0.3">
      <c r="B46" s="4" t="s">
        <v>96</v>
      </c>
      <c r="C46" s="21">
        <f>1/(1+C26)^(C19+0)</f>
        <v>0.91873765446276823</v>
      </c>
      <c r="D46" s="21">
        <f>1/(1+C26)^(C19+1)</f>
        <v>0.84407887772774892</v>
      </c>
      <c r="E46" s="21">
        <f>1/(1+C26)^(C19+2)</f>
        <v>0.7754870483051578</v>
      </c>
      <c r="F46" s="21">
        <f>1/(1+C26)^(C19+3)</f>
        <v>0.71246915182613624</v>
      </c>
      <c r="G46" s="21">
        <f>1/(1+C26)^(C19+4)</f>
        <v>0.65457223742582227</v>
      </c>
    </row>
    <row r="47" spans="2:7" ht="14" customHeight="1" x14ac:dyDescent="0.3">
      <c r="B47" s="4" t="s">
        <v>97</v>
      </c>
      <c r="C47" s="19">
        <f>C45*C46</f>
        <v>193730.32081359261</v>
      </c>
      <c r="D47" s="19">
        <f>D45*D46</f>
        <v>204937.41117100217</v>
      </c>
      <c r="E47" s="19">
        <f>E45*E46</f>
        <v>191244.14184487305</v>
      </c>
      <c r="F47" s="19">
        <f>F45*F46</f>
        <v>178656.53264862808</v>
      </c>
      <c r="G47" s="19">
        <f>G45*G46</f>
        <v>169080.01860574572</v>
      </c>
    </row>
    <row r="49" spans="2:7" ht="14" customHeight="1" x14ac:dyDescent="0.3">
      <c r="B49" s="22" t="s">
        <v>98</v>
      </c>
      <c r="C49" s="23"/>
      <c r="D49" s="23"/>
      <c r="E49" s="23"/>
      <c r="F49" s="23"/>
      <c r="G49" s="23"/>
    </row>
    <row r="50" spans="2:7" ht="14" customHeight="1" x14ac:dyDescent="0.3">
      <c r="B50" s="4" t="s">
        <v>99</v>
      </c>
      <c r="C50" s="5">
        <f>SUM(C47:G47)</f>
        <v>937648.42508384166</v>
      </c>
    </row>
    <row r="51" spans="2:7" ht="14" customHeight="1" x14ac:dyDescent="0.3">
      <c r="B51" s="4" t="s">
        <v>100</v>
      </c>
      <c r="C51" s="5">
        <f>G45*(1+C13)/(C26-C13)</f>
        <v>3325547.3155356064</v>
      </c>
    </row>
    <row r="52" spans="2:7" ht="14" customHeight="1" x14ac:dyDescent="0.3">
      <c r="B52" s="4" t="s">
        <v>101</v>
      </c>
      <c r="C52" s="5">
        <f>C51*G46</f>
        <v>2176810.9469955787</v>
      </c>
    </row>
    <row r="53" spans="2:7" ht="14" customHeight="1" x14ac:dyDescent="0.3">
      <c r="B53" s="4" t="s">
        <v>102</v>
      </c>
      <c r="C53" s="5">
        <f>C50+C52</f>
        <v>3114459.3720794204</v>
      </c>
    </row>
    <row r="54" spans="2:7" ht="14" customHeight="1" x14ac:dyDescent="0.3">
      <c r="B54" s="4" t="s">
        <v>103</v>
      </c>
      <c r="C54" s="5">
        <f>C53-C16</f>
        <v>3431731.3720794204</v>
      </c>
    </row>
    <row r="55" spans="2:7" ht="14" customHeight="1" x14ac:dyDescent="0.3">
      <c r="B55" s="4" t="s">
        <v>104</v>
      </c>
      <c r="C55" s="24">
        <f>ROUND(C54*1000000/C15,0)</f>
        <v>1982</v>
      </c>
    </row>
    <row r="57" spans="2:7" ht="14" customHeight="1" x14ac:dyDescent="0.3">
      <c r="B57" s="22" t="s">
        <v>105</v>
      </c>
      <c r="C57" s="23"/>
      <c r="D57" s="23"/>
      <c r="E57" s="23"/>
      <c r="F57" s="23"/>
      <c r="G57" s="23"/>
    </row>
    <row r="58" spans="2:7" ht="14" customHeight="1" x14ac:dyDescent="0.3">
      <c r="B58" s="4" t="s">
        <v>99</v>
      </c>
      <c r="C58" s="5">
        <f>C50</f>
        <v>937648.42508384166</v>
      </c>
    </row>
    <row r="59" spans="2:7" ht="14" customHeight="1" x14ac:dyDescent="0.3">
      <c r="B59" s="4" t="s">
        <v>106</v>
      </c>
      <c r="C59" s="5">
        <f>G39+G42</f>
        <v>533761.67810775712</v>
      </c>
    </row>
    <row r="60" spans="2:7" ht="14" customHeight="1" x14ac:dyDescent="0.3">
      <c r="B60" s="4" t="s">
        <v>107</v>
      </c>
      <c r="C60" s="5">
        <f>C59*C14</f>
        <v>8326682.1784810107</v>
      </c>
    </row>
    <row r="61" spans="2:7" ht="14" customHeight="1" x14ac:dyDescent="0.3">
      <c r="B61" s="4" t="s">
        <v>101</v>
      </c>
      <c r="C61" s="5">
        <f>C60*G46</f>
        <v>5450414.9839020353</v>
      </c>
    </row>
    <row r="62" spans="2:7" ht="14" customHeight="1" x14ac:dyDescent="0.3">
      <c r="B62" s="4" t="s">
        <v>102</v>
      </c>
      <c r="C62" s="5">
        <f>C58+C61</f>
        <v>6388063.4089858774</v>
      </c>
    </row>
    <row r="63" spans="2:7" ht="14" customHeight="1" x14ac:dyDescent="0.3">
      <c r="B63" s="4" t="s">
        <v>103</v>
      </c>
      <c r="C63" s="5">
        <f>C62-C16</f>
        <v>6705335.4089858774</v>
      </c>
    </row>
    <row r="64" spans="2:7" ht="14" customHeight="1" x14ac:dyDescent="0.3">
      <c r="B64" s="4" t="s">
        <v>108</v>
      </c>
      <c r="C64" s="24">
        <f>ROUND(C63*1000000/C15,0)</f>
        <v>3874</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0.02</v>
      </c>
      <c r="D69" s="26">
        <v>2.5000000000000001E-2</v>
      </c>
      <c r="E69" s="26">
        <v>2.5000000000000001E-2</v>
      </c>
      <c r="F69" s="26">
        <v>2.5000000000000001E-2</v>
      </c>
      <c r="G69" s="26">
        <v>0.02</v>
      </c>
    </row>
    <row r="70" spans="2:7" ht="14" customHeight="1" x14ac:dyDescent="0.3">
      <c r="B70" s="4" t="s">
        <v>115</v>
      </c>
      <c r="C70" s="26">
        <v>3.5000000000000003E-2</v>
      </c>
      <c r="D70" s="26">
        <v>0.04</v>
      </c>
      <c r="E70" s="26">
        <v>3.5000000000000003E-2</v>
      </c>
      <c r="F70" s="26">
        <v>3.5000000000000003E-2</v>
      </c>
      <c r="G70" s="26">
        <v>0.03</v>
      </c>
    </row>
    <row r="71" spans="2:7" ht="14" customHeight="1" x14ac:dyDescent="0.3">
      <c r="B71" s="4" t="s">
        <v>116</v>
      </c>
      <c r="C71" s="26">
        <v>0.02</v>
      </c>
      <c r="D71" s="26">
        <v>2.5000000000000001E-2</v>
      </c>
      <c r="E71" s="26">
        <v>2.5000000000000001E-2</v>
      </c>
      <c r="F71" s="26">
        <v>2.5000000000000001E-2</v>
      </c>
      <c r="G71" s="26">
        <v>0.02</v>
      </c>
    </row>
    <row r="72" spans="2:7" ht="14" customHeight="1" x14ac:dyDescent="0.3">
      <c r="B72" s="4" t="s">
        <v>117</v>
      </c>
      <c r="C72" s="26">
        <v>0</v>
      </c>
      <c r="D72" s="26">
        <v>5.0000000000000001E-3</v>
      </c>
      <c r="E72" s="26">
        <v>5.0000000000000001E-3</v>
      </c>
      <c r="F72" s="26">
        <v>5.0000000000000001E-3</v>
      </c>
      <c r="G72" s="26">
        <v>5.0000000000000001E-3</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0.64400000000000002</v>
      </c>
      <c r="D76" s="26">
        <v>0.64400000000000002</v>
      </c>
      <c r="E76" s="26">
        <v>0.64400000000000002</v>
      </c>
      <c r="F76" s="26">
        <v>0.64400000000000002</v>
      </c>
      <c r="G76" s="26">
        <v>0.64400000000000002</v>
      </c>
    </row>
    <row r="77" spans="2:7" ht="14" customHeight="1" x14ac:dyDescent="0.3">
      <c r="B77" s="4" t="s">
        <v>115</v>
      </c>
      <c r="C77" s="26">
        <v>0.63800000000000001</v>
      </c>
      <c r="D77" s="26">
        <v>0.63800000000000001</v>
      </c>
      <c r="E77" s="26">
        <v>0.63800000000000001</v>
      </c>
      <c r="F77" s="26">
        <v>0.63800000000000001</v>
      </c>
      <c r="G77" s="26">
        <v>0.63800000000000001</v>
      </c>
    </row>
    <row r="78" spans="2:7" ht="14" customHeight="1" x14ac:dyDescent="0.3">
      <c r="B78" s="4" t="s">
        <v>116</v>
      </c>
      <c r="C78" s="26">
        <v>0.64400000000000002</v>
      </c>
      <c r="D78" s="26">
        <v>0.64400000000000002</v>
      </c>
      <c r="E78" s="26">
        <v>0.64400000000000002</v>
      </c>
      <c r="F78" s="26">
        <v>0.64400000000000002</v>
      </c>
      <c r="G78" s="26">
        <v>0.64400000000000002</v>
      </c>
    </row>
    <row r="79" spans="2:7" ht="14" customHeight="1" x14ac:dyDescent="0.3">
      <c r="B79" s="4" t="s">
        <v>117</v>
      </c>
      <c r="C79" s="26">
        <v>0.65400000000000003</v>
      </c>
      <c r="D79" s="26">
        <v>0.65400000000000003</v>
      </c>
      <c r="E79" s="26">
        <v>0.65400000000000003</v>
      </c>
      <c r="F79" s="26">
        <v>0.65400000000000003</v>
      </c>
      <c r="G79" s="26">
        <v>0.65400000000000003</v>
      </c>
    </row>
    <row r="80" spans="2:7" ht="14" customHeight="1" x14ac:dyDescent="0.3">
      <c r="B80" s="4" t="s">
        <v>118</v>
      </c>
      <c r="C80" s="26">
        <v>0.66500000000000004</v>
      </c>
      <c r="D80" s="26">
        <v>0.66500000000000004</v>
      </c>
      <c r="E80" s="26">
        <v>0.66500000000000004</v>
      </c>
      <c r="F80" s="26">
        <v>0.66500000000000004</v>
      </c>
      <c r="G80" s="26">
        <v>0.66500000000000004</v>
      </c>
    </row>
    <row r="82" spans="2:7" ht="14" customHeight="1" x14ac:dyDescent="0.3">
      <c r="B82" s="3" t="s">
        <v>86</v>
      </c>
    </row>
    <row r="83" spans="2:7" ht="14" customHeight="1" x14ac:dyDescent="0.3">
      <c r="B83" s="4" t="s">
        <v>78</v>
      </c>
      <c r="C83" s="26">
        <v>0.25750000000000001</v>
      </c>
      <c r="D83" s="26">
        <v>0.25800000000000001</v>
      </c>
      <c r="E83" s="26">
        <v>0.25879999999999997</v>
      </c>
      <c r="F83" s="26">
        <v>0.25950000000000001</v>
      </c>
      <c r="G83" s="26">
        <v>0.26</v>
      </c>
    </row>
    <row r="84" spans="2:7" ht="14" customHeight="1" x14ac:dyDescent="0.3">
      <c r="B84" s="4" t="s">
        <v>115</v>
      </c>
      <c r="C84" s="26">
        <v>0.26</v>
      </c>
      <c r="D84" s="26">
        <v>0.25800000000000001</v>
      </c>
      <c r="E84" s="26">
        <v>0.25600000000000001</v>
      </c>
      <c r="F84" s="26">
        <v>0.254</v>
      </c>
      <c r="G84" s="26">
        <v>0.25259999999999999</v>
      </c>
    </row>
    <row r="85" spans="2:7" ht="14" customHeight="1" x14ac:dyDescent="0.3">
      <c r="B85" s="4" t="s">
        <v>116</v>
      </c>
      <c r="C85" s="26">
        <v>0.25750000000000001</v>
      </c>
      <c r="D85" s="26">
        <v>0.25800000000000001</v>
      </c>
      <c r="E85" s="26">
        <v>0.25879999999999997</v>
      </c>
      <c r="F85" s="26">
        <v>0.25950000000000001</v>
      </c>
      <c r="G85" s="26">
        <v>0.26</v>
      </c>
    </row>
    <row r="86" spans="2:7" ht="14" customHeight="1" x14ac:dyDescent="0.3">
      <c r="B86" s="4" t="s">
        <v>117</v>
      </c>
      <c r="C86" s="26">
        <v>0.25600000000000001</v>
      </c>
      <c r="D86" s="26">
        <v>0.26400000000000001</v>
      </c>
      <c r="E86" s="26">
        <v>0.27200000000000002</v>
      </c>
      <c r="F86" s="26">
        <v>0.27700000000000002</v>
      </c>
      <c r="G86" s="26">
        <v>0.27929999999999999</v>
      </c>
    </row>
    <row r="87" spans="2:7" ht="14" customHeight="1" x14ac:dyDescent="0.3">
      <c r="B87" s="4" t="s">
        <v>118</v>
      </c>
      <c r="C87" s="26">
        <v>0.28499999999999998</v>
      </c>
      <c r="D87" s="26">
        <v>0.29199999999999998</v>
      </c>
      <c r="E87" s="26">
        <v>0.29199999999999998</v>
      </c>
      <c r="F87" s="26">
        <v>0.28899999999999998</v>
      </c>
      <c r="G87" s="26">
        <v>0.28499999999999998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3900</v>
      </c>
    </row>
    <row r="7" spans="2:9" ht="14" customHeight="1" x14ac:dyDescent="0.3">
      <c r="B7" s="4" t="s">
        <v>66</v>
      </c>
      <c r="C7" s="15">
        <f>'DCF Model'!C15</f>
        <v>1731026775</v>
      </c>
    </row>
    <row r="8" spans="2:9" ht="14" customHeight="1" x14ac:dyDescent="0.3">
      <c r="B8" s="4" t="s">
        <v>123</v>
      </c>
      <c r="C8" s="5">
        <f>C6*C7/1000000</f>
        <v>6751004.4225000003</v>
      </c>
    </row>
    <row r="9" spans="2:9" ht="14" customHeight="1" x14ac:dyDescent="0.3">
      <c r="B9" s="4" t="s">
        <v>67</v>
      </c>
      <c r="C9" s="5">
        <f>'DCF Model'!C16</f>
        <v>-317272</v>
      </c>
    </row>
    <row r="10" spans="2:9" ht="14" customHeight="1" x14ac:dyDescent="0.3">
      <c r="B10" s="4" t="s">
        <v>124</v>
      </c>
      <c r="C10" s="5">
        <f>C8+C9</f>
        <v>6433732.4225000003</v>
      </c>
    </row>
    <row r="11" spans="2:9" ht="14" customHeight="1" x14ac:dyDescent="0.3">
      <c r="B11" s="4" t="s">
        <v>125</v>
      </c>
      <c r="C11" s="16">
        <f>'DCF Model'!C26</f>
        <v>8.8450000000000001E-2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348329</v>
      </c>
    </row>
    <row r="15" spans="2:9" ht="14" customHeight="1" x14ac:dyDescent="0.3">
      <c r="B15" s="4" t="s">
        <v>129</v>
      </c>
      <c r="C15" s="27">
        <v>348329</v>
      </c>
    </row>
    <row r="16" spans="2:9" ht="14" customHeight="1" x14ac:dyDescent="0.3">
      <c r="B16" s="4" t="s">
        <v>130</v>
      </c>
      <c r="C16" s="5">
        <f>'DCF Model'!G33</f>
        <v>3924718.2213805676</v>
      </c>
    </row>
    <row r="17" spans="2:9" ht="14" customHeight="1" x14ac:dyDescent="0.3">
      <c r="B17" s="4" t="s">
        <v>131</v>
      </c>
      <c r="C17" s="5">
        <f>'DCF Model'!C53</f>
        <v>3114459.3720794204</v>
      </c>
    </row>
    <row r="18" spans="2:9" ht="14" customHeight="1" x14ac:dyDescent="0.3">
      <c r="B18" s="4" t="s">
        <v>132</v>
      </c>
      <c r="C18" s="26">
        <v>9.9438162633947016E-2</v>
      </c>
    </row>
    <row r="19" spans="2:9" ht="14" customHeight="1" x14ac:dyDescent="0.3">
      <c r="B19" s="4" t="s">
        <v>133</v>
      </c>
      <c r="C19" s="5">
        <f>C10-C17</f>
        <v>3319273.05042058</v>
      </c>
    </row>
    <row r="20" spans="2:9" ht="14" customHeight="1" x14ac:dyDescent="0.3">
      <c r="B20" s="4" t="s">
        <v>134</v>
      </c>
      <c r="C20" s="15">
        <f>IFERROR(ROUND(C19*1000000/C7,0),"N/A")</f>
        <v>1918</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504726.30854512507</v>
      </c>
    </row>
    <row r="25" spans="2:9" ht="14" customHeight="1" x14ac:dyDescent="0.3">
      <c r="B25" s="4" t="s">
        <v>138</v>
      </c>
      <c r="C25" s="5">
        <f>IFERROR(C24/(1-C13),"N/A")</f>
        <v>672968.41139350005</v>
      </c>
    </row>
    <row r="26" spans="2:9" ht="13.5" customHeight="1" x14ac:dyDescent="0.25">
      <c r="B26" s="6" t="s">
        <v>139</v>
      </c>
      <c r="C26" s="14">
        <f>IFERROR(C25/C15,"N/A")</f>
        <v>1.931990765608089</v>
      </c>
    </row>
    <row r="27" spans="2:9" ht="13.5" customHeight="1" x14ac:dyDescent="0.25">
      <c r="B27" s="6" t="s">
        <v>140</v>
      </c>
      <c r="C27" s="14">
        <f>IFERROR(C25/C14,"N/A")</f>
        <v>1.931990765608089</v>
      </c>
    </row>
    <row r="28" spans="2:9" ht="13.5" customHeight="1" x14ac:dyDescent="0.25">
      <c r="B28" s="6" t="s">
        <v>141</v>
      </c>
      <c r="C28" s="7">
        <f>IFERROR(C25/C16,"N/A")</f>
        <v>0.17146923000163186</v>
      </c>
    </row>
    <row r="29" spans="2:9" ht="13.5" customHeight="1" x14ac:dyDescent="0.25">
      <c r="B29" s="6" t="s">
        <v>142</v>
      </c>
      <c r="C29" s="5">
        <f>IFERROR(C25/C18,"N/A")</f>
        <v>6767707.6241929326</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6.8449999999999997E-2</v>
      </c>
      <c r="E36" s="29">
        <f>'DCF Model'!C26-0.01</f>
        <v>7.8450000000000006E-2</v>
      </c>
      <c r="F36" s="29">
        <f>'DCF Model'!C26</f>
        <v>8.8450000000000001E-2</v>
      </c>
      <c r="G36" s="29">
        <f>'DCF Model'!C26+0.01</f>
        <v>9.8449999999999996E-2</v>
      </c>
      <c r="H36" s="29">
        <f>'DCF Model'!C26+0.02</f>
        <v>0.10845</v>
      </c>
    </row>
    <row r="37" spans="2:9" ht="14" customHeight="1" x14ac:dyDescent="0.3">
      <c r="B37" s="3" t="s">
        <v>148</v>
      </c>
    </row>
    <row r="38" spans="2:9" ht="14" customHeight="1" x14ac:dyDescent="0.3">
      <c r="B38" s="4" t="s">
        <v>149</v>
      </c>
      <c r="C38" s="30">
        <v>3</v>
      </c>
      <c r="D38" s="13">
        <f t="shared" ref="D38:H41" si="0">IFERROR((1-(1+D$36)^(-$C38))/D$36-(1+D$36)/(D$36^2*$C38)*(1-($C38+1)/(1+D$36)^$C38+$C38/(1+D$36)^($C38+1)),"N/A")</f>
        <v>0.9159484091540111</v>
      </c>
      <c r="E38" s="13">
        <f t="shared" si="0"/>
        <v>0.90477281005777832</v>
      </c>
      <c r="F38" s="13">
        <f t="shared" si="0"/>
        <v>0.8938513955510754</v>
      </c>
      <c r="G38" s="13">
        <f t="shared" si="0"/>
        <v>0.88317590192461171</v>
      </c>
      <c r="H38" s="13">
        <f t="shared" si="0"/>
        <v>0.87273841093905724</v>
      </c>
    </row>
    <row r="39" spans="2:9" ht="14" customHeight="1" x14ac:dyDescent="0.3">
      <c r="B39" s="4" t="s">
        <v>150</v>
      </c>
      <c r="C39" s="30">
        <v>5</v>
      </c>
      <c r="D39" s="13">
        <f t="shared" si="0"/>
        <v>1.7557416563868351</v>
      </c>
      <c r="E39" s="13">
        <f t="shared" si="0"/>
        <v>1.7244452896816962</v>
      </c>
      <c r="F39" s="13">
        <f t="shared" si="0"/>
        <v>1.6941260998941594</v>
      </c>
      <c r="G39" s="13">
        <f t="shared" si="0"/>
        <v>1.6647424076207606</v>
      </c>
      <c r="H39" s="13">
        <f t="shared" si="0"/>
        <v>1.6362547423340441</v>
      </c>
    </row>
    <row r="40" spans="2:9" ht="14" customHeight="1" x14ac:dyDescent="0.3">
      <c r="B40" s="4" t="s">
        <v>151</v>
      </c>
      <c r="C40" s="30">
        <v>7</v>
      </c>
      <c r="D40" s="13">
        <f t="shared" si="0"/>
        <v>2.5264874417781114</v>
      </c>
      <c r="E40" s="13">
        <f t="shared" si="0"/>
        <v>2.4679998269112353</v>
      </c>
      <c r="F40" s="13">
        <f t="shared" si="0"/>
        <v>2.411814371579295</v>
      </c>
      <c r="G40" s="13">
        <f t="shared" si="0"/>
        <v>2.3578103090562035</v>
      </c>
      <c r="H40" s="13">
        <f t="shared" si="0"/>
        <v>2.3058745850585831</v>
      </c>
    </row>
    <row r="41" spans="2:9" ht="14" customHeight="1" x14ac:dyDescent="0.3">
      <c r="B41" s="4" t="s">
        <v>152</v>
      </c>
      <c r="C41" s="30">
        <v>10</v>
      </c>
      <c r="D41" s="13">
        <f t="shared" si="0"/>
        <v>3.566968957051198</v>
      </c>
      <c r="E41" s="13">
        <f t="shared" si="0"/>
        <v>3.457803238335472</v>
      </c>
      <c r="F41" s="13">
        <f t="shared" si="0"/>
        <v>3.3541994906654971</v>
      </c>
      <c r="G41" s="13">
        <f t="shared" si="0"/>
        <v>3.2557875783812027</v>
      </c>
      <c r="H41" s="13">
        <f t="shared" si="0"/>
        <v>3.1622268142014711</v>
      </c>
    </row>
    <row r="42" spans="2:9" ht="14" customHeight="1" x14ac:dyDescent="0.3">
      <c r="B42" s="3" t="s">
        <v>153</v>
      </c>
    </row>
    <row r="43" spans="2:9" ht="14" customHeight="1" x14ac:dyDescent="0.3">
      <c r="B43" s="4" t="s">
        <v>149</v>
      </c>
      <c r="C43" s="30">
        <v>3</v>
      </c>
      <c r="D43" s="13">
        <f t="shared" ref="D43:H46" si="1">IFERROR((1+D$36)/(D$36^2*$C43)*(1-($C43+1)/(1+D$36)^$C43+$C43/(1+D$36)^($C43+1))+(1+$C$12)/((D$36-$C$12)*(1+D$36)^$C43),"N/A")</f>
        <v>15.882698298428503</v>
      </c>
      <c r="E43" s="13">
        <f t="shared" si="1"/>
        <v>13.443355499781093</v>
      </c>
      <c r="F43" s="13">
        <f t="shared" si="1"/>
        <v>11.628415458216862</v>
      </c>
      <c r="G43" s="13">
        <f t="shared" si="1"/>
        <v>10.22602093274282</v>
      </c>
      <c r="H43" s="13">
        <f t="shared" si="1"/>
        <v>9.1103946964249864</v>
      </c>
    </row>
    <row r="44" spans="2:9" ht="14" customHeight="1" x14ac:dyDescent="0.3">
      <c r="B44" s="4" t="s">
        <v>150</v>
      </c>
      <c r="C44" s="30">
        <v>5</v>
      </c>
      <c r="D44" s="13">
        <f t="shared" si="1"/>
        <v>14.771358870884065</v>
      </c>
      <c r="E44" s="13">
        <f t="shared" si="1"/>
        <v>12.399209007597724</v>
      </c>
      <c r="F44" s="13">
        <f t="shared" si="1"/>
        <v>10.638471384832187</v>
      </c>
      <c r="G44" s="13">
        <f t="shared" si="1"/>
        <v>9.2814949524867938</v>
      </c>
      <c r="H44" s="13">
        <f t="shared" si="1"/>
        <v>8.205010786770135</v>
      </c>
    </row>
    <row r="45" spans="2:9" ht="14" customHeight="1" x14ac:dyDescent="0.3">
      <c r="B45" s="4" t="s">
        <v>151</v>
      </c>
      <c r="C45" s="30">
        <v>7</v>
      </c>
      <c r="D45" s="13">
        <f t="shared" si="1"/>
        <v>13.76274548512146</v>
      </c>
      <c r="E45" s="13">
        <f t="shared" si="1"/>
        <v>11.462650590173979</v>
      </c>
      <c r="F45" s="13">
        <f t="shared" si="1"/>
        <v>9.760687204987093</v>
      </c>
      <c r="G45" s="13">
        <f t="shared" si="1"/>
        <v>8.4533694506369663</v>
      </c>
      <c r="H45" s="13">
        <f t="shared" si="1"/>
        <v>7.4199257898776505</v>
      </c>
    </row>
    <row r="46" spans="2:9" ht="14" customHeight="1" x14ac:dyDescent="0.3">
      <c r="B46" s="4" t="s">
        <v>152</v>
      </c>
      <c r="C46" s="30">
        <v>10</v>
      </c>
      <c r="D46" s="13">
        <f t="shared" si="1"/>
        <v>12.419616201392182</v>
      </c>
      <c r="E46" s="13">
        <f t="shared" si="1"/>
        <v>10.23286829423928</v>
      </c>
      <c r="F46" s="13">
        <f t="shared" si="1"/>
        <v>8.623721407931523</v>
      </c>
      <c r="G46" s="13">
        <f t="shared" si="1"/>
        <v>7.3948990096251634</v>
      </c>
      <c r="H46" s="13">
        <f t="shared" si="1"/>
        <v>6.4293866931628241</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520016.0796400485</v>
      </c>
      <c r="E48" s="5">
        <f t="shared" si="2"/>
        <v>614664.343931588</v>
      </c>
      <c r="F48" s="5">
        <f t="shared" si="2"/>
        <v>710927.08749618731</v>
      </c>
      <c r="G48" s="5">
        <f t="shared" si="2"/>
        <v>808787.12964914797</v>
      </c>
      <c r="H48" s="5">
        <f t="shared" si="2"/>
        <v>908227.36823571438</v>
      </c>
    </row>
    <row r="49" spans="2:9" ht="14" customHeight="1" x14ac:dyDescent="0.3">
      <c r="B49" s="4" t="s">
        <v>150</v>
      </c>
      <c r="C49" s="30">
        <v>5</v>
      </c>
      <c r="D49" s="5">
        <f t="shared" si="2"/>
        <v>539336.57904300094</v>
      </c>
      <c r="E49" s="5">
        <f t="shared" si="2"/>
        <v>643398.75136137835</v>
      </c>
      <c r="F49" s="5">
        <f t="shared" si="2"/>
        <v>750878.23780828284</v>
      </c>
      <c r="G49" s="5">
        <f t="shared" si="2"/>
        <v>861761.15803623979</v>
      </c>
      <c r="H49" s="5">
        <f t="shared" si="2"/>
        <v>976032.22306995199</v>
      </c>
    </row>
    <row r="50" spans="2:9" ht="14" customHeight="1" x14ac:dyDescent="0.3">
      <c r="B50" s="4" t="s">
        <v>151</v>
      </c>
      <c r="C50" s="30">
        <v>7</v>
      </c>
      <c r="D50" s="5">
        <f t="shared" si="2"/>
        <v>559355.04008861643</v>
      </c>
      <c r="E50" s="5">
        <f t="shared" si="2"/>
        <v>673372.52620917151</v>
      </c>
      <c r="F50" s="5">
        <f t="shared" si="2"/>
        <v>792793.05298043869</v>
      </c>
      <c r="G50" s="5">
        <f t="shared" si="2"/>
        <v>917624.17753301119</v>
      </c>
      <c r="H50" s="5">
        <f t="shared" si="2"/>
        <v>1047868.5540136651</v>
      </c>
    </row>
    <row r="51" spans="2:9" ht="14" customHeight="1" x14ac:dyDescent="0.3">
      <c r="B51" s="4" t="s">
        <v>152</v>
      </c>
      <c r="C51" s="30">
        <v>10</v>
      </c>
      <c r="D51" s="5">
        <f t="shared" si="2"/>
        <v>590664.88431451423</v>
      </c>
      <c r="E51" s="5">
        <f t="shared" si="2"/>
        <v>720605.06794675684</v>
      </c>
      <c r="F51" s="5">
        <f t="shared" si="2"/>
        <v>859251.42890950455</v>
      </c>
      <c r="G51" s="5">
        <f t="shared" si="2"/>
        <v>1006670.2270832036</v>
      </c>
      <c r="H51" s="5">
        <f t="shared" si="2"/>
        <v>1162912.5684186518</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1.4928876999619569</v>
      </c>
      <c r="E53" s="14">
        <f t="shared" si="3"/>
        <v>1.7646085853649509</v>
      </c>
      <c r="F53" s="14">
        <f t="shared" si="3"/>
        <v>2.0409643971538038</v>
      </c>
      <c r="G53" s="14">
        <f t="shared" si="3"/>
        <v>2.3219058121751219</v>
      </c>
      <c r="H53" s="14">
        <f t="shared" si="3"/>
        <v>2.607383732723128</v>
      </c>
    </row>
    <row r="54" spans="2:9" ht="14" customHeight="1" x14ac:dyDescent="0.3">
      <c r="B54" s="4" t="s">
        <v>150</v>
      </c>
      <c r="C54" s="30">
        <v>5</v>
      </c>
      <c r="D54" s="14">
        <f t="shared" si="3"/>
        <v>1.5483539384978022</v>
      </c>
      <c r="E54" s="14">
        <f t="shared" si="3"/>
        <v>1.8471007333910709</v>
      </c>
      <c r="F54" s="14">
        <f t="shared" si="3"/>
        <v>2.1556581215123716</v>
      </c>
      <c r="G54" s="14">
        <f t="shared" si="3"/>
        <v>2.4739862544784952</v>
      </c>
      <c r="H54" s="14">
        <f t="shared" si="3"/>
        <v>2.8020412399483017</v>
      </c>
    </row>
    <row r="55" spans="2:9" ht="14" customHeight="1" x14ac:dyDescent="0.3">
      <c r="B55" s="4" t="s">
        <v>151</v>
      </c>
      <c r="C55" s="30">
        <v>7</v>
      </c>
      <c r="D55" s="14">
        <f t="shared" si="3"/>
        <v>1.6058239195950277</v>
      </c>
      <c r="E55" s="14">
        <f t="shared" si="3"/>
        <v>1.9331509182674183</v>
      </c>
      <c r="F55" s="14">
        <f t="shared" si="3"/>
        <v>2.2759892313888268</v>
      </c>
      <c r="G55" s="14">
        <f t="shared" si="3"/>
        <v>2.6343605543408994</v>
      </c>
      <c r="H55" s="14">
        <f t="shared" si="3"/>
        <v>3.0082725067785487</v>
      </c>
    </row>
    <row r="56" spans="2:9" ht="14" customHeight="1" x14ac:dyDescent="0.3">
      <c r="B56" s="4" t="s">
        <v>152</v>
      </c>
      <c r="C56" s="30">
        <v>10</v>
      </c>
      <c r="D56" s="14">
        <f t="shared" si="3"/>
        <v>1.6957097580577967</v>
      </c>
      <c r="E56" s="14">
        <f t="shared" si="3"/>
        <v>2.0687484187269991</v>
      </c>
      <c r="F56" s="14">
        <f t="shared" si="3"/>
        <v>2.4667812008460523</v>
      </c>
      <c r="G56" s="14">
        <f t="shared" si="3"/>
        <v>2.8899983265338332</v>
      </c>
      <c r="H56" s="14">
        <f t="shared" si="3"/>
        <v>3.3385465132637586</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750878.23780828284</v>
      </c>
    </row>
    <row r="62" spans="2:9" ht="14" customHeight="1" x14ac:dyDescent="0.3">
      <c r="B62" s="28" t="s">
        <v>159</v>
      </c>
      <c r="C62" s="28" t="s">
        <v>160</v>
      </c>
      <c r="D62" s="28" t="s">
        <v>161</v>
      </c>
    </row>
    <row r="63" spans="2:9" ht="14" customHeight="1" x14ac:dyDescent="0.3">
      <c r="B63" s="31">
        <v>4.9700000000000001E-2</v>
      </c>
      <c r="C63" s="5">
        <f>IFERROR($C$60/B63,"N/A")</f>
        <v>15108214.040408105</v>
      </c>
      <c r="D63" s="14">
        <f>IFERROR(C63/'DCF Model'!C17,"N/A")</f>
        <v>4.3129714863206416</v>
      </c>
    </row>
    <row r="64" spans="2:9" ht="14" customHeight="1" x14ac:dyDescent="0.3">
      <c r="B64" s="31">
        <v>7.46E-2</v>
      </c>
      <c r="C64" s="5">
        <f>IFERROR($C$60/B64,"N/A")</f>
        <v>10065391.927724971</v>
      </c>
      <c r="D64" s="14">
        <f>IFERROR(C64/'DCF Model'!C17,"N/A")</f>
        <v>2.8733871698409637</v>
      </c>
    </row>
    <row r="65" spans="2:9" ht="14" customHeight="1" x14ac:dyDescent="0.3">
      <c r="B65" s="4" t="s">
        <v>162</v>
      </c>
      <c r="C65" s="5">
        <f>IFERROR($C$60/$C$18,"N/A")</f>
        <v>7551207.8855723133</v>
      </c>
      <c r="D65" s="14">
        <f>IFERROR(C65/'DCF Model'!C17,"N/A")</f>
        <v>2.1556581215123716</v>
      </c>
    </row>
    <row r="66" spans="2:9" ht="14" customHeight="1" x14ac:dyDescent="0.3">
      <c r="B66" s="31">
        <v>0.12429999999999999</v>
      </c>
      <c r="C66" s="5">
        <f>IFERROR($C$60/B66,"N/A")</f>
        <v>6040854.6887231125</v>
      </c>
      <c r="D66" s="14">
        <f>IFERROR(C66/'DCF Model'!C17,"N/A")</f>
        <v>1.7244946329053574</v>
      </c>
    </row>
    <row r="67" spans="2:9" ht="14" customHeight="1" x14ac:dyDescent="0.3">
      <c r="B67" s="31">
        <v>0.1492</v>
      </c>
      <c r="C67" s="5">
        <f>IFERROR($C$60/B67,"N/A")</f>
        <v>5032695.9638624853</v>
      </c>
      <c r="D67" s="14">
        <f>IFERROR(C67/'DCF Model'!C17,"N/A")</f>
        <v>1.4366935849204818</v>
      </c>
    </row>
    <row r="69" spans="2:9" ht="14" customHeight="1" x14ac:dyDescent="0.3">
      <c r="B69" s="8" t="s">
        <v>163</v>
      </c>
      <c r="C69" s="9"/>
      <c r="D69" s="9"/>
      <c r="E69" s="9"/>
      <c r="F69" s="9"/>
      <c r="G69" s="9"/>
      <c r="H69" s="9"/>
      <c r="I69" s="9"/>
    </row>
    <row r="70" spans="2:9" ht="13.5" customHeight="1" x14ac:dyDescent="0.25">
      <c r="B70" s="6" t="s">
        <v>164</v>
      </c>
      <c r="C70" s="14">
        <f>IFERROR(C10/'Comps Analysis'!G5,"N/A")</f>
        <v>13.141974406400903</v>
      </c>
    </row>
    <row r="71" spans="2:9" ht="13.5" customHeight="1" x14ac:dyDescent="0.25">
      <c r="B71" s="6" t="s">
        <v>165</v>
      </c>
      <c r="C71" s="14">
        <f>IFERROR(C10/'Comps Analysis'!F5,"N/A")</f>
        <v>1.8366502099218065</v>
      </c>
    </row>
    <row r="72" spans="2:9" ht="14" customHeight="1" x14ac:dyDescent="0.3">
      <c r="B72" s="4" t="s">
        <v>166</v>
      </c>
      <c r="C72" s="14">
        <f>IFERROR(C10/(C25+'DCF Model'!G42),"N/A")</f>
        <v>7.7518851402036617</v>
      </c>
    </row>
    <row r="73" spans="2:9" ht="14" customHeight="1" x14ac:dyDescent="0.3">
      <c r="B73" s="4" t="s">
        <v>167</v>
      </c>
      <c r="C73" s="14">
        <f>IFERROR(C10/(C60+'DCF Model'!G42),"N/A")</f>
        <v>7.0866466770396528</v>
      </c>
    </row>
    <row r="74" spans="2:9" ht="14" customHeight="1" x14ac:dyDescent="0.3">
      <c r="B74" s="4" t="s">
        <v>168</v>
      </c>
      <c r="C74" s="14">
        <f>IFERROR('Comps Analysis'!D16,"N/A")</f>
        <v>15.552094158010673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3,900 yen the market is paying for a steady-state operating profit of 750,878 mn JPY - 2.16x the FY2026 cycle peak of 348,329 mn - reached in 5 years and sustained for ever, against 348,329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672,968 mn, or 1.93x the peak. The base case supports an EV of only 3,114,459 mn, leaving 1,918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93.564768306674523</v>
      </c>
      <c r="D5" s="34">
        <f>CHOOSE('DCF Model'!$D$27,D25,D26,D27,D28,D29)</f>
        <v>94</v>
      </c>
      <c r="E5" s="34">
        <f>CHOOSE('DCF Model'!$D$27,E25,E26,E27,E28,E29)</f>
        <v>94</v>
      </c>
      <c r="F5" s="34">
        <f>CHOOSE('DCF Model'!$D$27,F25,F26,F27,F28,F29)</f>
        <v>94</v>
      </c>
      <c r="G5" s="34">
        <f>CHOOSE('DCF Model'!$D$27,G25,G26,G27,G28,G29)</f>
        <v>94</v>
      </c>
      <c r="H5" s="34">
        <f>CHOOSE('DCF Model'!$D$27,H25,H26,H27,H28,H29)</f>
        <v>94</v>
      </c>
    </row>
    <row r="6" spans="2:8" ht="14" customHeight="1" x14ac:dyDescent="0.3">
      <c r="B6" s="33" t="s">
        <v>175</v>
      </c>
      <c r="C6" s="34">
        <f>C13/C10*365</f>
        <v>33.018358196253359</v>
      </c>
      <c r="D6" s="34">
        <f>CHOOSE('DCF Model'!$D$27,D32,D33,D34,D35,D36)</f>
        <v>40</v>
      </c>
      <c r="E6" s="34">
        <f>CHOOSE('DCF Model'!$D$27,E32,E33,E34,E35,E36)</f>
        <v>40</v>
      </c>
      <c r="F6" s="34">
        <f>CHOOSE('DCF Model'!$D$27,F32,F33,F34,F35,F36)</f>
        <v>40</v>
      </c>
      <c r="G6" s="34">
        <f>CHOOSE('DCF Model'!$D$27,G32,G33,G34,G35,G36)</f>
        <v>40</v>
      </c>
      <c r="H6" s="34">
        <f>CHOOSE('DCF Model'!$D$27,H32,H33,H34,H35,H36)</f>
        <v>40</v>
      </c>
    </row>
    <row r="7" spans="2:8" ht="14" customHeight="1" x14ac:dyDescent="0.3">
      <c r="B7" s="33" t="s">
        <v>176</v>
      </c>
      <c r="C7" s="34">
        <f>C15/C10*365</f>
        <v>62.354689766074614</v>
      </c>
      <c r="D7" s="34">
        <f>CHOOSE('DCF Model'!$D$27,D39,D40,D41,D42,D43)</f>
        <v>65</v>
      </c>
      <c r="E7" s="34">
        <f>CHOOSE('DCF Model'!$D$27,E39,E40,E41,E42,E43)</f>
        <v>65</v>
      </c>
      <c r="F7" s="34">
        <f>CHOOSE('DCF Model'!$D$27,F39,F40,F41,F42,F43)</f>
        <v>65</v>
      </c>
      <c r="G7" s="34">
        <f>CHOOSE('DCF Model'!$D$27,G39,G40,G41,G42,G43)</f>
        <v>65</v>
      </c>
      <c r="H7" s="34">
        <f>CHOOSE('DCF Model'!$D$27,H39,H40,H41,H42,H43)</f>
        <v>65</v>
      </c>
    </row>
    <row r="8" spans="2:8" ht="14" customHeight="1" x14ac:dyDescent="0.3">
      <c r="B8" s="8" t="s">
        <v>177</v>
      </c>
      <c r="C8" s="9"/>
      <c r="D8" s="9"/>
      <c r="E8" s="9"/>
      <c r="F8" s="9"/>
      <c r="G8" s="9"/>
      <c r="H8" s="9"/>
    </row>
    <row r="9" spans="2:8" ht="14" customHeight="1" x14ac:dyDescent="0.3">
      <c r="B9" s="33" t="s">
        <v>32</v>
      </c>
      <c r="C9" s="35">
        <v>3502971</v>
      </c>
      <c r="D9" s="35">
        <f>'DCF Model'!C33</f>
        <v>3573030.42</v>
      </c>
      <c r="E9" s="35">
        <f>'DCF Model'!D33</f>
        <v>3662356.1804999998</v>
      </c>
      <c r="F9" s="35">
        <f>'DCF Model'!E33</f>
        <v>3753915.0850124992</v>
      </c>
      <c r="G9" s="35">
        <f>'DCF Model'!F33</f>
        <v>3847762.9621378114</v>
      </c>
      <c r="H9" s="35">
        <f>'DCF Model'!G33</f>
        <v>3924718.2213805676</v>
      </c>
    </row>
    <row r="10" spans="2:8" ht="14" customHeight="1" x14ac:dyDescent="0.3">
      <c r="B10" s="33" t="s">
        <v>33</v>
      </c>
      <c r="C10" s="35">
        <v>2256104</v>
      </c>
      <c r="D10" s="35">
        <f>'DCF Model'!C34</f>
        <v>2301031.5904799998</v>
      </c>
      <c r="E10" s="35">
        <f>'DCF Model'!D34</f>
        <v>2358557.3802419999</v>
      </c>
      <c r="F10" s="35">
        <f>'DCF Model'!E34</f>
        <v>2417521.3147480497</v>
      </c>
      <c r="G10" s="35">
        <f>'DCF Model'!F34</f>
        <v>2477959.3476167507</v>
      </c>
      <c r="H10" s="35">
        <f>'DCF Model'!G34</f>
        <v>2527518.5345690856</v>
      </c>
    </row>
    <row r="11" spans="2:8" ht="14" customHeight="1" x14ac:dyDescent="0.3">
      <c r="B11" s="8" t="s">
        <v>178</v>
      </c>
      <c r="C11" s="9"/>
      <c r="D11" s="9"/>
      <c r="E11" s="9"/>
      <c r="F11" s="9"/>
      <c r="G11" s="9"/>
      <c r="H11" s="9"/>
    </row>
    <row r="12" spans="2:8" ht="14" customHeight="1" x14ac:dyDescent="0.3">
      <c r="B12" s="33" t="s">
        <v>179</v>
      </c>
      <c r="C12" s="35">
        <v>897958</v>
      </c>
      <c r="D12" s="35">
        <f t="shared" ref="D12:H13" si="0">D9*D5/365</f>
        <v>920177.69720547949</v>
      </c>
      <c r="E12" s="35">
        <f t="shared" si="0"/>
        <v>943182.13963561645</v>
      </c>
      <c r="F12" s="35">
        <f t="shared" si="0"/>
        <v>966761.69312650664</v>
      </c>
      <c r="G12" s="35">
        <f t="shared" si="0"/>
        <v>990930.73545466922</v>
      </c>
      <c r="H12" s="35">
        <f t="shared" si="0"/>
        <v>1010749.3501637627</v>
      </c>
    </row>
    <row r="13" spans="2:8" ht="14" customHeight="1" x14ac:dyDescent="0.3">
      <c r="B13" s="33" t="s">
        <v>180</v>
      </c>
      <c r="C13" s="35">
        <v>204090</v>
      </c>
      <c r="D13" s="35">
        <f t="shared" si="0"/>
        <v>252167.84553205478</v>
      </c>
      <c r="E13" s="35">
        <f t="shared" si="0"/>
        <v>258472.04167035615</v>
      </c>
      <c r="F13" s="35">
        <f t="shared" si="0"/>
        <v>264933.84271211503</v>
      </c>
      <c r="G13" s="35">
        <f t="shared" si="0"/>
        <v>271557.18877991789</v>
      </c>
      <c r="H13" s="35">
        <f t="shared" si="0"/>
        <v>276988.33255551622</v>
      </c>
    </row>
    <row r="14" spans="2:8" ht="14" customHeight="1" x14ac:dyDescent="0.3">
      <c r="B14" s="33" t="s">
        <v>181</v>
      </c>
      <c r="C14" s="35">
        <f t="shared" ref="C14:H14" si="1">C12+C13</f>
        <v>1102048</v>
      </c>
      <c r="D14" s="35">
        <f t="shared" si="1"/>
        <v>1172345.5427375343</v>
      </c>
      <c r="E14" s="35">
        <f t="shared" si="1"/>
        <v>1201654.1813059726</v>
      </c>
      <c r="F14" s="35">
        <f t="shared" si="1"/>
        <v>1231695.5358386217</v>
      </c>
      <c r="G14" s="35">
        <f t="shared" si="1"/>
        <v>1262487.9242345872</v>
      </c>
      <c r="H14" s="35">
        <f t="shared" si="1"/>
        <v>1287737.6827192788</v>
      </c>
    </row>
    <row r="15" spans="2:8" ht="14" customHeight="1" x14ac:dyDescent="0.3">
      <c r="B15" s="33" t="s">
        <v>182</v>
      </c>
      <c r="C15" s="35">
        <v>385421</v>
      </c>
      <c r="D15" s="35">
        <f>D10*D7/365</f>
        <v>409772.74898958899</v>
      </c>
      <c r="E15" s="35">
        <f>E10*E7/365</f>
        <v>420017.0677143287</v>
      </c>
      <c r="F15" s="35">
        <f>F10*F7/365</f>
        <v>430517.49440718692</v>
      </c>
      <c r="G15" s="35">
        <f>G10*G7/365</f>
        <v>441280.43176736659</v>
      </c>
      <c r="H15" s="35">
        <f>H10*H7/365</f>
        <v>450106.04040271387</v>
      </c>
    </row>
    <row r="16" spans="2:8" ht="14" customHeight="1" x14ac:dyDescent="0.3">
      <c r="B16" s="33" t="s">
        <v>183</v>
      </c>
      <c r="C16" s="35">
        <f t="shared" ref="C16:H16" si="2">C15</f>
        <v>385421</v>
      </c>
      <c r="D16" s="35">
        <f t="shared" si="2"/>
        <v>409772.74898958899</v>
      </c>
      <c r="E16" s="35">
        <f t="shared" si="2"/>
        <v>420017.0677143287</v>
      </c>
      <c r="F16" s="35">
        <f t="shared" si="2"/>
        <v>430517.49440718692</v>
      </c>
      <c r="G16" s="35">
        <f t="shared" si="2"/>
        <v>441280.43176736659</v>
      </c>
      <c r="H16" s="35">
        <f t="shared" si="2"/>
        <v>450106.04040271387</v>
      </c>
    </row>
    <row r="17" spans="2:8" ht="14" customHeight="1" x14ac:dyDescent="0.3">
      <c r="B17" s="22" t="s">
        <v>184</v>
      </c>
      <c r="C17" s="23"/>
      <c r="D17" s="23"/>
      <c r="E17" s="23"/>
      <c r="F17" s="23"/>
      <c r="G17" s="23"/>
      <c r="H17" s="23"/>
    </row>
    <row r="18" spans="2:8" ht="14" customHeight="1" x14ac:dyDescent="0.3">
      <c r="B18" s="33" t="s">
        <v>185</v>
      </c>
      <c r="C18" s="20">
        <f t="shared" ref="C18:H18" si="3">C14-C16</f>
        <v>716627</v>
      </c>
      <c r="D18" s="20">
        <f t="shared" si="3"/>
        <v>762572.79374794522</v>
      </c>
      <c r="E18" s="20">
        <f t="shared" si="3"/>
        <v>781637.11359164398</v>
      </c>
      <c r="F18" s="20">
        <f t="shared" si="3"/>
        <v>801178.04143143469</v>
      </c>
      <c r="G18" s="20">
        <f t="shared" si="3"/>
        <v>821207.49246722064</v>
      </c>
      <c r="H18" s="20">
        <f t="shared" si="3"/>
        <v>837631.64231656492</v>
      </c>
    </row>
    <row r="19" spans="2:8" ht="14" customHeight="1" x14ac:dyDescent="0.3">
      <c r="B19" s="33" t="s">
        <v>94</v>
      </c>
      <c r="C19" s="36" t="s">
        <v>42</v>
      </c>
      <c r="D19" s="24">
        <f>D18-C18</f>
        <v>45945.793747945223</v>
      </c>
      <c r="E19" s="24">
        <f>E18-D18</f>
        <v>19064.319843698759</v>
      </c>
      <c r="F19" s="24">
        <f>F18-E18</f>
        <v>19540.927839790704</v>
      </c>
      <c r="G19" s="24">
        <f>G18-F18</f>
        <v>20029.451035785954</v>
      </c>
      <c r="H19" s="24">
        <f>H18-G18</f>
        <v>16424.149849344278</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94</v>
      </c>
      <c r="E25" s="30">
        <v>94</v>
      </c>
      <c r="F25" s="30">
        <v>94</v>
      </c>
      <c r="G25" s="30">
        <v>94</v>
      </c>
      <c r="H25" s="30">
        <v>94</v>
      </c>
    </row>
    <row r="26" spans="2:8" ht="14" customHeight="1" x14ac:dyDescent="0.3">
      <c r="B26" s="4" t="s">
        <v>115</v>
      </c>
      <c r="D26" s="30">
        <v>90</v>
      </c>
      <c r="E26" s="30">
        <v>90</v>
      </c>
      <c r="F26" s="30">
        <v>90</v>
      </c>
      <c r="G26" s="30">
        <v>90</v>
      </c>
      <c r="H26" s="30">
        <v>90</v>
      </c>
    </row>
    <row r="27" spans="2:8" ht="14" customHeight="1" x14ac:dyDescent="0.3">
      <c r="B27" s="4" t="s">
        <v>116</v>
      </c>
      <c r="D27" s="30">
        <v>94</v>
      </c>
      <c r="E27" s="30">
        <v>94</v>
      </c>
      <c r="F27" s="30">
        <v>94</v>
      </c>
      <c r="G27" s="30">
        <v>94</v>
      </c>
      <c r="H27" s="30">
        <v>94</v>
      </c>
    </row>
    <row r="28" spans="2:8" ht="14" customHeight="1" x14ac:dyDescent="0.3">
      <c r="B28" s="4" t="s">
        <v>117</v>
      </c>
      <c r="D28" s="30">
        <v>99</v>
      </c>
      <c r="E28" s="30">
        <v>99</v>
      </c>
      <c r="F28" s="30">
        <v>99</v>
      </c>
      <c r="G28" s="30">
        <v>99</v>
      </c>
      <c r="H28" s="30">
        <v>99</v>
      </c>
    </row>
    <row r="29" spans="2:8" ht="14" customHeight="1" x14ac:dyDescent="0.3">
      <c r="B29" s="4" t="s">
        <v>118</v>
      </c>
      <c r="D29" s="30">
        <v>103</v>
      </c>
      <c r="E29" s="30">
        <v>103</v>
      </c>
      <c r="F29" s="30">
        <v>103</v>
      </c>
      <c r="G29" s="30">
        <v>103</v>
      </c>
      <c r="H29" s="30">
        <v>103</v>
      </c>
    </row>
    <row r="31" spans="2:8" ht="14" customHeight="1" x14ac:dyDescent="0.3">
      <c r="B31" s="3" t="s">
        <v>188</v>
      </c>
    </row>
    <row r="32" spans="2:8" ht="14" customHeight="1" x14ac:dyDescent="0.3">
      <c r="B32" s="4" t="s">
        <v>78</v>
      </c>
      <c r="D32" s="30">
        <v>40</v>
      </c>
      <c r="E32" s="30">
        <v>40</v>
      </c>
      <c r="F32" s="30">
        <v>40</v>
      </c>
      <c r="G32" s="30">
        <v>40</v>
      </c>
      <c r="H32" s="30">
        <v>40</v>
      </c>
    </row>
    <row r="33" spans="2:8" ht="14" customHeight="1" x14ac:dyDescent="0.3">
      <c r="B33" s="4" t="s">
        <v>115</v>
      </c>
      <c r="D33" s="30">
        <v>38</v>
      </c>
      <c r="E33" s="30">
        <v>38</v>
      </c>
      <c r="F33" s="30">
        <v>38</v>
      </c>
      <c r="G33" s="30">
        <v>38</v>
      </c>
      <c r="H33" s="30">
        <v>38</v>
      </c>
    </row>
    <row r="34" spans="2:8" ht="14" customHeight="1" x14ac:dyDescent="0.3">
      <c r="B34" s="4" t="s">
        <v>116</v>
      </c>
      <c r="D34" s="30">
        <v>40</v>
      </c>
      <c r="E34" s="30">
        <v>40</v>
      </c>
      <c r="F34" s="30">
        <v>40</v>
      </c>
      <c r="G34" s="30">
        <v>40</v>
      </c>
      <c r="H34" s="30">
        <v>40</v>
      </c>
    </row>
    <row r="35" spans="2:8" ht="14" customHeight="1" x14ac:dyDescent="0.3">
      <c r="B35" s="4" t="s">
        <v>117</v>
      </c>
      <c r="D35" s="30">
        <v>42</v>
      </c>
      <c r="E35" s="30">
        <v>42</v>
      </c>
      <c r="F35" s="30">
        <v>42</v>
      </c>
      <c r="G35" s="30">
        <v>42</v>
      </c>
      <c r="H35" s="30">
        <v>42</v>
      </c>
    </row>
    <row r="36" spans="2:8" ht="14" customHeight="1" x14ac:dyDescent="0.3">
      <c r="B36" s="4" t="s">
        <v>118</v>
      </c>
      <c r="D36" s="30">
        <v>44</v>
      </c>
      <c r="E36" s="30">
        <v>44</v>
      </c>
      <c r="F36" s="30">
        <v>44</v>
      </c>
      <c r="G36" s="30">
        <v>44</v>
      </c>
      <c r="H36" s="30">
        <v>44</v>
      </c>
    </row>
    <row r="38" spans="2:8" ht="14" customHeight="1" x14ac:dyDescent="0.3">
      <c r="B38" s="3" t="s">
        <v>189</v>
      </c>
    </row>
    <row r="39" spans="2:8" ht="14" customHeight="1" x14ac:dyDescent="0.3">
      <c r="B39" s="4" t="s">
        <v>78</v>
      </c>
      <c r="D39" s="30">
        <v>65</v>
      </c>
      <c r="E39" s="30">
        <v>65</v>
      </c>
      <c r="F39" s="30">
        <v>65</v>
      </c>
      <c r="G39" s="30">
        <v>65</v>
      </c>
      <c r="H39" s="30">
        <v>65</v>
      </c>
    </row>
    <row r="40" spans="2:8" ht="14" customHeight="1" x14ac:dyDescent="0.3">
      <c r="B40" s="4" t="s">
        <v>115</v>
      </c>
      <c r="D40" s="30">
        <v>68</v>
      </c>
      <c r="E40" s="30">
        <v>68</v>
      </c>
      <c r="F40" s="30">
        <v>68</v>
      </c>
      <c r="G40" s="30">
        <v>68</v>
      </c>
      <c r="H40" s="30">
        <v>68</v>
      </c>
    </row>
    <row r="41" spans="2:8" ht="14" customHeight="1" x14ac:dyDescent="0.3">
      <c r="B41" s="4" t="s">
        <v>116</v>
      </c>
      <c r="D41" s="30">
        <v>65</v>
      </c>
      <c r="E41" s="30">
        <v>65</v>
      </c>
      <c r="F41" s="30">
        <v>65</v>
      </c>
      <c r="G41" s="30">
        <v>65</v>
      </c>
      <c r="H41" s="30">
        <v>65</v>
      </c>
    </row>
    <row r="42" spans="2:8" ht="14" customHeight="1" x14ac:dyDescent="0.3">
      <c r="B42" s="4" t="s">
        <v>117</v>
      </c>
      <c r="D42" s="30">
        <v>62</v>
      </c>
      <c r="E42" s="30">
        <v>62</v>
      </c>
      <c r="F42" s="30">
        <v>62</v>
      </c>
      <c r="G42" s="30">
        <v>62</v>
      </c>
      <c r="H42" s="30">
        <v>62</v>
      </c>
    </row>
    <row r="43" spans="2:8" ht="14" customHeight="1" x14ac:dyDescent="0.3">
      <c r="B43" s="4" t="s">
        <v>118</v>
      </c>
      <c r="D43" s="30">
        <v>59</v>
      </c>
      <c r="E43" s="30">
        <v>59</v>
      </c>
      <c r="F43" s="30">
        <v>59</v>
      </c>
      <c r="G43" s="30">
        <v>59</v>
      </c>
      <c r="H43" s="30">
        <v>59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6751004.4225000003</v>
      </c>
      <c r="E5" s="37">
        <f>D5+C24</f>
        <v>6433732.4225000003</v>
      </c>
      <c r="F5" s="37">
        <v>3502971</v>
      </c>
      <c r="G5" s="37">
        <v>489556</v>
      </c>
      <c r="H5" s="37">
        <v>348329</v>
      </c>
      <c r="I5" s="37">
        <v>449408</v>
      </c>
      <c r="J5" s="38">
        <f t="shared" ref="J5:J10" si="0">IFERROR(E5/G5,"")</f>
        <v>13.141974406400903</v>
      </c>
      <c r="K5" s="38">
        <f t="shared" ref="K5:K10" si="1">IFERROR(E5/F5,"")</f>
        <v>1.8366502099218065</v>
      </c>
      <c r="L5" s="38">
        <f t="shared" ref="L5:L10" si="2">IFERROR(D5/I5,"")</f>
        <v>15.021994318080676</v>
      </c>
      <c r="M5" s="38">
        <f t="shared" ref="M5:M10" si="3">IFERROR(D5/P5,"")</f>
        <v>3.3339692888343464</v>
      </c>
      <c r="N5" s="39">
        <f t="shared" ref="N5:N10" si="4">IFERROR(H5/F5,"")</f>
        <v>9.9438162633947016E-2</v>
      </c>
      <c r="O5" s="39">
        <f t="shared" ref="O5:O10" si="5">IFERROR(I5/P5,"")</f>
        <v>0.22193919250931521</v>
      </c>
      <c r="P5" s="37">
        <v>2024915</v>
      </c>
    </row>
    <row r="6" spans="2:17" ht="14" customHeight="1" x14ac:dyDescent="0.3">
      <c r="B6" s="4" t="s">
        <v>208</v>
      </c>
      <c r="C6" t="s">
        <v>209</v>
      </c>
      <c r="D6" s="37">
        <v>6403589</v>
      </c>
      <c r="E6" s="37">
        <v>6233770</v>
      </c>
      <c r="F6" s="37">
        <v>3582733</v>
      </c>
      <c r="G6" s="37">
        <v>514415</v>
      </c>
      <c r="H6" s="37">
        <v>359913</v>
      </c>
      <c r="I6" s="37">
        <v>270228</v>
      </c>
      <c r="J6" s="38">
        <f t="shared" si="0"/>
        <v>12.118173070380918</v>
      </c>
      <c r="K6" s="38">
        <f t="shared" si="1"/>
        <v>1.7399482462131564</v>
      </c>
      <c r="L6" s="38">
        <f t="shared" si="2"/>
        <v>23.696985508533533</v>
      </c>
      <c r="M6" s="38">
        <f t="shared" si="3"/>
        <v>2.9152568222025352</v>
      </c>
      <c r="N6" s="39">
        <f t="shared" si="4"/>
        <v>0.10045766737292453</v>
      </c>
      <c r="O6" s="39">
        <f t="shared" si="5"/>
        <v>0.12302226463162245</v>
      </c>
      <c r="P6" s="37">
        <v>2196578</v>
      </c>
    </row>
    <row r="7" spans="2:17" ht="14" customHeight="1" x14ac:dyDescent="0.3">
      <c r="B7" s="4" t="s">
        <v>210</v>
      </c>
      <c r="C7" t="s">
        <v>211</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customHeight="1" x14ac:dyDescent="0.3">
      <c r="B8" s="4" t="s">
        <v>212</v>
      </c>
      <c r="C8" t="s">
        <v>213</v>
      </c>
      <c r="D8" s="37">
        <v>10739696</v>
      </c>
      <c r="E8" s="37">
        <v>10371365</v>
      </c>
      <c r="F8" s="37">
        <v>5894747</v>
      </c>
      <c r="G8" s="37">
        <v>666879</v>
      </c>
      <c r="H8" s="37">
        <v>433095</v>
      </c>
      <c r="I8" s="37">
        <v>407758</v>
      </c>
      <c r="J8" s="38">
        <f t="shared" si="0"/>
        <v>15.552094158010673</v>
      </c>
      <c r="K8" s="38">
        <f t="shared" si="1"/>
        <v>1.7594249592052043</v>
      </c>
      <c r="L8" s="38">
        <f t="shared" si="2"/>
        <v>26.338406603917029</v>
      </c>
      <c r="M8" s="38">
        <f t="shared" si="3"/>
        <v>2.3949730011555959</v>
      </c>
      <c r="N8" s="39">
        <f t="shared" si="4"/>
        <v>7.3471346607411656E-2</v>
      </c>
      <c r="O8" s="39">
        <f t="shared" si="5"/>
        <v>9.0930823461409294E-2</v>
      </c>
      <c r="P8" s="37">
        <v>4484266</v>
      </c>
    </row>
    <row r="9" spans="2:17" ht="14" customHeight="1" x14ac:dyDescent="0.3">
      <c r="B9" s="4" t="s">
        <v>214</v>
      </c>
      <c r="C9" t="s">
        <v>215</v>
      </c>
      <c r="D9" s="37">
        <v>9720293</v>
      </c>
      <c r="E9" s="37">
        <v>10553311</v>
      </c>
      <c r="F9" s="37">
        <v>8048722</v>
      </c>
      <c r="G9" s="37">
        <v>614305</v>
      </c>
      <c r="H9" s="37">
        <v>209963</v>
      </c>
      <c r="I9" s="37">
        <v>189540</v>
      </c>
      <c r="J9" s="38">
        <f t="shared" si="0"/>
        <v>17.179269255500117</v>
      </c>
      <c r="K9" s="38">
        <f t="shared" si="1"/>
        <v>1.3111784703211267</v>
      </c>
      <c r="L9" s="38">
        <f t="shared" si="2"/>
        <v>51.28359712989343</v>
      </c>
      <c r="M9" s="38">
        <f t="shared" si="3"/>
        <v>1.865243840659248</v>
      </c>
      <c r="N9" s="39">
        <f t="shared" si="4"/>
        <v>2.608650168312435E-2</v>
      </c>
      <c r="O9" s="39">
        <f t="shared" si="5"/>
        <v>3.6371158519455521E-2</v>
      </c>
      <c r="P9" s="37">
        <v>5211272</v>
      </c>
    </row>
    <row r="10" spans="2:17" ht="14" customHeight="1" x14ac:dyDescent="0.3">
      <c r="B10" s="4" t="s">
        <v>216</v>
      </c>
      <c r="C10" t="s">
        <v>217</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customHeight="1" x14ac:dyDescent="0.3">
      <c r="B14" s="3" t="s">
        <v>218</v>
      </c>
    </row>
    <row r="15" spans="2:17" ht="14" customHeight="1" x14ac:dyDescent="0.3">
      <c r="B15" s="4" t="s">
        <v>219</v>
      </c>
      <c r="D15" s="38">
        <f t="shared" ref="D15:I15" si="6">PERCENTILE(J6:J10,0.25)</f>
        <v>14.333259113904496</v>
      </c>
      <c r="E15" s="38">
        <f t="shared" si="6"/>
        <v>1.7399482462131564</v>
      </c>
      <c r="F15" s="38">
        <f t="shared" si="6"/>
        <v>26.338406603917029</v>
      </c>
      <c r="G15" s="38">
        <f t="shared" si="6"/>
        <v>2.3949730011555959</v>
      </c>
      <c r="H15" s="39">
        <f t="shared" si="6"/>
        <v>7.0172380779371255E-2</v>
      </c>
      <c r="I15" s="39">
        <f t="shared" si="6"/>
        <v>3.6371158519455521E-2</v>
      </c>
    </row>
    <row r="16" spans="2:17" ht="14" customHeight="1" x14ac:dyDescent="0.3">
      <c r="B16" s="4" t="s">
        <v>220</v>
      </c>
      <c r="D16" s="38">
        <f t="shared" ref="D16:I16" si="7">MEDIAN(J6:J10)</f>
        <v>15.552094158010673</v>
      </c>
      <c r="E16" s="38">
        <f t="shared" si="7"/>
        <v>1.7594249592052043</v>
      </c>
      <c r="F16" s="38">
        <f t="shared" si="7"/>
        <v>29.996470447475474</v>
      </c>
      <c r="G16" s="38">
        <f t="shared" si="7"/>
        <v>2.9152568222025352</v>
      </c>
      <c r="H16" s="39">
        <f t="shared" si="7"/>
        <v>7.3471346607411656E-2</v>
      </c>
      <c r="I16" s="39">
        <f t="shared" si="7"/>
        <v>9.0930823461409294E-2</v>
      </c>
    </row>
    <row r="17" spans="2:9" ht="14" customHeight="1" x14ac:dyDescent="0.3">
      <c r="B17" s="4" t="s">
        <v>221</v>
      </c>
      <c r="D17" s="38">
        <f t="shared" ref="D17:I17" si="8">PERCENTILE(J6:J10,0.75)</f>
        <v>17.179269255500117</v>
      </c>
      <c r="E17" s="38">
        <f t="shared" si="8"/>
        <v>2.2437193137366305</v>
      </c>
      <c r="F17" s="38">
        <f t="shared" si="8"/>
        <v>51.28359712989343</v>
      </c>
      <c r="G17" s="38">
        <f t="shared" si="8"/>
        <v>3.6642594226968672</v>
      </c>
      <c r="H17" s="39">
        <f t="shared" si="8"/>
        <v>0.10045766737292453</v>
      </c>
      <c r="I17" s="39">
        <f t="shared" si="8"/>
        <v>0.12215635266532682</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489556</v>
      </c>
    </row>
    <row r="22" spans="2:9" ht="14" customHeight="1" x14ac:dyDescent="0.3">
      <c r="B22" s="4" t="s">
        <v>225</v>
      </c>
      <c r="C22" s="5">
        <v>449408</v>
      </c>
    </row>
    <row r="23" spans="2:9" ht="14" customHeight="1" x14ac:dyDescent="0.3">
      <c r="B23" s="4" t="s">
        <v>226</v>
      </c>
      <c r="C23" s="15">
        <v>1731026775</v>
      </c>
    </row>
    <row r="24" spans="2:9" ht="14" customHeight="1" x14ac:dyDescent="0.3">
      <c r="B24" s="4" t="s">
        <v>67</v>
      </c>
      <c r="C24" s="5">
        <v>-317272</v>
      </c>
    </row>
    <row r="26" spans="2:9" ht="14" customHeight="1" x14ac:dyDescent="0.3">
      <c r="B26" s="3" t="s">
        <v>227</v>
      </c>
    </row>
    <row r="27" spans="2:9" ht="14" customHeight="1" x14ac:dyDescent="0.3">
      <c r="B27" s="4" t="s">
        <v>228</v>
      </c>
      <c r="C27" s="24">
        <f>ROUND((C21*D16-C24)*1000000/C23,0)</f>
        <v>4582</v>
      </c>
    </row>
    <row r="28" spans="2:9" ht="14" customHeight="1" x14ac:dyDescent="0.3">
      <c r="B28" s="4" t="s">
        <v>229</v>
      </c>
      <c r="C28" s="24">
        <f>ROUND(C22*F16*1000000/C23,0)</f>
        <v>7788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8.8450000000000001E-2</v>
      </c>
      <c r="E3" s="4" t="s">
        <v>232</v>
      </c>
      <c r="F3" s="16">
        <f>'DCF Model'!C13</f>
        <v>0.01</v>
      </c>
      <c r="H3" s="4" t="s">
        <v>233</v>
      </c>
      <c r="I3" s="14">
        <f>'DCF Model'!C14</f>
        <v>15.6</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7.3450000000000001E-2</v>
      </c>
      <c r="C7" s="37">
        <f>IFERROR(ROUND(('DCF Model'!C45/(1+$B7)^('DCF Model'!C19+0)+'DCF Model'!D45/(1+$B7)^('DCF Model'!C19+1)+'DCF Model'!E45/(1+$B7)^('DCF Model'!C19+2)+'DCF Model'!F45/(1+$B7)^('DCF Model'!C19+3)+'DCF Model'!G45/(1+$B7)^('DCF Model'!C19+4)+'DCF Model'!G45*(1+C$6)/($B7-C$6)/(1+$B7)^('DCF Model'!C19+4)-'DCF Model'!C16)*1000000/'DCF Model'!C15,0),"")</f>
        <v>2227</v>
      </c>
      <c r="D7" s="37">
        <f>IFERROR(ROUND(('DCF Model'!C45/(1+$B7)^('DCF Model'!C19+0)+'DCF Model'!D45/(1+$B7)^('DCF Model'!C19+1)+'DCF Model'!E45/(1+$B7)^('DCF Model'!C19+2)+'DCF Model'!F45/(1+$B7)^('DCF Model'!C19+3)+'DCF Model'!G45/(1+$B7)^('DCF Model'!C19+4)+'DCF Model'!G45*(1+D$6)/($B7-D$6)/(1+$B7)^('DCF Model'!C19+4)-'DCF Model'!C16)*1000000/'DCF Model'!C15,0),"")</f>
        <v>2285</v>
      </c>
      <c r="E7" s="37">
        <f>IFERROR(ROUND(('DCF Model'!C45/(1+$B7)^('DCF Model'!C19+0)+'DCF Model'!D45/(1+$B7)^('DCF Model'!C19+1)+'DCF Model'!E45/(1+$B7)^('DCF Model'!C19+2)+'DCF Model'!F45/(1+$B7)^('DCF Model'!C19+3)+'DCF Model'!G45/(1+$B7)^('DCF Model'!C19+4)+'DCF Model'!G45*(1+E$6)/($B7-E$6)/(1+$B7)^('DCF Model'!C19+4)-'DCF Model'!C16)*1000000/'DCF Model'!C15,0),"")</f>
        <v>2347</v>
      </c>
      <c r="F7" s="37">
        <f>IFERROR(ROUND(('DCF Model'!C45/(1+$B7)^('DCF Model'!C19+0)+'DCF Model'!D45/(1+$B7)^('DCF Model'!C19+1)+'DCF Model'!E45/(1+$B7)^('DCF Model'!C19+2)+'DCF Model'!F45/(1+$B7)^('DCF Model'!C19+3)+'DCF Model'!G45/(1+$B7)^('DCF Model'!C19+4)+'DCF Model'!G45*(1+F$6)/($B7-F$6)/(1+$B7)^('DCF Model'!C19+4)-'DCF Model'!C16)*1000000/'DCF Model'!C15,0),"")</f>
        <v>2414</v>
      </c>
      <c r="G7" s="37">
        <f>IFERROR(ROUND(('DCF Model'!C45/(1+$B7)^('DCF Model'!C19+0)+'DCF Model'!D45/(1+$B7)^('DCF Model'!C19+1)+'DCF Model'!E45/(1+$B7)^('DCF Model'!C19+2)+'DCF Model'!F45/(1+$B7)^('DCF Model'!C19+3)+'DCF Model'!G45/(1+$B7)^('DCF Model'!C19+4)+'DCF Model'!G45*(1+G$6)/($B7-G$6)/(1+$B7)^('DCF Model'!C19+4)-'DCF Model'!C16)*1000000/'DCF Model'!C15,0),"")</f>
        <v>2487</v>
      </c>
      <c r="H7" s="37">
        <f>IFERROR(ROUND(('DCF Model'!C45/(1+$B7)^('DCF Model'!C19+0)+'DCF Model'!D45/(1+$B7)^('DCF Model'!C19+1)+'DCF Model'!E45/(1+$B7)^('DCF Model'!C19+2)+'DCF Model'!F45/(1+$B7)^('DCF Model'!C19+3)+'DCF Model'!G45/(1+$B7)^('DCF Model'!C19+4)+'DCF Model'!G45*(1+H$6)/($B7-H$6)/(1+$B7)^('DCF Model'!C19+4)-'DCF Model'!C16)*1000000/'DCF Model'!C15,0),"")</f>
        <v>2565</v>
      </c>
      <c r="I7" s="37">
        <f>IFERROR(ROUND(('DCF Model'!C45/(1+$B7)^('DCF Model'!C19+0)+'DCF Model'!D45/(1+$B7)^('DCF Model'!C19+1)+'DCF Model'!E45/(1+$B7)^('DCF Model'!C19+2)+'DCF Model'!F45/(1+$B7)^('DCF Model'!C19+3)+'DCF Model'!G45/(1+$B7)^('DCF Model'!C19+4)+'DCF Model'!G45*(1+I$6)/($B7-I$6)/(1+$B7)^('DCF Model'!C19+4)-'DCF Model'!C16)*1000000/'DCF Model'!C15,0),"")</f>
        <v>2651</v>
      </c>
    </row>
    <row r="8" spans="2:9" ht="13.5" customHeight="1" x14ac:dyDescent="0.25">
      <c r="B8" s="39">
        <f>$C$3-0.01</f>
        <v>7.8450000000000006E-2</v>
      </c>
      <c r="C8" s="37">
        <f>IFERROR(ROUND(('DCF Model'!C45/(1+$B8)^('DCF Model'!C19+0)+'DCF Model'!D45/(1+$B8)^('DCF Model'!C19+1)+'DCF Model'!E45/(1+$B8)^('DCF Model'!C19+2)+'DCF Model'!F45/(1+$B8)^('DCF Model'!C19+3)+'DCF Model'!G45/(1+$B8)^('DCF Model'!C19+4)+'DCF Model'!G45*(1+C$6)/($B8-C$6)/(1+$B8)^('DCF Model'!C19+4)-'DCF Model'!C16)*1000000/'DCF Model'!C15,0),"")</f>
        <v>2090</v>
      </c>
      <c r="D8" s="37">
        <f>IFERROR(ROUND(('DCF Model'!C45/(1+$B8)^('DCF Model'!C19+0)+'DCF Model'!D45/(1+$B8)^('DCF Model'!C19+1)+'DCF Model'!E45/(1+$B8)^('DCF Model'!C19+2)+'DCF Model'!F45/(1+$B8)^('DCF Model'!C19+3)+'DCF Model'!G45/(1+$B8)^('DCF Model'!C19+4)+'DCF Model'!G45*(1+D$6)/($B8-D$6)/(1+$B8)^('DCF Model'!C19+4)-'DCF Model'!C16)*1000000/'DCF Model'!C15,0),"")</f>
        <v>2139</v>
      </c>
      <c r="E8" s="37">
        <f>IFERROR(ROUND(('DCF Model'!C45/(1+$B8)^('DCF Model'!C19+0)+'DCF Model'!D45/(1+$B8)^('DCF Model'!C19+1)+'DCF Model'!E45/(1+$B8)^('DCF Model'!C19+2)+'DCF Model'!F45/(1+$B8)^('DCF Model'!C19+3)+'DCF Model'!G45/(1+$B8)^('DCF Model'!C19+4)+'DCF Model'!G45*(1+E$6)/($B8-E$6)/(1+$B8)^('DCF Model'!C19+4)-'DCF Model'!C16)*1000000/'DCF Model'!C15,0),"")</f>
        <v>2192</v>
      </c>
      <c r="F8" s="37">
        <f>IFERROR(ROUND(('DCF Model'!C45/(1+$B8)^('DCF Model'!C19+0)+'DCF Model'!D45/(1+$B8)^('DCF Model'!C19+1)+'DCF Model'!E45/(1+$B8)^('DCF Model'!C19+2)+'DCF Model'!F45/(1+$B8)^('DCF Model'!C19+3)+'DCF Model'!G45/(1+$B8)^('DCF Model'!C19+4)+'DCF Model'!G45*(1+F$6)/($B8-F$6)/(1+$B8)^('DCF Model'!C19+4)-'DCF Model'!C16)*1000000/'DCF Model'!C15,0),"")</f>
        <v>2249</v>
      </c>
      <c r="G8" s="37">
        <f>IFERROR(ROUND(('DCF Model'!C45/(1+$B8)^('DCF Model'!C19+0)+'DCF Model'!D45/(1+$B8)^('DCF Model'!C19+1)+'DCF Model'!E45/(1+$B8)^('DCF Model'!C19+2)+'DCF Model'!F45/(1+$B8)^('DCF Model'!C19+3)+'DCF Model'!G45/(1+$B8)^('DCF Model'!C19+4)+'DCF Model'!G45*(1+G$6)/($B8-G$6)/(1+$B8)^('DCF Model'!C19+4)-'DCF Model'!C16)*1000000/'DCF Model'!C15,0),"")</f>
        <v>2310</v>
      </c>
      <c r="H8" s="37">
        <f>IFERROR(ROUND(('DCF Model'!C45/(1+$B8)^('DCF Model'!C19+0)+'DCF Model'!D45/(1+$B8)^('DCF Model'!C19+1)+'DCF Model'!E45/(1+$B8)^('DCF Model'!C19+2)+'DCF Model'!F45/(1+$B8)^('DCF Model'!C19+3)+'DCF Model'!G45/(1+$B8)^('DCF Model'!C19+4)+'DCF Model'!G45*(1+H$6)/($B8-H$6)/(1+$B8)^('DCF Model'!C19+4)-'DCF Model'!C16)*1000000/'DCF Model'!C15,0),"")</f>
        <v>2376</v>
      </c>
      <c r="I8" s="37">
        <f>IFERROR(ROUND(('DCF Model'!C45/(1+$B8)^('DCF Model'!C19+0)+'DCF Model'!D45/(1+$B8)^('DCF Model'!C19+1)+'DCF Model'!E45/(1+$B8)^('DCF Model'!C19+2)+'DCF Model'!F45/(1+$B8)^('DCF Model'!C19+3)+'DCF Model'!G45/(1+$B8)^('DCF Model'!C19+4)+'DCF Model'!G45*(1+I$6)/($B8-I$6)/(1+$B8)^('DCF Model'!C19+4)-'DCF Model'!C16)*1000000/'DCF Model'!C15,0),"")</f>
        <v>2447</v>
      </c>
    </row>
    <row r="9" spans="2:9" ht="13.5" customHeight="1" x14ac:dyDescent="0.25">
      <c r="B9" s="39">
        <f>$C$3-0.005</f>
        <v>8.3449999999999996E-2</v>
      </c>
      <c r="C9" s="37">
        <f>IFERROR(ROUND(('DCF Model'!C45/(1+$B9)^('DCF Model'!C19+0)+'DCF Model'!D45/(1+$B9)^('DCF Model'!C19+1)+'DCF Model'!E45/(1+$B9)^('DCF Model'!C19+2)+'DCF Model'!F45/(1+$B9)^('DCF Model'!C19+3)+'DCF Model'!G45/(1+$B9)^('DCF Model'!C19+4)+'DCF Model'!G45*(1+C$6)/($B9-C$6)/(1+$B9)^('DCF Model'!C19+4)-'DCF Model'!C16)*1000000/'DCF Model'!C15,0),"")</f>
        <v>1970</v>
      </c>
      <c r="D9" s="37">
        <f>IFERROR(ROUND(('DCF Model'!C45/(1+$B9)^('DCF Model'!C19+0)+'DCF Model'!D45/(1+$B9)^('DCF Model'!C19+1)+'DCF Model'!E45/(1+$B9)^('DCF Model'!C19+2)+'DCF Model'!F45/(1+$B9)^('DCF Model'!C19+3)+'DCF Model'!G45/(1+$B9)^('DCF Model'!C19+4)+'DCF Model'!G45*(1+D$6)/($B9-D$6)/(1+$B9)^('DCF Model'!C19+4)-'DCF Model'!C16)*1000000/'DCF Model'!C15,0),"")</f>
        <v>2013</v>
      </c>
      <c r="E9" s="37">
        <f>IFERROR(ROUND(('DCF Model'!C45/(1+$B9)^('DCF Model'!C19+0)+'DCF Model'!D45/(1+$B9)^('DCF Model'!C19+1)+'DCF Model'!E45/(1+$B9)^('DCF Model'!C19+2)+'DCF Model'!F45/(1+$B9)^('DCF Model'!C19+3)+'DCF Model'!G45/(1+$B9)^('DCF Model'!C19+4)+'DCF Model'!G45*(1+E$6)/($B9-E$6)/(1+$B9)^('DCF Model'!C19+4)-'DCF Model'!C16)*1000000/'DCF Model'!C15,0),"")</f>
        <v>2058</v>
      </c>
      <c r="F9" s="37">
        <f>IFERROR(ROUND(('DCF Model'!C45/(1+$B9)^('DCF Model'!C19+0)+'DCF Model'!D45/(1+$B9)^('DCF Model'!C19+1)+'DCF Model'!E45/(1+$B9)^('DCF Model'!C19+2)+'DCF Model'!F45/(1+$B9)^('DCF Model'!C19+3)+'DCF Model'!G45/(1+$B9)^('DCF Model'!C19+4)+'DCF Model'!G45*(1+F$6)/($B9-F$6)/(1+$B9)^('DCF Model'!C19+4)-'DCF Model'!C16)*1000000/'DCF Model'!C15,0),"")</f>
        <v>2107</v>
      </c>
      <c r="G9" s="37">
        <f>IFERROR(ROUND(('DCF Model'!C45/(1+$B9)^('DCF Model'!C19+0)+'DCF Model'!D45/(1+$B9)^('DCF Model'!C19+1)+'DCF Model'!E45/(1+$B9)^('DCF Model'!C19+2)+'DCF Model'!F45/(1+$B9)^('DCF Model'!C19+3)+'DCF Model'!G45/(1+$B9)^('DCF Model'!C19+4)+'DCF Model'!G45*(1+G$6)/($B9-G$6)/(1+$B9)^('DCF Model'!C19+4)-'DCF Model'!C16)*1000000/'DCF Model'!C15,0),"")</f>
        <v>2159</v>
      </c>
      <c r="H9" s="37">
        <f>IFERROR(ROUND(('DCF Model'!C45/(1+$B9)^('DCF Model'!C19+0)+'DCF Model'!D45/(1+$B9)^('DCF Model'!C19+1)+'DCF Model'!E45/(1+$B9)^('DCF Model'!C19+2)+'DCF Model'!F45/(1+$B9)^('DCF Model'!C19+3)+'DCF Model'!G45/(1+$B9)^('DCF Model'!C19+4)+'DCF Model'!G45*(1+H$6)/($B9-H$6)/(1+$B9)^('DCF Model'!C19+4)-'DCF Model'!C16)*1000000/'DCF Model'!C15,0),"")</f>
        <v>2214</v>
      </c>
      <c r="I9" s="37">
        <f>IFERROR(ROUND(('DCF Model'!C45/(1+$B9)^('DCF Model'!C19+0)+'DCF Model'!D45/(1+$B9)^('DCF Model'!C19+1)+'DCF Model'!E45/(1+$B9)^('DCF Model'!C19+2)+'DCF Model'!F45/(1+$B9)^('DCF Model'!C19+3)+'DCF Model'!G45/(1+$B9)^('DCF Model'!C19+4)+'DCF Model'!G45*(1+I$6)/($B9-I$6)/(1+$B9)^('DCF Model'!C19+4)-'DCF Model'!C16)*1000000/'DCF Model'!C15,0),"")</f>
        <v>2274</v>
      </c>
    </row>
    <row r="10" spans="2:9" ht="13.5" customHeight="1" x14ac:dyDescent="0.25">
      <c r="B10" s="39">
        <f>$C$3</f>
        <v>8.8450000000000001E-2</v>
      </c>
      <c r="C10" s="37">
        <f>IFERROR(ROUND(('DCF Model'!C45/(1+$B10)^('DCF Model'!C19+0)+'DCF Model'!D45/(1+$B10)^('DCF Model'!C19+1)+'DCF Model'!E45/(1+$B10)^('DCF Model'!C19+2)+'DCF Model'!F45/(1+$B10)^('DCF Model'!C19+3)+'DCF Model'!G45/(1+$B10)^('DCF Model'!C19+4)+'DCF Model'!G45*(1+C$6)/($B10-C$6)/(1+$B10)^('DCF Model'!C19+4)-'DCF Model'!C16)*1000000/'DCF Model'!C15,0),"")</f>
        <v>1864</v>
      </c>
      <c r="D10" s="37">
        <f>IFERROR(ROUND(('DCF Model'!C45/(1+$B10)^('DCF Model'!C19+0)+'DCF Model'!D45/(1+$B10)^('DCF Model'!C19+1)+'DCF Model'!E45/(1+$B10)^('DCF Model'!C19+2)+'DCF Model'!F45/(1+$B10)^('DCF Model'!C19+3)+'DCF Model'!G45/(1+$B10)^('DCF Model'!C19+4)+'DCF Model'!G45*(1+D$6)/($B10-D$6)/(1+$B10)^('DCF Model'!C19+4)-'DCF Model'!C16)*1000000/'DCF Model'!C15,0),"")</f>
        <v>1901</v>
      </c>
      <c r="E10" s="37">
        <f>IFERROR(ROUND(('DCF Model'!C45/(1+$B10)^('DCF Model'!C19+0)+'DCF Model'!D45/(1+$B10)^('DCF Model'!C19+1)+'DCF Model'!E45/(1+$B10)^('DCF Model'!C19+2)+'DCF Model'!F45/(1+$B10)^('DCF Model'!C19+3)+'DCF Model'!G45/(1+$B10)^('DCF Model'!C19+4)+'DCF Model'!G45*(1+E$6)/($B10-E$6)/(1+$B10)^('DCF Model'!C19+4)-'DCF Model'!C16)*1000000/'DCF Model'!C15,0),"")</f>
        <v>1941</v>
      </c>
      <c r="F10" s="37">
        <f>IFERROR(ROUND(('DCF Model'!C45/(1+$B10)^('DCF Model'!C19+0)+'DCF Model'!D45/(1+$B10)^('DCF Model'!C19+1)+'DCF Model'!E45/(1+$B10)^('DCF Model'!C19+2)+'DCF Model'!F45/(1+$B10)^('DCF Model'!C19+3)+'DCF Model'!G45/(1+$B10)^('DCF Model'!C19+4)+'DCF Model'!G45*(1+F$6)/($B10-F$6)/(1+$B10)^('DCF Model'!C19+4)-'DCF Model'!C16)*1000000/'DCF Model'!C15,0),"")</f>
        <v>1982</v>
      </c>
      <c r="G10" s="37">
        <f>IFERROR(ROUND(('DCF Model'!C45/(1+$B10)^('DCF Model'!C19+0)+'DCF Model'!D45/(1+$B10)^('DCF Model'!C19+1)+'DCF Model'!E45/(1+$B10)^('DCF Model'!C19+2)+'DCF Model'!F45/(1+$B10)^('DCF Model'!C19+3)+'DCF Model'!G45/(1+$B10)^('DCF Model'!C19+4)+'DCF Model'!G45*(1+G$6)/($B10-G$6)/(1+$B10)^('DCF Model'!C19+4)-'DCF Model'!C16)*1000000/'DCF Model'!C15,0),"")</f>
        <v>2027</v>
      </c>
      <c r="H10" s="37">
        <f>IFERROR(ROUND(('DCF Model'!C45/(1+$B10)^('DCF Model'!C19+0)+'DCF Model'!D45/(1+$B10)^('DCF Model'!C19+1)+'DCF Model'!E45/(1+$B10)^('DCF Model'!C19+2)+'DCF Model'!F45/(1+$B10)^('DCF Model'!C19+3)+'DCF Model'!G45/(1+$B10)^('DCF Model'!C19+4)+'DCF Model'!G45*(1+H$6)/($B10-H$6)/(1+$B10)^('DCF Model'!C19+4)-'DCF Model'!C16)*1000000/'DCF Model'!C15,0),"")</f>
        <v>2075</v>
      </c>
      <c r="I10" s="37">
        <f>IFERROR(ROUND(('DCF Model'!C45/(1+$B10)^('DCF Model'!C19+0)+'DCF Model'!D45/(1+$B10)^('DCF Model'!C19+1)+'DCF Model'!E45/(1+$B10)^('DCF Model'!C19+2)+'DCF Model'!F45/(1+$B10)^('DCF Model'!C19+3)+'DCF Model'!G45/(1+$B10)^('DCF Model'!C19+4)+'DCF Model'!G45*(1+I$6)/($B10-I$6)/(1+$B10)^('DCF Model'!C19+4)-'DCF Model'!C16)*1000000/'DCF Model'!C15,0),"")</f>
        <v>2126</v>
      </c>
    </row>
    <row r="11" spans="2:9" ht="13.5" customHeight="1" x14ac:dyDescent="0.25">
      <c r="B11" s="39">
        <f>$C$3+0.005</f>
        <v>9.3450000000000005E-2</v>
      </c>
      <c r="C11" s="37">
        <f>IFERROR(ROUND(('DCF Model'!C45/(1+$B11)^('DCF Model'!C19+0)+'DCF Model'!D45/(1+$B11)^('DCF Model'!C19+1)+'DCF Model'!E45/(1+$B11)^('DCF Model'!C19+2)+'DCF Model'!F45/(1+$B11)^('DCF Model'!C19+3)+'DCF Model'!G45/(1+$B11)^('DCF Model'!C19+4)+'DCF Model'!G45*(1+C$6)/($B11-C$6)/(1+$B11)^('DCF Model'!C19+4)-'DCF Model'!C16)*1000000/'DCF Model'!C15,0),"")</f>
        <v>1770</v>
      </c>
      <c r="D11" s="37">
        <f>IFERROR(ROUND(('DCF Model'!C45/(1+$B11)^('DCF Model'!C19+0)+'DCF Model'!D45/(1+$B11)^('DCF Model'!C19+1)+'DCF Model'!E45/(1+$B11)^('DCF Model'!C19+2)+'DCF Model'!F45/(1+$B11)^('DCF Model'!C19+3)+'DCF Model'!G45/(1+$B11)^('DCF Model'!C19+4)+'DCF Model'!G45*(1+D$6)/($B11-D$6)/(1+$B11)^('DCF Model'!C19+4)-'DCF Model'!C16)*1000000/'DCF Model'!C15,0),"")</f>
        <v>1802</v>
      </c>
      <c r="E11" s="37">
        <f>IFERROR(ROUND(('DCF Model'!C45/(1+$B11)^('DCF Model'!C19+0)+'DCF Model'!D45/(1+$B11)^('DCF Model'!C19+1)+'DCF Model'!E45/(1+$B11)^('DCF Model'!C19+2)+'DCF Model'!F45/(1+$B11)^('DCF Model'!C19+3)+'DCF Model'!G45/(1+$B11)^('DCF Model'!C19+4)+'DCF Model'!G45*(1+E$6)/($B11-E$6)/(1+$B11)^('DCF Model'!C19+4)-'DCF Model'!C16)*1000000/'DCF Model'!C15,0),"")</f>
        <v>1837</v>
      </c>
      <c r="F11" s="37">
        <f>IFERROR(ROUND(('DCF Model'!C45/(1+$B11)^('DCF Model'!C19+0)+'DCF Model'!D45/(1+$B11)^('DCF Model'!C19+1)+'DCF Model'!E45/(1+$B11)^('DCF Model'!C19+2)+'DCF Model'!F45/(1+$B11)^('DCF Model'!C19+3)+'DCF Model'!G45/(1+$B11)^('DCF Model'!C19+4)+'DCF Model'!G45*(1+F$6)/($B11-F$6)/(1+$B11)^('DCF Model'!C19+4)-'DCF Model'!C16)*1000000/'DCF Model'!C15,0),"")</f>
        <v>1873</v>
      </c>
      <c r="G11" s="37">
        <f>IFERROR(ROUND(('DCF Model'!C45/(1+$B11)^('DCF Model'!C19+0)+'DCF Model'!D45/(1+$B11)^('DCF Model'!C19+1)+'DCF Model'!E45/(1+$B11)^('DCF Model'!C19+2)+'DCF Model'!F45/(1+$B11)^('DCF Model'!C19+3)+'DCF Model'!G45/(1+$B11)^('DCF Model'!C19+4)+'DCF Model'!G45*(1+G$6)/($B11-G$6)/(1+$B11)^('DCF Model'!C19+4)-'DCF Model'!C16)*1000000/'DCF Model'!C15,0),"")</f>
        <v>1912</v>
      </c>
      <c r="H11" s="37">
        <f>IFERROR(ROUND(('DCF Model'!C45/(1+$B11)^('DCF Model'!C19+0)+'DCF Model'!D45/(1+$B11)^('DCF Model'!C19+1)+'DCF Model'!E45/(1+$B11)^('DCF Model'!C19+2)+'DCF Model'!F45/(1+$B11)^('DCF Model'!C19+3)+'DCF Model'!G45/(1+$B11)^('DCF Model'!C19+4)+'DCF Model'!G45*(1+H$6)/($B11-H$6)/(1+$B11)^('DCF Model'!C19+4)-'DCF Model'!C16)*1000000/'DCF Model'!C15,0),"")</f>
        <v>1953</v>
      </c>
      <c r="I11" s="37">
        <f>IFERROR(ROUND(('DCF Model'!C45/(1+$B11)^('DCF Model'!C19+0)+'DCF Model'!D45/(1+$B11)^('DCF Model'!C19+1)+'DCF Model'!E45/(1+$B11)^('DCF Model'!C19+2)+'DCF Model'!F45/(1+$B11)^('DCF Model'!C19+3)+'DCF Model'!G45/(1+$B11)^('DCF Model'!C19+4)+'DCF Model'!G45*(1+I$6)/($B11-I$6)/(1+$B11)^('DCF Model'!C19+4)-'DCF Model'!C16)*1000000/'DCF Model'!C15,0),"")</f>
        <v>1997</v>
      </c>
    </row>
    <row r="12" spans="2:9" ht="13.5" customHeight="1" x14ac:dyDescent="0.25">
      <c r="B12" s="39">
        <f>$C$3+0.01</f>
        <v>9.8449999999999996E-2</v>
      </c>
      <c r="C12" s="37">
        <f>IFERROR(ROUND(('DCF Model'!C45/(1+$B12)^('DCF Model'!C19+0)+'DCF Model'!D45/(1+$B12)^('DCF Model'!C19+1)+'DCF Model'!E45/(1+$B12)^('DCF Model'!C19+2)+'DCF Model'!F45/(1+$B12)^('DCF Model'!C19+3)+'DCF Model'!G45/(1+$B12)^('DCF Model'!C19+4)+'DCF Model'!G45*(1+C$6)/($B12-C$6)/(1+$B12)^('DCF Model'!C19+4)-'DCF Model'!C16)*1000000/'DCF Model'!C15,0),"")</f>
        <v>1686</v>
      </c>
      <c r="D12" s="37">
        <f>IFERROR(ROUND(('DCF Model'!C45/(1+$B12)^('DCF Model'!C19+0)+'DCF Model'!D45/(1+$B12)^('DCF Model'!C19+1)+'DCF Model'!E45/(1+$B12)^('DCF Model'!C19+2)+'DCF Model'!F45/(1+$B12)^('DCF Model'!C19+3)+'DCF Model'!G45/(1+$B12)^('DCF Model'!C19+4)+'DCF Model'!G45*(1+D$6)/($B12-D$6)/(1+$B12)^('DCF Model'!C19+4)-'DCF Model'!C16)*1000000/'DCF Model'!C15,0),"")</f>
        <v>1714</v>
      </c>
      <c r="E12" s="37">
        <f>IFERROR(ROUND(('DCF Model'!C45/(1+$B12)^('DCF Model'!C19+0)+'DCF Model'!D45/(1+$B12)^('DCF Model'!C19+1)+'DCF Model'!E45/(1+$B12)^('DCF Model'!C19+2)+'DCF Model'!F45/(1+$B12)^('DCF Model'!C19+3)+'DCF Model'!G45/(1+$B12)^('DCF Model'!C19+4)+'DCF Model'!G45*(1+E$6)/($B12-E$6)/(1+$B12)^('DCF Model'!C19+4)-'DCF Model'!C16)*1000000/'DCF Model'!C15,0),"")</f>
        <v>1744</v>
      </c>
      <c r="F12" s="37">
        <f>IFERROR(ROUND(('DCF Model'!C45/(1+$B12)^('DCF Model'!C19+0)+'DCF Model'!D45/(1+$B12)^('DCF Model'!C19+1)+'DCF Model'!E45/(1+$B12)^('DCF Model'!C19+2)+'DCF Model'!F45/(1+$B12)^('DCF Model'!C19+3)+'DCF Model'!G45/(1+$B12)^('DCF Model'!C19+4)+'DCF Model'!G45*(1+F$6)/($B12-F$6)/(1+$B12)^('DCF Model'!C19+4)-'DCF Model'!C16)*1000000/'DCF Model'!C15,0),"")</f>
        <v>1776</v>
      </c>
      <c r="G12" s="37">
        <f>IFERROR(ROUND(('DCF Model'!C45/(1+$B12)^('DCF Model'!C19+0)+'DCF Model'!D45/(1+$B12)^('DCF Model'!C19+1)+'DCF Model'!E45/(1+$B12)^('DCF Model'!C19+2)+'DCF Model'!F45/(1+$B12)^('DCF Model'!C19+3)+'DCF Model'!G45/(1+$B12)^('DCF Model'!C19+4)+'DCF Model'!G45*(1+G$6)/($B12-G$6)/(1+$B12)^('DCF Model'!C19+4)-'DCF Model'!C16)*1000000/'DCF Model'!C15,0),"")</f>
        <v>1810</v>
      </c>
      <c r="H12" s="37">
        <f>IFERROR(ROUND(('DCF Model'!C45/(1+$B12)^('DCF Model'!C19+0)+'DCF Model'!D45/(1+$B12)^('DCF Model'!C19+1)+'DCF Model'!E45/(1+$B12)^('DCF Model'!C19+2)+'DCF Model'!F45/(1+$B12)^('DCF Model'!C19+3)+'DCF Model'!G45/(1+$B12)^('DCF Model'!C19+4)+'DCF Model'!G45*(1+H$6)/($B12-H$6)/(1+$B12)^('DCF Model'!C19+4)-'DCF Model'!C16)*1000000/'DCF Model'!C15,0),"")</f>
        <v>1846</v>
      </c>
      <c r="I12" s="37">
        <f>IFERROR(ROUND(('DCF Model'!C45/(1+$B12)^('DCF Model'!C19+0)+'DCF Model'!D45/(1+$B12)^('DCF Model'!C19+1)+'DCF Model'!E45/(1+$B12)^('DCF Model'!C19+2)+'DCF Model'!F45/(1+$B12)^('DCF Model'!C19+3)+'DCF Model'!G45/(1+$B12)^('DCF Model'!C19+4)+'DCF Model'!G45*(1+I$6)/($B12-I$6)/(1+$B12)^('DCF Model'!C19+4)-'DCF Model'!C16)*1000000/'DCF Model'!C15,0),"")</f>
        <v>1884</v>
      </c>
    </row>
    <row r="13" spans="2:9" ht="13.5" customHeight="1" x14ac:dyDescent="0.25">
      <c r="B13" s="39">
        <f>$C$3+0.015</f>
        <v>0.10345</v>
      </c>
      <c r="C13" s="37">
        <f>IFERROR(ROUND(('DCF Model'!C45/(1+$B13)^('DCF Model'!C19+0)+'DCF Model'!D45/(1+$B13)^('DCF Model'!C19+1)+'DCF Model'!E45/(1+$B13)^('DCF Model'!C19+2)+'DCF Model'!F45/(1+$B13)^('DCF Model'!C19+3)+'DCF Model'!G45/(1+$B13)^('DCF Model'!C19+4)+'DCF Model'!G45*(1+C$6)/($B13-C$6)/(1+$B13)^('DCF Model'!C19+4)-'DCF Model'!C16)*1000000/'DCF Model'!C15,0),"")</f>
        <v>1610</v>
      </c>
      <c r="D13" s="37">
        <f>IFERROR(ROUND(('DCF Model'!C45/(1+$B13)^('DCF Model'!C19+0)+'DCF Model'!D45/(1+$B13)^('DCF Model'!C19+1)+'DCF Model'!E45/(1+$B13)^('DCF Model'!C19+2)+'DCF Model'!F45/(1+$B13)^('DCF Model'!C19+3)+'DCF Model'!G45/(1+$B13)^('DCF Model'!C19+4)+'DCF Model'!G45*(1+D$6)/($B13-D$6)/(1+$B13)^('DCF Model'!C19+4)-'DCF Model'!C16)*1000000/'DCF Model'!C15,0),"")</f>
        <v>1635</v>
      </c>
      <c r="E13" s="37">
        <f>IFERROR(ROUND(('DCF Model'!C45/(1+$B13)^('DCF Model'!C19+0)+'DCF Model'!D45/(1+$B13)^('DCF Model'!C19+1)+'DCF Model'!E45/(1+$B13)^('DCF Model'!C19+2)+'DCF Model'!F45/(1+$B13)^('DCF Model'!C19+3)+'DCF Model'!G45/(1+$B13)^('DCF Model'!C19+4)+'DCF Model'!G45*(1+E$6)/($B13-E$6)/(1+$B13)^('DCF Model'!C19+4)-'DCF Model'!C16)*1000000/'DCF Model'!C15,0),"")</f>
        <v>1662</v>
      </c>
      <c r="F13" s="37">
        <f>IFERROR(ROUND(('DCF Model'!C45/(1+$B13)^('DCF Model'!C19+0)+'DCF Model'!D45/(1+$B13)^('DCF Model'!C19+1)+'DCF Model'!E45/(1+$B13)^('DCF Model'!C19+2)+'DCF Model'!F45/(1+$B13)^('DCF Model'!C19+3)+'DCF Model'!G45/(1+$B13)^('DCF Model'!C19+4)+'DCF Model'!G45*(1+F$6)/($B13-F$6)/(1+$B13)^('DCF Model'!C19+4)-'DCF Model'!C16)*1000000/'DCF Model'!C15,0),"")</f>
        <v>1690</v>
      </c>
      <c r="G13" s="37">
        <f>IFERROR(ROUND(('DCF Model'!C45/(1+$B13)^('DCF Model'!C19+0)+'DCF Model'!D45/(1+$B13)^('DCF Model'!C19+1)+'DCF Model'!E45/(1+$B13)^('DCF Model'!C19+2)+'DCF Model'!F45/(1+$B13)^('DCF Model'!C19+3)+'DCF Model'!G45/(1+$B13)^('DCF Model'!C19+4)+'DCF Model'!G45*(1+G$6)/($B13-G$6)/(1+$B13)^('DCF Model'!C19+4)-'DCF Model'!C16)*1000000/'DCF Model'!C15,0),"")</f>
        <v>1719</v>
      </c>
      <c r="H13" s="37">
        <f>IFERROR(ROUND(('DCF Model'!C45/(1+$B13)^('DCF Model'!C19+0)+'DCF Model'!D45/(1+$B13)^('DCF Model'!C19+1)+'DCF Model'!E45/(1+$B13)^('DCF Model'!C19+2)+'DCF Model'!F45/(1+$B13)^('DCF Model'!C19+3)+'DCF Model'!G45/(1+$B13)^('DCF Model'!C19+4)+'DCF Model'!G45*(1+H$6)/($B13-H$6)/(1+$B13)^('DCF Model'!C19+4)-'DCF Model'!C16)*1000000/'DCF Model'!C15,0),"")</f>
        <v>1751</v>
      </c>
      <c r="I13" s="37">
        <f>IFERROR(ROUND(('DCF Model'!C45/(1+$B13)^('DCF Model'!C19+0)+'DCF Model'!D45/(1+$B13)^('DCF Model'!C19+1)+'DCF Model'!E45/(1+$B13)^('DCF Model'!C19+2)+'DCF Model'!F45/(1+$B13)^('DCF Model'!C19+3)+'DCF Model'!G45/(1+$B13)^('DCF Model'!C19+4)+'DCF Model'!G45*(1+I$6)/($B13-I$6)/(1+$B13)^('DCF Model'!C19+4)-'DCF Model'!C16)*1000000/'DCF Model'!C15,0),"")</f>
        <v>1784</v>
      </c>
    </row>
    <row r="16" spans="2:9" ht="14" customHeight="1" x14ac:dyDescent="0.3">
      <c r="B16" s="3" t="s">
        <v>236</v>
      </c>
    </row>
    <row r="17" spans="2:9" ht="14" customHeight="1" x14ac:dyDescent="0.3">
      <c r="B17" s="40" t="s">
        <v>237</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7.3450000000000001E-2</v>
      </c>
      <c r="C18" s="37">
        <f>IFERROR(ROUND(('DCF Model'!C45/(1+$B18)^('DCF Model'!C19+0)+'DCF Model'!D45/(1+$B18)^('DCF Model'!C19+1)+'DCF Model'!E45/(1+$B18)^('DCF Model'!C19+2)+'DCF Model'!F45/(1+$B18)^('DCF Model'!C19+3)+'DCF Model'!G45/(1+$B18)^('DCF Model'!C19+4)+('DCF Model'!G39+'DCF Model'!G42)*C$17/(1+$B18)^('DCF Model'!C19+4)-'DCF Model'!C16)*1000000/'DCF Model'!C15,0),"")</f>
        <v>3473</v>
      </c>
      <c r="D18" s="37">
        <f>IFERROR(ROUND(('DCF Model'!C45/(1+$B18)^('DCF Model'!C19+0)+'DCF Model'!D45/(1+$B18)^('DCF Model'!C19+1)+'DCF Model'!E45/(1+$B18)^('DCF Model'!C19+2)+'DCF Model'!F45/(1+$B18)^('DCF Model'!C19+3)+'DCF Model'!G45/(1+$B18)^('DCF Model'!C19+4)+('DCF Model'!G39+'DCF Model'!G42)*D$17/(1+$B18)^('DCF Model'!C19+4)-'DCF Model'!C16)*1000000/'DCF Model'!C15,0),"")</f>
        <v>3690</v>
      </c>
      <c r="E18" s="37">
        <f>IFERROR(ROUND(('DCF Model'!C45/(1+$B18)^('DCF Model'!C19+0)+'DCF Model'!D45/(1+$B18)^('DCF Model'!C19+1)+'DCF Model'!E45/(1+$B18)^('DCF Model'!C19+2)+'DCF Model'!F45/(1+$B18)^('DCF Model'!C19+3)+'DCF Model'!G45/(1+$B18)^('DCF Model'!C19+4)+('DCF Model'!G39+'DCF Model'!G42)*E$17/(1+$B18)^('DCF Model'!C19+4)-'DCF Model'!C16)*1000000/'DCF Model'!C15,0),"")</f>
        <v>3906</v>
      </c>
      <c r="F18" s="37">
        <f>IFERROR(ROUND(('DCF Model'!C45/(1+$B18)^('DCF Model'!C19+0)+'DCF Model'!D45/(1+$B18)^('DCF Model'!C19+1)+'DCF Model'!E45/(1+$B18)^('DCF Model'!C19+2)+'DCF Model'!F45/(1+$B18)^('DCF Model'!C19+3)+'DCF Model'!G45/(1+$B18)^('DCF Model'!C19+4)+('DCF Model'!G39+'DCF Model'!G42)*F$17/(1+$B18)^('DCF Model'!C19+4)-'DCF Model'!C16)*1000000/'DCF Model'!C15,0),"")</f>
        <v>4122</v>
      </c>
      <c r="G18" s="37">
        <f>IFERROR(ROUND(('DCF Model'!C45/(1+$B18)^('DCF Model'!C19+0)+'DCF Model'!D45/(1+$B18)^('DCF Model'!C19+1)+'DCF Model'!E45/(1+$B18)^('DCF Model'!C19+2)+'DCF Model'!F45/(1+$B18)^('DCF Model'!C19+3)+'DCF Model'!G45/(1+$B18)^('DCF Model'!C19+4)+('DCF Model'!G39+'DCF Model'!G42)*G$17/(1+$B18)^('DCF Model'!C19+4)-'DCF Model'!C16)*1000000/'DCF Model'!C15,0),"")</f>
        <v>4339</v>
      </c>
      <c r="H18" s="37">
        <f>IFERROR(ROUND(('DCF Model'!C45/(1+$B18)^('DCF Model'!C19+0)+'DCF Model'!D45/(1+$B18)^('DCF Model'!C19+1)+'DCF Model'!E45/(1+$B18)^('DCF Model'!C19+2)+'DCF Model'!F45/(1+$B18)^('DCF Model'!C19+3)+'DCF Model'!G45/(1+$B18)^('DCF Model'!C19+4)+('DCF Model'!G39+'DCF Model'!G42)*H$17/(1+$B18)^('DCF Model'!C19+4)-'DCF Model'!C16)*1000000/'DCF Model'!C15,0),"")</f>
        <v>4555</v>
      </c>
      <c r="I18" s="37">
        <f>IFERROR(ROUND(('DCF Model'!C45/(1+$B18)^('DCF Model'!C19+0)+'DCF Model'!D45/(1+$B18)^('DCF Model'!C19+1)+'DCF Model'!E45/(1+$B18)^('DCF Model'!C19+2)+'DCF Model'!F45/(1+$B18)^('DCF Model'!C19+3)+'DCF Model'!G45/(1+$B18)^('DCF Model'!C19+4)+('DCF Model'!G39+'DCF Model'!G42)*I$17/(1+$B18)^('DCF Model'!C19+4)-'DCF Model'!C16)*1000000/'DCF Model'!C15,0),"")</f>
        <v>4771</v>
      </c>
    </row>
    <row r="19" spans="2:9" ht="13.5" customHeight="1" x14ac:dyDescent="0.25">
      <c r="B19" s="39">
        <f>$C$3-0.01</f>
        <v>7.8450000000000006E-2</v>
      </c>
      <c r="C19" s="37">
        <f>IFERROR(ROUND(('DCF Model'!C45/(1+$B19)^('DCF Model'!C19+0)+'DCF Model'!D45/(1+$B19)^('DCF Model'!C19+1)+'DCF Model'!E45/(1+$B19)^('DCF Model'!C19+2)+'DCF Model'!F45/(1+$B19)^('DCF Model'!C19+3)+'DCF Model'!G45/(1+$B19)^('DCF Model'!C19+4)+('DCF Model'!G39+'DCF Model'!G42)*C$17/(1+$B19)^('DCF Model'!C19+4)-'DCF Model'!C16)*1000000/'DCF Model'!C15,0),"")</f>
        <v>3403</v>
      </c>
      <c r="D19" s="37">
        <f>IFERROR(ROUND(('DCF Model'!C45/(1+$B19)^('DCF Model'!C19+0)+'DCF Model'!D45/(1+$B19)^('DCF Model'!C19+1)+'DCF Model'!E45/(1+$B19)^('DCF Model'!C19+2)+'DCF Model'!F45/(1+$B19)^('DCF Model'!C19+3)+'DCF Model'!G45/(1+$B19)^('DCF Model'!C19+4)+('DCF Model'!G39+'DCF Model'!G42)*D$17/(1+$B19)^('DCF Model'!C19+4)-'DCF Model'!C16)*1000000/'DCF Model'!C15,0),"")</f>
        <v>3614</v>
      </c>
      <c r="E19" s="37">
        <f>IFERROR(ROUND(('DCF Model'!C45/(1+$B19)^('DCF Model'!C19+0)+'DCF Model'!D45/(1+$B19)^('DCF Model'!C19+1)+'DCF Model'!E45/(1+$B19)^('DCF Model'!C19+2)+'DCF Model'!F45/(1+$B19)^('DCF Model'!C19+3)+'DCF Model'!G45/(1+$B19)^('DCF Model'!C19+4)+('DCF Model'!G39+'DCF Model'!G42)*E$17/(1+$B19)^('DCF Model'!C19+4)-'DCF Model'!C16)*1000000/'DCF Model'!C15,0),"")</f>
        <v>3826</v>
      </c>
      <c r="F19" s="37">
        <f>IFERROR(ROUND(('DCF Model'!C45/(1+$B19)^('DCF Model'!C19+0)+'DCF Model'!D45/(1+$B19)^('DCF Model'!C19+1)+'DCF Model'!E45/(1+$B19)^('DCF Model'!C19+2)+'DCF Model'!F45/(1+$B19)^('DCF Model'!C19+3)+'DCF Model'!G45/(1+$B19)^('DCF Model'!C19+4)+('DCF Model'!G39+'DCF Model'!G42)*F$17/(1+$B19)^('DCF Model'!C19+4)-'DCF Model'!C16)*1000000/'DCF Model'!C15,0),"")</f>
        <v>4037</v>
      </c>
      <c r="G19" s="37">
        <f>IFERROR(ROUND(('DCF Model'!C45/(1+$B19)^('DCF Model'!C19+0)+'DCF Model'!D45/(1+$B19)^('DCF Model'!C19+1)+'DCF Model'!E45/(1+$B19)^('DCF Model'!C19+2)+'DCF Model'!F45/(1+$B19)^('DCF Model'!C19+3)+'DCF Model'!G45/(1+$B19)^('DCF Model'!C19+4)+('DCF Model'!G39+'DCF Model'!G42)*G$17/(1+$B19)^('DCF Model'!C19+4)-'DCF Model'!C16)*1000000/'DCF Model'!C15,0),"")</f>
        <v>4249</v>
      </c>
      <c r="H19" s="37">
        <f>IFERROR(ROUND(('DCF Model'!C45/(1+$B19)^('DCF Model'!C19+0)+'DCF Model'!D45/(1+$B19)^('DCF Model'!C19+1)+'DCF Model'!E45/(1+$B19)^('DCF Model'!C19+2)+'DCF Model'!F45/(1+$B19)^('DCF Model'!C19+3)+'DCF Model'!G45/(1+$B19)^('DCF Model'!C19+4)+('DCF Model'!G39+'DCF Model'!G42)*H$17/(1+$B19)^('DCF Model'!C19+4)-'DCF Model'!C16)*1000000/'DCF Model'!C15,0),"")</f>
        <v>4460</v>
      </c>
      <c r="I19" s="37">
        <f>IFERROR(ROUND(('DCF Model'!C45/(1+$B19)^('DCF Model'!C19+0)+'DCF Model'!D45/(1+$B19)^('DCF Model'!C19+1)+'DCF Model'!E45/(1+$B19)^('DCF Model'!C19+2)+'DCF Model'!F45/(1+$B19)^('DCF Model'!C19+3)+'DCF Model'!G45/(1+$B19)^('DCF Model'!C19+4)+('DCF Model'!G39+'DCF Model'!G42)*I$17/(1+$B19)^('DCF Model'!C19+4)-'DCF Model'!C16)*1000000/'DCF Model'!C15,0),"")</f>
        <v>4671</v>
      </c>
    </row>
    <row r="20" spans="2:9" ht="13.5" customHeight="1" x14ac:dyDescent="0.25">
      <c r="B20" s="39">
        <f>$C$3-0.005</f>
        <v>8.3449999999999996E-2</v>
      </c>
      <c r="C20" s="37">
        <f>IFERROR(ROUND(('DCF Model'!C45/(1+$B20)^('DCF Model'!C19+0)+'DCF Model'!D45/(1+$B20)^('DCF Model'!C19+1)+'DCF Model'!E45/(1+$B20)^('DCF Model'!C19+2)+'DCF Model'!F45/(1+$B20)^('DCF Model'!C19+3)+'DCF Model'!G45/(1+$B20)^('DCF Model'!C19+4)+('DCF Model'!G39+'DCF Model'!G42)*C$17/(1+$B20)^('DCF Model'!C19+4)-'DCF Model'!C16)*1000000/'DCF Model'!C15,0),"")</f>
        <v>3335</v>
      </c>
      <c r="D20" s="37">
        <f>IFERROR(ROUND(('DCF Model'!C45/(1+$B20)^('DCF Model'!C19+0)+'DCF Model'!D45/(1+$B20)^('DCF Model'!C19+1)+'DCF Model'!E45/(1+$B20)^('DCF Model'!C19+2)+'DCF Model'!F45/(1+$B20)^('DCF Model'!C19+3)+'DCF Model'!G45/(1+$B20)^('DCF Model'!C19+4)+('DCF Model'!G39+'DCF Model'!G42)*D$17/(1+$B20)^('DCF Model'!C19+4)-'DCF Model'!C16)*1000000/'DCF Model'!C15,0),"")</f>
        <v>3541</v>
      </c>
      <c r="E20" s="37">
        <f>IFERROR(ROUND(('DCF Model'!C45/(1+$B20)^('DCF Model'!C19+0)+'DCF Model'!D45/(1+$B20)^('DCF Model'!C19+1)+'DCF Model'!E45/(1+$B20)^('DCF Model'!C19+2)+'DCF Model'!F45/(1+$B20)^('DCF Model'!C19+3)+'DCF Model'!G45/(1+$B20)^('DCF Model'!C19+4)+('DCF Model'!G39+'DCF Model'!G42)*E$17/(1+$B20)^('DCF Model'!C19+4)-'DCF Model'!C16)*1000000/'DCF Model'!C15,0),"")</f>
        <v>3748</v>
      </c>
      <c r="F20" s="37">
        <f>IFERROR(ROUND(('DCF Model'!C45/(1+$B20)^('DCF Model'!C19+0)+'DCF Model'!D45/(1+$B20)^('DCF Model'!C19+1)+'DCF Model'!E45/(1+$B20)^('DCF Model'!C19+2)+'DCF Model'!F45/(1+$B20)^('DCF Model'!C19+3)+'DCF Model'!G45/(1+$B20)^('DCF Model'!C19+4)+('DCF Model'!G39+'DCF Model'!G42)*F$17/(1+$B20)^('DCF Model'!C19+4)-'DCF Model'!C16)*1000000/'DCF Model'!C15,0),"")</f>
        <v>3954</v>
      </c>
      <c r="G20" s="37">
        <f>IFERROR(ROUND(('DCF Model'!C45/(1+$B20)^('DCF Model'!C19+0)+'DCF Model'!D45/(1+$B20)^('DCF Model'!C19+1)+'DCF Model'!E45/(1+$B20)^('DCF Model'!C19+2)+'DCF Model'!F45/(1+$B20)^('DCF Model'!C19+3)+'DCF Model'!G45/(1+$B20)^('DCF Model'!C19+4)+('DCF Model'!G39+'DCF Model'!G42)*G$17/(1+$B20)^('DCF Model'!C19+4)-'DCF Model'!C16)*1000000/'DCF Model'!C15,0),"")</f>
        <v>4161</v>
      </c>
      <c r="H20" s="37">
        <f>IFERROR(ROUND(('DCF Model'!C45/(1+$B20)^('DCF Model'!C19+0)+'DCF Model'!D45/(1+$B20)^('DCF Model'!C19+1)+'DCF Model'!E45/(1+$B20)^('DCF Model'!C19+2)+'DCF Model'!F45/(1+$B20)^('DCF Model'!C19+3)+'DCF Model'!G45/(1+$B20)^('DCF Model'!C19+4)+('DCF Model'!G39+'DCF Model'!G42)*H$17/(1+$B20)^('DCF Model'!C19+4)-'DCF Model'!C16)*1000000/'DCF Model'!C15,0),"")</f>
        <v>4367</v>
      </c>
      <c r="I20" s="37">
        <f>IFERROR(ROUND(('DCF Model'!C45/(1+$B20)^('DCF Model'!C19+0)+'DCF Model'!D45/(1+$B20)^('DCF Model'!C19+1)+'DCF Model'!E45/(1+$B20)^('DCF Model'!C19+2)+'DCF Model'!F45/(1+$B20)^('DCF Model'!C19+3)+'DCF Model'!G45/(1+$B20)^('DCF Model'!C19+4)+('DCF Model'!G39+'DCF Model'!G42)*I$17/(1+$B20)^('DCF Model'!C19+4)-'DCF Model'!C16)*1000000/'DCF Model'!C15,0),"")</f>
        <v>4574</v>
      </c>
    </row>
    <row r="21" spans="2:9" ht="13.5" customHeight="1" x14ac:dyDescent="0.25">
      <c r="B21" s="39">
        <f>$C$3</f>
        <v>8.8450000000000001E-2</v>
      </c>
      <c r="C21" s="37">
        <f>IFERROR(ROUND(('DCF Model'!C45/(1+$B21)^('DCF Model'!C19+0)+'DCF Model'!D45/(1+$B21)^('DCF Model'!C19+1)+'DCF Model'!E45/(1+$B21)^('DCF Model'!C19+2)+'DCF Model'!F45/(1+$B21)^('DCF Model'!C19+3)+'DCF Model'!G45/(1+$B21)^('DCF Model'!C19+4)+('DCF Model'!G39+'DCF Model'!G42)*C$17/(1+$B21)^('DCF Model'!C19+4)-'DCF Model'!C16)*1000000/'DCF Model'!C15,0),"")</f>
        <v>3268</v>
      </c>
      <c r="D21" s="37">
        <f>IFERROR(ROUND(('DCF Model'!C45/(1+$B21)^('DCF Model'!C19+0)+'DCF Model'!D45/(1+$B21)^('DCF Model'!C19+1)+'DCF Model'!E45/(1+$B21)^('DCF Model'!C19+2)+'DCF Model'!F45/(1+$B21)^('DCF Model'!C19+3)+'DCF Model'!G45/(1+$B21)^('DCF Model'!C19+4)+('DCF Model'!G39+'DCF Model'!G42)*D$17/(1+$B21)^('DCF Model'!C19+4)-'DCF Model'!C16)*1000000/'DCF Model'!C15,0),"")</f>
        <v>3470</v>
      </c>
      <c r="E21" s="37">
        <f>IFERROR(ROUND(('DCF Model'!C45/(1+$B21)^('DCF Model'!C19+0)+'DCF Model'!D45/(1+$B21)^('DCF Model'!C19+1)+'DCF Model'!E45/(1+$B21)^('DCF Model'!C19+2)+'DCF Model'!F45/(1+$B21)^('DCF Model'!C19+3)+'DCF Model'!G45/(1+$B21)^('DCF Model'!C19+4)+('DCF Model'!G39+'DCF Model'!G42)*E$17/(1+$B21)^('DCF Model'!C19+4)-'DCF Model'!C16)*1000000/'DCF Model'!C15,0),"")</f>
        <v>3672</v>
      </c>
      <c r="F21" s="37">
        <f>IFERROR(ROUND(('DCF Model'!C45/(1+$B21)^('DCF Model'!C19+0)+'DCF Model'!D45/(1+$B21)^('DCF Model'!C19+1)+'DCF Model'!E45/(1+$B21)^('DCF Model'!C19+2)+'DCF Model'!F45/(1+$B21)^('DCF Model'!C19+3)+'DCF Model'!G45/(1+$B21)^('DCF Model'!C19+4)+('DCF Model'!G39+'DCF Model'!G42)*F$17/(1+$B21)^('DCF Model'!C19+4)-'DCF Model'!C16)*1000000/'DCF Model'!C15,0),"")</f>
        <v>3874</v>
      </c>
      <c r="G21" s="37">
        <f>IFERROR(ROUND(('DCF Model'!C45/(1+$B21)^('DCF Model'!C19+0)+'DCF Model'!D45/(1+$B21)^('DCF Model'!C19+1)+'DCF Model'!E45/(1+$B21)^('DCF Model'!C19+2)+'DCF Model'!F45/(1+$B21)^('DCF Model'!C19+3)+'DCF Model'!G45/(1+$B21)^('DCF Model'!C19+4)+('DCF Model'!G39+'DCF Model'!G42)*G$17/(1+$B21)^('DCF Model'!C19+4)-'DCF Model'!C16)*1000000/'DCF Model'!C15,0),"")</f>
        <v>4075</v>
      </c>
      <c r="H21" s="37">
        <f>IFERROR(ROUND(('DCF Model'!C45/(1+$B21)^('DCF Model'!C19+0)+'DCF Model'!D45/(1+$B21)^('DCF Model'!C19+1)+'DCF Model'!E45/(1+$B21)^('DCF Model'!C19+2)+'DCF Model'!F45/(1+$B21)^('DCF Model'!C19+3)+'DCF Model'!G45/(1+$B21)^('DCF Model'!C19+4)+('DCF Model'!G39+'DCF Model'!G42)*H$17/(1+$B21)^('DCF Model'!C19+4)-'DCF Model'!C16)*1000000/'DCF Model'!C15,0),"")</f>
        <v>4277</v>
      </c>
      <c r="I21" s="37">
        <f>IFERROR(ROUND(('DCF Model'!C45/(1+$B21)^('DCF Model'!C19+0)+'DCF Model'!D45/(1+$B21)^('DCF Model'!C19+1)+'DCF Model'!E45/(1+$B21)^('DCF Model'!C19+2)+'DCF Model'!F45/(1+$B21)^('DCF Model'!C19+3)+'DCF Model'!G45/(1+$B21)^('DCF Model'!C19+4)+('DCF Model'!G39+'DCF Model'!G42)*I$17/(1+$B21)^('DCF Model'!C19+4)-'DCF Model'!C16)*1000000/'DCF Model'!C15,0),"")</f>
        <v>4479</v>
      </c>
    </row>
    <row r="22" spans="2:9" ht="13.5" customHeight="1" x14ac:dyDescent="0.25">
      <c r="B22" s="39">
        <f>$C$3+0.005</f>
        <v>9.3450000000000005E-2</v>
      </c>
      <c r="C22" s="37">
        <f>IFERROR(ROUND(('DCF Model'!C45/(1+$B22)^('DCF Model'!C19+0)+'DCF Model'!D45/(1+$B22)^('DCF Model'!C19+1)+'DCF Model'!E45/(1+$B22)^('DCF Model'!C19+2)+'DCF Model'!F45/(1+$B22)^('DCF Model'!C19+3)+'DCF Model'!G45/(1+$B22)^('DCF Model'!C19+4)+('DCF Model'!G39+'DCF Model'!G42)*C$17/(1+$B22)^('DCF Model'!C19+4)-'DCF Model'!C16)*1000000/'DCF Model'!C15,0),"")</f>
        <v>3203</v>
      </c>
      <c r="D22" s="37">
        <f>IFERROR(ROUND(('DCF Model'!C45/(1+$B22)^('DCF Model'!C19+0)+'DCF Model'!D45/(1+$B22)^('DCF Model'!C19+1)+'DCF Model'!E45/(1+$B22)^('DCF Model'!C19+2)+'DCF Model'!F45/(1+$B22)^('DCF Model'!C19+3)+'DCF Model'!G45/(1+$B22)^('DCF Model'!C19+4)+('DCF Model'!G39+'DCF Model'!G42)*D$17/(1+$B22)^('DCF Model'!C19+4)-'DCF Model'!C16)*1000000/'DCF Model'!C15,0),"")</f>
        <v>3401</v>
      </c>
      <c r="E22" s="37">
        <f>IFERROR(ROUND(('DCF Model'!C45/(1+$B22)^('DCF Model'!C19+0)+'DCF Model'!D45/(1+$B22)^('DCF Model'!C19+1)+'DCF Model'!E45/(1+$B22)^('DCF Model'!C19+2)+'DCF Model'!F45/(1+$B22)^('DCF Model'!C19+3)+'DCF Model'!G45/(1+$B22)^('DCF Model'!C19+4)+('DCF Model'!G39+'DCF Model'!G42)*E$17/(1+$B22)^('DCF Model'!C19+4)-'DCF Model'!C16)*1000000/'DCF Model'!C15,0),"")</f>
        <v>3598</v>
      </c>
      <c r="F22" s="37">
        <f>IFERROR(ROUND(('DCF Model'!C45/(1+$B22)^('DCF Model'!C19+0)+'DCF Model'!D45/(1+$B22)^('DCF Model'!C19+1)+'DCF Model'!E45/(1+$B22)^('DCF Model'!C19+2)+'DCF Model'!F45/(1+$B22)^('DCF Model'!C19+3)+'DCF Model'!G45/(1+$B22)^('DCF Model'!C19+4)+('DCF Model'!G39+'DCF Model'!G42)*F$17/(1+$B22)^('DCF Model'!C19+4)-'DCF Model'!C16)*1000000/'DCF Model'!C15,0),"")</f>
        <v>3795</v>
      </c>
      <c r="G22" s="37">
        <f>IFERROR(ROUND(('DCF Model'!C45/(1+$B22)^('DCF Model'!C19+0)+'DCF Model'!D45/(1+$B22)^('DCF Model'!C19+1)+'DCF Model'!E45/(1+$B22)^('DCF Model'!C19+2)+'DCF Model'!F45/(1+$B22)^('DCF Model'!C19+3)+'DCF Model'!G45/(1+$B22)^('DCF Model'!C19+4)+('DCF Model'!G39+'DCF Model'!G42)*G$17/(1+$B22)^('DCF Model'!C19+4)-'DCF Model'!C16)*1000000/'DCF Model'!C15,0),"")</f>
        <v>3992</v>
      </c>
      <c r="H22" s="37">
        <f>IFERROR(ROUND(('DCF Model'!C45/(1+$B22)^('DCF Model'!C19+0)+'DCF Model'!D45/(1+$B22)^('DCF Model'!C19+1)+'DCF Model'!E45/(1+$B22)^('DCF Model'!C19+2)+'DCF Model'!F45/(1+$B22)^('DCF Model'!C19+3)+'DCF Model'!G45/(1+$B22)^('DCF Model'!C19+4)+('DCF Model'!G39+'DCF Model'!G42)*H$17/(1+$B22)^('DCF Model'!C19+4)-'DCF Model'!C16)*1000000/'DCF Model'!C15,0),"")</f>
        <v>4190</v>
      </c>
      <c r="I22" s="37">
        <f>IFERROR(ROUND(('DCF Model'!C45/(1+$B22)^('DCF Model'!C19+0)+'DCF Model'!D45/(1+$B22)^('DCF Model'!C19+1)+'DCF Model'!E45/(1+$B22)^('DCF Model'!C19+2)+'DCF Model'!F45/(1+$B22)^('DCF Model'!C19+3)+'DCF Model'!G45/(1+$B22)^('DCF Model'!C19+4)+('DCF Model'!G39+'DCF Model'!G42)*I$17/(1+$B22)^('DCF Model'!C19+4)-'DCF Model'!C16)*1000000/'DCF Model'!C15,0),"")</f>
        <v>4387</v>
      </c>
    </row>
    <row r="23" spans="2:9" ht="13.5" customHeight="1" x14ac:dyDescent="0.25">
      <c r="B23" s="39">
        <f>$C$3+0.01</f>
        <v>9.8449999999999996E-2</v>
      </c>
      <c r="C23" s="37">
        <f>IFERROR(ROUND(('DCF Model'!C45/(1+$B23)^('DCF Model'!C19+0)+'DCF Model'!D45/(1+$B23)^('DCF Model'!C19+1)+'DCF Model'!E45/(1+$B23)^('DCF Model'!C19+2)+'DCF Model'!F45/(1+$B23)^('DCF Model'!C19+3)+'DCF Model'!G45/(1+$B23)^('DCF Model'!C19+4)+('DCF Model'!G39+'DCF Model'!G42)*C$17/(1+$B23)^('DCF Model'!C19+4)-'DCF Model'!C16)*1000000/'DCF Model'!C15,0),"")</f>
        <v>3140</v>
      </c>
      <c r="D23" s="37">
        <f>IFERROR(ROUND(('DCF Model'!C45/(1+$B23)^('DCF Model'!C19+0)+'DCF Model'!D45/(1+$B23)^('DCF Model'!C19+1)+'DCF Model'!E45/(1+$B23)^('DCF Model'!C19+2)+'DCF Model'!F45/(1+$B23)^('DCF Model'!C19+3)+'DCF Model'!G45/(1+$B23)^('DCF Model'!C19+4)+('DCF Model'!G39+'DCF Model'!G42)*D$17/(1+$B23)^('DCF Model'!C19+4)-'DCF Model'!C16)*1000000/'DCF Model'!C15,0),"")</f>
        <v>3333</v>
      </c>
      <c r="E23" s="37">
        <f>IFERROR(ROUND(('DCF Model'!C45/(1+$B23)^('DCF Model'!C19+0)+'DCF Model'!D45/(1+$B23)^('DCF Model'!C19+1)+'DCF Model'!E45/(1+$B23)^('DCF Model'!C19+2)+'DCF Model'!F45/(1+$B23)^('DCF Model'!C19+3)+'DCF Model'!G45/(1+$B23)^('DCF Model'!C19+4)+('DCF Model'!G39+'DCF Model'!G42)*E$17/(1+$B23)^('DCF Model'!C19+4)-'DCF Model'!C16)*1000000/'DCF Model'!C15,0),"")</f>
        <v>3526</v>
      </c>
      <c r="F23" s="37">
        <f>IFERROR(ROUND(('DCF Model'!C45/(1+$B23)^('DCF Model'!C19+0)+'DCF Model'!D45/(1+$B23)^('DCF Model'!C19+1)+'DCF Model'!E45/(1+$B23)^('DCF Model'!C19+2)+'DCF Model'!F45/(1+$B23)^('DCF Model'!C19+3)+'DCF Model'!G45/(1+$B23)^('DCF Model'!C19+4)+('DCF Model'!G39+'DCF Model'!G42)*F$17/(1+$B23)^('DCF Model'!C19+4)-'DCF Model'!C16)*1000000/'DCF Model'!C15,0),"")</f>
        <v>3719</v>
      </c>
      <c r="G23" s="37">
        <f>IFERROR(ROUND(('DCF Model'!C45/(1+$B23)^('DCF Model'!C19+0)+'DCF Model'!D45/(1+$B23)^('DCF Model'!C19+1)+'DCF Model'!E45/(1+$B23)^('DCF Model'!C19+2)+'DCF Model'!F45/(1+$B23)^('DCF Model'!C19+3)+'DCF Model'!G45/(1+$B23)^('DCF Model'!C19+4)+('DCF Model'!G39+'DCF Model'!G42)*G$17/(1+$B23)^('DCF Model'!C19+4)-'DCF Model'!C16)*1000000/'DCF Model'!C15,0),"")</f>
        <v>3911</v>
      </c>
      <c r="H23" s="37">
        <f>IFERROR(ROUND(('DCF Model'!C45/(1+$B23)^('DCF Model'!C19+0)+'DCF Model'!D45/(1+$B23)^('DCF Model'!C19+1)+'DCF Model'!E45/(1+$B23)^('DCF Model'!C19+2)+'DCF Model'!F45/(1+$B23)^('DCF Model'!C19+3)+'DCF Model'!G45/(1+$B23)^('DCF Model'!C19+4)+('DCF Model'!G39+'DCF Model'!G42)*H$17/(1+$B23)^('DCF Model'!C19+4)-'DCF Model'!C16)*1000000/'DCF Model'!C15,0),"")</f>
        <v>4104</v>
      </c>
      <c r="I23" s="37">
        <f>IFERROR(ROUND(('DCF Model'!C45/(1+$B23)^('DCF Model'!C19+0)+'DCF Model'!D45/(1+$B23)^('DCF Model'!C19+1)+'DCF Model'!E45/(1+$B23)^('DCF Model'!C19+2)+'DCF Model'!F45/(1+$B23)^('DCF Model'!C19+3)+'DCF Model'!G45/(1+$B23)^('DCF Model'!C19+4)+('DCF Model'!G39+'DCF Model'!G42)*I$17/(1+$B23)^('DCF Model'!C19+4)-'DCF Model'!C16)*1000000/'DCF Model'!C15,0),"")</f>
        <v>4297</v>
      </c>
    </row>
    <row r="24" spans="2:9" ht="13.5" customHeight="1" x14ac:dyDescent="0.25">
      <c r="B24" s="39">
        <f>$C$3+0.015</f>
        <v>0.10345</v>
      </c>
      <c r="C24" s="37">
        <f>IFERROR(ROUND(('DCF Model'!C45/(1+$B24)^('DCF Model'!C19+0)+'DCF Model'!D45/(1+$B24)^('DCF Model'!C19+1)+'DCF Model'!E45/(1+$B24)^('DCF Model'!C19+2)+'DCF Model'!F45/(1+$B24)^('DCF Model'!C19+3)+'DCF Model'!G45/(1+$B24)^('DCF Model'!C19+4)+('DCF Model'!G39+'DCF Model'!G42)*C$17/(1+$B24)^('DCF Model'!C19+4)-'DCF Model'!C16)*1000000/'DCF Model'!C15,0),"")</f>
        <v>3079</v>
      </c>
      <c r="D24" s="37">
        <f>IFERROR(ROUND(('DCF Model'!C45/(1+$B24)^('DCF Model'!C19+0)+'DCF Model'!D45/(1+$B24)^('DCF Model'!C19+1)+'DCF Model'!E45/(1+$B24)^('DCF Model'!C19+2)+'DCF Model'!F45/(1+$B24)^('DCF Model'!C19+3)+'DCF Model'!G45/(1+$B24)^('DCF Model'!C19+4)+('DCF Model'!G39+'DCF Model'!G42)*D$17/(1+$B24)^('DCF Model'!C19+4)-'DCF Model'!C16)*1000000/'DCF Model'!C15,0),"")</f>
        <v>3267</v>
      </c>
      <c r="E24" s="37">
        <f>IFERROR(ROUND(('DCF Model'!C45/(1+$B24)^('DCF Model'!C19+0)+'DCF Model'!D45/(1+$B24)^('DCF Model'!C19+1)+'DCF Model'!E45/(1+$B24)^('DCF Model'!C19+2)+'DCF Model'!F45/(1+$B24)^('DCF Model'!C19+3)+'DCF Model'!G45/(1+$B24)^('DCF Model'!C19+4)+('DCF Model'!G39+'DCF Model'!G42)*E$17/(1+$B24)^('DCF Model'!C19+4)-'DCF Model'!C16)*1000000/'DCF Model'!C15,0),"")</f>
        <v>3456</v>
      </c>
      <c r="F24" s="37">
        <f>IFERROR(ROUND(('DCF Model'!C45/(1+$B24)^('DCF Model'!C19+0)+'DCF Model'!D45/(1+$B24)^('DCF Model'!C19+1)+'DCF Model'!E45/(1+$B24)^('DCF Model'!C19+2)+'DCF Model'!F45/(1+$B24)^('DCF Model'!C19+3)+'DCF Model'!G45/(1+$B24)^('DCF Model'!C19+4)+('DCF Model'!G39+'DCF Model'!G42)*F$17/(1+$B24)^('DCF Model'!C19+4)-'DCF Model'!C16)*1000000/'DCF Model'!C15,0),"")</f>
        <v>3644</v>
      </c>
      <c r="G24" s="37">
        <f>IFERROR(ROUND(('DCF Model'!C45/(1+$B24)^('DCF Model'!C19+0)+'DCF Model'!D45/(1+$B24)^('DCF Model'!C19+1)+'DCF Model'!E45/(1+$B24)^('DCF Model'!C19+2)+'DCF Model'!F45/(1+$B24)^('DCF Model'!C19+3)+'DCF Model'!G45/(1+$B24)^('DCF Model'!C19+4)+('DCF Model'!G39+'DCF Model'!G42)*G$17/(1+$B24)^('DCF Model'!C19+4)-'DCF Model'!C16)*1000000/'DCF Model'!C15,0),"")</f>
        <v>3833</v>
      </c>
      <c r="H24" s="37">
        <f>IFERROR(ROUND(('DCF Model'!C45/(1+$B24)^('DCF Model'!C19+0)+'DCF Model'!D45/(1+$B24)^('DCF Model'!C19+1)+'DCF Model'!E45/(1+$B24)^('DCF Model'!C19+2)+'DCF Model'!F45/(1+$B24)^('DCF Model'!C19+3)+'DCF Model'!G45/(1+$B24)^('DCF Model'!C19+4)+('DCF Model'!G39+'DCF Model'!G42)*H$17/(1+$B24)^('DCF Model'!C19+4)-'DCF Model'!C16)*1000000/'DCF Model'!C15,0),"")</f>
        <v>4021</v>
      </c>
      <c r="I24" s="37">
        <f>IFERROR(ROUND(('DCF Model'!C45/(1+$B24)^('DCF Model'!C19+0)+'DCF Model'!D45/(1+$B24)^('DCF Model'!C19+1)+'DCF Model'!E45/(1+$B24)^('DCF Model'!C19+2)+'DCF Model'!F45/(1+$B24)^('DCF Model'!C19+3)+'DCF Model'!G45/(1+$B24)^('DCF Model'!C19+4)+('DCF Model'!G39+'DCF Model'!G42)*I$17/(1+$B24)^('DCF Model'!C19+4)-'DCF Model'!C16)*1000000/'DCF Model'!C15,0),"")</f>
        <v>4210</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255</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260</v>
      </c>
    </row>
    <row r="12" spans="2:7" ht="30" customHeight="1" x14ac:dyDescent="0.3">
      <c r="B12" s="43" t="s">
        <v>246</v>
      </c>
      <c r="C12" s="4" t="s">
        <v>278</v>
      </c>
      <c r="D12" s="43" t="s">
        <v>279</v>
      </c>
      <c r="E12" s="43" t="s">
        <v>280</v>
      </c>
      <c r="F12" s="43" t="s">
        <v>281</v>
      </c>
      <c r="G12" s="43" t="s">
        <v>260</v>
      </c>
    </row>
    <row r="13" spans="2:7" ht="30" customHeight="1" x14ac:dyDescent="0.3">
      <c r="B13" s="43" t="s">
        <v>246</v>
      </c>
      <c r="C13" s="4" t="s">
        <v>282</v>
      </c>
      <c r="D13" s="43" t="s">
        <v>283</v>
      </c>
      <c r="E13" s="43" t="s">
        <v>284</v>
      </c>
      <c r="F13" s="43" t="s">
        <v>285</v>
      </c>
      <c r="G13" s="43" t="s">
        <v>260</v>
      </c>
    </row>
    <row r="14" spans="2:7" ht="30" customHeight="1" x14ac:dyDescent="0.3">
      <c r="B14" s="43" t="s">
        <v>246</v>
      </c>
      <c r="C14" s="4" t="s">
        <v>286</v>
      </c>
      <c r="D14" s="43" t="s">
        <v>287</v>
      </c>
      <c r="E14" s="43" t="s">
        <v>288</v>
      </c>
      <c r="F14" s="43" t="s">
        <v>247</v>
      </c>
      <c r="G14" s="43" t="s">
        <v>260</v>
      </c>
    </row>
    <row r="15" spans="2:7" ht="30" customHeight="1" x14ac:dyDescent="0.3">
      <c r="B15" s="43" t="s">
        <v>246</v>
      </c>
      <c r="C15" s="4" t="s">
        <v>289</v>
      </c>
      <c r="D15" s="43" t="s">
        <v>290</v>
      </c>
      <c r="E15" s="43" t="s">
        <v>291</v>
      </c>
      <c r="F15" s="43" t="s">
        <v>292</v>
      </c>
      <c r="G15" s="43" t="s">
        <v>260</v>
      </c>
    </row>
    <row r="16" spans="2:7" ht="30" customHeight="1" x14ac:dyDescent="0.3">
      <c r="B16" s="43" t="s">
        <v>246</v>
      </c>
      <c r="C16" s="4" t="s">
        <v>293</v>
      </c>
      <c r="D16" s="43" t="s">
        <v>294</v>
      </c>
      <c r="E16" s="43" t="s">
        <v>295</v>
      </c>
      <c r="F16" s="43" t="s">
        <v>264</v>
      </c>
      <c r="G16" s="43" t="s">
        <v>260</v>
      </c>
    </row>
    <row r="17" spans="2:7" ht="30" customHeight="1" x14ac:dyDescent="0.3">
      <c r="B17" s="43" t="s">
        <v>246</v>
      </c>
      <c r="C17" s="4" t="s">
        <v>296</v>
      </c>
      <c r="D17" s="43" t="s">
        <v>297</v>
      </c>
      <c r="E17" s="43" t="s">
        <v>298</v>
      </c>
      <c r="F17" s="43" t="s">
        <v>247</v>
      </c>
      <c r="G17" s="43" t="s">
        <v>255</v>
      </c>
    </row>
    <row r="18" spans="2:7" ht="30" customHeight="1" x14ac:dyDescent="0.3">
      <c r="B18" s="43" t="s">
        <v>246</v>
      </c>
      <c r="C18" s="4" t="s">
        <v>299</v>
      </c>
      <c r="D18" s="43" t="s">
        <v>300</v>
      </c>
      <c r="E18" s="43" t="s">
        <v>301</v>
      </c>
      <c r="F18" s="43" t="s">
        <v>302</v>
      </c>
      <c r="G18" s="43" t="s">
        <v>260</v>
      </c>
    </row>
    <row r="19" spans="2:7" ht="30" customHeight="1" x14ac:dyDescent="0.3">
      <c r="B19" s="43" t="s">
        <v>246</v>
      </c>
      <c r="C19" s="4" t="s">
        <v>303</v>
      </c>
      <c r="D19" s="43" t="s">
        <v>304</v>
      </c>
      <c r="E19" s="43" t="s">
        <v>305</v>
      </c>
      <c r="F19" s="43" t="s">
        <v>247</v>
      </c>
      <c r="G19" s="43" t="s">
        <v>306</v>
      </c>
    </row>
    <row r="20" spans="2:7" ht="30" customHeight="1" x14ac:dyDescent="0.3">
      <c r="B20" s="43" t="s">
        <v>246</v>
      </c>
      <c r="C20" s="4" t="s">
        <v>307</v>
      </c>
      <c r="D20" s="43" t="s">
        <v>308</v>
      </c>
      <c r="E20" s="43" t="s">
        <v>309</v>
      </c>
      <c r="F20" s="43" t="s">
        <v>264</v>
      </c>
      <c r="G20" s="43" t="s">
        <v>260</v>
      </c>
    </row>
    <row r="21" spans="2:7" ht="30" customHeight="1" x14ac:dyDescent="0.3">
      <c r="B21" s="43" t="s">
        <v>246</v>
      </c>
      <c r="C21" s="4" t="s">
        <v>310</v>
      </c>
      <c r="D21" s="43" t="s">
        <v>311</v>
      </c>
      <c r="E21" s="43" t="s">
        <v>312</v>
      </c>
      <c r="F21" s="43" t="s">
        <v>247</v>
      </c>
      <c r="G21" s="43" t="s">
        <v>260</v>
      </c>
    </row>
    <row r="22" spans="2:7" ht="30" customHeight="1" x14ac:dyDescent="0.3">
      <c r="B22" s="43" t="s">
        <v>246</v>
      </c>
      <c r="C22" s="4" t="s">
        <v>313</v>
      </c>
      <c r="D22" s="43" t="s">
        <v>314</v>
      </c>
      <c r="E22" s="43" t="s">
        <v>315</v>
      </c>
      <c r="F22" s="43" t="s">
        <v>247</v>
      </c>
      <c r="G22" s="43" t="s">
        <v>255</v>
      </c>
    </row>
    <row r="23" spans="2:7" ht="30" customHeight="1" x14ac:dyDescent="0.3">
      <c r="B23" s="43" t="s">
        <v>246</v>
      </c>
      <c r="C23" s="4" t="s">
        <v>316</v>
      </c>
      <c r="D23" s="43" t="s">
        <v>317</v>
      </c>
      <c r="E23" s="43" t="s">
        <v>318</v>
      </c>
      <c r="F23" s="43" t="s">
        <v>247</v>
      </c>
      <c r="G23" s="43" t="s">
        <v>319</v>
      </c>
    </row>
    <row r="24" spans="2:7" ht="30" customHeight="1" x14ac:dyDescent="0.3">
      <c r="B24" s="43" t="s">
        <v>246</v>
      </c>
      <c r="C24" s="4" t="s">
        <v>320</v>
      </c>
      <c r="D24" s="43" t="s">
        <v>321</v>
      </c>
      <c r="E24" s="43" t="s">
        <v>322</v>
      </c>
      <c r="F24" s="43" t="s">
        <v>247</v>
      </c>
      <c r="G24" s="43" t="s">
        <v>323</v>
      </c>
    </row>
    <row r="25" spans="2:7" ht="30" customHeight="1" x14ac:dyDescent="0.3">
      <c r="B25" s="43" t="s">
        <v>246</v>
      </c>
      <c r="C25" s="4" t="s">
        <v>320</v>
      </c>
      <c r="D25" s="43" t="s">
        <v>324</v>
      </c>
      <c r="E25" s="43" t="s">
        <v>325</v>
      </c>
      <c r="F25" s="43" t="s">
        <v>247</v>
      </c>
      <c r="G25" s="43" t="s">
        <v>323</v>
      </c>
    </row>
    <row r="26" spans="2:7" ht="30" customHeight="1" x14ac:dyDescent="0.3">
      <c r="B26" s="43" t="s">
        <v>246</v>
      </c>
      <c r="C26" s="4" t="s">
        <v>320</v>
      </c>
      <c r="D26" s="43" t="s">
        <v>326</v>
      </c>
      <c r="E26" s="43" t="s">
        <v>327</v>
      </c>
      <c r="F26" s="43" t="s">
        <v>247</v>
      </c>
      <c r="G26" s="43" t="s">
        <v>323</v>
      </c>
    </row>
    <row r="27" spans="2:7" ht="14" customHeight="1" x14ac:dyDescent="0.2"/>
    <row r="28" spans="2:7" ht="14" customHeight="1" x14ac:dyDescent="0.3">
      <c r="B28" s="8" t="s">
        <v>328</v>
      </c>
    </row>
    <row r="29" spans="2:7" ht="14" customHeight="1" x14ac:dyDescent="0.3">
      <c r="B29" s="10" t="s">
        <v>329</v>
      </c>
      <c r="C29" s="10" t="s">
        <v>330</v>
      </c>
    </row>
    <row r="30" spans="2:7" ht="14" customHeight="1" x14ac:dyDescent="0.3">
      <c r="B30" s="4" t="s">
        <v>331</v>
      </c>
      <c r="C30" t="s">
        <v>332</v>
      </c>
    </row>
    <row r="31" spans="2:7" ht="14" customHeight="1" x14ac:dyDescent="0.3">
      <c r="B31" s="4" t="s">
        <v>333</v>
      </c>
      <c r="C31" t="s">
        <v>334</v>
      </c>
    </row>
    <row r="32" spans="2:7" ht="14" customHeight="1" x14ac:dyDescent="0.3">
      <c r="B32" s="4" t="s">
        <v>335</v>
      </c>
      <c r="C32" t="s">
        <v>336</v>
      </c>
    </row>
    <row r="33" spans="2:3" ht="14" customHeight="1" x14ac:dyDescent="0.3">
      <c r="B33" s="4" t="s">
        <v>337</v>
      </c>
      <c r="C33" t="s">
        <v>42</v>
      </c>
    </row>
    <row r="34" spans="2:3" ht="14" customHeight="1" x14ac:dyDescent="0.3">
      <c r="B34" s="4" t="s">
        <v>338</v>
      </c>
      <c r="C34" t="s">
        <v>4</v>
      </c>
    </row>
    <row r="35" spans="2:3" ht="14" customHeight="1" x14ac:dyDescent="0.3">
      <c r="B35" s="4" t="s">
        <v>339</v>
      </c>
      <c r="C35" t="s">
        <v>246</v>
      </c>
    </row>
    <row r="36" spans="2:3" ht="14" customHeight="1" x14ac:dyDescent="0.3">
      <c r="B36" s="4" t="s">
        <v>340</v>
      </c>
      <c r="C36" t="s">
        <v>341</v>
      </c>
    </row>
    <row r="37" spans="2:3" ht="14" customHeight="1" x14ac:dyDescent="0.3">
      <c r="B37" s="4" t="s">
        <v>342</v>
      </c>
      <c r="C37" t="s">
        <v>343</v>
      </c>
    </row>
    <row r="38" spans="2:3" ht="14" customHeight="1" x14ac:dyDescent="0.3">
      <c r="B38" s="4" t="s">
        <v>344</v>
      </c>
      <c r="C38" t="s">
        <v>345</v>
      </c>
    </row>
    <row r="39" spans="2:3" ht="14" customHeight="1" x14ac:dyDescent="0.3">
      <c r="B39" s="4" t="s">
        <v>346</v>
      </c>
      <c r="C39" t="s">
        <v>347</v>
      </c>
    </row>
    <row r="40" spans="2:3" ht="14" customHeight="1" x14ac:dyDescent="0.3">
      <c r="B40" s="4" t="s">
        <v>348</v>
      </c>
      <c r="C40" t="s">
        <v>349</v>
      </c>
    </row>
    <row r="41" spans="2:3" ht="14" customHeight="1" x14ac:dyDescent="0.3">
      <c r="B41" s="4" t="s">
        <v>350</v>
      </c>
      <c r="C41" t="s">
        <v>345</v>
      </c>
    </row>
    <row r="42" spans="2:3" ht="14" customHeight="1" x14ac:dyDescent="0.3">
      <c r="B42" s="4" t="s">
        <v>351</v>
      </c>
      <c r="C42" t="s">
        <v>341</v>
      </c>
    </row>
    <row r="43" spans="2:3" ht="14" customHeight="1" x14ac:dyDescent="0.3">
      <c r="B43" s="4" t="s">
        <v>352</v>
      </c>
      <c r="C43" t="s">
        <v>353</v>
      </c>
    </row>
    <row r="44" spans="2:3" ht="14" customHeight="1" x14ac:dyDescent="0.3">
      <c r="B44" s="4" t="s">
        <v>354</v>
      </c>
      <c r="C44" t="s">
        <v>355</v>
      </c>
    </row>
    <row r="45" spans="2:3" ht="14" customHeight="1" x14ac:dyDescent="0.3">
      <c r="B45" s="4" t="s">
        <v>356</v>
      </c>
      <c r="C45" t="s">
        <v>357</v>
      </c>
    </row>
    <row r="46" spans="2:3" ht="14" customHeight="1" x14ac:dyDescent="0.3">
      <c r="B46" s="4" t="s">
        <v>358</v>
      </c>
      <c r="C46" t="s">
        <v>334</v>
      </c>
    </row>
    <row r="47" spans="2:3" ht="14" x14ac:dyDescent="0.3">
      <c r="B47" s="4" t="s">
        <v>359</v>
      </c>
      <c r="C47" t="s">
        <v>334</v>
      </c>
    </row>
    <row r="48" spans="2:3" ht="14" x14ac:dyDescent="0.3">
      <c r="B48" s="4" t="s">
        <v>360</v>
      </c>
      <c r="C48" t="s">
        <v>361</v>
      </c>
    </row>
    <row r="49" spans="2:3" ht="14" x14ac:dyDescent="0.3">
      <c r="B49" s="4" t="s">
        <v>362</v>
      </c>
      <c r="C49" t="s">
        <v>363</v>
      </c>
    </row>
    <row r="50" spans="2:3" ht="14" x14ac:dyDescent="0.3">
      <c r="B50" s="4" t="s">
        <v>364</v>
      </c>
      <c r="C50" t="s">
        <v>365</v>
      </c>
    </row>
    <row r="51" spans="2:3" ht="14" x14ac:dyDescent="0.3">
      <c r="B51" s="4" t="s">
        <v>366</v>
      </c>
      <c r="C51" t="s">
        <v>367</v>
      </c>
    </row>
    <row r="52" spans="2:3" ht="14" x14ac:dyDescent="0.3">
      <c r="B52" s="4" t="s">
        <v>368</v>
      </c>
      <c r="C52" t="s">
        <v>369</v>
      </c>
    </row>
    <row r="53" spans="2:3" ht="14" x14ac:dyDescent="0.3">
      <c r="B53" s="4" t="s">
        <v>370</v>
      </c>
      <c r="C53" t="s">
        <v>371</v>
      </c>
    </row>
    <row r="54" spans="2:3" ht="14" x14ac:dyDescent="0.3">
      <c r="B54" s="4" t="s">
        <v>372</v>
      </c>
      <c r="C54" t="s">
        <v>373</v>
      </c>
    </row>
    <row r="55" spans="2:3" ht="14" x14ac:dyDescent="0.3">
      <c r="B55" s="4" t="s">
        <v>374</v>
      </c>
      <c r="C55" t="s">
        <v>375</v>
      </c>
    </row>
    <row r="56" spans="2:3" ht="14" x14ac:dyDescent="0.3">
      <c r="B56" s="4" t="s">
        <v>376</v>
      </c>
      <c r="C56" t="s">
        <v>377</v>
      </c>
    </row>
    <row r="57" spans="2:3" ht="14" x14ac:dyDescent="0.3">
      <c r="B57" s="4" t="s">
        <v>378</v>
      </c>
      <c r="C57" t="s">
        <v>379</v>
      </c>
    </row>
    <row r="58" spans="2:3" ht="14" x14ac:dyDescent="0.3">
      <c r="B58" s="4" t="s">
        <v>380</v>
      </c>
      <c r="C58" t="s">
        <v>381</v>
      </c>
    </row>
    <row r="59" spans="2:3" ht="14" x14ac:dyDescent="0.3">
      <c r="B59" s="4" t="s">
        <v>382</v>
      </c>
      <c r="C59" t="s">
        <v>383</v>
      </c>
    </row>
    <row r="60" spans="2:3" ht="14" x14ac:dyDescent="0.3">
      <c r="B60" s="4" t="s">
        <v>384</v>
      </c>
      <c r="C60" t="s">
        <v>385</v>
      </c>
    </row>
    <row r="61" spans="2:3" ht="14" x14ac:dyDescent="0.3">
      <c r="B61" s="4" t="s">
        <v>386</v>
      </c>
      <c r="C61" t="s">
        <v>387</v>
      </c>
    </row>
    <row r="62" spans="2:3" ht="14" x14ac:dyDescent="0.3">
      <c r="B62" s="4" t="s">
        <v>388</v>
      </c>
      <c r="C62"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2026-09-05T11:45:07Z</dcterms:created>
  <dcterms:modified xsi:type="dcterms:W3CDTF">2026-09-05T11:53:49Z</dcterms:modified>
</cp:coreProperties>
</file>