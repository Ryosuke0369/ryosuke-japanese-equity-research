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ryosuke0923\ryosuke-japanese-equity-research\models\"/>
    </mc:Choice>
  </mc:AlternateContent>
  <xr:revisionPtr revIDLastSave="0" documentId="13_ncr:1_{CA4A81DC-5F40-44B9-AC9A-2A5A04F9DAE5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Executive Summary" sheetId="1" r:id="rId1"/>
    <sheet name="Financial Statements" sheetId="2" r:id="rId2"/>
    <sheet name="DCF Model" sheetId="3" r:id="rId3"/>
    <sheet name="NWC Schedule" sheetId="4" r:id="rId4"/>
    <sheet name="Comps Analysis" sheetId="5" r:id="rId5"/>
    <sheet name="Sensitivity Analysis" sheetId="6" r:id="rId6"/>
    <sheet name="Segment Analysis" sheetId="7" r:id="rId7"/>
    <sheet name="Driver Analysis" sheetId="8" r:id="rId8"/>
  </sheets>
  <calcPr calcId="181029"/>
</workbook>
</file>

<file path=xl/calcChain.xml><?xml version="1.0" encoding="utf-8"?>
<calcChain xmlns="http://schemas.openxmlformats.org/spreadsheetml/2006/main">
  <c r="J20" i="8" l="1"/>
  <c r="I20" i="8"/>
  <c r="H20" i="8"/>
  <c r="G20" i="8"/>
  <c r="F20" i="8"/>
  <c r="E20" i="8"/>
  <c r="D20" i="8"/>
  <c r="E16" i="8"/>
  <c r="D16" i="8"/>
  <c r="C16" i="8"/>
  <c r="J15" i="8"/>
  <c r="J16" i="8" s="1"/>
  <c r="F15" i="8"/>
  <c r="F16" i="8" s="1"/>
  <c r="J13" i="8"/>
  <c r="I13" i="8"/>
  <c r="I15" i="8" s="1"/>
  <c r="I16" i="8" s="1"/>
  <c r="H13" i="8"/>
  <c r="H15" i="8" s="1"/>
  <c r="H16" i="8" s="1"/>
  <c r="G13" i="8"/>
  <c r="G15" i="8" s="1"/>
  <c r="G16" i="8" s="1"/>
  <c r="F13" i="8"/>
  <c r="J7" i="8"/>
  <c r="I7" i="8"/>
  <c r="H7" i="8"/>
  <c r="G7" i="8"/>
  <c r="F7" i="8"/>
  <c r="E7" i="8"/>
  <c r="D7" i="8"/>
  <c r="E22" i="7"/>
  <c r="E23" i="7" s="1"/>
  <c r="D22" i="7"/>
  <c r="D23" i="7" s="1"/>
  <c r="C22" i="7"/>
  <c r="C23" i="7" s="1"/>
  <c r="E21" i="7"/>
  <c r="D21" i="7"/>
  <c r="C21" i="7"/>
  <c r="J18" i="7"/>
  <c r="E18" i="7"/>
  <c r="D18" i="7"/>
  <c r="F16" i="7"/>
  <c r="E13" i="7"/>
  <c r="D13" i="7"/>
  <c r="E8" i="7"/>
  <c r="D8" i="7"/>
  <c r="I17" i="6"/>
  <c r="G17" i="6"/>
  <c r="F17" i="6"/>
  <c r="E17" i="6"/>
  <c r="D17" i="6"/>
  <c r="I3" i="6"/>
  <c r="C17" i="6" s="1"/>
  <c r="F3" i="6"/>
  <c r="I6" i="6" s="1"/>
  <c r="I17" i="5"/>
  <c r="H17" i="5"/>
  <c r="G17" i="5"/>
  <c r="I16" i="5"/>
  <c r="G16" i="5"/>
  <c r="F16" i="5"/>
  <c r="C28" i="5" s="1"/>
  <c r="C19" i="1" s="1"/>
  <c r="D19" i="1" s="1"/>
  <c r="E16" i="5"/>
  <c r="I15" i="5"/>
  <c r="G15" i="5"/>
  <c r="N9" i="5"/>
  <c r="L9" i="5"/>
  <c r="K9" i="5"/>
  <c r="J9" i="5"/>
  <c r="N8" i="5"/>
  <c r="L8" i="5"/>
  <c r="K8" i="5"/>
  <c r="J8" i="5"/>
  <c r="N7" i="5"/>
  <c r="L7" i="5"/>
  <c r="K7" i="5"/>
  <c r="J7" i="5"/>
  <c r="N6" i="5"/>
  <c r="L6" i="5"/>
  <c r="F15" i="5" s="1"/>
  <c r="K6" i="5"/>
  <c r="E15" i="5" s="1"/>
  <c r="J6" i="5"/>
  <c r="D16" i="5" s="1"/>
  <c r="C27" i="5" s="1"/>
  <c r="C18" i="1" s="1"/>
  <c r="D18" i="1" s="1"/>
  <c r="N5" i="5"/>
  <c r="L5" i="5"/>
  <c r="F17" i="5" s="1"/>
  <c r="K5" i="5"/>
  <c r="E17" i="5" s="1"/>
  <c r="J5" i="5"/>
  <c r="C16" i="4"/>
  <c r="C14" i="4"/>
  <c r="C18" i="4" s="1"/>
  <c r="E7" i="4"/>
  <c r="D7" i="4"/>
  <c r="C7" i="4"/>
  <c r="C6" i="4"/>
  <c r="H5" i="4"/>
  <c r="C5" i="4"/>
  <c r="F32" i="3"/>
  <c r="E32" i="3"/>
  <c r="C31" i="3"/>
  <c r="D27" i="3"/>
  <c r="I18" i="7" s="1"/>
  <c r="C25" i="3"/>
  <c r="C24" i="3"/>
  <c r="C23" i="3"/>
  <c r="G28" i="2"/>
  <c r="F28" i="2"/>
  <c r="E28" i="2"/>
  <c r="D28" i="2"/>
  <c r="C28" i="2"/>
  <c r="G23" i="2"/>
  <c r="F23" i="2"/>
  <c r="E23" i="2"/>
  <c r="D23" i="2"/>
  <c r="C23" i="2"/>
  <c r="G22" i="2"/>
  <c r="F22" i="2"/>
  <c r="E22" i="2"/>
  <c r="D22" i="2"/>
  <c r="C22" i="2"/>
  <c r="G21" i="2"/>
  <c r="F21" i="2"/>
  <c r="E21" i="2"/>
  <c r="D21" i="2"/>
  <c r="C21" i="2"/>
  <c r="G16" i="2"/>
  <c r="F16" i="2"/>
  <c r="E16" i="2"/>
  <c r="D16" i="2"/>
  <c r="G15" i="2"/>
  <c r="F15" i="2"/>
  <c r="E15" i="2"/>
  <c r="D15" i="2"/>
  <c r="G14" i="2"/>
  <c r="F14" i="2"/>
  <c r="E14" i="2"/>
  <c r="D14" i="2"/>
  <c r="C14" i="2"/>
  <c r="G13" i="2"/>
  <c r="F13" i="2"/>
  <c r="E13" i="2"/>
  <c r="D13" i="2"/>
  <c r="C13" i="2"/>
  <c r="G9" i="2"/>
  <c r="C9" i="2"/>
  <c r="G8" i="2"/>
  <c r="F8" i="2"/>
  <c r="F9" i="2" s="1"/>
  <c r="E8" i="2"/>
  <c r="E9" i="2" s="1"/>
  <c r="D8" i="2"/>
  <c r="D9" i="2" s="1"/>
  <c r="C8" i="2"/>
  <c r="D6" i="6" l="1"/>
  <c r="C6" i="6"/>
  <c r="E6" i="6"/>
  <c r="F6" i="6"/>
  <c r="H6" i="6"/>
  <c r="D17" i="5"/>
  <c r="C26" i="3"/>
  <c r="H15" i="5"/>
  <c r="H16" i="5"/>
  <c r="F17" i="7"/>
  <c r="G16" i="7"/>
  <c r="D15" i="5"/>
  <c r="D31" i="3"/>
  <c r="G32" i="3"/>
  <c r="D6" i="4"/>
  <c r="F7" i="4"/>
  <c r="F8" i="7"/>
  <c r="F13" i="7"/>
  <c r="E31" i="3"/>
  <c r="G7" i="4"/>
  <c r="G8" i="7"/>
  <c r="D5" i="4"/>
  <c r="F6" i="4"/>
  <c r="H7" i="4"/>
  <c r="G6" i="6"/>
  <c r="H17" i="6"/>
  <c r="H8" i="7"/>
  <c r="G13" i="7"/>
  <c r="F18" i="7"/>
  <c r="E6" i="4"/>
  <c r="F31" i="3"/>
  <c r="G31" i="3"/>
  <c r="E5" i="4"/>
  <c r="G6" i="4"/>
  <c r="I8" i="7"/>
  <c r="H13" i="7"/>
  <c r="G18" i="7"/>
  <c r="F5" i="4"/>
  <c r="H6" i="4"/>
  <c r="F6" i="7"/>
  <c r="J8" i="7"/>
  <c r="I13" i="7"/>
  <c r="H18" i="7"/>
  <c r="C32" i="3"/>
  <c r="D32" i="3"/>
  <c r="G5" i="4"/>
  <c r="F11" i="7"/>
  <c r="J13" i="7"/>
  <c r="F12" i="7" l="1"/>
  <c r="G11" i="7"/>
  <c r="F46" i="3"/>
  <c r="E46" i="3"/>
  <c r="C3" i="6"/>
  <c r="D46" i="3"/>
  <c r="C46" i="3"/>
  <c r="G46" i="3"/>
  <c r="G17" i="7"/>
  <c r="H16" i="7"/>
  <c r="G6" i="7"/>
  <c r="F7" i="7"/>
  <c r="F22" i="7" s="1"/>
  <c r="F23" i="7" s="1"/>
  <c r="F21" i="7"/>
  <c r="H17" i="7" l="1"/>
  <c r="I16" i="7"/>
  <c r="G21" i="7"/>
  <c r="G7" i="7"/>
  <c r="H6" i="7"/>
  <c r="G12" i="7"/>
  <c r="H11" i="7"/>
  <c r="F27" i="7"/>
  <c r="C33" i="3"/>
  <c r="B13" i="6"/>
  <c r="B12" i="6"/>
  <c r="B11" i="6"/>
  <c r="B10" i="6"/>
  <c r="B9" i="6"/>
  <c r="B8" i="6"/>
  <c r="B7" i="6"/>
  <c r="B24" i="6"/>
  <c r="B23" i="6"/>
  <c r="B22" i="6"/>
  <c r="B21" i="6"/>
  <c r="B20" i="6"/>
  <c r="B19" i="6"/>
  <c r="B18" i="6"/>
  <c r="J16" i="7" l="1"/>
  <c r="J17" i="7" s="1"/>
  <c r="I17" i="7"/>
  <c r="C37" i="3"/>
  <c r="F26" i="7"/>
  <c r="D9" i="4"/>
  <c r="D12" i="4" s="1"/>
  <c r="C30" i="3"/>
  <c r="C34" i="3"/>
  <c r="D10" i="4" s="1"/>
  <c r="F28" i="7"/>
  <c r="G22" i="7"/>
  <c r="G23" i="7" s="1"/>
  <c r="H12" i="7"/>
  <c r="I11" i="7"/>
  <c r="H21" i="7"/>
  <c r="H7" i="7"/>
  <c r="H22" i="7" s="1"/>
  <c r="H23" i="7" s="1"/>
  <c r="I6" i="7"/>
  <c r="G27" i="7"/>
  <c r="D33" i="3"/>
  <c r="I21" i="7" l="1"/>
  <c r="I7" i="7"/>
  <c r="I22" i="7" s="1"/>
  <c r="I23" i="7" s="1"/>
  <c r="J6" i="7"/>
  <c r="D15" i="4"/>
  <c r="D16" i="4" s="1"/>
  <c r="D13" i="4"/>
  <c r="D14" i="4"/>
  <c r="D18" i="4" s="1"/>
  <c r="D19" i="4" s="1"/>
  <c r="C44" i="3" s="1"/>
  <c r="I12" i="7"/>
  <c r="J11" i="7"/>
  <c r="J12" i="7" s="1"/>
  <c r="D35" i="3"/>
  <c r="E9" i="4"/>
  <c r="E12" i="4" s="1"/>
  <c r="D30" i="3"/>
  <c r="G26" i="7"/>
  <c r="D37" i="3"/>
  <c r="D34" i="3"/>
  <c r="E10" i="4" s="1"/>
  <c r="G28" i="7"/>
  <c r="C35" i="3"/>
  <c r="E33" i="3"/>
  <c r="H27" i="7"/>
  <c r="H28" i="7" l="1"/>
  <c r="E14" i="4"/>
  <c r="E18" i="4" s="1"/>
  <c r="E19" i="4" s="1"/>
  <c r="D44" i="3" s="1"/>
  <c r="F9" i="4"/>
  <c r="F12" i="4" s="1"/>
  <c r="E30" i="3"/>
  <c r="H26" i="7"/>
  <c r="E34" i="3"/>
  <c r="F10" i="4" s="1"/>
  <c r="E37" i="3"/>
  <c r="F33" i="3"/>
  <c r="I27" i="7"/>
  <c r="E13" i="4"/>
  <c r="E15" i="4"/>
  <c r="E16" i="4" s="1"/>
  <c r="D36" i="3"/>
  <c r="D39" i="3"/>
  <c r="C36" i="3"/>
  <c r="C39" i="3"/>
  <c r="J7" i="7"/>
  <c r="J22" i="7" s="1"/>
  <c r="J21" i="7"/>
  <c r="C40" i="3" l="1"/>
  <c r="C41" i="3" s="1"/>
  <c r="C45" i="3" s="1"/>
  <c r="C38" i="3"/>
  <c r="F30" i="3"/>
  <c r="I26" i="7"/>
  <c r="I28" i="7" s="1"/>
  <c r="F34" i="3"/>
  <c r="G10" i="4" s="1"/>
  <c r="F37" i="3"/>
  <c r="G9" i="4"/>
  <c r="G12" i="4" s="1"/>
  <c r="F35" i="3"/>
  <c r="F13" i="4"/>
  <c r="F15" i="4"/>
  <c r="F16" i="4" s="1"/>
  <c r="D40" i="3"/>
  <c r="D41" i="3" s="1"/>
  <c r="D45" i="3" s="1"/>
  <c r="D47" i="3" s="1"/>
  <c r="D38" i="3"/>
  <c r="E35" i="3"/>
  <c r="G33" i="3"/>
  <c r="J27" i="7"/>
  <c r="J23" i="7"/>
  <c r="F14" i="4"/>
  <c r="F18" i="4" s="1"/>
  <c r="F19" i="4" s="1"/>
  <c r="E44" i="3" s="1"/>
  <c r="C47" i="3" l="1"/>
  <c r="J26" i="7"/>
  <c r="J28" i="7" s="1"/>
  <c r="G34" i="3"/>
  <c r="H10" i="4" s="1"/>
  <c r="G37" i="3"/>
  <c r="H9" i="4"/>
  <c r="H12" i="4" s="1"/>
  <c r="G35" i="3"/>
  <c r="G30" i="3"/>
  <c r="G43" i="3"/>
  <c r="G42" i="3"/>
  <c r="G13" i="4"/>
  <c r="G14" i="4" s="1"/>
  <c r="G18" i="4" s="1"/>
  <c r="G19" i="4" s="1"/>
  <c r="F44" i="3" s="1"/>
  <c r="G15" i="4"/>
  <c r="G16" i="4" s="1"/>
  <c r="F36" i="3"/>
  <c r="F39" i="3"/>
  <c r="E36" i="3"/>
  <c r="E39" i="3"/>
  <c r="G36" i="3" l="1"/>
  <c r="G39" i="3"/>
  <c r="F38" i="3"/>
  <c r="F40" i="3"/>
  <c r="F41" i="3" s="1"/>
  <c r="F45" i="3" s="1"/>
  <c r="F47" i="3" s="1"/>
  <c r="H15" i="4"/>
  <c r="H16" i="4" s="1"/>
  <c r="H13" i="4"/>
  <c r="H14" i="4" s="1"/>
  <c r="H18" i="4" s="1"/>
  <c r="H19" i="4" s="1"/>
  <c r="G44" i="3" s="1"/>
  <c r="E38" i="3"/>
  <c r="E41" i="3"/>
  <c r="E45" i="3" s="1"/>
  <c r="E40" i="3"/>
  <c r="E47" i="3" l="1"/>
  <c r="C59" i="3"/>
  <c r="C60" i="3" s="1"/>
  <c r="C61" i="3" s="1"/>
  <c r="G40" i="3"/>
  <c r="G41" i="3" s="1"/>
  <c r="G45" i="3" s="1"/>
  <c r="G38" i="3"/>
  <c r="C51" i="3" l="1"/>
  <c r="C52" i="3" s="1"/>
  <c r="G47" i="3"/>
  <c r="H12" i="6"/>
  <c r="C23" i="6"/>
  <c r="I11" i="6"/>
  <c r="H18" i="6"/>
  <c r="G7" i="6"/>
  <c r="F11" i="6"/>
  <c r="I10" i="6"/>
  <c r="E12" i="6"/>
  <c r="F20" i="6"/>
  <c r="H7" i="6"/>
  <c r="C11" i="6"/>
  <c r="G19" i="6"/>
  <c r="E23" i="6"/>
  <c r="F12" i="6"/>
  <c r="E9" i="6"/>
  <c r="D11" i="6"/>
  <c r="F7" i="6"/>
  <c r="I22" i="6"/>
  <c r="E13" i="6"/>
  <c r="F8" i="6"/>
  <c r="G21" i="6"/>
  <c r="F13" i="6"/>
  <c r="I8" i="6"/>
  <c r="I23" i="6"/>
  <c r="D12" i="6"/>
  <c r="D19" i="6"/>
  <c r="C22" i="6"/>
  <c r="G9" i="6"/>
  <c r="I20" i="6"/>
  <c r="D8" i="6"/>
  <c r="D22" i="6"/>
  <c r="H22" i="6"/>
  <c r="E10" i="6"/>
  <c r="F9" i="6"/>
  <c r="D7" i="6"/>
  <c r="E20" i="6"/>
  <c r="I24" i="6"/>
  <c r="D9" i="6"/>
  <c r="D13" i="6"/>
  <c r="H10" i="6"/>
  <c r="F19" i="6"/>
  <c r="H23" i="6"/>
  <c r="G20" i="6"/>
  <c r="C10" i="6"/>
  <c r="E18" i="6"/>
  <c r="G13" i="6"/>
  <c r="C9" i="6"/>
  <c r="I18" i="6"/>
  <c r="H11" i="6"/>
  <c r="C24" i="6"/>
  <c r="I19" i="6"/>
  <c r="H9" i="6"/>
  <c r="H8" i="6"/>
  <c r="D18" i="6"/>
  <c r="I21" i="6"/>
  <c r="G10" i="6"/>
  <c r="C7" i="6"/>
  <c r="E8" i="6"/>
  <c r="C20" i="6"/>
  <c r="F22" i="6"/>
  <c r="H19" i="6"/>
  <c r="I13" i="6"/>
  <c r="I7" i="6"/>
  <c r="C13" i="6"/>
  <c r="E7" i="6"/>
  <c r="E19" i="6"/>
  <c r="E21" i="6"/>
  <c r="H20" i="6"/>
  <c r="D10" i="6"/>
  <c r="G22" i="6"/>
  <c r="F24" i="6"/>
  <c r="H24" i="6"/>
  <c r="G24" i="6"/>
  <c r="G11" i="6"/>
  <c r="C19" i="6"/>
  <c r="C18" i="6"/>
  <c r="I12" i="6"/>
  <c r="G18" i="6"/>
  <c r="C8" i="6"/>
  <c r="C21" i="6"/>
  <c r="F23" i="6"/>
  <c r="F21" i="6"/>
  <c r="C12" i="6"/>
  <c r="G23" i="6"/>
  <c r="H13" i="6"/>
  <c r="D23" i="6"/>
  <c r="F10" i="6"/>
  <c r="D21" i="6"/>
  <c r="E24" i="6"/>
  <c r="E22" i="6"/>
  <c r="I9" i="6"/>
  <c r="E11" i="6"/>
  <c r="D24" i="6"/>
  <c r="H21" i="6"/>
  <c r="G8" i="6"/>
  <c r="F18" i="6"/>
  <c r="D20" i="6"/>
  <c r="G12" i="6"/>
  <c r="C50" i="3"/>
  <c r="C58" i="3" l="1"/>
  <c r="C62" i="3" s="1"/>
  <c r="C63" i="3" s="1"/>
  <c r="C64" i="3" s="1"/>
  <c r="C17" i="1" s="1"/>
  <c r="D17" i="1" s="1"/>
  <c r="C53" i="3"/>
  <c r="C54" i="3" s="1"/>
  <c r="C55" i="3" s="1"/>
  <c r="C16" i="1" s="1"/>
  <c r="D16" i="1" l="1"/>
  <c r="C21" i="1"/>
  <c r="C10" i="1"/>
  <c r="C12" i="1" s="1"/>
  <c r="C11" i="1" s="1"/>
</calcChain>
</file>

<file path=xl/sharedStrings.xml><?xml version="1.0" encoding="utf-8"?>
<sst xmlns="http://schemas.openxmlformats.org/spreadsheetml/2006/main" count="360" uniqueCount="218">
  <si>
    <t>DISCLAIMER: This is a sample analysis for demonstration purposes only. It does not constitute investment advice.</t>
  </si>
  <si>
    <t>株式会社コア (2359.T)</t>
  </si>
  <si>
    <t>Equity Research Report</t>
  </si>
  <si>
    <t>Company</t>
  </si>
  <si>
    <t>株式会社コア</t>
  </si>
  <si>
    <t>Ticker</t>
  </si>
  <si>
    <t>2359.T (TSE)</t>
  </si>
  <si>
    <t>Sector</t>
  </si>
  <si>
    <t>Information &amp; Communication</t>
  </si>
  <si>
    <t>Current Price</t>
  </si>
  <si>
    <t>Target Price (Mid)</t>
  </si>
  <si>
    <t>Recommendation</t>
  </si>
  <si>
    <t>Upside / Downside</t>
  </si>
  <si>
    <t>Valuation Summary</t>
  </si>
  <si>
    <t>Methodology</t>
  </si>
  <si>
    <t>Implied Value (JPY)</t>
  </si>
  <si>
    <t>vs Current Price</t>
  </si>
  <si>
    <t>DCF - Perpetuity Growth</t>
  </si>
  <si>
    <t>DCF - Exit Multiple</t>
  </si>
  <si>
    <t>Comps - EV/EBITDA Median</t>
  </si>
  <si>
    <t>Comps - PER Median</t>
  </si>
  <si>
    <t>Integrated Valuation Range</t>
  </si>
  <si>
    <t>Key Investment Thesis</t>
  </si>
  <si>
    <t>1. Defense Tech: GNSS anti-spoofing tech for JASDF; 4-layer moat (proprietary receiver + QZSS auth + security clearance + space tech track record)</t>
  </si>
  <si>
    <t>2. AX Transformation: Layer 2 (solution) ratio rising 25.9% → 33.3%, structurally improving OPM</t>
  </si>
  <si>
    <t>3. Earnings Surprise: Base case EPS &gt;¥200 vs consensus ~¥174; Q3 OP progress rate 82.5% implies ~¥4,050M OP</t>
  </si>
  <si>
    <t>Key Risks</t>
  </si>
  <si>
    <t>1. Defense contracts still in R&amp;D/validation phase — mass production orders unconfirmed</t>
  </si>
  <si>
    <t>2. Key person risk in specialized GNSS/space technology division</t>
  </si>
  <si>
    <t>3. Revenue concentration in Japanese domestic IT services market</t>
  </si>
  <si>
    <t>株式会社コア - Historical Financials (JPY mn)</t>
  </si>
  <si>
    <t>FY2021</t>
  </si>
  <si>
    <t>FY2022</t>
  </si>
  <si>
    <t>FY2023</t>
  </si>
  <si>
    <t>FY2024</t>
  </si>
  <si>
    <t>FY2025</t>
  </si>
  <si>
    <t>Income Statement</t>
  </si>
  <si>
    <t>Revenue</t>
  </si>
  <si>
    <t>COGS</t>
  </si>
  <si>
    <t>Gross Profit</t>
  </si>
  <si>
    <t>Gross Margin</t>
  </si>
  <si>
    <t>SGA</t>
  </si>
  <si>
    <t>Operating Income</t>
  </si>
  <si>
    <t>Net Income</t>
  </si>
  <si>
    <t>Operating Margin</t>
  </si>
  <si>
    <t>Net Margin</t>
  </si>
  <si>
    <t>Revenue Growth (YoY)</t>
  </si>
  <si>
    <t>n/a</t>
  </si>
  <si>
    <t>Operating Income Growth (YoY)</t>
  </si>
  <si>
    <t>Cash Flow Statement</t>
  </si>
  <si>
    <t>Operating Cash Flow</t>
  </si>
  <si>
    <t>Capex</t>
  </si>
  <si>
    <t>Free Cash Flow</t>
  </si>
  <si>
    <t>FCF Margin</t>
  </si>
  <si>
    <t>Capex / Revenue</t>
  </si>
  <si>
    <t>Balance Sheet Highlights</t>
  </si>
  <si>
    <t>Cash &amp; Deposits</t>
  </si>
  <si>
    <t>Short-term Debt</t>
  </si>
  <si>
    <t>Net Debt (Cash)</t>
  </si>
  <si>
    <t>DCF Valuation Model - 株式会社コア</t>
  </si>
  <si>
    <t>Assumptions</t>
  </si>
  <si>
    <t>Effective Tax Rate</t>
  </si>
  <si>
    <t>Risk-Free Rate</t>
  </si>
  <si>
    <t>Beta</t>
  </si>
  <si>
    <t>Equity Risk Premium</t>
  </si>
  <si>
    <t>Size Premium</t>
  </si>
  <si>
    <t>After-tax Cost of Debt</t>
  </si>
  <si>
    <t>D/E Ratio</t>
  </si>
  <si>
    <t>Terminal Growth Rate</t>
  </si>
  <si>
    <t>Exit Multiple (EV/EBITDA)</t>
  </si>
  <si>
    <t>Fully Diluted Shares</t>
  </si>
  <si>
    <t>Net Debt (JPY mn)</t>
  </si>
  <si>
    <t>Base Year Revenue (JPY mn)</t>
  </si>
  <si>
    <t>D&amp;A / Revenue</t>
  </si>
  <si>
    <t>Stub Fraction (yr remaining)</t>
  </si>
  <si>
    <t>LTM Revenue (JPY mn)</t>
  </si>
  <si>
    <t>WACC Calculation</t>
  </si>
  <si>
    <t>Cost of Equity (Ke)</t>
  </si>
  <si>
    <t>Weight of Equity</t>
  </si>
  <si>
    <t>Weight of Debt</t>
  </si>
  <si>
    <t>WACC</t>
  </si>
  <si>
    <t>Active Scenario</t>
  </si>
  <si>
    <t>Base</t>
  </si>
  <si>
    <t>Projected Free Cash Flow</t>
  </si>
  <si>
    <t>FY2026(E)</t>
  </si>
  <si>
    <t>FY2027(E)</t>
  </si>
  <si>
    <t>FY2028(E)</t>
  </si>
  <si>
    <t>FY2029(E)</t>
  </si>
  <si>
    <t>FY2030(E)</t>
  </si>
  <si>
    <t>COGS % of Revenue</t>
  </si>
  <si>
    <t>SGA % of Revenue</t>
  </si>
  <si>
    <t>SGA Expense</t>
  </si>
  <si>
    <t>Implied Operating Margin</t>
  </si>
  <si>
    <t>Operating Income (EBIT)</t>
  </si>
  <si>
    <t>Less: Tax</t>
  </si>
  <si>
    <t>NOPAT</t>
  </si>
  <si>
    <t>Plus: D&amp;A</t>
  </si>
  <si>
    <t>Less: Capex</t>
  </si>
  <si>
    <t>Change in NWC</t>
  </si>
  <si>
    <t>Unlevered Free Cash Flow</t>
  </si>
  <si>
    <t>Discount Factor</t>
  </si>
  <si>
    <t>PV of FCF</t>
  </si>
  <si>
    <t>Valuation - Perpetuity Growth Method</t>
  </si>
  <si>
    <t>Sum of PV of FCFs</t>
  </si>
  <si>
    <t>Terminal Value (PGM)</t>
  </si>
  <si>
    <t>PV of Terminal Value</t>
  </si>
  <si>
    <t>Enterprise Value</t>
  </si>
  <si>
    <t>Equity Value</t>
  </si>
  <si>
    <t>Implied Share Price (PGM)</t>
  </si>
  <si>
    <t>Valuation - Exit Multiple Method</t>
  </si>
  <si>
    <t>Year 5 EBITDA</t>
  </si>
  <si>
    <t>Terminal Value (Exit Multiple)</t>
  </si>
  <si>
    <t>Implied Share Price (Exit Multiple)</t>
  </si>
  <si>
    <t>All scenario inputs are in Segment Analysis sheet.</t>
  </si>
  <si>
    <t>NWC Schedule - 株式会社コア</t>
  </si>
  <si>
    <t>Working Capital Drivers (Days)</t>
  </si>
  <si>
    <t>Base Year</t>
  </si>
  <si>
    <t>DSO (Days Sales Outstanding)</t>
  </si>
  <si>
    <t>DIH (Days Inventory Held)</t>
  </si>
  <si>
    <t>DPO (Days Payable Outstanding)</t>
  </si>
  <si>
    <t>P&amp;L Reference (JPY mn)</t>
  </si>
  <si>
    <t>Working Capital Items (JPY mn)</t>
  </si>
  <si>
    <t>Accounts Receivable</t>
  </si>
  <si>
    <t>Inventory</t>
  </si>
  <si>
    <t>Current Assets (AR + Inv)</t>
  </si>
  <si>
    <t>Accounts Payable</t>
  </si>
  <si>
    <t>Current Liabilities (AP)</t>
  </si>
  <si>
    <t>Net Working Capital (JPY mn)</t>
  </si>
  <si>
    <t>Net Working Capital</t>
  </si>
  <si>
    <t>Scenario Input Matrix (Working Capital Days)</t>
  </si>
  <si>
    <t>DSO (Days)</t>
  </si>
  <si>
    <t>Upside</t>
  </si>
  <si>
    <t>Management</t>
  </si>
  <si>
    <t>Downside 1</t>
  </si>
  <si>
    <t>Downside 2</t>
  </si>
  <si>
    <t>DIH (Days)</t>
  </si>
  <si>
    <t>DPO (Days)</t>
  </si>
  <si>
    <t>Comparable Company Analysis</t>
  </si>
  <si>
    <t>Mkt Cap
(JPY mn)</t>
  </si>
  <si>
    <t>EV
(JPY mn)</t>
  </si>
  <si>
    <t>Revenue
(JPY mn)</t>
  </si>
  <si>
    <t>EBITDA
(JPY mn)</t>
  </si>
  <si>
    <t>Op Income
(JPY mn)</t>
  </si>
  <si>
    <t>Net Income
(JPY mn)</t>
  </si>
  <si>
    <t>EV/EBITDA</t>
  </si>
  <si>
    <t>EV/Revenue</t>
  </si>
  <si>
    <t>PER</t>
  </si>
  <si>
    <t>PBR</t>
  </si>
  <si>
    <t>Op Margin</t>
  </si>
  <si>
    <t>ROE</t>
  </si>
  <si>
    <t>Systena</t>
  </si>
  <si>
    <t>2317.T</t>
  </si>
  <si>
    <t>SRA HD</t>
  </si>
  <si>
    <t>3817.T</t>
  </si>
  <si>
    <t>CEC</t>
  </si>
  <si>
    <t>9692.T</t>
  </si>
  <si>
    <t>Cresco</t>
  </si>
  <si>
    <t>4674.T</t>
  </si>
  <si>
    <t>DTS</t>
  </si>
  <si>
    <t>9682.T</t>
  </si>
  <si>
    <t>Statistics</t>
  </si>
  <si>
    <t>25th Percentile</t>
  </si>
  <si>
    <t>Median (50th)</t>
  </si>
  <si>
    <t>75th Percentile</t>
  </si>
  <si>
    <t>Implied Valuation for 株式会社コア</t>
  </si>
  <si>
    <t>株式会社コア Financials</t>
  </si>
  <si>
    <t>EBITDA (JPY mn)</t>
  </si>
  <si>
    <t>Net Income (JPY mn)</t>
  </si>
  <si>
    <t>Shares Outstanding</t>
  </si>
  <si>
    <t>Implied Share Price (Median Multiples)</t>
  </si>
  <si>
    <t>Via EV/EBITDA (Median)</t>
  </si>
  <si>
    <t>Via PER (Median)</t>
  </si>
  <si>
    <t>Sensitivity Analysis</t>
  </si>
  <si>
    <t>Current WACC:</t>
  </si>
  <si>
    <t>Terminal g:</t>
  </si>
  <si>
    <t>Exit Multiple:</t>
  </si>
  <si>
    <t>Table 1: WACC vs Terminal Growth Rate (PGM - Implied Share Price, JPY)</t>
  </si>
  <si>
    <t>WACC \ Terminal g</t>
  </si>
  <si>
    <t>Table 2: WACC vs Exit Multiple (Exit Multiple - Implied Share Price, JPY)</t>
  </si>
  <si>
    <t>WACC \ Exit Multiple</t>
  </si>
  <si>
    <t>All values dynamically linked to DCF Model. Headers auto-center on current WACC / Terminal g / Exit Multiple.</t>
  </si>
  <si>
    <t>Segment Analysis - 株式会社コア</t>
  </si>
  <si>
    <t>FY2026</t>
  </si>
  <si>
    <t>Future Society Solutions (未来社会ソリューション)</t>
  </si>
  <si>
    <t>—</t>
  </si>
  <si>
    <t>Operating Profit</t>
  </si>
  <si>
    <t>OP Margin</t>
  </si>
  <si>
    <t>Industrial Technology Solutions (産業技術ソリューション)</t>
  </si>
  <si>
    <t>Customer Business Integration (顧客業務インテグレーション)</t>
  </si>
  <si>
    <t>Consolidated Total</t>
  </si>
  <si>
    <t>Total Revenue</t>
  </si>
  <si>
    <t>Total Operating Profit</t>
  </si>
  <si>
    <t>Total OP Margin</t>
  </si>
  <si>
    <t>Reconciliation vs DCF Model</t>
  </si>
  <si>
    <t>DCF Model Revenue</t>
  </si>
  <si>
    <t>Segment Total Revenue</t>
  </si>
  <si>
    <t>Difference</t>
  </si>
  <si>
    <t>Segment Scenario Input Matrix</t>
  </si>
  <si>
    <t>Future Society Solutions - Revenue Growth (YoY)</t>
  </si>
  <si>
    <t>Future Society Solutions - OP Margin</t>
  </si>
  <si>
    <t>Industrial Technology Solutions - Revenue Growth (YoY)</t>
  </si>
  <si>
    <t>Industrial Technology Solutions - OP Margin</t>
  </si>
  <si>
    <t>Customer Business Integration - Revenue Growth (YoY)</t>
  </si>
  <si>
    <t>Customer Business Integration - OP Margin</t>
  </si>
  <si>
    <t>Consolidated Inputs (連結レベル)</t>
  </si>
  <si>
    <t>Driver Analysis - 株式会社コア</t>
  </si>
  <si>
    <t>Future Society Solutions (未来社会ソリューション) [manual]</t>
  </si>
  <si>
    <t>Revenue (Direct Input)</t>
  </si>
  <si>
    <t>YoY Growth</t>
  </si>
  <si>
    <t>Industrial Technology Solutions (産業技術ソリューション) [manmonth]</t>
  </si>
  <si>
    <t>Headcount</t>
  </si>
  <si>
    <t>× Utilization</t>
  </si>
  <si>
    <t>× Unit Price (JPY mn/month)</t>
  </si>
  <si>
    <t>Layer 1 Revenue</t>
  </si>
  <si>
    <t>+ Layer 2 (Solution) Revenue</t>
  </si>
  <si>
    <t>Segment Revenue</t>
  </si>
  <si>
    <t>Layer 2 Mix %</t>
  </si>
  <si>
    <t>Customer Business Integration (顧客業務インテグレーション) [manual]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</si>
</sst>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#,##0;\(#,##0\)"/>
    <numFmt numFmtId="177" formatCode="0.0%;\(0.0%\)"/>
    <numFmt numFmtId="178" formatCode="0.000"/>
    <numFmt numFmtId="179" formatCode="0.00&quot;x&quot;"/>
    <numFmt numFmtId="180" formatCode="0.00%;\(0.00%\)"/>
    <numFmt numFmtId="181" formatCode="0.0000"/>
    <numFmt numFmtId="182" formatCode="#,##0.0;\(#,##0.0\)"/>
  </numFmts>
  <fonts count="10" x14ac:knownFonts="1">
    <font>
      <sz val="11"/>
      <color theme="1"/>
      <name val="ＭＳ Ｐゴシック"/>
      <family val="2"/>
      <scheme val="minor"/>
    </font>
    <font>
      <i/>
      <sz val="9"/>
      <color rgb="FF808080"/>
      <name val="Arial"/>
    </font>
    <font>
      <b/>
      <sz val="14"/>
      <name val="Arial"/>
    </font>
    <font>
      <b/>
      <sz val="11"/>
      <name val="Arial"/>
    </font>
    <font>
      <b/>
      <sz val="10"/>
      <name val="Arial"/>
    </font>
    <font>
      <sz val="10"/>
      <color rgb="FF000000"/>
      <name val="Arial"/>
    </font>
    <font>
      <b/>
      <sz val="11"/>
      <color rgb="FFFFFFFF"/>
      <name val="Arial"/>
    </font>
    <font>
      <sz val="10"/>
      <color rgb="FF006600"/>
      <name val="Arial"/>
    </font>
    <font>
      <i/>
      <sz val="10"/>
      <color rgb="FF808080"/>
      <name val="Arial"/>
    </font>
    <font>
      <sz val="6"/>
      <name val="ＭＳ Ｐゴシック"/>
      <family val="3"/>
      <charset val="128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000080"/>
        <bgColor rgb="FF000080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FFF2CC"/>
        <bgColor rgb="FFFFF2CC"/>
      </patternFill>
    </fill>
    <fill>
      <patternFill patternType="solid">
        <fgColor rgb="FFE6CCE6"/>
        <bgColor rgb="FFE6CCE6"/>
      </patternFill>
    </fill>
    <fill>
      <patternFill patternType="solid">
        <fgColor rgb="FFD9E2F3"/>
        <bgColor rgb="FFD9E2F3"/>
      </patternFill>
    </fill>
  </fills>
  <borders count="7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 style="hair">
        <color rgb="FFB0B0B0"/>
      </left>
      <right style="hair">
        <color rgb="FFB0B0B0"/>
      </right>
      <top style="hair">
        <color rgb="FFB0B0B0"/>
      </top>
      <bottom style="hair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176" fontId="5" fillId="0" borderId="0" xfId="0" applyNumberFormat="1" applyFont="1"/>
    <xf numFmtId="0" fontId="5" fillId="0" borderId="0" xfId="0" applyFont="1"/>
    <xf numFmtId="177" fontId="5" fillId="0" borderId="0" xfId="0" applyNumberFormat="1" applyFont="1"/>
    <xf numFmtId="0" fontId="3" fillId="2" borderId="0" xfId="0" applyFont="1" applyFill="1"/>
    <xf numFmtId="0" fontId="0" fillId="2" borderId="0" xfId="0" applyFill="1"/>
    <xf numFmtId="0" fontId="6" fillId="3" borderId="1" xfId="0" applyFont="1" applyFill="1" applyBorder="1" applyAlignment="1">
      <alignment horizontal="center" wrapText="1"/>
    </xf>
    <xf numFmtId="176" fontId="7" fillId="0" borderId="0" xfId="0" applyNumberFormat="1" applyFont="1"/>
    <xf numFmtId="2" fontId="5" fillId="0" borderId="0" xfId="0" applyNumberFormat="1" applyFont="1"/>
    <xf numFmtId="178" fontId="5" fillId="0" borderId="0" xfId="0" applyNumberFormat="1" applyFont="1"/>
    <xf numFmtId="179" fontId="5" fillId="0" borderId="0" xfId="0" applyNumberFormat="1" applyFont="1"/>
    <xf numFmtId="3" fontId="5" fillId="0" borderId="0" xfId="0" applyNumberFormat="1" applyFont="1"/>
    <xf numFmtId="180" fontId="5" fillId="0" borderId="0" xfId="0" applyNumberFormat="1" applyFont="1"/>
    <xf numFmtId="0" fontId="5" fillId="0" borderId="2" xfId="0" applyFont="1" applyBorder="1"/>
    <xf numFmtId="177" fontId="5" fillId="2" borderId="0" xfId="0" applyNumberFormat="1" applyFont="1" applyFill="1"/>
    <xf numFmtId="176" fontId="5" fillId="0" borderId="3" xfId="0" applyNumberFormat="1" applyFont="1" applyBorder="1"/>
    <xf numFmtId="176" fontId="5" fillId="4" borderId="3" xfId="0" applyNumberFormat="1" applyFont="1" applyFill="1" applyBorder="1"/>
    <xf numFmtId="181" fontId="5" fillId="0" borderId="0" xfId="0" applyNumberFormat="1" applyFont="1"/>
    <xf numFmtId="0" fontId="3" fillId="5" borderId="0" xfId="0" applyFont="1" applyFill="1"/>
    <xf numFmtId="0" fontId="0" fillId="5" borderId="0" xfId="0" applyFill="1"/>
    <xf numFmtId="176" fontId="5" fillId="0" borderId="4" xfId="0" applyNumberFormat="1" applyFont="1" applyBorder="1"/>
    <xf numFmtId="0" fontId="6" fillId="2" borderId="1" xfId="0" applyFont="1" applyFill="1" applyBorder="1" applyAlignment="1">
      <alignment horizontal="center" wrapText="1"/>
    </xf>
    <xf numFmtId="0" fontId="4" fillId="0" borderId="5" xfId="0" applyFont="1" applyBorder="1"/>
    <xf numFmtId="3" fontId="5" fillId="0" borderId="5" xfId="0" applyNumberFormat="1" applyFont="1" applyBorder="1"/>
    <xf numFmtId="176" fontId="5" fillId="0" borderId="5" xfId="0" applyNumberFormat="1" applyFont="1" applyBorder="1"/>
    <xf numFmtId="0" fontId="5" fillId="0" borderId="5" xfId="0" applyFont="1" applyBorder="1"/>
    <xf numFmtId="0" fontId="6" fillId="3" borderId="0" xfId="0" applyFont="1" applyFill="1" applyAlignment="1">
      <alignment horizontal="center"/>
    </xf>
    <xf numFmtId="3" fontId="5" fillId="0" borderId="2" xfId="0" applyNumberFormat="1" applyFont="1" applyBorder="1"/>
    <xf numFmtId="176" fontId="5" fillId="0" borderId="6" xfId="0" applyNumberFormat="1" applyFont="1" applyBorder="1"/>
    <xf numFmtId="179" fontId="5" fillId="0" borderId="6" xfId="0" applyNumberFormat="1" applyFont="1" applyBorder="1"/>
    <xf numFmtId="177" fontId="5" fillId="0" borderId="6" xfId="0" applyNumberFormat="1" applyFont="1" applyBorder="1"/>
    <xf numFmtId="0" fontId="6" fillId="3" borderId="6" xfId="0" applyFont="1" applyFill="1" applyBorder="1" applyAlignment="1">
      <alignment horizontal="center" wrapText="1"/>
    </xf>
    <xf numFmtId="177" fontId="6" fillId="3" borderId="6" xfId="0" applyNumberFormat="1" applyFont="1" applyFill="1" applyBorder="1" applyAlignment="1">
      <alignment horizontal="center"/>
    </xf>
    <xf numFmtId="179" fontId="6" fillId="3" borderId="6" xfId="0" applyNumberFormat="1" applyFont="1" applyFill="1" applyBorder="1" applyAlignment="1">
      <alignment horizontal="center"/>
    </xf>
    <xf numFmtId="0" fontId="1" fillId="0" borderId="5" xfId="0" applyFont="1" applyBorder="1"/>
    <xf numFmtId="0" fontId="8" fillId="0" borderId="0" xfId="0" applyFont="1"/>
    <xf numFmtId="177" fontId="5" fillId="0" borderId="5" xfId="0" applyNumberFormat="1" applyFont="1" applyBorder="1"/>
    <xf numFmtId="0" fontId="3" fillId="6" borderId="0" xfId="0" applyFont="1" applyFill="1"/>
    <xf numFmtId="0" fontId="0" fillId="6" borderId="0" xfId="0" applyFill="1"/>
    <xf numFmtId="176" fontId="7" fillId="0" borderId="5" xfId="0" applyNumberFormat="1" applyFont="1" applyBorder="1"/>
    <xf numFmtId="0" fontId="3" fillId="7" borderId="0" xfId="0" applyFont="1" applyFill="1"/>
    <xf numFmtId="0" fontId="0" fillId="7" borderId="0" xfId="0" applyFill="1"/>
    <xf numFmtId="177" fontId="5" fillId="0" borderId="2" xfId="0" applyNumberFormat="1" applyFont="1" applyBorder="1"/>
    <xf numFmtId="0" fontId="3" fillId="8" borderId="0" xfId="0" applyFont="1" applyFill="1"/>
    <xf numFmtId="0" fontId="0" fillId="8" borderId="0" xfId="0" applyFill="1"/>
    <xf numFmtId="176" fontId="5" fillId="0" borderId="2" xfId="0" applyNumberFormat="1" applyFont="1" applyBorder="1"/>
    <xf numFmtId="182" fontId="5" fillId="0" borderId="2" xfId="0" applyNumberFormat="1" applyFont="1" applyBorder="1"/>
    <xf numFmtId="0" fontId="2" fillId="0" borderId="0" xfId="0" applyFont="1"/>
    <xf numFmtId="0" fontId="0" fillId="0" borderId="0" xfId="0"/>
    <xf numFmtId="0" fontId="1" fillId="0" borderId="0" xfId="0" applyFont="1"/>
  </cellXfs>
  <cellStyles count="1"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3366"/>
  </sheetPr>
  <dimension ref="B1:E31"/>
  <sheetViews>
    <sheetView tabSelected="1" workbookViewId="0">
      <selection activeCell="C10" sqref="C10"/>
    </sheetView>
  </sheetViews>
  <sheetFormatPr defaultRowHeight="13" x14ac:dyDescent="0.2"/>
  <cols>
    <col min="1" max="1" width="3" customWidth="1"/>
    <col min="2" max="2" width="30" customWidth="1"/>
    <col min="3" max="5" width="22" customWidth="1"/>
  </cols>
  <sheetData>
    <row r="1" spans="2:5" ht="14" x14ac:dyDescent="0.3">
      <c r="B1" s="53" t="s">
        <v>0</v>
      </c>
      <c r="C1" s="52"/>
      <c r="D1" s="52"/>
      <c r="E1" s="52"/>
    </row>
    <row r="3" spans="2:5" ht="18" x14ac:dyDescent="0.4">
      <c r="B3" s="51" t="s">
        <v>1</v>
      </c>
      <c r="C3" s="52"/>
      <c r="D3" s="52"/>
    </row>
    <row r="4" spans="2:5" ht="14" x14ac:dyDescent="0.3">
      <c r="B4" s="3" t="s">
        <v>2</v>
      </c>
    </row>
    <row r="6" spans="2:5" ht="14" x14ac:dyDescent="0.3">
      <c r="B6" s="4" t="s">
        <v>3</v>
      </c>
      <c r="C6" t="s">
        <v>4</v>
      </c>
    </row>
    <row r="7" spans="2:5" ht="14" x14ac:dyDescent="0.3">
      <c r="B7" s="4" t="s">
        <v>5</v>
      </c>
      <c r="C7" t="s">
        <v>6</v>
      </c>
    </row>
    <row r="8" spans="2:5" ht="14" x14ac:dyDescent="0.3">
      <c r="B8" s="4" t="s">
        <v>7</v>
      </c>
      <c r="C8" t="s">
        <v>8</v>
      </c>
    </row>
    <row r="9" spans="2:5" ht="14" x14ac:dyDescent="0.3">
      <c r="B9" s="4" t="s">
        <v>9</v>
      </c>
      <c r="C9" s="5">
        <v>2011</v>
      </c>
    </row>
    <row r="10" spans="2:5" ht="14" x14ac:dyDescent="0.3">
      <c r="B10" s="4" t="s">
        <v>10</v>
      </c>
      <c r="C10" s="5">
        <f>ROUND(AVERAGE(C16:C19),0)</f>
        <v>2772</v>
      </c>
    </row>
    <row r="11" spans="2:5" ht="14" x14ac:dyDescent="0.3">
      <c r="B11" s="4" t="s">
        <v>11</v>
      </c>
      <c r="C11" s="6" t="str">
        <f>IF(C12&gt;0.15,"BUY",IF(C12&gt;0.05,"HOLD","SELL"))</f>
        <v>BUY</v>
      </c>
    </row>
    <row r="12" spans="2:5" ht="14" x14ac:dyDescent="0.3">
      <c r="B12" s="4" t="s">
        <v>12</v>
      </c>
      <c r="C12" s="7">
        <f>(C10-C9)/C9</f>
        <v>0.37841869716558924</v>
      </c>
    </row>
    <row r="14" spans="2:5" ht="14" x14ac:dyDescent="0.3">
      <c r="B14" s="8" t="s">
        <v>13</v>
      </c>
      <c r="C14" s="9"/>
      <c r="D14" s="9"/>
    </row>
    <row r="15" spans="2:5" ht="14" x14ac:dyDescent="0.3">
      <c r="B15" s="10" t="s">
        <v>14</v>
      </c>
      <c r="C15" s="10" t="s">
        <v>15</v>
      </c>
      <c r="D15" s="10" t="s">
        <v>16</v>
      </c>
    </row>
    <row r="16" spans="2:5" ht="13.5" x14ac:dyDescent="0.25">
      <c r="B16" t="s">
        <v>17</v>
      </c>
      <c r="C16" s="11">
        <f>'DCF Model'!C55</f>
        <v>2860</v>
      </c>
      <c r="D16" s="7">
        <f>(C16-C9)/C9</f>
        <v>0.42217802088513179</v>
      </c>
    </row>
    <row r="17" spans="2:4" ht="13.5" x14ac:dyDescent="0.25">
      <c r="B17" t="s">
        <v>18</v>
      </c>
      <c r="C17" s="11">
        <f>'DCF Model'!C64</f>
        <v>3757</v>
      </c>
      <c r="D17" s="7">
        <f>(C17-C9)/C9</f>
        <v>0.86822476379910496</v>
      </c>
    </row>
    <row r="18" spans="2:4" ht="13.5" x14ac:dyDescent="0.25">
      <c r="B18" t="s">
        <v>19</v>
      </c>
      <c r="C18" s="11">
        <f>'Comps Analysis'!C27</f>
        <v>2450</v>
      </c>
      <c r="D18" s="7">
        <f>(C18-C9)/C9</f>
        <v>0.21829935355544505</v>
      </c>
    </row>
    <row r="19" spans="2:4" ht="13.5" x14ac:dyDescent="0.25">
      <c r="B19" t="s">
        <v>20</v>
      </c>
      <c r="C19" s="11">
        <f>'Comps Analysis'!C28</f>
        <v>2021</v>
      </c>
      <c r="D19" s="7">
        <f>(C19-C9)/C9</f>
        <v>4.9726504226752857E-3</v>
      </c>
    </row>
    <row r="21" spans="2:4" ht="14" x14ac:dyDescent="0.3">
      <c r="B21" s="4" t="s">
        <v>21</v>
      </c>
      <c r="C21" s="6" t="str">
        <f>MIN(C16:C19)&amp;" - "&amp;MAX(C16:C19)</f>
        <v>2021 - 3757</v>
      </c>
    </row>
    <row r="23" spans="2:4" ht="14" x14ac:dyDescent="0.3">
      <c r="B23" s="8" t="s">
        <v>22</v>
      </c>
      <c r="C23" s="9"/>
      <c r="D23" s="9"/>
    </row>
    <row r="24" spans="2:4" x14ac:dyDescent="0.2">
      <c r="B24" t="s">
        <v>23</v>
      </c>
    </row>
    <row r="25" spans="2:4" x14ac:dyDescent="0.2">
      <c r="B25" t="s">
        <v>24</v>
      </c>
    </row>
    <row r="26" spans="2:4" x14ac:dyDescent="0.2">
      <c r="B26" t="s">
        <v>25</v>
      </c>
    </row>
    <row r="28" spans="2:4" ht="14" x14ac:dyDescent="0.3">
      <c r="B28" s="8" t="s">
        <v>26</v>
      </c>
      <c r="C28" s="9"/>
      <c r="D28" s="9"/>
    </row>
    <row r="29" spans="2:4" x14ac:dyDescent="0.2">
      <c r="B29" t="s">
        <v>27</v>
      </c>
    </row>
    <row r="30" spans="2:4" x14ac:dyDescent="0.2">
      <c r="B30" t="s">
        <v>28</v>
      </c>
    </row>
    <row r="31" spans="2:4" x14ac:dyDescent="0.2">
      <c r="B31" t="s">
        <v>29</v>
      </c>
    </row>
  </sheetData>
  <mergeCells count="2">
    <mergeCell ref="B3:D3"/>
    <mergeCell ref="B1:E1"/>
  </mergeCells>
  <phoneticPr fontId="9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3366"/>
  </sheetPr>
  <dimension ref="B2:G28"/>
  <sheetViews>
    <sheetView workbookViewId="0"/>
  </sheetViews>
  <sheetFormatPr defaultRowHeight="13" x14ac:dyDescent="0.2"/>
  <cols>
    <col min="1" max="1" width="3" customWidth="1"/>
    <col min="2" max="2" width="32" customWidth="1"/>
    <col min="3" max="7" width="18" customWidth="1"/>
  </cols>
  <sheetData>
    <row r="2" spans="2:7" ht="18" x14ac:dyDescent="0.4">
      <c r="B2" s="2" t="s">
        <v>30</v>
      </c>
    </row>
    <row r="4" spans="2:7" ht="14" x14ac:dyDescent="0.3">
      <c r="C4" s="10" t="s">
        <v>31</v>
      </c>
      <c r="D4" s="10" t="s">
        <v>32</v>
      </c>
      <c r="E4" s="10" t="s">
        <v>33</v>
      </c>
      <c r="F4" s="10" t="s">
        <v>34</v>
      </c>
      <c r="G4" s="10" t="s">
        <v>35</v>
      </c>
    </row>
    <row r="5" spans="2:7" ht="14" x14ac:dyDescent="0.3">
      <c r="B5" s="3" t="s">
        <v>36</v>
      </c>
    </row>
    <row r="6" spans="2:7" ht="14" x14ac:dyDescent="0.3">
      <c r="B6" s="4" t="s">
        <v>37</v>
      </c>
      <c r="C6" s="5">
        <v>20785.261999999999</v>
      </c>
      <c r="D6" s="5">
        <v>21798.077000000001</v>
      </c>
      <c r="E6" s="5">
        <v>22848.129000000001</v>
      </c>
      <c r="F6" s="5">
        <v>23998.562000000002</v>
      </c>
      <c r="G6" s="5">
        <v>24599.166000000001</v>
      </c>
    </row>
    <row r="7" spans="2:7" ht="14" x14ac:dyDescent="0.3">
      <c r="B7" s="4" t="s">
        <v>38</v>
      </c>
      <c r="C7" s="5">
        <v>15524.609</v>
      </c>
      <c r="D7" s="5">
        <v>16231.035</v>
      </c>
      <c r="E7" s="5">
        <v>16853.21</v>
      </c>
      <c r="F7" s="5">
        <v>17407.88</v>
      </c>
      <c r="G7" s="5">
        <v>17821.474999999999</v>
      </c>
    </row>
    <row r="8" spans="2:7" ht="14" x14ac:dyDescent="0.3">
      <c r="B8" s="4" t="s">
        <v>39</v>
      </c>
      <c r="C8" s="5">
        <f>C6-C7</f>
        <v>5260.6529999999984</v>
      </c>
      <c r="D8" s="5">
        <f>D6-D7</f>
        <v>5567.0420000000013</v>
      </c>
      <c r="E8" s="5">
        <f>E6-E7</f>
        <v>5994.9190000000017</v>
      </c>
      <c r="F8" s="5">
        <f>F6-F7</f>
        <v>6590.6820000000007</v>
      </c>
      <c r="G8" s="5">
        <f>G6-G7</f>
        <v>6777.6910000000025</v>
      </c>
    </row>
    <row r="9" spans="2:7" ht="13.5" x14ac:dyDescent="0.25">
      <c r="B9" t="s">
        <v>40</v>
      </c>
      <c r="C9" s="7">
        <f>C8/C6</f>
        <v>0.25309534226703512</v>
      </c>
      <c r="D9" s="7">
        <f>D8/D6</f>
        <v>0.25539142741811588</v>
      </c>
      <c r="E9" s="7">
        <f>E8/E6</f>
        <v>0.26238117790739018</v>
      </c>
      <c r="F9" s="7">
        <f>F8/F6</f>
        <v>0.27462820480660466</v>
      </c>
      <c r="G9" s="7">
        <f>G8/G6</f>
        <v>0.27552523528643214</v>
      </c>
    </row>
    <row r="10" spans="2:7" ht="14" x14ac:dyDescent="0.3">
      <c r="B10" s="4" t="s">
        <v>41</v>
      </c>
      <c r="C10" s="5">
        <v>3228.5680000000002</v>
      </c>
      <c r="D10" s="5">
        <v>3199.384</v>
      </c>
      <c r="E10" s="5">
        <v>3251.0509999999999</v>
      </c>
      <c r="F10" s="5">
        <v>3450.098</v>
      </c>
      <c r="G10" s="5">
        <v>3602.2289999999998</v>
      </c>
    </row>
    <row r="11" spans="2:7" ht="14" x14ac:dyDescent="0.3">
      <c r="B11" s="4" t="s">
        <v>42</v>
      </c>
      <c r="C11" s="5">
        <v>2032.0840000000001</v>
      </c>
      <c r="D11" s="5">
        <v>2367.6579999999999</v>
      </c>
      <c r="E11" s="5">
        <v>2743.8670000000002</v>
      </c>
      <c r="F11" s="5">
        <v>3140.5830000000001</v>
      </c>
      <c r="G11" s="5">
        <v>3175.462</v>
      </c>
    </row>
    <row r="12" spans="2:7" ht="14" x14ac:dyDescent="0.3">
      <c r="B12" s="4" t="s">
        <v>43</v>
      </c>
      <c r="C12" s="5">
        <v>1423.3579999999999</v>
      </c>
      <c r="D12" s="5">
        <v>1622.7159999999999</v>
      </c>
      <c r="E12" s="5">
        <v>1968.404</v>
      </c>
      <c r="F12" s="5">
        <v>2270.7040000000002</v>
      </c>
      <c r="G12" s="5">
        <v>2242.34</v>
      </c>
    </row>
    <row r="13" spans="2:7" ht="13.5" x14ac:dyDescent="0.25">
      <c r="B13" t="s">
        <v>44</v>
      </c>
      <c r="C13" s="7">
        <f>C11/C6</f>
        <v>9.7765618735044094E-2</v>
      </c>
      <c r="D13" s="7">
        <f>D11/D6</f>
        <v>0.1086177464186405</v>
      </c>
      <c r="E13" s="7">
        <f>E11/E6</f>
        <v>0.12009154009941034</v>
      </c>
      <c r="F13" s="7">
        <f>F11/F6</f>
        <v>0.13086546602250584</v>
      </c>
      <c r="G13" s="7">
        <f>G11/G6</f>
        <v>0.12908819754295733</v>
      </c>
    </row>
    <row r="14" spans="2:7" ht="13.5" x14ac:dyDescent="0.25">
      <c r="B14" t="s">
        <v>45</v>
      </c>
      <c r="C14" s="7">
        <f>C12/C6</f>
        <v>6.8479194536975291E-2</v>
      </c>
      <c r="D14" s="7">
        <f>D12/D6</f>
        <v>7.4443080460721373E-2</v>
      </c>
      <c r="E14" s="7">
        <f>E12/E6</f>
        <v>8.615164944140502E-2</v>
      </c>
      <c r="F14" s="7">
        <f>F12/F6</f>
        <v>9.4618335881958268E-2</v>
      </c>
      <c r="G14" s="7">
        <f>G12/G6</f>
        <v>9.1155122901321134E-2</v>
      </c>
    </row>
    <row r="15" spans="2:7" ht="13.5" x14ac:dyDescent="0.25">
      <c r="B15" t="s">
        <v>46</v>
      </c>
      <c r="C15" t="s">
        <v>47</v>
      </c>
      <c r="D15" s="7">
        <f>(D6-C6)/C6</f>
        <v>4.8727555130168791E-2</v>
      </c>
      <c r="E15" s="7">
        <f>(E6-D6)/D6</f>
        <v>4.8171772216420723E-2</v>
      </c>
      <c r="F15" s="7">
        <f>(F6-E6)/E6</f>
        <v>5.0351300099890056E-2</v>
      </c>
      <c r="G15" s="7">
        <f>(G6-F6)/F6</f>
        <v>2.5026666181081989E-2</v>
      </c>
    </row>
    <row r="16" spans="2:7" ht="13.5" x14ac:dyDescent="0.25">
      <c r="B16" t="s">
        <v>48</v>
      </c>
      <c r="C16" t="s">
        <v>47</v>
      </c>
      <c r="D16" s="7">
        <f>(D11-C11)/C11</f>
        <v>0.16513785847435433</v>
      </c>
      <c r="E16" s="7">
        <f>(E11-D11)/D11</f>
        <v>0.15889499243556304</v>
      </c>
      <c r="F16" s="7">
        <f>(F11-E11)/E11</f>
        <v>0.14458280958953182</v>
      </c>
      <c r="G16" s="7">
        <f>(G11-F11)/F11</f>
        <v>1.1105899764470451E-2</v>
      </c>
    </row>
    <row r="18" spans="2:7" ht="14" x14ac:dyDescent="0.3">
      <c r="B18" s="3" t="s">
        <v>49</v>
      </c>
    </row>
    <row r="19" spans="2:7" ht="14" x14ac:dyDescent="0.3">
      <c r="B19" s="4" t="s">
        <v>50</v>
      </c>
      <c r="C19" s="5">
        <v>1851.105</v>
      </c>
      <c r="D19" s="5">
        <v>1799.231</v>
      </c>
      <c r="E19" s="5">
        <v>1943.7950000000001</v>
      </c>
      <c r="F19" s="5">
        <v>2190.0940000000001</v>
      </c>
      <c r="G19" s="5">
        <v>2372.799</v>
      </c>
    </row>
    <row r="20" spans="2:7" ht="14" x14ac:dyDescent="0.3">
      <c r="B20" s="4" t="s">
        <v>51</v>
      </c>
      <c r="C20" s="5">
        <v>93.543000000000006</v>
      </c>
      <c r="D20" s="5">
        <v>72.084000000000003</v>
      </c>
      <c r="E20" s="5">
        <v>85.454999999999998</v>
      </c>
      <c r="F20" s="5">
        <v>93.4</v>
      </c>
      <c r="G20" s="5">
        <v>95.32</v>
      </c>
    </row>
    <row r="21" spans="2:7" ht="14" x14ac:dyDescent="0.3">
      <c r="B21" s="4" t="s">
        <v>52</v>
      </c>
      <c r="C21" s="5">
        <f>C19-C20</f>
        <v>1757.5619999999999</v>
      </c>
      <c r="D21" s="5">
        <f>D19-D20</f>
        <v>1727.1469999999999</v>
      </c>
      <c r="E21" s="5">
        <f>E19-E20</f>
        <v>1858.3400000000001</v>
      </c>
      <c r="F21" s="5">
        <f>F19-F20</f>
        <v>2096.694</v>
      </c>
      <c r="G21" s="5">
        <f>G19-G20</f>
        <v>2277.4789999999998</v>
      </c>
    </row>
    <row r="22" spans="2:7" ht="13.5" x14ac:dyDescent="0.25">
      <c r="B22" t="s">
        <v>53</v>
      </c>
      <c r="C22" s="7">
        <f>C21/C6</f>
        <v>8.4558087360168954E-2</v>
      </c>
      <c r="D22" s="7">
        <f>D21/D6</f>
        <v>7.9233915909187769E-2</v>
      </c>
      <c r="E22" s="7">
        <f>E21/E6</f>
        <v>8.1334449748598672E-2</v>
      </c>
      <c r="F22" s="7">
        <f>F21/F6</f>
        <v>8.7367484768462372E-2</v>
      </c>
      <c r="G22" s="7">
        <f>G21/G6</f>
        <v>9.258358596384933E-2</v>
      </c>
    </row>
    <row r="23" spans="2:7" ht="13.5" x14ac:dyDescent="0.25">
      <c r="B23" t="s">
        <v>54</v>
      </c>
      <c r="C23" s="7">
        <f>C20/C6</f>
        <v>4.5004484427475589E-3</v>
      </c>
      <c r="D23" s="7">
        <f>D20/D6</f>
        <v>3.3068972093272266E-3</v>
      </c>
      <c r="E23" s="7">
        <f>E20/E6</f>
        <v>3.7401311941122179E-3</v>
      </c>
      <c r="F23" s="7">
        <f>F20/F6</f>
        <v>3.8918998563330586E-3</v>
      </c>
      <c r="G23" s="7">
        <f>G20/G6</f>
        <v>3.8749281174817059E-3</v>
      </c>
    </row>
    <row r="25" spans="2:7" ht="14" x14ac:dyDescent="0.3">
      <c r="B25" s="3" t="s">
        <v>55</v>
      </c>
    </row>
    <row r="26" spans="2:7" ht="14" x14ac:dyDescent="0.3">
      <c r="B26" s="4" t="s">
        <v>56</v>
      </c>
      <c r="C26" s="5">
        <v>3636.2190000000001</v>
      </c>
      <c r="D26" s="5">
        <v>4700.2349999999997</v>
      </c>
      <c r="E26" s="5">
        <v>5586.9340000000002</v>
      </c>
      <c r="F26" s="5">
        <v>6300.0749999999998</v>
      </c>
      <c r="G26" s="5">
        <v>7586.0709999999999</v>
      </c>
    </row>
    <row r="27" spans="2:7" ht="14" x14ac:dyDescent="0.3">
      <c r="B27" s="4" t="s">
        <v>57</v>
      </c>
      <c r="C27" s="5">
        <v>2109.6999999999998</v>
      </c>
      <c r="D27" s="5">
        <v>1963.6</v>
      </c>
      <c r="E27" s="5">
        <v>1812</v>
      </c>
      <c r="F27" s="5">
        <v>1734.8</v>
      </c>
      <c r="G27" s="5">
        <v>1412.4</v>
      </c>
    </row>
    <row r="28" spans="2:7" ht="14" x14ac:dyDescent="0.3">
      <c r="B28" s="4" t="s">
        <v>58</v>
      </c>
      <c r="C28" s="5">
        <f>C27-C26</f>
        <v>-1526.5190000000002</v>
      </c>
      <c r="D28" s="5">
        <f>D27-D26</f>
        <v>-2736.6349999999998</v>
      </c>
      <c r="E28" s="5">
        <f>E27-E26</f>
        <v>-3774.9340000000002</v>
      </c>
      <c r="F28" s="5">
        <f>F27-F26</f>
        <v>-4565.2749999999996</v>
      </c>
      <c r="G28" s="5">
        <f>G27-G26</f>
        <v>-6173.6710000000003</v>
      </c>
    </row>
  </sheetData>
  <phoneticPr fontId="9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6600"/>
  </sheetPr>
  <dimension ref="B2:G66"/>
  <sheetViews>
    <sheetView topLeftCell="B23" workbookViewId="0">
      <selection activeCell="C9" sqref="C9"/>
    </sheetView>
  </sheetViews>
  <sheetFormatPr defaultRowHeight="13" x14ac:dyDescent="0.2"/>
  <cols>
    <col min="1" max="1" width="3" customWidth="1"/>
    <col min="2" max="2" width="32" customWidth="1"/>
    <col min="3" max="7" width="16" customWidth="1"/>
  </cols>
  <sheetData>
    <row r="2" spans="2:7" ht="18" x14ac:dyDescent="0.4">
      <c r="B2" s="2" t="s">
        <v>59</v>
      </c>
    </row>
    <row r="4" spans="2:7" ht="14" x14ac:dyDescent="0.3">
      <c r="B4" s="8" t="s">
        <v>60</v>
      </c>
      <c r="C4" s="9"/>
      <c r="D4" s="9"/>
      <c r="E4" s="9"/>
      <c r="F4" s="9"/>
      <c r="G4" s="9"/>
    </row>
    <row r="5" spans="2:7" ht="14" x14ac:dyDescent="0.3">
      <c r="B5" s="4" t="s">
        <v>54</v>
      </c>
      <c r="C5" s="7">
        <v>4.1668079316184948E-3</v>
      </c>
    </row>
    <row r="6" spans="2:7" ht="14" x14ac:dyDescent="0.3">
      <c r="B6" s="4" t="s">
        <v>61</v>
      </c>
      <c r="C6" s="7">
        <v>0.30499999999999999</v>
      </c>
    </row>
    <row r="7" spans="2:7" ht="14" x14ac:dyDescent="0.3">
      <c r="B7" s="4" t="s">
        <v>62</v>
      </c>
      <c r="C7" s="7">
        <v>2.1999999999999999E-2</v>
      </c>
    </row>
    <row r="8" spans="2:7" ht="14" x14ac:dyDescent="0.3">
      <c r="B8" s="4" t="s">
        <v>63</v>
      </c>
      <c r="C8" s="12">
        <v>0.88</v>
      </c>
    </row>
    <row r="9" spans="2:7" ht="14" x14ac:dyDescent="0.3">
      <c r="B9" s="4" t="s">
        <v>64</v>
      </c>
      <c r="C9" s="7">
        <v>6.5000000000000002E-2</v>
      </c>
    </row>
    <row r="10" spans="2:7" ht="14" x14ac:dyDescent="0.3">
      <c r="B10" s="4" t="s">
        <v>65</v>
      </c>
      <c r="C10" s="7">
        <v>0.04</v>
      </c>
    </row>
    <row r="11" spans="2:7" ht="14" x14ac:dyDescent="0.3">
      <c r="B11" s="4" t="s">
        <v>66</v>
      </c>
      <c r="C11" s="7">
        <v>5.0000000000000001E-3</v>
      </c>
    </row>
    <row r="12" spans="2:7" ht="14" x14ac:dyDescent="0.3">
      <c r="B12" s="4" t="s">
        <v>67</v>
      </c>
      <c r="C12" s="13">
        <v>0</v>
      </c>
    </row>
    <row r="13" spans="2:7" ht="14" x14ac:dyDescent="0.3">
      <c r="B13" s="4" t="s">
        <v>68</v>
      </c>
      <c r="C13" s="7">
        <v>0.02</v>
      </c>
    </row>
    <row r="14" spans="2:7" ht="14" x14ac:dyDescent="0.3">
      <c r="B14" s="4" t="s">
        <v>69</v>
      </c>
      <c r="C14" s="14">
        <v>10</v>
      </c>
    </row>
    <row r="15" spans="2:7" ht="14" x14ac:dyDescent="0.3">
      <c r="B15" s="4" t="s">
        <v>70</v>
      </c>
      <c r="C15" s="15">
        <v>14368501</v>
      </c>
    </row>
    <row r="16" spans="2:7" ht="14" x14ac:dyDescent="0.3">
      <c r="B16" s="4" t="s">
        <v>71</v>
      </c>
      <c r="C16" s="5">
        <v>-7296.8</v>
      </c>
    </row>
    <row r="17" spans="2:7" ht="14" x14ac:dyDescent="0.3">
      <c r="B17" s="4" t="s">
        <v>72</v>
      </c>
      <c r="C17" s="5">
        <v>24599.166000000001</v>
      </c>
    </row>
    <row r="18" spans="2:7" ht="14" x14ac:dyDescent="0.3">
      <c r="B18" s="4" t="s">
        <v>73</v>
      </c>
      <c r="C18" s="7">
        <v>8.5876895176039709E-3</v>
      </c>
    </row>
    <row r="19" spans="2:7" ht="14" x14ac:dyDescent="0.3">
      <c r="B19" s="4" t="s">
        <v>74</v>
      </c>
      <c r="C19" s="12">
        <v>0.25</v>
      </c>
    </row>
    <row r="20" spans="2:7" ht="14" x14ac:dyDescent="0.3">
      <c r="B20" s="4" t="s">
        <v>75</v>
      </c>
      <c r="C20" s="5">
        <v>24599</v>
      </c>
    </row>
    <row r="22" spans="2:7" ht="14" x14ac:dyDescent="0.3">
      <c r="B22" s="8" t="s">
        <v>76</v>
      </c>
      <c r="C22" s="9"/>
      <c r="D22" s="9"/>
      <c r="E22" s="9"/>
      <c r="F22" s="9"/>
      <c r="G22" s="9"/>
    </row>
    <row r="23" spans="2:7" ht="14" x14ac:dyDescent="0.3">
      <c r="B23" s="4" t="s">
        <v>77</v>
      </c>
      <c r="C23" s="16">
        <f>C7+C8*C9+C10</f>
        <v>0.1192</v>
      </c>
    </row>
    <row r="24" spans="2:7" ht="14" x14ac:dyDescent="0.3">
      <c r="B24" s="4" t="s">
        <v>78</v>
      </c>
      <c r="C24" s="16">
        <f>1/(1+C12)</f>
        <v>1</v>
      </c>
    </row>
    <row r="25" spans="2:7" ht="14" x14ac:dyDescent="0.3">
      <c r="B25" s="4" t="s">
        <v>79</v>
      </c>
      <c r="C25" s="16">
        <f>C12/(1+C12)</f>
        <v>0</v>
      </c>
    </row>
    <row r="26" spans="2:7" ht="14" x14ac:dyDescent="0.3">
      <c r="B26" s="4" t="s">
        <v>80</v>
      </c>
      <c r="C26" s="16">
        <f>C23*C24+C11*C25</f>
        <v>0.1192</v>
      </c>
    </row>
    <row r="27" spans="2:7" ht="14" x14ac:dyDescent="0.3">
      <c r="B27" s="4" t="s">
        <v>81</v>
      </c>
      <c r="C27" s="17" t="s">
        <v>82</v>
      </c>
      <c r="D27" s="6">
        <f>MATCH(C27,{"Base","Upside","Management","Downside 1","Downside 2"},0)</f>
        <v>1</v>
      </c>
    </row>
    <row r="28" spans="2:7" ht="14" x14ac:dyDescent="0.3">
      <c r="B28" s="8" t="s">
        <v>83</v>
      </c>
      <c r="C28" s="9"/>
      <c r="D28" s="9"/>
      <c r="E28" s="9"/>
      <c r="F28" s="9"/>
      <c r="G28" s="9"/>
    </row>
    <row r="29" spans="2:7" ht="14" x14ac:dyDescent="0.3">
      <c r="C29" s="10" t="s">
        <v>84</v>
      </c>
      <c r="D29" s="10" t="s">
        <v>85</v>
      </c>
      <c r="E29" s="10" t="s">
        <v>86</v>
      </c>
      <c r="F29" s="10" t="s">
        <v>87</v>
      </c>
      <c r="G29" s="10" t="s">
        <v>88</v>
      </c>
    </row>
    <row r="30" spans="2:7" ht="14" x14ac:dyDescent="0.3">
      <c r="B30" s="4" t="s">
        <v>46</v>
      </c>
      <c r="C30" s="18">
        <f>(C33/C17)-1</f>
        <v>9.7590552460193214E-2</v>
      </c>
      <c r="D30" s="18">
        <f>(D33/C33)-1</f>
        <v>0.10372420611688549</v>
      </c>
      <c r="E30" s="18">
        <f>(E33/D33)-1</f>
        <v>8.7232205206736912E-2</v>
      </c>
      <c r="F30" s="18">
        <f>(F33/E33)-1</f>
        <v>8.0234101309821115E-2</v>
      </c>
      <c r="G30" s="18">
        <f>(G33/F33)-1</f>
        <v>3.9993237298210138E-2</v>
      </c>
    </row>
    <row r="31" spans="2:7" ht="14" x14ac:dyDescent="0.3">
      <c r="B31" s="4" t="s">
        <v>89</v>
      </c>
      <c r="C31" s="18">
        <f>CHOOSE($D$27,'Segment Analysis'!F79,'Segment Analysis'!F80,'Segment Analysis'!F81,'Segment Analysis'!F82,'Segment Analysis'!F83)</f>
        <v>0.72450000000000003</v>
      </c>
      <c r="D31" s="18">
        <f>CHOOSE($D$27,'Segment Analysis'!G79,'Segment Analysis'!G80,'Segment Analysis'!G81,'Segment Analysis'!G82,'Segment Analysis'!G83)</f>
        <v>0.72450000000000003</v>
      </c>
      <c r="E31" s="18">
        <f>CHOOSE($D$27,'Segment Analysis'!H79,'Segment Analysis'!H80,'Segment Analysis'!H81,'Segment Analysis'!H82,'Segment Analysis'!H83)</f>
        <v>0.72450000000000003</v>
      </c>
      <c r="F31" s="18">
        <f>CHOOSE($D$27,'Segment Analysis'!I79,'Segment Analysis'!I80,'Segment Analysis'!I81,'Segment Analysis'!I82,'Segment Analysis'!I83)</f>
        <v>0.72450000000000003</v>
      </c>
      <c r="G31" s="18">
        <f>CHOOSE($D$27,'Segment Analysis'!J79,'Segment Analysis'!J80,'Segment Analysis'!J81,'Segment Analysis'!J82,'Segment Analysis'!J83)</f>
        <v>0.72450000000000003</v>
      </c>
    </row>
    <row r="32" spans="2:7" ht="14" x14ac:dyDescent="0.3">
      <c r="B32" s="4" t="s">
        <v>90</v>
      </c>
      <c r="C32" s="18">
        <f>CHOOSE($D$27,'Segment Analysis'!F86,'Segment Analysis'!F87,'Segment Analysis'!F88,'Segment Analysis'!F89,'Segment Analysis'!F90)</f>
        <v>0.13300000000000001</v>
      </c>
      <c r="D32" s="18">
        <f>CHOOSE($D$27,'Segment Analysis'!G86,'Segment Analysis'!G87,'Segment Analysis'!G88,'Segment Analysis'!G89,'Segment Analysis'!G90)</f>
        <v>0.13</v>
      </c>
      <c r="E32" s="18">
        <f>CHOOSE($D$27,'Segment Analysis'!H86,'Segment Analysis'!H87,'Segment Analysis'!H88,'Segment Analysis'!H89,'Segment Analysis'!H90)</f>
        <v>0.128</v>
      </c>
      <c r="F32" s="18">
        <f>CHOOSE($D$27,'Segment Analysis'!I86,'Segment Analysis'!I87,'Segment Analysis'!I88,'Segment Analysis'!I89,'Segment Analysis'!I90)</f>
        <v>0.126</v>
      </c>
      <c r="G32" s="18">
        <f>CHOOSE($D$27,'Segment Analysis'!J86,'Segment Analysis'!J87,'Segment Analysis'!J88,'Segment Analysis'!J89,'Segment Analysis'!J90)</f>
        <v>0.125</v>
      </c>
    </row>
    <row r="33" spans="2:7" ht="14" x14ac:dyDescent="0.3">
      <c r="B33" s="4" t="s">
        <v>37</v>
      </c>
      <c r="C33" s="5">
        <f>'Segment Analysis'!F21</f>
        <v>26999.8122</v>
      </c>
      <c r="D33" s="5">
        <f>'Segment Analysis'!G21</f>
        <v>29800.346285750002</v>
      </c>
      <c r="E33" s="5">
        <f>'Segment Analysis'!H21</f>
        <v>32399.896208180369</v>
      </c>
      <c r="F33" s="5">
        <f>'Segment Analysis'!I21</f>
        <v>34999.472762975201</v>
      </c>
      <c r="G33" s="5">
        <f>'Segment Analysis'!J21</f>
        <v>36399.214982497113</v>
      </c>
    </row>
    <row r="34" spans="2:7" ht="14" x14ac:dyDescent="0.3">
      <c r="B34" s="4" t="s">
        <v>38</v>
      </c>
      <c r="C34" s="5">
        <f>C33*C31</f>
        <v>19561.363938900002</v>
      </c>
      <c r="D34" s="5">
        <f>D33*D31</f>
        <v>21590.350884025876</v>
      </c>
      <c r="E34" s="5">
        <f>E33*E31</f>
        <v>23473.72480282668</v>
      </c>
      <c r="F34" s="5">
        <f>F33*F31</f>
        <v>25357.118016775534</v>
      </c>
      <c r="G34" s="5">
        <f>G33*G31</f>
        <v>26371.231254819158</v>
      </c>
    </row>
    <row r="35" spans="2:7" ht="14" x14ac:dyDescent="0.3">
      <c r="B35" s="4" t="s">
        <v>39</v>
      </c>
      <c r="C35" s="19">
        <f>C33-C34</f>
        <v>7438.4482610999985</v>
      </c>
      <c r="D35" s="19">
        <f>D33-D34</f>
        <v>8209.9954017241253</v>
      </c>
      <c r="E35" s="19">
        <f>E33-E34</f>
        <v>8926.1714053536889</v>
      </c>
      <c r="F35" s="19">
        <f>F33-F34</f>
        <v>9642.3547461996677</v>
      </c>
      <c r="G35" s="19">
        <f>G33-G34</f>
        <v>10027.983727677954</v>
      </c>
    </row>
    <row r="36" spans="2:7" ht="14" x14ac:dyDescent="0.3">
      <c r="B36" s="4" t="s">
        <v>40</v>
      </c>
      <c r="C36" s="7">
        <f>C35/C33</f>
        <v>0.27549999999999997</v>
      </c>
      <c r="D36" s="7">
        <f>D35/D33</f>
        <v>0.27549999999999997</v>
      </c>
      <c r="E36" s="7">
        <f>E35/E33</f>
        <v>0.27549999999999991</v>
      </c>
      <c r="F36" s="7">
        <f>F35/F33</f>
        <v>0.27549999999999997</v>
      </c>
      <c r="G36" s="7">
        <f>G35/G33</f>
        <v>0.27550000000000002</v>
      </c>
    </row>
    <row r="37" spans="2:7" ht="14" x14ac:dyDescent="0.3">
      <c r="B37" s="4" t="s">
        <v>91</v>
      </c>
      <c r="C37" s="5">
        <f>C33*C32</f>
        <v>3590.9750226000001</v>
      </c>
      <c r="D37" s="5">
        <f>D33*D32</f>
        <v>3874.0450171475004</v>
      </c>
      <c r="E37" s="5">
        <f>E33*E32</f>
        <v>4147.1867146470877</v>
      </c>
      <c r="F37" s="5">
        <f>F33*F32</f>
        <v>4409.9335681348757</v>
      </c>
      <c r="G37" s="5">
        <f>G33*G32</f>
        <v>4549.9018728121391</v>
      </c>
    </row>
    <row r="38" spans="2:7" ht="14" x14ac:dyDescent="0.3">
      <c r="B38" s="4" t="s">
        <v>92</v>
      </c>
      <c r="C38" s="7">
        <f>C39/C33</f>
        <v>0.14249999999999993</v>
      </c>
      <c r="D38" s="7">
        <f>D39/D33</f>
        <v>0.14549999999999999</v>
      </c>
      <c r="E38" s="7">
        <f>E39/E33</f>
        <v>0.14749999999999991</v>
      </c>
      <c r="F38" s="7">
        <f>F39/F33</f>
        <v>0.14949999999999999</v>
      </c>
      <c r="G38" s="7">
        <f>G39/G33</f>
        <v>0.15049999999999999</v>
      </c>
    </row>
    <row r="39" spans="2:7" ht="14" x14ac:dyDescent="0.3">
      <c r="B39" s="4" t="s">
        <v>93</v>
      </c>
      <c r="C39" s="19">
        <f>C35-C37</f>
        <v>3847.4732384999984</v>
      </c>
      <c r="D39" s="19">
        <f>D35-D37</f>
        <v>4335.9503845766249</v>
      </c>
      <c r="E39" s="19">
        <f>E35-E37</f>
        <v>4778.9846907066012</v>
      </c>
      <c r="F39" s="19">
        <f>F35-F37</f>
        <v>5232.421178064792</v>
      </c>
      <c r="G39" s="19">
        <f>G35-G37</f>
        <v>5478.0818548658153</v>
      </c>
    </row>
    <row r="40" spans="2:7" ht="14" x14ac:dyDescent="0.3">
      <c r="B40" s="4" t="s">
        <v>94</v>
      </c>
      <c r="C40" s="5">
        <f>MAX(0,C39*C6)</f>
        <v>1173.4793377424994</v>
      </c>
      <c r="D40" s="5">
        <f>MAX(0,D39*C6)</f>
        <v>1322.4648672958706</v>
      </c>
      <c r="E40" s="5">
        <f>MAX(0,E39*C6)</f>
        <v>1457.5903306655134</v>
      </c>
      <c r="F40" s="5">
        <f>MAX(0,F39*C6)</f>
        <v>1595.8884593097616</v>
      </c>
      <c r="G40" s="5">
        <f>MAX(0,G39*C6)</f>
        <v>1670.8149657340737</v>
      </c>
    </row>
    <row r="41" spans="2:7" ht="14" x14ac:dyDescent="0.3">
      <c r="B41" s="4" t="s">
        <v>95</v>
      </c>
      <c r="C41" s="19">
        <f>C39-C40</f>
        <v>2673.993900757499</v>
      </c>
      <c r="D41" s="19">
        <f>D39-D40</f>
        <v>3013.4855172807543</v>
      </c>
      <c r="E41" s="19">
        <f>E39-E40</f>
        <v>3321.3943600410876</v>
      </c>
      <c r="F41" s="19">
        <f>F39-F40</f>
        <v>3636.5327187550301</v>
      </c>
      <c r="G41" s="19">
        <f>G39-G40</f>
        <v>3807.2668891317417</v>
      </c>
    </row>
    <row r="42" spans="2:7" ht="14" x14ac:dyDescent="0.3">
      <c r="B42" s="4" t="s">
        <v>96</v>
      </c>
      <c r="C42" s="5">
        <v>210</v>
      </c>
      <c r="D42" s="5">
        <v>210</v>
      </c>
      <c r="E42" s="5">
        <v>210</v>
      </c>
      <c r="F42" s="5">
        <v>215</v>
      </c>
      <c r="G42" s="5">
        <f>G33*C18</f>
        <v>312.58515695420385</v>
      </c>
    </row>
    <row r="43" spans="2:7" ht="14" x14ac:dyDescent="0.3">
      <c r="B43" s="4" t="s">
        <v>97</v>
      </c>
      <c r="C43" s="5">
        <v>100</v>
      </c>
      <c r="D43" s="5">
        <v>100</v>
      </c>
      <c r="E43" s="5">
        <v>105</v>
      </c>
      <c r="F43" s="5">
        <v>105</v>
      </c>
      <c r="G43" s="5">
        <f>G33*C5</f>
        <v>151.66853769375572</v>
      </c>
    </row>
    <row r="44" spans="2:7" ht="14" x14ac:dyDescent="0.3">
      <c r="B44" s="4" t="s">
        <v>98</v>
      </c>
      <c r="C44" s="5">
        <f>'NWC Schedule'!D19</f>
        <v>543.59958567643753</v>
      </c>
      <c r="D44" s="5">
        <f>'NWC Schedule'!E19</f>
        <v>698.65973438596302</v>
      </c>
      <c r="E44" s="5">
        <f>'NWC Schedule'!F19</f>
        <v>667.43622309764123</v>
      </c>
      <c r="F44" s="5">
        <f>'NWC Schedule'!G19</f>
        <v>667.44306097545996</v>
      </c>
      <c r="G44" s="5">
        <f>'NWC Schedule'!H19</f>
        <v>359.38477358979799</v>
      </c>
    </row>
    <row r="45" spans="2:7" ht="14" x14ac:dyDescent="0.3">
      <c r="B45" s="4" t="s">
        <v>99</v>
      </c>
      <c r="C45" s="20">
        <f>C41+C42-C43-C44</f>
        <v>2240.3943150810614</v>
      </c>
      <c r="D45" s="20">
        <f>D41+D42-D43-D44</f>
        <v>2424.8257828947912</v>
      </c>
      <c r="E45" s="20">
        <f>E41+E42-E43-E44</f>
        <v>2758.9581369434463</v>
      </c>
      <c r="F45" s="20">
        <f>F41+F42-F43-F44</f>
        <v>3079.0896577795702</v>
      </c>
      <c r="G45" s="20">
        <f>G41+G42-G43-G44</f>
        <v>3608.7987348023917</v>
      </c>
    </row>
    <row r="46" spans="2:7" ht="14" x14ac:dyDescent="0.3">
      <c r="B46" s="4" t="s">
        <v>100</v>
      </c>
      <c r="C46" s="21">
        <f>1/(1+C26)^(C19+0)</f>
        <v>0.97223908155185634</v>
      </c>
      <c r="D46" s="21">
        <f>1/(1+C26)^(C19+1)</f>
        <v>0.86869110217285239</v>
      </c>
      <c r="E46" s="21">
        <f>1/(1+C26)^(C19+2)</f>
        <v>0.77617146369983236</v>
      </c>
      <c r="F46" s="21">
        <f>1/(1+C26)^(C19+3)</f>
        <v>0.69350559658669797</v>
      </c>
      <c r="G46" s="21">
        <f>1/(1+C26)^(C19+4)</f>
        <v>0.61964402840126698</v>
      </c>
    </row>
    <row r="47" spans="2:7" ht="14" x14ac:dyDescent="0.3">
      <c r="B47" s="4" t="s">
        <v>101</v>
      </c>
      <c r="C47" s="19">
        <f>C45*C46</f>
        <v>2178.1989112084116</v>
      </c>
      <c r="D47" s="19">
        <f>D45*D46</f>
        <v>2106.424581920026</v>
      </c>
      <c r="E47" s="19">
        <f>E45*E46</f>
        <v>2141.4245754379572</v>
      </c>
      <c r="F47" s="19">
        <f>F45*F46</f>
        <v>2135.3659100623527</v>
      </c>
      <c r="G47" s="19">
        <f>G45*G46</f>
        <v>2236.1705857223496</v>
      </c>
    </row>
    <row r="49" spans="2:7" ht="14" x14ac:dyDescent="0.3">
      <c r="B49" s="22" t="s">
        <v>102</v>
      </c>
      <c r="C49" s="23"/>
      <c r="D49" s="23"/>
      <c r="E49" s="23"/>
      <c r="F49" s="23"/>
      <c r="G49" s="23"/>
    </row>
    <row r="50" spans="2:7" ht="14" x14ac:dyDescent="0.3">
      <c r="B50" s="4" t="s">
        <v>103</v>
      </c>
      <c r="C50" s="5">
        <f>SUM(C47:G47)</f>
        <v>10797.584564351098</v>
      </c>
    </row>
    <row r="51" spans="2:7" ht="14" x14ac:dyDescent="0.3">
      <c r="B51" s="4" t="s">
        <v>104</v>
      </c>
      <c r="C51" s="5">
        <f>G45*(1+C13)/(C26-C13)</f>
        <v>37106.5998941375</v>
      </c>
    </row>
    <row r="52" spans="2:7" ht="14" x14ac:dyDescent="0.3">
      <c r="B52" s="4" t="s">
        <v>105</v>
      </c>
      <c r="C52" s="5">
        <f>C51*G46</f>
        <v>22992.883038677388</v>
      </c>
    </row>
    <row r="53" spans="2:7" ht="14" x14ac:dyDescent="0.3">
      <c r="B53" s="4" t="s">
        <v>106</v>
      </c>
      <c r="C53" s="5">
        <f>C50+C52</f>
        <v>33790.46760302849</v>
      </c>
    </row>
    <row r="54" spans="2:7" ht="14" x14ac:dyDescent="0.3">
      <c r="B54" s="4" t="s">
        <v>107</v>
      </c>
      <c r="C54" s="5">
        <f>C53-C16</f>
        <v>41087.267603028493</v>
      </c>
    </row>
    <row r="55" spans="2:7" ht="14" x14ac:dyDescent="0.3">
      <c r="B55" s="4" t="s">
        <v>108</v>
      </c>
      <c r="C55" s="24">
        <f>ROUND(C54*1000000/C15,0)</f>
        <v>2860</v>
      </c>
    </row>
    <row r="57" spans="2:7" ht="14" x14ac:dyDescent="0.3">
      <c r="B57" s="22" t="s">
        <v>109</v>
      </c>
      <c r="C57" s="23"/>
      <c r="D57" s="23"/>
      <c r="E57" s="23"/>
      <c r="F57" s="23"/>
      <c r="G57" s="23"/>
    </row>
    <row r="58" spans="2:7" ht="14" x14ac:dyDescent="0.3">
      <c r="B58" s="4" t="s">
        <v>103</v>
      </c>
      <c r="C58" s="5">
        <f>C50</f>
        <v>10797.584564351098</v>
      </c>
    </row>
    <row r="59" spans="2:7" ht="14" x14ac:dyDescent="0.3">
      <c r="B59" s="4" t="s">
        <v>110</v>
      </c>
      <c r="C59" s="5">
        <f>G39+G42</f>
        <v>5790.6670118200191</v>
      </c>
    </row>
    <row r="60" spans="2:7" ht="14" x14ac:dyDescent="0.3">
      <c r="B60" s="4" t="s">
        <v>111</v>
      </c>
      <c r="C60" s="5">
        <f>C59*C14</f>
        <v>57906.670118200193</v>
      </c>
    </row>
    <row r="61" spans="2:7" ht="14" x14ac:dyDescent="0.3">
      <c r="B61" s="4" t="s">
        <v>105</v>
      </c>
      <c r="C61" s="5">
        <f>C60*G46</f>
        <v>35881.522343344841</v>
      </c>
    </row>
    <row r="62" spans="2:7" ht="14" x14ac:dyDescent="0.3">
      <c r="B62" s="4" t="s">
        <v>106</v>
      </c>
      <c r="C62" s="5">
        <f>C58+C61</f>
        <v>46679.106907695939</v>
      </c>
    </row>
    <row r="63" spans="2:7" ht="14" x14ac:dyDescent="0.3">
      <c r="B63" s="4" t="s">
        <v>107</v>
      </c>
      <c r="C63" s="5">
        <f>C62-C16</f>
        <v>53975.906907695942</v>
      </c>
    </row>
    <row r="64" spans="2:7" ht="14" x14ac:dyDescent="0.3">
      <c r="B64" s="4" t="s">
        <v>112</v>
      </c>
      <c r="C64" s="24">
        <f>ROUND(C63*1000000/C15,0)</f>
        <v>3757</v>
      </c>
    </row>
    <row r="66" spans="2:2" ht="14" x14ac:dyDescent="0.3">
      <c r="B66" s="1" t="s">
        <v>113</v>
      </c>
    </row>
  </sheetData>
  <phoneticPr fontId="9"/>
  <dataValidations count="1">
    <dataValidation type="list" sqref="C27" xr:uid="{00000000-0002-0000-0200-000000000000}">
      <formula1>"Base,Upside,Management,Downside 1,Downside 2"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C6600"/>
  </sheetPr>
  <dimension ref="B2:H43"/>
  <sheetViews>
    <sheetView workbookViewId="0"/>
  </sheetViews>
  <sheetFormatPr defaultRowHeight="13" x14ac:dyDescent="0.2"/>
  <cols>
    <col min="1" max="1" width="3" customWidth="1"/>
    <col min="2" max="2" width="28" customWidth="1"/>
    <col min="3" max="8" width="16" customWidth="1"/>
  </cols>
  <sheetData>
    <row r="2" spans="2:8" ht="18" x14ac:dyDescent="0.4">
      <c r="B2" s="2" t="s">
        <v>114</v>
      </c>
    </row>
    <row r="4" spans="2:8" ht="14" x14ac:dyDescent="0.3">
      <c r="B4" s="8" t="s">
        <v>115</v>
      </c>
      <c r="C4" s="25" t="s">
        <v>116</v>
      </c>
      <c r="D4" s="25" t="s">
        <v>84</v>
      </c>
      <c r="E4" s="25" t="s">
        <v>85</v>
      </c>
      <c r="F4" s="25" t="s">
        <v>86</v>
      </c>
      <c r="G4" s="25" t="s">
        <v>87</v>
      </c>
      <c r="H4" s="25" t="s">
        <v>88</v>
      </c>
    </row>
    <row r="5" spans="2:8" ht="14" x14ac:dyDescent="0.3">
      <c r="B5" s="26" t="s">
        <v>117</v>
      </c>
      <c r="C5" s="27">
        <f>C12/C9*365</f>
        <v>116.89298734761982</v>
      </c>
      <c r="D5" s="27">
        <f>CHOOSE('DCF Model'!$D$27,D25,D26,D27,D28,D29)</f>
        <v>115</v>
      </c>
      <c r="E5" s="27">
        <f>CHOOSE('DCF Model'!$D$27,E25,E26,E27,E28,E29)</f>
        <v>114</v>
      </c>
      <c r="F5" s="27">
        <f>CHOOSE('DCF Model'!$D$27,F25,F26,F27,F28,F29)</f>
        <v>114</v>
      </c>
      <c r="G5" s="27">
        <f>CHOOSE('DCF Model'!$D$27,G25,G26,G27,G28,G29)</f>
        <v>114</v>
      </c>
      <c r="H5" s="27">
        <f>CHOOSE('DCF Model'!$D$27,H25,H26,H27,H28,H29)</f>
        <v>114</v>
      </c>
    </row>
    <row r="6" spans="2:8" ht="14" x14ac:dyDescent="0.3">
      <c r="B6" s="26" t="s">
        <v>118</v>
      </c>
      <c r="C6" s="27">
        <f>C13/C10*365</f>
        <v>5.509364404461472</v>
      </c>
      <c r="D6" s="27">
        <f>CHOOSE('DCF Model'!$D$27,D32,D33,D34,D35,D36)</f>
        <v>6</v>
      </c>
      <c r="E6" s="27">
        <f>CHOOSE('DCF Model'!$D$27,E32,E33,E34,E35,E36)</f>
        <v>6</v>
      </c>
      <c r="F6" s="27">
        <f>CHOOSE('DCF Model'!$D$27,F32,F33,F34,F35,F36)</f>
        <v>6</v>
      </c>
      <c r="G6" s="27">
        <f>CHOOSE('DCF Model'!$D$27,G32,G33,G34,G35,G36)</f>
        <v>6</v>
      </c>
      <c r="H6" s="27">
        <f>CHOOSE('DCF Model'!$D$27,H32,H33,H34,H35,H36)</f>
        <v>6</v>
      </c>
    </row>
    <row r="7" spans="2:8" ht="14" x14ac:dyDescent="0.3">
      <c r="B7" s="26" t="s">
        <v>119</v>
      </c>
      <c r="C7" s="27">
        <f>C15/C10*365</f>
        <v>35.595819089048469</v>
      </c>
      <c r="D7" s="27">
        <f>CHOOSE('DCF Model'!$D$27,D39,D40,D41,D42,D43)</f>
        <v>35</v>
      </c>
      <c r="E7" s="27">
        <f>CHOOSE('DCF Model'!$D$27,E39,E40,E41,E42,E43)</f>
        <v>34</v>
      </c>
      <c r="F7" s="27">
        <f>CHOOSE('DCF Model'!$D$27,F39,F40,F41,F42,F43)</f>
        <v>34</v>
      </c>
      <c r="G7" s="27">
        <f>CHOOSE('DCF Model'!$D$27,G39,G40,G41,G42,G43)</f>
        <v>34</v>
      </c>
      <c r="H7" s="27">
        <f>CHOOSE('DCF Model'!$D$27,H39,H40,H41,H42,H43)</f>
        <v>34</v>
      </c>
    </row>
    <row r="8" spans="2:8" ht="14" x14ac:dyDescent="0.3">
      <c r="B8" s="8" t="s">
        <v>120</v>
      </c>
      <c r="C8" s="9"/>
      <c r="D8" s="9"/>
      <c r="E8" s="9"/>
      <c r="F8" s="9"/>
      <c r="G8" s="9"/>
      <c r="H8" s="9"/>
    </row>
    <row r="9" spans="2:8" ht="14" x14ac:dyDescent="0.3">
      <c r="B9" s="26" t="s">
        <v>37</v>
      </c>
      <c r="C9" s="28">
        <v>24599.166000000001</v>
      </c>
      <c r="D9" s="28">
        <f>'DCF Model'!C33</f>
        <v>26999.8122</v>
      </c>
      <c r="E9" s="28">
        <f>'DCF Model'!D33</f>
        <v>29800.346285750002</v>
      </c>
      <c r="F9" s="28">
        <f>'DCF Model'!E33</f>
        <v>32399.896208180369</v>
      </c>
      <c r="G9" s="28">
        <f>'DCF Model'!F33</f>
        <v>34999.472762975201</v>
      </c>
      <c r="H9" s="28">
        <f>'DCF Model'!G33</f>
        <v>36399.214982497113</v>
      </c>
    </row>
    <row r="10" spans="2:8" ht="14" x14ac:dyDescent="0.3">
      <c r="B10" s="26" t="s">
        <v>38</v>
      </c>
      <c r="C10" s="28">
        <v>17821.474999999999</v>
      </c>
      <c r="D10" s="28">
        <f>'DCF Model'!C34</f>
        <v>19561.363938900002</v>
      </c>
      <c r="E10" s="28">
        <f>'DCF Model'!D34</f>
        <v>21590.350884025876</v>
      </c>
      <c r="F10" s="28">
        <f>'DCF Model'!E34</f>
        <v>23473.72480282668</v>
      </c>
      <c r="G10" s="28">
        <f>'DCF Model'!F34</f>
        <v>25357.118016775534</v>
      </c>
      <c r="H10" s="28">
        <f>'DCF Model'!G34</f>
        <v>26371.231254819158</v>
      </c>
    </row>
    <row r="11" spans="2:8" ht="14" x14ac:dyDescent="0.3">
      <c r="B11" s="8" t="s">
        <v>121</v>
      </c>
      <c r="C11" s="9"/>
      <c r="D11" s="9"/>
      <c r="E11" s="9"/>
      <c r="F11" s="9"/>
      <c r="G11" s="9"/>
      <c r="H11" s="9"/>
    </row>
    <row r="12" spans="2:8" ht="14" x14ac:dyDescent="0.3">
      <c r="B12" s="26" t="s">
        <v>122</v>
      </c>
      <c r="C12" s="28">
        <v>7878</v>
      </c>
      <c r="D12" s="28">
        <f t="shared" ref="D12:H13" si="0">D9*D5/365</f>
        <v>8506.7901452054793</v>
      </c>
      <c r="E12" s="28">
        <f t="shared" si="0"/>
        <v>9307.5054152753437</v>
      </c>
      <c r="F12" s="28">
        <f t="shared" si="0"/>
        <v>10119.419637623458</v>
      </c>
      <c r="G12" s="28">
        <f t="shared" si="0"/>
        <v>10931.342178025132</v>
      </c>
      <c r="H12" s="28">
        <f t="shared" si="0"/>
        <v>11368.521939738825</v>
      </c>
    </row>
    <row r="13" spans="2:8" ht="14" x14ac:dyDescent="0.3">
      <c r="B13" s="26" t="s">
        <v>123</v>
      </c>
      <c r="C13" s="28">
        <v>269</v>
      </c>
      <c r="D13" s="28">
        <f t="shared" si="0"/>
        <v>321.55666748876718</v>
      </c>
      <c r="E13" s="28">
        <f t="shared" si="0"/>
        <v>354.90987754563088</v>
      </c>
      <c r="F13" s="28">
        <f t="shared" si="0"/>
        <v>385.86944881358926</v>
      </c>
      <c r="G13" s="28">
        <f t="shared" si="0"/>
        <v>416.82933726206358</v>
      </c>
      <c r="H13" s="28">
        <f t="shared" si="0"/>
        <v>433.49969186004097</v>
      </c>
    </row>
    <row r="14" spans="2:8" ht="14" x14ac:dyDescent="0.3">
      <c r="B14" s="26" t="s">
        <v>124</v>
      </c>
      <c r="C14" s="28">
        <f t="shared" ref="C14:H14" si="1">C12+C13</f>
        <v>8147</v>
      </c>
      <c r="D14" s="28">
        <f t="shared" si="1"/>
        <v>8828.3468126942462</v>
      </c>
      <c r="E14" s="28">
        <f t="shared" si="1"/>
        <v>9662.4152928209751</v>
      </c>
      <c r="F14" s="28">
        <f t="shared" si="1"/>
        <v>10505.289086437047</v>
      </c>
      <c r="G14" s="28">
        <f t="shared" si="1"/>
        <v>11348.171515287195</v>
      </c>
      <c r="H14" s="28">
        <f t="shared" si="1"/>
        <v>11802.021631598865</v>
      </c>
    </row>
    <row r="15" spans="2:8" ht="14" x14ac:dyDescent="0.3">
      <c r="B15" s="26" t="s">
        <v>125</v>
      </c>
      <c r="C15" s="28">
        <v>1738</v>
      </c>
      <c r="D15" s="28">
        <f>D10*D7/365</f>
        <v>1875.7472270178087</v>
      </c>
      <c r="E15" s="28">
        <f>E10*E7/365</f>
        <v>2011.1559727585748</v>
      </c>
      <c r="F15" s="28">
        <f>F10*F7/365</f>
        <v>2186.5935432770061</v>
      </c>
      <c r="G15" s="28">
        <f>G10*G7/365</f>
        <v>2362.0329111516935</v>
      </c>
      <c r="H15" s="28">
        <f>H10*H7/365</f>
        <v>2456.4982538735653</v>
      </c>
    </row>
    <row r="16" spans="2:8" ht="14" x14ac:dyDescent="0.3">
      <c r="B16" s="26" t="s">
        <v>126</v>
      </c>
      <c r="C16" s="28">
        <f t="shared" ref="C16:H16" si="2">C15</f>
        <v>1738</v>
      </c>
      <c r="D16" s="28">
        <f t="shared" si="2"/>
        <v>1875.7472270178087</v>
      </c>
      <c r="E16" s="28">
        <f t="shared" si="2"/>
        <v>2011.1559727585748</v>
      </c>
      <c r="F16" s="28">
        <f t="shared" si="2"/>
        <v>2186.5935432770061</v>
      </c>
      <c r="G16" s="28">
        <f t="shared" si="2"/>
        <v>2362.0329111516935</v>
      </c>
      <c r="H16" s="28">
        <f t="shared" si="2"/>
        <v>2456.4982538735653</v>
      </c>
    </row>
    <row r="17" spans="2:8" ht="14" x14ac:dyDescent="0.3">
      <c r="B17" s="22" t="s">
        <v>127</v>
      </c>
      <c r="C17" s="23"/>
      <c r="D17" s="23"/>
      <c r="E17" s="23"/>
      <c r="F17" s="23"/>
      <c r="G17" s="23"/>
      <c r="H17" s="23"/>
    </row>
    <row r="18" spans="2:8" ht="14" x14ac:dyDescent="0.3">
      <c r="B18" s="26" t="s">
        <v>128</v>
      </c>
      <c r="C18" s="20">
        <f t="shared" ref="C18:H18" si="3">C14-C16</f>
        <v>6409</v>
      </c>
      <c r="D18" s="20">
        <f t="shared" si="3"/>
        <v>6952.5995856764375</v>
      </c>
      <c r="E18" s="20">
        <f t="shared" si="3"/>
        <v>7651.2593200624005</v>
      </c>
      <c r="F18" s="20">
        <f t="shared" si="3"/>
        <v>8318.6955431600418</v>
      </c>
      <c r="G18" s="20">
        <f t="shared" si="3"/>
        <v>8986.1386041355017</v>
      </c>
      <c r="H18" s="20">
        <f t="shared" si="3"/>
        <v>9345.5233777252997</v>
      </c>
    </row>
    <row r="19" spans="2:8" ht="14" x14ac:dyDescent="0.3">
      <c r="B19" s="26" t="s">
        <v>98</v>
      </c>
      <c r="C19" s="29" t="s">
        <v>47</v>
      </c>
      <c r="D19" s="24">
        <f>D18-C18</f>
        <v>543.59958567643753</v>
      </c>
      <c r="E19" s="24">
        <f>E18-D18</f>
        <v>698.65973438596302</v>
      </c>
      <c r="F19" s="24">
        <f>F18-E18</f>
        <v>667.43622309764123</v>
      </c>
      <c r="G19" s="24">
        <f>G18-F18</f>
        <v>667.44306097545996</v>
      </c>
      <c r="H19" s="24">
        <f>H18-G18</f>
        <v>359.38477358979799</v>
      </c>
    </row>
    <row r="22" spans="2:8" ht="14" x14ac:dyDescent="0.3">
      <c r="B22" s="22" t="s">
        <v>129</v>
      </c>
      <c r="C22" s="23"/>
      <c r="D22" s="23"/>
      <c r="E22" s="23"/>
      <c r="F22" s="23"/>
      <c r="G22" s="23"/>
      <c r="H22" s="23"/>
    </row>
    <row r="23" spans="2:8" ht="14" x14ac:dyDescent="0.3">
      <c r="D23" s="30" t="s">
        <v>84</v>
      </c>
      <c r="E23" s="30" t="s">
        <v>85</v>
      </c>
      <c r="F23" s="30" t="s">
        <v>86</v>
      </c>
      <c r="G23" s="30" t="s">
        <v>87</v>
      </c>
      <c r="H23" s="30" t="s">
        <v>88</v>
      </c>
    </row>
    <row r="24" spans="2:8" ht="14" x14ac:dyDescent="0.3">
      <c r="B24" s="3" t="s">
        <v>130</v>
      </c>
    </row>
    <row r="25" spans="2:8" ht="14" x14ac:dyDescent="0.3">
      <c r="B25" s="4" t="s">
        <v>82</v>
      </c>
      <c r="D25" s="31">
        <v>115</v>
      </c>
      <c r="E25" s="31">
        <v>114</v>
      </c>
      <c r="F25" s="31">
        <v>114</v>
      </c>
      <c r="G25" s="31">
        <v>114</v>
      </c>
      <c r="H25" s="31">
        <v>114</v>
      </c>
    </row>
    <row r="26" spans="2:8" ht="14" x14ac:dyDescent="0.3">
      <c r="B26" s="4" t="s">
        <v>131</v>
      </c>
      <c r="D26" s="31">
        <v>113</v>
      </c>
      <c r="E26" s="31">
        <v>111</v>
      </c>
      <c r="F26" s="31">
        <v>109</v>
      </c>
      <c r="G26" s="31">
        <v>107</v>
      </c>
      <c r="H26" s="31">
        <v>107</v>
      </c>
    </row>
    <row r="27" spans="2:8" ht="14" x14ac:dyDescent="0.3">
      <c r="B27" s="4" t="s">
        <v>132</v>
      </c>
      <c r="D27" s="31">
        <v>116</v>
      </c>
      <c r="E27" s="31">
        <v>115</v>
      </c>
      <c r="F27" s="31">
        <v>115</v>
      </c>
      <c r="G27" s="31">
        <v>115</v>
      </c>
      <c r="H27" s="31">
        <v>115</v>
      </c>
    </row>
    <row r="28" spans="2:8" ht="14" x14ac:dyDescent="0.3">
      <c r="B28" s="4" t="s">
        <v>133</v>
      </c>
      <c r="D28" s="31">
        <v>118</v>
      </c>
      <c r="E28" s="31">
        <v>119</v>
      </c>
      <c r="F28" s="31">
        <v>120</v>
      </c>
      <c r="G28" s="31">
        <v>120</v>
      </c>
      <c r="H28" s="31">
        <v>120</v>
      </c>
    </row>
    <row r="29" spans="2:8" ht="14" x14ac:dyDescent="0.3">
      <c r="B29" s="4" t="s">
        <v>134</v>
      </c>
      <c r="D29" s="31">
        <v>120</v>
      </c>
      <c r="E29" s="31">
        <v>122</v>
      </c>
      <c r="F29" s="31">
        <v>124</v>
      </c>
      <c r="G29" s="31">
        <v>125</v>
      </c>
      <c r="H29" s="31">
        <v>125</v>
      </c>
    </row>
    <row r="31" spans="2:8" ht="14" x14ac:dyDescent="0.3">
      <c r="B31" s="3" t="s">
        <v>135</v>
      </c>
    </row>
    <row r="32" spans="2:8" ht="14" x14ac:dyDescent="0.3">
      <c r="B32" s="4" t="s">
        <v>82</v>
      </c>
      <c r="D32" s="31">
        <v>6</v>
      </c>
      <c r="E32" s="31">
        <v>6</v>
      </c>
      <c r="F32" s="31">
        <v>6</v>
      </c>
      <c r="G32" s="31">
        <v>6</v>
      </c>
      <c r="H32" s="31">
        <v>6</v>
      </c>
    </row>
    <row r="33" spans="2:8" ht="14" x14ac:dyDescent="0.3">
      <c r="B33" s="4" t="s">
        <v>131</v>
      </c>
      <c r="D33" s="31">
        <v>5.5</v>
      </c>
      <c r="E33" s="31">
        <v>5.5</v>
      </c>
      <c r="F33" s="31">
        <v>5.5</v>
      </c>
      <c r="G33" s="31">
        <v>5.5</v>
      </c>
      <c r="H33" s="31">
        <v>5.5</v>
      </c>
    </row>
    <row r="34" spans="2:8" ht="14" x14ac:dyDescent="0.3">
      <c r="B34" s="4" t="s">
        <v>132</v>
      </c>
      <c r="D34" s="31">
        <v>6</v>
      </c>
      <c r="E34" s="31">
        <v>6</v>
      </c>
      <c r="F34" s="31">
        <v>6</v>
      </c>
      <c r="G34" s="31">
        <v>6</v>
      </c>
      <c r="H34" s="31">
        <v>6</v>
      </c>
    </row>
    <row r="35" spans="2:8" ht="14" x14ac:dyDescent="0.3">
      <c r="B35" s="4" t="s">
        <v>133</v>
      </c>
      <c r="D35" s="31">
        <v>6.5</v>
      </c>
      <c r="E35" s="31">
        <v>6.5</v>
      </c>
      <c r="F35" s="31">
        <v>7</v>
      </c>
      <c r="G35" s="31">
        <v>7</v>
      </c>
      <c r="H35" s="31">
        <v>7</v>
      </c>
    </row>
    <row r="36" spans="2:8" ht="14" x14ac:dyDescent="0.3">
      <c r="B36" s="4" t="s">
        <v>134</v>
      </c>
      <c r="D36" s="31">
        <v>7</v>
      </c>
      <c r="E36" s="31">
        <v>7</v>
      </c>
      <c r="F36" s="31">
        <v>7.5</v>
      </c>
      <c r="G36" s="31">
        <v>7.5</v>
      </c>
      <c r="H36" s="31">
        <v>7.5</v>
      </c>
    </row>
    <row r="38" spans="2:8" ht="14" x14ac:dyDescent="0.3">
      <c r="B38" s="3" t="s">
        <v>136</v>
      </c>
    </row>
    <row r="39" spans="2:8" ht="14" x14ac:dyDescent="0.3">
      <c r="B39" s="4" t="s">
        <v>82</v>
      </c>
      <c r="D39" s="31">
        <v>35</v>
      </c>
      <c r="E39" s="31">
        <v>34</v>
      </c>
      <c r="F39" s="31">
        <v>34</v>
      </c>
      <c r="G39" s="31">
        <v>34</v>
      </c>
      <c r="H39" s="31">
        <v>34</v>
      </c>
    </row>
    <row r="40" spans="2:8" ht="14" x14ac:dyDescent="0.3">
      <c r="B40" s="4" t="s">
        <v>131</v>
      </c>
      <c r="D40" s="31">
        <v>36</v>
      </c>
      <c r="E40" s="31">
        <v>37</v>
      </c>
      <c r="F40" s="31">
        <v>38</v>
      </c>
      <c r="G40" s="31">
        <v>38</v>
      </c>
      <c r="H40" s="31">
        <v>38</v>
      </c>
    </row>
    <row r="41" spans="2:8" ht="14" x14ac:dyDescent="0.3">
      <c r="B41" s="4" t="s">
        <v>132</v>
      </c>
      <c r="D41" s="31">
        <v>35</v>
      </c>
      <c r="E41" s="31">
        <v>35</v>
      </c>
      <c r="F41" s="31">
        <v>35</v>
      </c>
      <c r="G41" s="31">
        <v>35</v>
      </c>
      <c r="H41" s="31">
        <v>35</v>
      </c>
    </row>
    <row r="42" spans="2:8" ht="14" x14ac:dyDescent="0.3">
      <c r="B42" s="4" t="s">
        <v>133</v>
      </c>
      <c r="D42" s="31">
        <v>34</v>
      </c>
      <c r="E42" s="31">
        <v>33</v>
      </c>
      <c r="F42" s="31">
        <v>33</v>
      </c>
      <c r="G42" s="31">
        <v>33</v>
      </c>
      <c r="H42" s="31">
        <v>33</v>
      </c>
    </row>
    <row r="43" spans="2:8" ht="14" x14ac:dyDescent="0.3">
      <c r="B43" s="4" t="s">
        <v>134</v>
      </c>
      <c r="D43" s="31">
        <v>33</v>
      </c>
      <c r="E43" s="31">
        <v>32</v>
      </c>
      <c r="F43" s="31">
        <v>32</v>
      </c>
      <c r="G43" s="31">
        <v>32</v>
      </c>
      <c r="H43" s="31">
        <v>32</v>
      </c>
    </row>
  </sheetData>
  <phoneticPr fontId="9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6600"/>
  </sheetPr>
  <dimension ref="B2:O28"/>
  <sheetViews>
    <sheetView workbookViewId="0"/>
  </sheetViews>
  <sheetFormatPr defaultRowHeight="13" x14ac:dyDescent="0.2"/>
  <cols>
    <col min="1" max="1" width="3" customWidth="1"/>
    <col min="2" max="2" width="16" customWidth="1"/>
    <col min="3" max="3" width="10" customWidth="1"/>
    <col min="4" max="15" width="12" customWidth="1"/>
  </cols>
  <sheetData>
    <row r="2" spans="2:15" ht="18" x14ac:dyDescent="0.4">
      <c r="B2" s="2" t="s">
        <v>137</v>
      </c>
    </row>
    <row r="4" spans="2:15" ht="28" x14ac:dyDescent="0.3">
      <c r="B4" s="10" t="s">
        <v>3</v>
      </c>
      <c r="C4" s="10" t="s">
        <v>5</v>
      </c>
      <c r="D4" s="10" t="s">
        <v>138</v>
      </c>
      <c r="E4" s="10" t="s">
        <v>139</v>
      </c>
      <c r="F4" s="10" t="s">
        <v>140</v>
      </c>
      <c r="G4" s="10" t="s">
        <v>141</v>
      </c>
      <c r="H4" s="10" t="s">
        <v>142</v>
      </c>
      <c r="I4" s="10" t="s">
        <v>143</v>
      </c>
      <c r="J4" s="10" t="s">
        <v>144</v>
      </c>
      <c r="K4" s="10" t="s">
        <v>145</v>
      </c>
      <c r="L4" s="10" t="s">
        <v>146</v>
      </c>
      <c r="M4" s="10" t="s">
        <v>147</v>
      </c>
      <c r="N4" s="10" t="s">
        <v>148</v>
      </c>
      <c r="O4" s="10" t="s">
        <v>149</v>
      </c>
    </row>
    <row r="5" spans="2:15" ht="14" x14ac:dyDescent="0.3">
      <c r="B5" s="4" t="s">
        <v>150</v>
      </c>
      <c r="C5" t="s">
        <v>151</v>
      </c>
      <c r="D5" s="32">
        <v>147986.710528</v>
      </c>
      <c r="E5" s="32">
        <v>149536.710528</v>
      </c>
      <c r="F5" s="32">
        <v>92410</v>
      </c>
      <c r="G5" s="32">
        <v>15820</v>
      </c>
      <c r="H5" s="32">
        <v>15360</v>
      </c>
      <c r="I5" s="32">
        <v>11250</v>
      </c>
      <c r="J5" s="33">
        <f>E5/G5</f>
        <v>9.4523837249051823</v>
      </c>
      <c r="K5" s="33">
        <f>E5/F5</f>
        <v>1.6181875395303538</v>
      </c>
      <c r="L5" s="33">
        <f>D5/I5</f>
        <v>13.154374269155555</v>
      </c>
      <c r="M5" s="33">
        <v>4.4912506988770859</v>
      </c>
      <c r="N5" s="34">
        <f>H5/F5</f>
        <v>0.16621577751325614</v>
      </c>
      <c r="O5" s="34">
        <v>0.34142640364188159</v>
      </c>
    </row>
    <row r="6" spans="2:15" ht="14" x14ac:dyDescent="0.3">
      <c r="B6" s="4" t="s">
        <v>152</v>
      </c>
      <c r="C6" t="s">
        <v>153</v>
      </c>
      <c r="D6" s="32">
        <v>60200.480768000001</v>
      </c>
      <c r="E6" s="32">
        <v>60270.480768000001</v>
      </c>
      <c r="F6" s="32">
        <v>54700</v>
      </c>
      <c r="G6" s="32">
        <v>8490</v>
      </c>
      <c r="H6" s="32">
        <v>8300</v>
      </c>
      <c r="I6" s="32">
        <v>5000</v>
      </c>
      <c r="J6" s="33">
        <f>E6/G6</f>
        <v>7.0989965568904596</v>
      </c>
      <c r="K6" s="33">
        <f>E6/F6</f>
        <v>1.1018369427422303</v>
      </c>
      <c r="L6" s="33">
        <f>D6/I6</f>
        <v>12.0400961536</v>
      </c>
      <c r="M6" s="33">
        <v>1.9355200709899369</v>
      </c>
      <c r="N6" s="34">
        <f>H6/F6</f>
        <v>0.15173674588665448</v>
      </c>
      <c r="O6" s="34">
        <v>0.16075619715140019</v>
      </c>
    </row>
    <row r="7" spans="2:15" ht="14" x14ac:dyDescent="0.3">
      <c r="B7" s="4" t="s">
        <v>154</v>
      </c>
      <c r="C7" t="s">
        <v>155</v>
      </c>
      <c r="D7" s="32">
        <v>61796.72064</v>
      </c>
      <c r="E7" s="32">
        <v>62146.72064</v>
      </c>
      <c r="F7" s="32">
        <v>65000</v>
      </c>
      <c r="G7" s="32">
        <v>8018</v>
      </c>
      <c r="H7" s="32">
        <v>7200</v>
      </c>
      <c r="I7" s="32">
        <v>5150</v>
      </c>
      <c r="J7" s="33">
        <f>E7/G7</f>
        <v>7.750900553754053</v>
      </c>
      <c r="K7" s="33">
        <f>E7/F7</f>
        <v>0.95610339446153847</v>
      </c>
      <c r="L7" s="33">
        <f>D7/I7</f>
        <v>11.999363231067962</v>
      </c>
      <c r="M7" s="33">
        <v>1.5295839370312621</v>
      </c>
      <c r="N7" s="34">
        <f>H7/F7</f>
        <v>0.11076923076923077</v>
      </c>
      <c r="O7" s="34">
        <v>0.12747209227494369</v>
      </c>
    </row>
    <row r="8" spans="2:15" ht="14" x14ac:dyDescent="0.3">
      <c r="B8" s="4" t="s">
        <v>156</v>
      </c>
      <c r="C8" t="s">
        <v>157</v>
      </c>
      <c r="D8" s="32">
        <v>58446.2336</v>
      </c>
      <c r="E8" s="32">
        <v>55946.2336</v>
      </c>
      <c r="F8" s="32">
        <v>48000</v>
      </c>
      <c r="G8" s="32">
        <v>6800</v>
      </c>
      <c r="H8" s="32">
        <v>5200</v>
      </c>
      <c r="I8" s="32">
        <v>3600</v>
      </c>
      <c r="J8" s="33">
        <f>E8/G8</f>
        <v>8.2273872941176478</v>
      </c>
      <c r="K8" s="33">
        <f>E8/F8</f>
        <v>1.1655465333333332</v>
      </c>
      <c r="L8" s="33">
        <f>D8/I8</f>
        <v>16.235064888888889</v>
      </c>
      <c r="M8" s="33">
        <v>2.6566469818181822</v>
      </c>
      <c r="N8" s="34">
        <f>H8/F8</f>
        <v>0.10833333333333334</v>
      </c>
      <c r="O8" s="34">
        <v>0.16363636363636361</v>
      </c>
    </row>
    <row r="9" spans="2:15" ht="14" x14ac:dyDescent="0.3">
      <c r="B9" s="4" t="s">
        <v>158</v>
      </c>
      <c r="C9" t="s">
        <v>159</v>
      </c>
      <c r="D9" s="32">
        <v>165563.46572800001</v>
      </c>
      <c r="E9" s="32">
        <v>162563.46572800001</v>
      </c>
      <c r="F9" s="32">
        <v>47000</v>
      </c>
      <c r="G9" s="32">
        <v>7500</v>
      </c>
      <c r="H9" s="32">
        <v>5700</v>
      </c>
      <c r="I9" s="32">
        <v>3900</v>
      </c>
      <c r="J9" s="33">
        <f>E9/G9</f>
        <v>21.675128763733333</v>
      </c>
      <c r="K9" s="33">
        <f>E9/F9</f>
        <v>3.4587971431489364</v>
      </c>
      <c r="L9" s="33">
        <f>D9/I9</f>
        <v>42.452170699487183</v>
      </c>
      <c r="M9" s="33">
        <v>5.9129809188571434</v>
      </c>
      <c r="N9" s="34">
        <f>H9/F9</f>
        <v>0.12127659574468085</v>
      </c>
      <c r="O9" s="34">
        <v>0.13928571428571429</v>
      </c>
    </row>
    <row r="14" spans="2:15" ht="14" x14ac:dyDescent="0.3">
      <c r="B14" s="3" t="s">
        <v>160</v>
      </c>
    </row>
    <row r="15" spans="2:15" ht="14" x14ac:dyDescent="0.3">
      <c r="B15" s="4" t="s">
        <v>161</v>
      </c>
      <c r="D15" s="33">
        <f t="shared" ref="D15:I15" si="0">PERCENTILE(J5:J9,0.25)</f>
        <v>7.750900553754053</v>
      </c>
      <c r="E15" s="33">
        <f t="shared" si="0"/>
        <v>1.1018369427422303</v>
      </c>
      <c r="F15" s="33">
        <f t="shared" si="0"/>
        <v>12.0400961536</v>
      </c>
      <c r="G15" s="33">
        <f t="shared" si="0"/>
        <v>1.9355200709899369</v>
      </c>
      <c r="H15" s="34">
        <f t="shared" si="0"/>
        <v>0.11076923076923077</v>
      </c>
      <c r="I15" s="34">
        <f t="shared" si="0"/>
        <v>0.13928571428571429</v>
      </c>
    </row>
    <row r="16" spans="2:15" ht="14" x14ac:dyDescent="0.3">
      <c r="B16" s="4" t="s">
        <v>162</v>
      </c>
      <c r="D16" s="33">
        <f t="shared" ref="D16:I16" si="1">MEDIAN(J5:J9)</f>
        <v>8.2273872941176478</v>
      </c>
      <c r="E16" s="33">
        <f t="shared" si="1"/>
        <v>1.1655465333333332</v>
      </c>
      <c r="F16" s="33">
        <f t="shared" si="1"/>
        <v>13.154374269155555</v>
      </c>
      <c r="G16" s="33">
        <f t="shared" si="1"/>
        <v>2.6566469818181822</v>
      </c>
      <c r="H16" s="34">
        <f t="shared" si="1"/>
        <v>0.12127659574468085</v>
      </c>
      <c r="I16" s="34">
        <f t="shared" si="1"/>
        <v>0.16075619715140019</v>
      </c>
    </row>
    <row r="17" spans="2:9" ht="14" x14ac:dyDescent="0.3">
      <c r="B17" s="4" t="s">
        <v>163</v>
      </c>
      <c r="D17" s="33">
        <f t="shared" ref="D17:I17" si="2">PERCENTILE(J5:J9,0.75)</f>
        <v>9.4523837249051823</v>
      </c>
      <c r="E17" s="33">
        <f t="shared" si="2"/>
        <v>1.6181875395303538</v>
      </c>
      <c r="F17" s="33">
        <f t="shared" si="2"/>
        <v>16.235064888888889</v>
      </c>
      <c r="G17" s="33">
        <f t="shared" si="2"/>
        <v>4.4912506988770859</v>
      </c>
      <c r="H17" s="34">
        <f t="shared" si="2"/>
        <v>0.15173674588665448</v>
      </c>
      <c r="I17" s="34">
        <f t="shared" si="2"/>
        <v>0.16363636363636361</v>
      </c>
    </row>
    <row r="19" spans="2:9" ht="14" x14ac:dyDescent="0.3">
      <c r="B19" s="22" t="s">
        <v>164</v>
      </c>
      <c r="C19" s="23"/>
      <c r="D19" s="23"/>
      <c r="E19" s="23"/>
      <c r="F19" s="23"/>
      <c r="G19" s="23"/>
      <c r="H19" s="23"/>
      <c r="I19" s="23"/>
    </row>
    <row r="20" spans="2:9" ht="14" x14ac:dyDescent="0.3">
      <c r="B20" s="3" t="s">
        <v>165</v>
      </c>
    </row>
    <row r="21" spans="2:9" ht="14" x14ac:dyDescent="0.3">
      <c r="B21" s="4" t="s">
        <v>166</v>
      </c>
      <c r="C21" s="5">
        <v>3391</v>
      </c>
    </row>
    <row r="22" spans="2:9" ht="14" x14ac:dyDescent="0.3">
      <c r="B22" s="4" t="s">
        <v>167</v>
      </c>
      <c r="C22" s="5">
        <v>2207</v>
      </c>
    </row>
    <row r="23" spans="2:9" ht="14" x14ac:dyDescent="0.3">
      <c r="B23" s="4" t="s">
        <v>168</v>
      </c>
      <c r="C23" s="15">
        <v>14368501</v>
      </c>
    </row>
    <row r="24" spans="2:9" ht="14" x14ac:dyDescent="0.3">
      <c r="B24" s="4" t="s">
        <v>71</v>
      </c>
      <c r="C24" s="5">
        <v>-7296.8</v>
      </c>
    </row>
    <row r="26" spans="2:9" ht="14" x14ac:dyDescent="0.3">
      <c r="B26" s="3" t="s">
        <v>169</v>
      </c>
    </row>
    <row r="27" spans="2:9" ht="14" x14ac:dyDescent="0.3">
      <c r="B27" s="4" t="s">
        <v>170</v>
      </c>
      <c r="C27" s="24">
        <f>ROUND((C21*D16-C24)*1000000/C23,0)</f>
        <v>2450</v>
      </c>
    </row>
    <row r="28" spans="2:9" ht="14" x14ac:dyDescent="0.3">
      <c r="B28" s="4" t="s">
        <v>171</v>
      </c>
      <c r="C28" s="24">
        <f>ROUND(C22*F16*1000000/C23,0)</f>
        <v>2021</v>
      </c>
    </row>
  </sheetData>
  <phoneticPr fontId="9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96600"/>
  </sheetPr>
  <dimension ref="B2:I26"/>
  <sheetViews>
    <sheetView workbookViewId="0"/>
  </sheetViews>
  <sheetFormatPr defaultRowHeight="13" x14ac:dyDescent="0.2"/>
  <cols>
    <col min="1" max="1" width="3" customWidth="1"/>
    <col min="2" max="2" width="24" customWidth="1"/>
    <col min="3" max="9" width="14" customWidth="1"/>
  </cols>
  <sheetData>
    <row r="2" spans="2:9" ht="18" x14ac:dyDescent="0.4">
      <c r="B2" s="2" t="s">
        <v>172</v>
      </c>
    </row>
    <row r="3" spans="2:9" ht="14" x14ac:dyDescent="0.3">
      <c r="B3" s="4" t="s">
        <v>173</v>
      </c>
      <c r="C3" s="16">
        <f>'DCF Model'!C26</f>
        <v>0.1192</v>
      </c>
      <c r="E3" s="4" t="s">
        <v>174</v>
      </c>
      <c r="F3" s="16">
        <f>'DCF Model'!C13</f>
        <v>0.02</v>
      </c>
      <c r="H3" s="4" t="s">
        <v>175</v>
      </c>
      <c r="I3" s="14">
        <f>'DCF Model'!C14</f>
        <v>10</v>
      </c>
    </row>
    <row r="5" spans="2:9" ht="14" x14ac:dyDescent="0.3">
      <c r="B5" s="3" t="s">
        <v>176</v>
      </c>
    </row>
    <row r="6" spans="2:9" ht="14" x14ac:dyDescent="0.3">
      <c r="B6" s="35" t="s">
        <v>177</v>
      </c>
      <c r="C6" s="36">
        <f>$F$3-0.0075</f>
        <v>1.2500000000000001E-2</v>
      </c>
      <c r="D6" s="36">
        <f>$F$3-0.005</f>
        <v>1.4999999999999999E-2</v>
      </c>
      <c r="E6" s="36">
        <f>$F$3-0.0025</f>
        <v>1.7500000000000002E-2</v>
      </c>
      <c r="F6" s="36">
        <f>$F$3</f>
        <v>0.02</v>
      </c>
      <c r="G6" s="36">
        <f>$F$3+0.0025</f>
        <v>2.2499999999999999E-2</v>
      </c>
      <c r="H6" s="36">
        <f>$F$3+0.005</f>
        <v>2.5000000000000001E-2</v>
      </c>
      <c r="I6" s="36">
        <f>$F$3+0.0075</f>
        <v>2.75E-2</v>
      </c>
    </row>
    <row r="7" spans="2:9" ht="13.5" x14ac:dyDescent="0.25">
      <c r="B7" s="34">
        <f>$C$3-0.015</f>
        <v>0.1042</v>
      </c>
      <c r="C7" s="32">
        <f>IFERROR(ROUND(('DCF Model'!C45/(1+$B7)^('DCF Model'!C19+0)+'DCF Model'!D45/(1+$B7)^('DCF Model'!C19+1)+'DCF Model'!E45/(1+$B7)^('DCF Model'!C19+2)+'DCF Model'!F45/(1+$B7)^('DCF Model'!C19+3)+'DCF Model'!G45/(1+$B7)^('DCF Model'!C19+4)+'DCF Model'!G45*(1+C$6)/($B7-C$6)/(1+$B7)^('DCF Model'!C19+4)-'DCF Model'!C16)*1000000/'DCF Model'!C15,0),"")</f>
        <v>3103</v>
      </c>
      <c r="D7" s="32">
        <f>IFERROR(ROUND(('DCF Model'!C45/(1+$B7)^('DCF Model'!C19+0)+'DCF Model'!D45/(1+$B7)^('DCF Model'!C19+1)+'DCF Model'!E45/(1+$B7)^('DCF Model'!C19+2)+'DCF Model'!F45/(1+$B7)^('DCF Model'!C19+3)+'DCF Model'!G45/(1+$B7)^('DCF Model'!C19+4)+'DCF Model'!G45*(1+D$6)/($B7-D$6)/(1+$B7)^('DCF Model'!C19+4)-'DCF Model'!C16)*1000000/'DCF Model'!C15,0),"")</f>
        <v>3158</v>
      </c>
      <c r="E7" s="32">
        <f>IFERROR(ROUND(('DCF Model'!C45/(1+$B7)^('DCF Model'!C19+0)+'DCF Model'!D45/(1+$B7)^('DCF Model'!C19+1)+'DCF Model'!E45/(1+$B7)^('DCF Model'!C19+2)+'DCF Model'!F45/(1+$B7)^('DCF Model'!C19+3)+'DCF Model'!G45/(1+$B7)^('DCF Model'!C19+4)+'DCF Model'!G45*(1+E$6)/($B7-E$6)/(1+$B7)^('DCF Model'!C19+4)-'DCF Model'!C16)*1000000/'DCF Model'!C15,0),"")</f>
        <v>3217</v>
      </c>
      <c r="F7" s="32">
        <f>IFERROR(ROUND(('DCF Model'!C45/(1+$B7)^('DCF Model'!C19+0)+'DCF Model'!D45/(1+$B7)^('DCF Model'!C19+1)+'DCF Model'!E45/(1+$B7)^('DCF Model'!C19+2)+'DCF Model'!F45/(1+$B7)^('DCF Model'!C19+3)+'DCF Model'!G45/(1+$B7)^('DCF Model'!C19+4)+'DCF Model'!G45*(1+F$6)/($B7-F$6)/(1+$B7)^('DCF Model'!C19+4)-'DCF Model'!C16)*1000000/'DCF Model'!C15,0),"")</f>
        <v>3279</v>
      </c>
      <c r="G7" s="32">
        <f>IFERROR(ROUND(('DCF Model'!C45/(1+$B7)^('DCF Model'!C19+0)+'DCF Model'!D45/(1+$B7)^('DCF Model'!C19+1)+'DCF Model'!E45/(1+$B7)^('DCF Model'!C19+2)+'DCF Model'!F45/(1+$B7)^('DCF Model'!C19+3)+'DCF Model'!G45/(1+$B7)^('DCF Model'!C19+4)+'DCF Model'!G45*(1+G$6)/($B7-G$6)/(1+$B7)^('DCF Model'!C19+4)-'DCF Model'!C16)*1000000/'DCF Model'!C15,0),"")</f>
        <v>3345</v>
      </c>
      <c r="H7" s="32">
        <f>IFERROR(ROUND(('DCF Model'!C45/(1+$B7)^('DCF Model'!C19+0)+'DCF Model'!D45/(1+$B7)^('DCF Model'!C19+1)+'DCF Model'!E45/(1+$B7)^('DCF Model'!C19+2)+'DCF Model'!F45/(1+$B7)^('DCF Model'!C19+3)+'DCF Model'!G45/(1+$B7)^('DCF Model'!C19+4)+'DCF Model'!G45*(1+H$6)/($B7-H$6)/(1+$B7)^('DCF Model'!C19+4)-'DCF Model'!C16)*1000000/'DCF Model'!C15,0),"")</f>
        <v>3416</v>
      </c>
      <c r="I7" s="32">
        <f>IFERROR(ROUND(('DCF Model'!C45/(1+$B7)^('DCF Model'!C19+0)+'DCF Model'!D45/(1+$B7)^('DCF Model'!C19+1)+'DCF Model'!E45/(1+$B7)^('DCF Model'!C19+2)+'DCF Model'!F45/(1+$B7)^('DCF Model'!C19+3)+'DCF Model'!G45/(1+$B7)^('DCF Model'!C19+4)+'DCF Model'!G45*(1+I$6)/($B7-I$6)/(1+$B7)^('DCF Model'!C19+4)-'DCF Model'!C16)*1000000/'DCF Model'!C15,0),"")</f>
        <v>3491</v>
      </c>
    </row>
    <row r="8" spans="2:9" ht="13.5" x14ac:dyDescent="0.25">
      <c r="B8" s="34">
        <f>$C$3-0.01</f>
        <v>0.10920000000000001</v>
      </c>
      <c r="C8" s="32">
        <f>IFERROR(ROUND(('DCF Model'!C45/(1+$B8)^('DCF Model'!C19+0)+'DCF Model'!D45/(1+$B8)^('DCF Model'!C19+1)+'DCF Model'!E45/(1+$B8)^('DCF Model'!C19+2)+'DCF Model'!F45/(1+$B8)^('DCF Model'!C19+3)+'DCF Model'!G45/(1+$B8)^('DCF Model'!C19+4)+'DCF Model'!G45*(1+C$6)/($B8-C$6)/(1+$B8)^('DCF Model'!C19+4)-'DCF Model'!C16)*1000000/'DCF Model'!C15,0),"")</f>
        <v>2968</v>
      </c>
      <c r="D8" s="32">
        <f>IFERROR(ROUND(('DCF Model'!C45/(1+$B8)^('DCF Model'!C19+0)+'DCF Model'!D45/(1+$B8)^('DCF Model'!C19+1)+'DCF Model'!E45/(1+$B8)^('DCF Model'!C19+2)+'DCF Model'!F45/(1+$B8)^('DCF Model'!C19+3)+'DCF Model'!G45/(1+$B8)^('DCF Model'!C19+4)+'DCF Model'!G45*(1+D$6)/($B8-D$6)/(1+$B8)^('DCF Model'!C19+4)-'DCF Model'!C16)*1000000/'DCF Model'!C15,0),"")</f>
        <v>3017</v>
      </c>
      <c r="E8" s="32">
        <f>IFERROR(ROUND(('DCF Model'!C45/(1+$B8)^('DCF Model'!C19+0)+'DCF Model'!D45/(1+$B8)^('DCF Model'!C19+1)+'DCF Model'!E45/(1+$B8)^('DCF Model'!C19+2)+'DCF Model'!F45/(1+$B8)^('DCF Model'!C19+3)+'DCF Model'!G45/(1+$B8)^('DCF Model'!C19+4)+'DCF Model'!G45*(1+E$6)/($B8-E$6)/(1+$B8)^('DCF Model'!C19+4)-'DCF Model'!C16)*1000000/'DCF Model'!C15,0),"")</f>
        <v>3069</v>
      </c>
      <c r="F8" s="32">
        <f>IFERROR(ROUND(('DCF Model'!C45/(1+$B8)^('DCF Model'!C19+0)+'DCF Model'!D45/(1+$B8)^('DCF Model'!C19+1)+'DCF Model'!E45/(1+$B8)^('DCF Model'!C19+2)+'DCF Model'!F45/(1+$B8)^('DCF Model'!C19+3)+'DCF Model'!G45/(1+$B8)^('DCF Model'!C19+4)+'DCF Model'!G45*(1+F$6)/($B8-F$6)/(1+$B8)^('DCF Model'!C19+4)-'DCF Model'!C16)*1000000/'DCF Model'!C15,0),"")</f>
        <v>3124</v>
      </c>
      <c r="G8" s="32">
        <f>IFERROR(ROUND(('DCF Model'!C45/(1+$B8)^('DCF Model'!C19+0)+'DCF Model'!D45/(1+$B8)^('DCF Model'!C19+1)+'DCF Model'!E45/(1+$B8)^('DCF Model'!C19+2)+'DCF Model'!F45/(1+$B8)^('DCF Model'!C19+3)+'DCF Model'!G45/(1+$B8)^('DCF Model'!C19+4)+'DCF Model'!G45*(1+G$6)/($B8-G$6)/(1+$B8)^('DCF Model'!C19+4)-'DCF Model'!C16)*1000000/'DCF Model'!C15,0),"")</f>
        <v>3182</v>
      </c>
      <c r="H8" s="32">
        <f>IFERROR(ROUND(('DCF Model'!C45/(1+$B8)^('DCF Model'!C19+0)+'DCF Model'!D45/(1+$B8)^('DCF Model'!C19+1)+'DCF Model'!E45/(1+$B8)^('DCF Model'!C19+2)+'DCF Model'!F45/(1+$B8)^('DCF Model'!C19+3)+'DCF Model'!G45/(1+$B8)^('DCF Model'!C19+4)+'DCF Model'!G45*(1+H$6)/($B8-H$6)/(1+$B8)^('DCF Model'!C19+4)-'DCF Model'!C16)*1000000/'DCF Model'!C15,0),"")</f>
        <v>3243</v>
      </c>
      <c r="I8" s="32">
        <f>IFERROR(ROUND(('DCF Model'!C45/(1+$B8)^('DCF Model'!C19+0)+'DCF Model'!D45/(1+$B8)^('DCF Model'!C19+1)+'DCF Model'!E45/(1+$B8)^('DCF Model'!C19+2)+'DCF Model'!F45/(1+$B8)^('DCF Model'!C19+3)+'DCF Model'!G45/(1+$B8)^('DCF Model'!C19+4)+'DCF Model'!G45*(1+I$6)/($B8-I$6)/(1+$B8)^('DCF Model'!C19+4)-'DCF Model'!C16)*1000000/'DCF Model'!C15,0),"")</f>
        <v>3308</v>
      </c>
    </row>
    <row r="9" spans="2:9" ht="13.5" x14ac:dyDescent="0.25">
      <c r="B9" s="34">
        <f>$C$3-0.005</f>
        <v>0.1142</v>
      </c>
      <c r="C9" s="32">
        <f>IFERROR(ROUND(('DCF Model'!C45/(1+$B9)^('DCF Model'!C19+0)+'DCF Model'!D45/(1+$B9)^('DCF Model'!C19+1)+'DCF Model'!E45/(1+$B9)^('DCF Model'!C19+2)+'DCF Model'!F45/(1+$B9)^('DCF Model'!C19+3)+'DCF Model'!G45/(1+$B9)^('DCF Model'!C19+4)+'DCF Model'!G45*(1+C$6)/($B9-C$6)/(1+$B9)^('DCF Model'!C19+4)-'DCF Model'!C16)*1000000/'DCF Model'!C15,0),"")</f>
        <v>2846</v>
      </c>
      <c r="D9" s="32">
        <f>IFERROR(ROUND(('DCF Model'!C45/(1+$B9)^('DCF Model'!C19+0)+'DCF Model'!D45/(1+$B9)^('DCF Model'!C19+1)+'DCF Model'!E45/(1+$B9)^('DCF Model'!C19+2)+'DCF Model'!F45/(1+$B9)^('DCF Model'!C19+3)+'DCF Model'!G45/(1+$B9)^('DCF Model'!C19+4)+'DCF Model'!G45*(1+D$6)/($B9-D$6)/(1+$B9)^('DCF Model'!C19+4)-'DCF Model'!C16)*1000000/'DCF Model'!C15,0),"")</f>
        <v>2890</v>
      </c>
      <c r="E9" s="32">
        <f>IFERROR(ROUND(('DCF Model'!C45/(1+$B9)^('DCF Model'!C19+0)+'DCF Model'!D45/(1+$B9)^('DCF Model'!C19+1)+'DCF Model'!E45/(1+$B9)^('DCF Model'!C19+2)+'DCF Model'!F45/(1+$B9)^('DCF Model'!C19+3)+'DCF Model'!G45/(1+$B9)^('DCF Model'!C19+4)+'DCF Model'!G45*(1+E$6)/($B9-E$6)/(1+$B9)^('DCF Model'!C19+4)-'DCF Model'!C16)*1000000/'DCF Model'!C15,0),"")</f>
        <v>2936</v>
      </c>
      <c r="F9" s="32">
        <f>IFERROR(ROUND(('DCF Model'!C45/(1+$B9)^('DCF Model'!C19+0)+'DCF Model'!D45/(1+$B9)^('DCF Model'!C19+1)+'DCF Model'!E45/(1+$B9)^('DCF Model'!C19+2)+'DCF Model'!F45/(1+$B9)^('DCF Model'!C19+3)+'DCF Model'!G45/(1+$B9)^('DCF Model'!C19+4)+'DCF Model'!G45*(1+F$6)/($B9-F$6)/(1+$B9)^('DCF Model'!C19+4)-'DCF Model'!C16)*1000000/'DCF Model'!C15,0),"")</f>
        <v>2985</v>
      </c>
      <c r="G9" s="32">
        <f>IFERROR(ROUND(('DCF Model'!C45/(1+$B9)^('DCF Model'!C19+0)+'DCF Model'!D45/(1+$B9)^('DCF Model'!C19+1)+'DCF Model'!E45/(1+$B9)^('DCF Model'!C19+2)+'DCF Model'!F45/(1+$B9)^('DCF Model'!C19+3)+'DCF Model'!G45/(1+$B9)^('DCF Model'!C19+4)+'DCF Model'!G45*(1+G$6)/($B9-G$6)/(1+$B9)^('DCF Model'!C19+4)-'DCF Model'!C16)*1000000/'DCF Model'!C15,0),"")</f>
        <v>3036</v>
      </c>
      <c r="H9" s="32">
        <f>IFERROR(ROUND(('DCF Model'!C45/(1+$B9)^('DCF Model'!C19+0)+'DCF Model'!D45/(1+$B9)^('DCF Model'!C19+1)+'DCF Model'!E45/(1+$B9)^('DCF Model'!C19+2)+'DCF Model'!F45/(1+$B9)^('DCF Model'!C19+3)+'DCF Model'!G45/(1+$B9)^('DCF Model'!C19+4)+'DCF Model'!G45*(1+H$6)/($B9-H$6)/(1+$B9)^('DCF Model'!C19+4)-'DCF Model'!C16)*1000000/'DCF Model'!C15,0),"")</f>
        <v>3090</v>
      </c>
      <c r="I9" s="32">
        <f>IFERROR(ROUND(('DCF Model'!C45/(1+$B9)^('DCF Model'!C19+0)+'DCF Model'!D45/(1+$B9)^('DCF Model'!C19+1)+'DCF Model'!E45/(1+$B9)^('DCF Model'!C19+2)+'DCF Model'!F45/(1+$B9)^('DCF Model'!C19+3)+'DCF Model'!G45/(1+$B9)^('DCF Model'!C19+4)+'DCF Model'!G45*(1+I$6)/($B9-I$6)/(1+$B9)^('DCF Model'!C19+4)-'DCF Model'!C16)*1000000/'DCF Model'!C15,0),"")</f>
        <v>3147</v>
      </c>
    </row>
    <row r="10" spans="2:9" ht="13.5" x14ac:dyDescent="0.25">
      <c r="B10" s="34">
        <f>$C$3</f>
        <v>0.1192</v>
      </c>
      <c r="C10" s="32">
        <f>IFERROR(ROUND(('DCF Model'!C45/(1+$B10)^('DCF Model'!C19+0)+'DCF Model'!D45/(1+$B10)^('DCF Model'!C19+1)+'DCF Model'!E45/(1+$B10)^('DCF Model'!C19+2)+'DCF Model'!F45/(1+$B10)^('DCF Model'!C19+3)+'DCF Model'!G45/(1+$B10)^('DCF Model'!C19+4)+'DCF Model'!G45*(1+C$6)/($B10-C$6)/(1+$B10)^('DCF Model'!C19+4)-'DCF Model'!C16)*1000000/'DCF Model'!C15,0),"")</f>
        <v>2736</v>
      </c>
      <c r="D10" s="32">
        <f>IFERROR(ROUND(('DCF Model'!C45/(1+$B10)^('DCF Model'!C19+0)+'DCF Model'!D45/(1+$B10)^('DCF Model'!C19+1)+'DCF Model'!E45/(1+$B10)^('DCF Model'!C19+2)+'DCF Model'!F45/(1+$B10)^('DCF Model'!C19+3)+'DCF Model'!G45/(1+$B10)^('DCF Model'!C19+4)+'DCF Model'!G45*(1+D$6)/($B10-D$6)/(1+$B10)^('DCF Model'!C19+4)-'DCF Model'!C16)*1000000/'DCF Model'!C15,0),"")</f>
        <v>2775</v>
      </c>
      <c r="E10" s="32">
        <f>IFERROR(ROUND(('DCF Model'!C45/(1+$B10)^('DCF Model'!C19+0)+'DCF Model'!D45/(1+$B10)^('DCF Model'!C19+1)+'DCF Model'!E45/(1+$B10)^('DCF Model'!C19+2)+'DCF Model'!F45/(1+$B10)^('DCF Model'!C19+3)+'DCF Model'!G45/(1+$B10)^('DCF Model'!C19+4)+'DCF Model'!G45*(1+E$6)/($B10-E$6)/(1+$B10)^('DCF Model'!C19+4)-'DCF Model'!C16)*1000000/'DCF Model'!C15,0),"")</f>
        <v>2816</v>
      </c>
      <c r="F10" s="32">
        <f>IFERROR(ROUND(('DCF Model'!C45/(1+$B10)^('DCF Model'!C19+0)+'DCF Model'!D45/(1+$B10)^('DCF Model'!C19+1)+'DCF Model'!E45/(1+$B10)^('DCF Model'!C19+2)+'DCF Model'!F45/(1+$B10)^('DCF Model'!C19+3)+'DCF Model'!G45/(1+$B10)^('DCF Model'!C19+4)+'DCF Model'!G45*(1+F$6)/($B10-F$6)/(1+$B10)^('DCF Model'!C19+4)-'DCF Model'!C16)*1000000/'DCF Model'!C15,0),"")</f>
        <v>2860</v>
      </c>
      <c r="G10" s="32">
        <f>IFERROR(ROUND(('DCF Model'!C45/(1+$B10)^('DCF Model'!C19+0)+'DCF Model'!D45/(1+$B10)^('DCF Model'!C19+1)+'DCF Model'!E45/(1+$B10)^('DCF Model'!C19+2)+'DCF Model'!F45/(1+$B10)^('DCF Model'!C19+3)+'DCF Model'!G45/(1+$B10)^('DCF Model'!C19+4)+'DCF Model'!G45*(1+G$6)/($B10-G$6)/(1+$B10)^('DCF Model'!C19+4)-'DCF Model'!C16)*1000000/'DCF Model'!C15,0),"")</f>
        <v>2905</v>
      </c>
      <c r="H10" s="32">
        <f>IFERROR(ROUND(('DCF Model'!C45/(1+$B10)^('DCF Model'!C19+0)+'DCF Model'!D45/(1+$B10)^('DCF Model'!C19+1)+'DCF Model'!E45/(1+$B10)^('DCF Model'!C19+2)+'DCF Model'!F45/(1+$B10)^('DCF Model'!C19+3)+'DCF Model'!G45/(1+$B10)^('DCF Model'!C19+4)+'DCF Model'!G45*(1+H$6)/($B10-H$6)/(1+$B10)^('DCF Model'!C19+4)-'DCF Model'!C16)*1000000/'DCF Model'!C15,0),"")</f>
        <v>2953</v>
      </c>
      <c r="I10" s="32">
        <f>IFERROR(ROUND(('DCF Model'!C45/(1+$B10)^('DCF Model'!C19+0)+'DCF Model'!D45/(1+$B10)^('DCF Model'!C19+1)+'DCF Model'!E45/(1+$B10)^('DCF Model'!C19+2)+'DCF Model'!F45/(1+$B10)^('DCF Model'!C19+3)+'DCF Model'!G45/(1+$B10)^('DCF Model'!C19+4)+'DCF Model'!G45*(1+I$6)/($B10-I$6)/(1+$B10)^('DCF Model'!C19+4)-'DCF Model'!C16)*1000000/'DCF Model'!C15,0),"")</f>
        <v>3003</v>
      </c>
    </row>
    <row r="11" spans="2:9" ht="13.5" x14ac:dyDescent="0.25">
      <c r="B11" s="34">
        <f>$C$3+0.005</f>
        <v>0.1242</v>
      </c>
      <c r="C11" s="32">
        <f>IFERROR(ROUND(('DCF Model'!C45/(1+$B11)^('DCF Model'!C19+0)+'DCF Model'!D45/(1+$B11)^('DCF Model'!C19+1)+'DCF Model'!E45/(1+$B11)^('DCF Model'!C19+2)+'DCF Model'!F45/(1+$B11)^('DCF Model'!C19+3)+'DCF Model'!G45/(1+$B11)^('DCF Model'!C19+4)+'DCF Model'!G45*(1+C$6)/($B11-C$6)/(1+$B11)^('DCF Model'!C19+4)-'DCF Model'!C16)*1000000/'DCF Model'!C15,0),"")</f>
        <v>2636</v>
      </c>
      <c r="D11" s="32">
        <f>IFERROR(ROUND(('DCF Model'!C45/(1+$B11)^('DCF Model'!C19+0)+'DCF Model'!D45/(1+$B11)^('DCF Model'!C19+1)+'DCF Model'!E45/(1+$B11)^('DCF Model'!C19+2)+'DCF Model'!F45/(1+$B11)^('DCF Model'!C19+3)+'DCF Model'!G45/(1+$B11)^('DCF Model'!C19+4)+'DCF Model'!G45*(1+D$6)/($B11-D$6)/(1+$B11)^('DCF Model'!C19+4)-'DCF Model'!C16)*1000000/'DCF Model'!C15,0),"")</f>
        <v>2671</v>
      </c>
      <c r="E11" s="32">
        <f>IFERROR(ROUND(('DCF Model'!C45/(1+$B11)^('DCF Model'!C19+0)+'DCF Model'!D45/(1+$B11)^('DCF Model'!C19+1)+'DCF Model'!E45/(1+$B11)^('DCF Model'!C19+2)+'DCF Model'!F45/(1+$B11)^('DCF Model'!C19+3)+'DCF Model'!G45/(1+$B11)^('DCF Model'!C19+4)+'DCF Model'!G45*(1+E$6)/($B11-E$6)/(1+$B11)^('DCF Model'!C19+4)-'DCF Model'!C16)*1000000/'DCF Model'!C15,0),"")</f>
        <v>2708</v>
      </c>
      <c r="F11" s="32">
        <f>IFERROR(ROUND(('DCF Model'!C45/(1+$B11)^('DCF Model'!C19+0)+'DCF Model'!D45/(1+$B11)^('DCF Model'!C19+1)+'DCF Model'!E45/(1+$B11)^('DCF Model'!C19+2)+'DCF Model'!F45/(1+$B11)^('DCF Model'!C19+3)+'DCF Model'!G45/(1+$B11)^('DCF Model'!C19+4)+'DCF Model'!G45*(1+F$6)/($B11-F$6)/(1+$B11)^('DCF Model'!C19+4)-'DCF Model'!C16)*1000000/'DCF Model'!C15,0),"")</f>
        <v>2747</v>
      </c>
      <c r="G11" s="32">
        <f>IFERROR(ROUND(('DCF Model'!C45/(1+$B11)^('DCF Model'!C19+0)+'DCF Model'!D45/(1+$B11)^('DCF Model'!C19+1)+'DCF Model'!E45/(1+$B11)^('DCF Model'!C19+2)+'DCF Model'!F45/(1+$B11)^('DCF Model'!C19+3)+'DCF Model'!G45/(1+$B11)^('DCF Model'!C19+4)+'DCF Model'!G45*(1+G$6)/($B11-G$6)/(1+$B11)^('DCF Model'!C19+4)-'DCF Model'!C16)*1000000/'DCF Model'!C15,0),"")</f>
        <v>2787</v>
      </c>
      <c r="H11" s="32">
        <f>IFERROR(ROUND(('DCF Model'!C45/(1+$B11)^('DCF Model'!C19+0)+'DCF Model'!D45/(1+$B11)^('DCF Model'!C19+1)+'DCF Model'!E45/(1+$B11)^('DCF Model'!C19+2)+'DCF Model'!F45/(1+$B11)^('DCF Model'!C19+3)+'DCF Model'!G45/(1+$B11)^('DCF Model'!C19+4)+'DCF Model'!G45*(1+H$6)/($B11-H$6)/(1+$B11)^('DCF Model'!C19+4)-'DCF Model'!C16)*1000000/'DCF Model'!C15,0),"")</f>
        <v>2830</v>
      </c>
      <c r="I11" s="32">
        <f>IFERROR(ROUND(('DCF Model'!C45/(1+$B11)^('DCF Model'!C19+0)+'DCF Model'!D45/(1+$B11)^('DCF Model'!C19+1)+'DCF Model'!E45/(1+$B11)^('DCF Model'!C19+2)+'DCF Model'!F45/(1+$B11)^('DCF Model'!C19+3)+'DCF Model'!G45/(1+$B11)^('DCF Model'!C19+4)+'DCF Model'!G45*(1+I$6)/($B11-I$6)/(1+$B11)^('DCF Model'!C19+4)-'DCF Model'!C16)*1000000/'DCF Model'!C15,0),"")</f>
        <v>2874</v>
      </c>
    </row>
    <row r="12" spans="2:9" ht="13.5" x14ac:dyDescent="0.25">
      <c r="B12" s="34">
        <f>$C$3+0.01</f>
        <v>0.12920000000000001</v>
      </c>
      <c r="C12" s="32">
        <f>IFERROR(ROUND(('DCF Model'!C45/(1+$B12)^('DCF Model'!C19+0)+'DCF Model'!D45/(1+$B12)^('DCF Model'!C19+1)+'DCF Model'!E45/(1+$B12)^('DCF Model'!C19+2)+'DCF Model'!F45/(1+$B12)^('DCF Model'!C19+3)+'DCF Model'!G45/(1+$B12)^('DCF Model'!C19+4)+'DCF Model'!G45*(1+C$6)/($B12-C$6)/(1+$B12)^('DCF Model'!C19+4)-'DCF Model'!C16)*1000000/'DCF Model'!C15,0),"")</f>
        <v>2545</v>
      </c>
      <c r="D12" s="32">
        <f>IFERROR(ROUND(('DCF Model'!C45/(1+$B12)^('DCF Model'!C19+0)+'DCF Model'!D45/(1+$B12)^('DCF Model'!C19+1)+'DCF Model'!E45/(1+$B12)^('DCF Model'!C19+2)+'DCF Model'!F45/(1+$B12)^('DCF Model'!C19+3)+'DCF Model'!G45/(1+$B12)^('DCF Model'!C19+4)+'DCF Model'!G45*(1+D$6)/($B12-D$6)/(1+$B12)^('DCF Model'!C19+4)-'DCF Model'!C16)*1000000/'DCF Model'!C15,0),"")</f>
        <v>2576</v>
      </c>
      <c r="E12" s="32">
        <f>IFERROR(ROUND(('DCF Model'!C45/(1+$B12)^('DCF Model'!C19+0)+'DCF Model'!D45/(1+$B12)^('DCF Model'!C19+1)+'DCF Model'!E45/(1+$B12)^('DCF Model'!C19+2)+'DCF Model'!F45/(1+$B12)^('DCF Model'!C19+3)+'DCF Model'!G45/(1+$B12)^('DCF Model'!C19+4)+'DCF Model'!G45*(1+E$6)/($B12-E$6)/(1+$B12)^('DCF Model'!C19+4)-'DCF Model'!C16)*1000000/'DCF Model'!C15,0),"")</f>
        <v>2609</v>
      </c>
      <c r="F12" s="32">
        <f>IFERROR(ROUND(('DCF Model'!C45/(1+$B12)^('DCF Model'!C19+0)+'DCF Model'!D45/(1+$B12)^('DCF Model'!C19+1)+'DCF Model'!E45/(1+$B12)^('DCF Model'!C19+2)+'DCF Model'!F45/(1+$B12)^('DCF Model'!C19+3)+'DCF Model'!G45/(1+$B12)^('DCF Model'!C19+4)+'DCF Model'!G45*(1+F$6)/($B12-F$6)/(1+$B12)^('DCF Model'!C19+4)-'DCF Model'!C16)*1000000/'DCF Model'!C15,0),"")</f>
        <v>2644</v>
      </c>
      <c r="G12" s="32">
        <f>IFERROR(ROUND(('DCF Model'!C45/(1+$B12)^('DCF Model'!C19+0)+'DCF Model'!D45/(1+$B12)^('DCF Model'!C19+1)+'DCF Model'!E45/(1+$B12)^('DCF Model'!C19+2)+'DCF Model'!F45/(1+$B12)^('DCF Model'!C19+3)+'DCF Model'!G45/(1+$B12)^('DCF Model'!C19+4)+'DCF Model'!G45*(1+G$6)/($B12-G$6)/(1+$B12)^('DCF Model'!C19+4)-'DCF Model'!C16)*1000000/'DCF Model'!C15,0),"")</f>
        <v>2680</v>
      </c>
      <c r="H12" s="32">
        <f>IFERROR(ROUND(('DCF Model'!C45/(1+$B12)^('DCF Model'!C19+0)+'DCF Model'!D45/(1+$B12)^('DCF Model'!C19+1)+'DCF Model'!E45/(1+$B12)^('DCF Model'!C19+2)+'DCF Model'!F45/(1+$B12)^('DCF Model'!C19+3)+'DCF Model'!G45/(1+$B12)^('DCF Model'!C19+4)+'DCF Model'!G45*(1+H$6)/($B12-H$6)/(1+$B12)^('DCF Model'!C19+4)-'DCF Model'!C16)*1000000/'DCF Model'!C15,0),"")</f>
        <v>2719</v>
      </c>
      <c r="I12" s="32">
        <f>IFERROR(ROUND(('DCF Model'!C45/(1+$B12)^('DCF Model'!C19+0)+'DCF Model'!D45/(1+$B12)^('DCF Model'!C19+1)+'DCF Model'!E45/(1+$B12)^('DCF Model'!C19+2)+'DCF Model'!F45/(1+$B12)^('DCF Model'!C19+3)+'DCF Model'!G45/(1+$B12)^('DCF Model'!C19+4)+'DCF Model'!G45*(1+I$6)/($B12-I$6)/(1+$B12)^('DCF Model'!C19+4)-'DCF Model'!C16)*1000000/'DCF Model'!C15,0),"")</f>
        <v>2758</v>
      </c>
    </row>
    <row r="13" spans="2:9" ht="13.5" x14ac:dyDescent="0.25">
      <c r="B13" s="34">
        <f>$C$3+0.015</f>
        <v>0.13419999999999999</v>
      </c>
      <c r="C13" s="32">
        <f>IFERROR(ROUND(('DCF Model'!C45/(1+$B13)^('DCF Model'!C19+0)+'DCF Model'!D45/(1+$B13)^('DCF Model'!C19+1)+'DCF Model'!E45/(1+$B13)^('DCF Model'!C19+2)+'DCF Model'!F45/(1+$B13)^('DCF Model'!C19+3)+'DCF Model'!G45/(1+$B13)^('DCF Model'!C19+4)+'DCF Model'!G45*(1+C$6)/($B13-C$6)/(1+$B13)^('DCF Model'!C19+4)-'DCF Model'!C16)*1000000/'DCF Model'!C15,0),"")</f>
        <v>2461</v>
      </c>
      <c r="D13" s="32">
        <f>IFERROR(ROUND(('DCF Model'!C45/(1+$B13)^('DCF Model'!C19+0)+'DCF Model'!D45/(1+$B13)^('DCF Model'!C19+1)+'DCF Model'!E45/(1+$B13)^('DCF Model'!C19+2)+'DCF Model'!F45/(1+$B13)^('DCF Model'!C19+3)+'DCF Model'!G45/(1+$B13)^('DCF Model'!C19+4)+'DCF Model'!G45*(1+D$6)/($B13-D$6)/(1+$B13)^('DCF Model'!C19+4)-'DCF Model'!C16)*1000000/'DCF Model'!C15,0),"")</f>
        <v>2489</v>
      </c>
      <c r="E13" s="32">
        <f>IFERROR(ROUND(('DCF Model'!C45/(1+$B13)^('DCF Model'!C19+0)+'DCF Model'!D45/(1+$B13)^('DCF Model'!C19+1)+'DCF Model'!E45/(1+$B13)^('DCF Model'!C19+2)+'DCF Model'!F45/(1+$B13)^('DCF Model'!C19+3)+'DCF Model'!G45/(1+$B13)^('DCF Model'!C19+4)+'DCF Model'!G45*(1+E$6)/($B13-E$6)/(1+$B13)^('DCF Model'!C19+4)-'DCF Model'!C16)*1000000/'DCF Model'!C15,0),"")</f>
        <v>2519</v>
      </c>
      <c r="F13" s="32">
        <f>IFERROR(ROUND(('DCF Model'!C45/(1+$B13)^('DCF Model'!C19+0)+'DCF Model'!D45/(1+$B13)^('DCF Model'!C19+1)+'DCF Model'!E45/(1+$B13)^('DCF Model'!C19+2)+'DCF Model'!F45/(1+$B13)^('DCF Model'!C19+3)+'DCF Model'!G45/(1+$B13)^('DCF Model'!C19+4)+'DCF Model'!G45*(1+F$6)/($B13-F$6)/(1+$B13)^('DCF Model'!C19+4)-'DCF Model'!C16)*1000000/'DCF Model'!C15,0),"")</f>
        <v>2551</v>
      </c>
      <c r="G13" s="32">
        <f>IFERROR(ROUND(('DCF Model'!C45/(1+$B13)^('DCF Model'!C19+0)+'DCF Model'!D45/(1+$B13)^('DCF Model'!C19+1)+'DCF Model'!E45/(1+$B13)^('DCF Model'!C19+2)+'DCF Model'!F45/(1+$B13)^('DCF Model'!C19+3)+'DCF Model'!G45/(1+$B13)^('DCF Model'!C19+4)+'DCF Model'!G45*(1+G$6)/($B13-G$6)/(1+$B13)^('DCF Model'!C19+4)-'DCF Model'!C16)*1000000/'DCF Model'!C15,0),"")</f>
        <v>2583</v>
      </c>
      <c r="H13" s="32">
        <f>IFERROR(ROUND(('DCF Model'!C45/(1+$B13)^('DCF Model'!C19+0)+'DCF Model'!D45/(1+$B13)^('DCF Model'!C19+1)+'DCF Model'!E45/(1+$B13)^('DCF Model'!C19+2)+'DCF Model'!F45/(1+$B13)^('DCF Model'!C19+3)+'DCF Model'!G45/(1+$B13)^('DCF Model'!C19+4)+'DCF Model'!G45*(1+H$6)/($B13-H$6)/(1+$B13)^('DCF Model'!C19+4)-'DCF Model'!C16)*1000000/'DCF Model'!C15,0),"")</f>
        <v>2618</v>
      </c>
      <c r="I13" s="32">
        <f>IFERROR(ROUND(('DCF Model'!C45/(1+$B13)^('DCF Model'!C19+0)+'DCF Model'!D45/(1+$B13)^('DCF Model'!C19+1)+'DCF Model'!E45/(1+$B13)^('DCF Model'!C19+2)+'DCF Model'!F45/(1+$B13)^('DCF Model'!C19+3)+'DCF Model'!G45/(1+$B13)^('DCF Model'!C19+4)+'DCF Model'!G45*(1+I$6)/($B13-I$6)/(1+$B13)^('DCF Model'!C19+4)-'DCF Model'!C16)*1000000/'DCF Model'!C15,0),"")</f>
        <v>2653</v>
      </c>
    </row>
    <row r="16" spans="2:9" ht="14" x14ac:dyDescent="0.3">
      <c r="B16" s="3" t="s">
        <v>178</v>
      </c>
    </row>
    <row r="17" spans="2:9" ht="14" x14ac:dyDescent="0.3">
      <c r="B17" s="35" t="s">
        <v>179</v>
      </c>
      <c r="C17" s="37">
        <f>$I$3-3</f>
        <v>7</v>
      </c>
      <c r="D17" s="37">
        <f>$I$3-2</f>
        <v>8</v>
      </c>
      <c r="E17" s="37">
        <f>$I$3-1</f>
        <v>9</v>
      </c>
      <c r="F17" s="37">
        <f>$I$3</f>
        <v>10</v>
      </c>
      <c r="G17" s="37">
        <f>$I$3+1</f>
        <v>11</v>
      </c>
      <c r="H17" s="37">
        <f>$I$3+2</f>
        <v>12</v>
      </c>
      <c r="I17" s="37">
        <f>$I$3+3</f>
        <v>13</v>
      </c>
    </row>
    <row r="18" spans="2:9" ht="13.5" x14ac:dyDescent="0.25">
      <c r="B18" s="34">
        <f>$C$3-0.015</f>
        <v>0.1042</v>
      </c>
      <c r="C18" s="32">
        <f>IFERROR(ROUND(('DCF Model'!C45/(1+$B18)^('DCF Model'!C19+0)+'DCF Model'!D45/(1+$B18)^('DCF Model'!C19+1)+'DCF Model'!E45/(1+$B18)^('DCF Model'!C19+2)+'DCF Model'!F45/(1+$B18)^('DCF Model'!C19+3)+'DCF Model'!G45/(1+$B18)^('DCF Model'!C19+4)+('DCF Model'!G39+'DCF Model'!G42)*C$17/(1+$B18)^('DCF Model'!C19+4)-'DCF Model'!C16)*1000000/'DCF Model'!C15,0),"")</f>
        <v>3134</v>
      </c>
      <c r="D18" s="32">
        <f>IFERROR(ROUND(('DCF Model'!C45/(1+$B18)^('DCF Model'!C19+0)+'DCF Model'!D45/(1+$B18)^('DCF Model'!C19+1)+'DCF Model'!E45/(1+$B18)^('DCF Model'!C19+2)+'DCF Model'!F45/(1+$B18)^('DCF Model'!C19+3)+'DCF Model'!G45/(1+$B18)^('DCF Model'!C19+4)+('DCF Model'!G39+'DCF Model'!G42)*D$17/(1+$B18)^('DCF Model'!C19+4)-'DCF Model'!C16)*1000000/'DCF Model'!C15,0),"")</f>
        <v>3398</v>
      </c>
      <c r="E18" s="32">
        <f>IFERROR(ROUND(('DCF Model'!C45/(1+$B18)^('DCF Model'!C19+0)+'DCF Model'!D45/(1+$B18)^('DCF Model'!C19+1)+'DCF Model'!E45/(1+$B18)^('DCF Model'!C19+2)+'DCF Model'!F45/(1+$B18)^('DCF Model'!C19+3)+'DCF Model'!G45/(1+$B18)^('DCF Model'!C19+4)+('DCF Model'!G39+'DCF Model'!G42)*E$17/(1+$B18)^('DCF Model'!C19+4)-'DCF Model'!C16)*1000000/'DCF Model'!C15,0),"")</f>
        <v>3663</v>
      </c>
      <c r="F18" s="32">
        <f>IFERROR(ROUND(('DCF Model'!C45/(1+$B18)^('DCF Model'!C19+0)+'DCF Model'!D45/(1+$B18)^('DCF Model'!C19+1)+'DCF Model'!E45/(1+$B18)^('DCF Model'!C19+2)+'DCF Model'!F45/(1+$B18)^('DCF Model'!C19+3)+'DCF Model'!G45/(1+$B18)^('DCF Model'!C19+4)+('DCF Model'!G39+'DCF Model'!G42)*F$17/(1+$B18)^('DCF Model'!C19+4)-'DCF Model'!C16)*1000000/'DCF Model'!C15,0),"")</f>
        <v>3927</v>
      </c>
      <c r="G18" s="32">
        <f>IFERROR(ROUND(('DCF Model'!C45/(1+$B18)^('DCF Model'!C19+0)+'DCF Model'!D45/(1+$B18)^('DCF Model'!C19+1)+'DCF Model'!E45/(1+$B18)^('DCF Model'!C19+2)+'DCF Model'!F45/(1+$B18)^('DCF Model'!C19+3)+'DCF Model'!G45/(1+$B18)^('DCF Model'!C19+4)+('DCF Model'!G39+'DCF Model'!G42)*G$17/(1+$B18)^('DCF Model'!C19+4)-'DCF Model'!C16)*1000000/'DCF Model'!C15,0),"")</f>
        <v>4192</v>
      </c>
      <c r="H18" s="32">
        <f>IFERROR(ROUND(('DCF Model'!C45/(1+$B18)^('DCF Model'!C19+0)+'DCF Model'!D45/(1+$B18)^('DCF Model'!C19+1)+'DCF Model'!E45/(1+$B18)^('DCF Model'!C19+2)+'DCF Model'!F45/(1+$B18)^('DCF Model'!C19+3)+'DCF Model'!G45/(1+$B18)^('DCF Model'!C19+4)+('DCF Model'!G39+'DCF Model'!G42)*H$17/(1+$B18)^('DCF Model'!C19+4)-'DCF Model'!C16)*1000000/'DCF Model'!C15,0),"")</f>
        <v>4456</v>
      </c>
      <c r="I18" s="32">
        <f>IFERROR(ROUND(('DCF Model'!C45/(1+$B18)^('DCF Model'!C19+0)+'DCF Model'!D45/(1+$B18)^('DCF Model'!C19+1)+'DCF Model'!E45/(1+$B18)^('DCF Model'!C19+2)+'DCF Model'!F45/(1+$B18)^('DCF Model'!C19+3)+'DCF Model'!G45/(1+$B18)^('DCF Model'!C19+4)+('DCF Model'!G39+'DCF Model'!G42)*I$17/(1+$B18)^('DCF Model'!C19+4)-'DCF Model'!C16)*1000000/'DCF Model'!C15,0),"")</f>
        <v>4721</v>
      </c>
    </row>
    <row r="19" spans="2:9" ht="13.5" x14ac:dyDescent="0.25">
      <c r="B19" s="34">
        <f>$C$3-0.01</f>
        <v>0.10920000000000001</v>
      </c>
      <c r="C19" s="32">
        <f>IFERROR(ROUND(('DCF Model'!C45/(1+$B19)^('DCF Model'!C19+0)+'DCF Model'!D45/(1+$B19)^('DCF Model'!C19+1)+'DCF Model'!E45/(1+$B19)^('DCF Model'!C19+2)+'DCF Model'!F45/(1+$B19)^('DCF Model'!C19+3)+'DCF Model'!G45/(1+$B19)^('DCF Model'!C19+4)+('DCF Model'!G39+'DCF Model'!G42)*C$17/(1+$B19)^('DCF Model'!C19+4)-'DCF Model'!C16)*1000000/'DCF Model'!C15,0),"")</f>
        <v>3091</v>
      </c>
      <c r="D19" s="32">
        <f>IFERROR(ROUND(('DCF Model'!C45/(1+$B19)^('DCF Model'!C19+0)+'DCF Model'!D45/(1+$B19)^('DCF Model'!C19+1)+'DCF Model'!E45/(1+$B19)^('DCF Model'!C19+2)+'DCF Model'!F45/(1+$B19)^('DCF Model'!C19+3)+'DCF Model'!G45/(1+$B19)^('DCF Model'!C19+4)+('DCF Model'!G39+'DCF Model'!G42)*D$17/(1+$B19)^('DCF Model'!C19+4)-'DCF Model'!C16)*1000000/'DCF Model'!C15,0),"")</f>
        <v>3350</v>
      </c>
      <c r="E19" s="32">
        <f>IFERROR(ROUND(('DCF Model'!C45/(1+$B19)^('DCF Model'!C19+0)+'DCF Model'!D45/(1+$B19)^('DCF Model'!C19+1)+'DCF Model'!E45/(1+$B19)^('DCF Model'!C19+2)+'DCF Model'!F45/(1+$B19)^('DCF Model'!C19+3)+'DCF Model'!G45/(1+$B19)^('DCF Model'!C19+4)+('DCF Model'!G39+'DCF Model'!G42)*E$17/(1+$B19)^('DCF Model'!C19+4)-'DCF Model'!C16)*1000000/'DCF Model'!C15,0),"")</f>
        <v>3610</v>
      </c>
      <c r="F19" s="32">
        <f>IFERROR(ROUND(('DCF Model'!C45/(1+$B19)^('DCF Model'!C19+0)+'DCF Model'!D45/(1+$B19)^('DCF Model'!C19+1)+'DCF Model'!E45/(1+$B19)^('DCF Model'!C19+2)+'DCF Model'!F45/(1+$B19)^('DCF Model'!C19+3)+'DCF Model'!G45/(1+$B19)^('DCF Model'!C19+4)+('DCF Model'!G39+'DCF Model'!G42)*F$17/(1+$B19)^('DCF Model'!C19+4)-'DCF Model'!C16)*1000000/'DCF Model'!C15,0),"")</f>
        <v>3869</v>
      </c>
      <c r="G19" s="32">
        <f>IFERROR(ROUND(('DCF Model'!C45/(1+$B19)^('DCF Model'!C19+0)+'DCF Model'!D45/(1+$B19)^('DCF Model'!C19+1)+'DCF Model'!E45/(1+$B19)^('DCF Model'!C19+2)+'DCF Model'!F45/(1+$B19)^('DCF Model'!C19+3)+'DCF Model'!G45/(1+$B19)^('DCF Model'!C19+4)+('DCF Model'!G39+'DCF Model'!G42)*G$17/(1+$B19)^('DCF Model'!C19+4)-'DCF Model'!C16)*1000000/'DCF Model'!C15,0),"")</f>
        <v>4129</v>
      </c>
      <c r="H19" s="32">
        <f>IFERROR(ROUND(('DCF Model'!C45/(1+$B19)^('DCF Model'!C19+0)+'DCF Model'!D45/(1+$B19)^('DCF Model'!C19+1)+'DCF Model'!E45/(1+$B19)^('DCF Model'!C19+2)+'DCF Model'!F45/(1+$B19)^('DCF Model'!C19+3)+'DCF Model'!G45/(1+$B19)^('DCF Model'!C19+4)+('DCF Model'!G39+'DCF Model'!G42)*H$17/(1+$B19)^('DCF Model'!C19+4)-'DCF Model'!C16)*1000000/'DCF Model'!C15,0),"")</f>
        <v>4388</v>
      </c>
      <c r="I19" s="32">
        <f>IFERROR(ROUND(('DCF Model'!C45/(1+$B19)^('DCF Model'!C19+0)+'DCF Model'!D45/(1+$B19)^('DCF Model'!C19+1)+'DCF Model'!E45/(1+$B19)^('DCF Model'!C19+2)+'DCF Model'!F45/(1+$B19)^('DCF Model'!C19+3)+'DCF Model'!G45/(1+$B19)^('DCF Model'!C19+4)+('DCF Model'!G39+'DCF Model'!G42)*I$17/(1+$B19)^('DCF Model'!C19+4)-'DCF Model'!C16)*1000000/'DCF Model'!C15,0),"")</f>
        <v>4647</v>
      </c>
    </row>
    <row r="20" spans="2:9" ht="13.5" x14ac:dyDescent="0.25">
      <c r="B20" s="34">
        <f>$C$3-0.005</f>
        <v>0.1142</v>
      </c>
      <c r="C20" s="32">
        <f>IFERROR(ROUND(('DCF Model'!C45/(1+$B20)^('DCF Model'!C19+0)+'DCF Model'!D45/(1+$B20)^('DCF Model'!C19+1)+'DCF Model'!E45/(1+$B20)^('DCF Model'!C19+2)+'DCF Model'!F45/(1+$B20)^('DCF Model'!C19+3)+'DCF Model'!G45/(1+$B20)^('DCF Model'!C19+4)+('DCF Model'!G39+'DCF Model'!G42)*C$17/(1+$B20)^('DCF Model'!C19+4)-'DCF Model'!C16)*1000000/'DCF Model'!C15,0),"")</f>
        <v>3049</v>
      </c>
      <c r="D20" s="32">
        <f>IFERROR(ROUND(('DCF Model'!C45/(1+$B20)^('DCF Model'!C19+0)+'DCF Model'!D45/(1+$B20)^('DCF Model'!C19+1)+'DCF Model'!E45/(1+$B20)^('DCF Model'!C19+2)+'DCF Model'!F45/(1+$B20)^('DCF Model'!C19+3)+'DCF Model'!G45/(1+$B20)^('DCF Model'!C19+4)+('DCF Model'!G39+'DCF Model'!G42)*D$17/(1+$B20)^('DCF Model'!C19+4)-'DCF Model'!C16)*1000000/'DCF Model'!C15,0),"")</f>
        <v>3303</v>
      </c>
      <c r="E20" s="32">
        <f>IFERROR(ROUND(('DCF Model'!C45/(1+$B20)^('DCF Model'!C19+0)+'DCF Model'!D45/(1+$B20)^('DCF Model'!C19+1)+'DCF Model'!E45/(1+$B20)^('DCF Model'!C19+2)+'DCF Model'!F45/(1+$B20)^('DCF Model'!C19+3)+'DCF Model'!G45/(1+$B20)^('DCF Model'!C19+4)+('DCF Model'!G39+'DCF Model'!G42)*E$17/(1+$B20)^('DCF Model'!C19+4)-'DCF Model'!C16)*1000000/'DCF Model'!C15,0),"")</f>
        <v>3558</v>
      </c>
      <c r="F20" s="32">
        <f>IFERROR(ROUND(('DCF Model'!C45/(1+$B20)^('DCF Model'!C19+0)+'DCF Model'!D45/(1+$B20)^('DCF Model'!C19+1)+'DCF Model'!E45/(1+$B20)^('DCF Model'!C19+2)+'DCF Model'!F45/(1+$B20)^('DCF Model'!C19+3)+'DCF Model'!G45/(1+$B20)^('DCF Model'!C19+4)+('DCF Model'!G39+'DCF Model'!G42)*F$17/(1+$B20)^('DCF Model'!C19+4)-'DCF Model'!C16)*1000000/'DCF Model'!C15,0),"")</f>
        <v>3812</v>
      </c>
      <c r="G20" s="32">
        <f>IFERROR(ROUND(('DCF Model'!C45/(1+$B20)^('DCF Model'!C19+0)+'DCF Model'!D45/(1+$B20)^('DCF Model'!C19+1)+'DCF Model'!E45/(1+$B20)^('DCF Model'!C19+2)+'DCF Model'!F45/(1+$B20)^('DCF Model'!C19+3)+'DCF Model'!G45/(1+$B20)^('DCF Model'!C19+4)+('DCF Model'!G39+'DCF Model'!G42)*G$17/(1+$B20)^('DCF Model'!C19+4)-'DCF Model'!C16)*1000000/'DCF Model'!C15,0),"")</f>
        <v>4067</v>
      </c>
      <c r="H20" s="32">
        <f>IFERROR(ROUND(('DCF Model'!C45/(1+$B20)^('DCF Model'!C19+0)+'DCF Model'!D45/(1+$B20)^('DCF Model'!C19+1)+'DCF Model'!E45/(1+$B20)^('DCF Model'!C19+2)+'DCF Model'!F45/(1+$B20)^('DCF Model'!C19+3)+'DCF Model'!G45/(1+$B20)^('DCF Model'!C19+4)+('DCF Model'!G39+'DCF Model'!G42)*H$17/(1+$B20)^('DCF Model'!C19+4)-'DCF Model'!C16)*1000000/'DCF Model'!C15,0),"")</f>
        <v>4321</v>
      </c>
      <c r="I20" s="32">
        <f>IFERROR(ROUND(('DCF Model'!C45/(1+$B20)^('DCF Model'!C19+0)+'DCF Model'!D45/(1+$B20)^('DCF Model'!C19+1)+'DCF Model'!E45/(1+$B20)^('DCF Model'!C19+2)+'DCF Model'!F45/(1+$B20)^('DCF Model'!C19+3)+'DCF Model'!G45/(1+$B20)^('DCF Model'!C19+4)+('DCF Model'!G39+'DCF Model'!G42)*I$17/(1+$B20)^('DCF Model'!C19+4)-'DCF Model'!C16)*1000000/'DCF Model'!C15,0),"")</f>
        <v>4576</v>
      </c>
    </row>
    <row r="21" spans="2:9" ht="13.5" x14ac:dyDescent="0.25">
      <c r="B21" s="34">
        <f>$C$3</f>
        <v>0.1192</v>
      </c>
      <c r="C21" s="32">
        <f>IFERROR(ROUND(('DCF Model'!C45/(1+$B21)^('DCF Model'!C19+0)+'DCF Model'!D45/(1+$B21)^('DCF Model'!C19+1)+'DCF Model'!E45/(1+$B21)^('DCF Model'!C19+2)+'DCF Model'!F45/(1+$B21)^('DCF Model'!C19+3)+'DCF Model'!G45/(1+$B21)^('DCF Model'!C19+4)+('DCF Model'!G39+'DCF Model'!G42)*C$17/(1+$B21)^('DCF Model'!C19+4)-'DCF Model'!C16)*1000000/'DCF Model'!C15,0),"")</f>
        <v>3007</v>
      </c>
      <c r="D21" s="32">
        <f>IFERROR(ROUND(('DCF Model'!C45/(1+$B21)^('DCF Model'!C19+0)+'DCF Model'!D45/(1+$B21)^('DCF Model'!C19+1)+'DCF Model'!E45/(1+$B21)^('DCF Model'!C19+2)+'DCF Model'!F45/(1+$B21)^('DCF Model'!C19+3)+'DCF Model'!G45/(1+$B21)^('DCF Model'!C19+4)+('DCF Model'!G39+'DCF Model'!G42)*D$17/(1+$B21)^('DCF Model'!C19+4)-'DCF Model'!C16)*1000000/'DCF Model'!C15,0),"")</f>
        <v>3257</v>
      </c>
      <c r="E21" s="32">
        <f>IFERROR(ROUND(('DCF Model'!C45/(1+$B21)^('DCF Model'!C19+0)+'DCF Model'!D45/(1+$B21)^('DCF Model'!C19+1)+'DCF Model'!E45/(1+$B21)^('DCF Model'!C19+2)+'DCF Model'!F45/(1+$B21)^('DCF Model'!C19+3)+'DCF Model'!G45/(1+$B21)^('DCF Model'!C19+4)+('DCF Model'!G39+'DCF Model'!G42)*E$17/(1+$B21)^('DCF Model'!C19+4)-'DCF Model'!C16)*1000000/'DCF Model'!C15,0),"")</f>
        <v>3507</v>
      </c>
      <c r="F21" s="32">
        <f>IFERROR(ROUND(('DCF Model'!C45/(1+$B21)^('DCF Model'!C19+0)+'DCF Model'!D45/(1+$B21)^('DCF Model'!C19+1)+'DCF Model'!E45/(1+$B21)^('DCF Model'!C19+2)+'DCF Model'!F45/(1+$B21)^('DCF Model'!C19+3)+'DCF Model'!G45/(1+$B21)^('DCF Model'!C19+4)+('DCF Model'!G39+'DCF Model'!G42)*F$17/(1+$B21)^('DCF Model'!C19+4)-'DCF Model'!C16)*1000000/'DCF Model'!C15,0),"")</f>
        <v>3757</v>
      </c>
      <c r="G21" s="32">
        <f>IFERROR(ROUND(('DCF Model'!C45/(1+$B21)^('DCF Model'!C19+0)+'DCF Model'!D45/(1+$B21)^('DCF Model'!C19+1)+'DCF Model'!E45/(1+$B21)^('DCF Model'!C19+2)+'DCF Model'!F45/(1+$B21)^('DCF Model'!C19+3)+'DCF Model'!G45/(1+$B21)^('DCF Model'!C19+4)+('DCF Model'!G39+'DCF Model'!G42)*G$17/(1+$B21)^('DCF Model'!C19+4)-'DCF Model'!C16)*1000000/'DCF Model'!C15,0),"")</f>
        <v>4006</v>
      </c>
      <c r="H21" s="32">
        <f>IFERROR(ROUND(('DCF Model'!C45/(1+$B21)^('DCF Model'!C19+0)+'DCF Model'!D45/(1+$B21)^('DCF Model'!C19+1)+'DCF Model'!E45/(1+$B21)^('DCF Model'!C19+2)+'DCF Model'!F45/(1+$B21)^('DCF Model'!C19+3)+'DCF Model'!G45/(1+$B21)^('DCF Model'!C19+4)+('DCF Model'!G39+'DCF Model'!G42)*H$17/(1+$B21)^('DCF Model'!C19+4)-'DCF Model'!C16)*1000000/'DCF Model'!C15,0),"")</f>
        <v>4256</v>
      </c>
      <c r="I21" s="32">
        <f>IFERROR(ROUND(('DCF Model'!C45/(1+$B21)^('DCF Model'!C19+0)+'DCF Model'!D45/(1+$B21)^('DCF Model'!C19+1)+'DCF Model'!E45/(1+$B21)^('DCF Model'!C19+2)+'DCF Model'!F45/(1+$B21)^('DCF Model'!C19+3)+'DCF Model'!G45/(1+$B21)^('DCF Model'!C19+4)+('DCF Model'!G39+'DCF Model'!G42)*I$17/(1+$B21)^('DCF Model'!C19+4)-'DCF Model'!C16)*1000000/'DCF Model'!C15,0),"")</f>
        <v>4506</v>
      </c>
    </row>
    <row r="22" spans="2:9" ht="13.5" x14ac:dyDescent="0.25">
      <c r="B22" s="34">
        <f>$C$3+0.005</f>
        <v>0.1242</v>
      </c>
      <c r="C22" s="32">
        <f>IFERROR(ROUND(('DCF Model'!C45/(1+$B22)^('DCF Model'!C19+0)+'DCF Model'!D45/(1+$B22)^('DCF Model'!C19+1)+'DCF Model'!E45/(1+$B22)^('DCF Model'!C19+2)+'DCF Model'!F45/(1+$B22)^('DCF Model'!C19+3)+'DCF Model'!G45/(1+$B22)^('DCF Model'!C19+4)+('DCF Model'!G39+'DCF Model'!G42)*C$17/(1+$B22)^('DCF Model'!C19+4)-'DCF Model'!C16)*1000000/'DCF Model'!C15,0),"")</f>
        <v>2967</v>
      </c>
      <c r="D22" s="32">
        <f>IFERROR(ROUND(('DCF Model'!C45/(1+$B22)^('DCF Model'!C19+0)+'DCF Model'!D45/(1+$B22)^('DCF Model'!C19+1)+'DCF Model'!E45/(1+$B22)^('DCF Model'!C19+2)+'DCF Model'!F45/(1+$B22)^('DCF Model'!C19+3)+'DCF Model'!G45/(1+$B22)^('DCF Model'!C19+4)+('DCF Model'!G39+'DCF Model'!G42)*D$17/(1+$B22)^('DCF Model'!C19+4)-'DCF Model'!C16)*1000000/'DCF Model'!C15,0),"")</f>
        <v>3212</v>
      </c>
      <c r="E22" s="32">
        <f>IFERROR(ROUND(('DCF Model'!C45/(1+$B22)^('DCF Model'!C19+0)+'DCF Model'!D45/(1+$B22)^('DCF Model'!C19+1)+'DCF Model'!E45/(1+$B22)^('DCF Model'!C19+2)+'DCF Model'!F45/(1+$B22)^('DCF Model'!C19+3)+'DCF Model'!G45/(1+$B22)^('DCF Model'!C19+4)+('DCF Model'!G39+'DCF Model'!G42)*E$17/(1+$B22)^('DCF Model'!C19+4)-'DCF Model'!C16)*1000000/'DCF Model'!C15,0),"")</f>
        <v>3457</v>
      </c>
      <c r="F22" s="32">
        <f>IFERROR(ROUND(('DCF Model'!C45/(1+$B22)^('DCF Model'!C19+0)+'DCF Model'!D45/(1+$B22)^('DCF Model'!C19+1)+'DCF Model'!E45/(1+$B22)^('DCF Model'!C19+2)+'DCF Model'!F45/(1+$B22)^('DCF Model'!C19+3)+'DCF Model'!G45/(1+$B22)^('DCF Model'!C19+4)+('DCF Model'!G39+'DCF Model'!G42)*F$17/(1+$B22)^('DCF Model'!C19+4)-'DCF Model'!C16)*1000000/'DCF Model'!C15,0),"")</f>
        <v>3702</v>
      </c>
      <c r="G22" s="32">
        <f>IFERROR(ROUND(('DCF Model'!C45/(1+$B22)^('DCF Model'!C19+0)+'DCF Model'!D45/(1+$B22)^('DCF Model'!C19+1)+'DCF Model'!E45/(1+$B22)^('DCF Model'!C19+2)+'DCF Model'!F45/(1+$B22)^('DCF Model'!C19+3)+'DCF Model'!G45/(1+$B22)^('DCF Model'!C19+4)+('DCF Model'!G39+'DCF Model'!G42)*G$17/(1+$B22)^('DCF Model'!C19+4)-'DCF Model'!C16)*1000000/'DCF Model'!C15,0),"")</f>
        <v>3947</v>
      </c>
      <c r="H22" s="32">
        <f>IFERROR(ROUND(('DCF Model'!C45/(1+$B22)^('DCF Model'!C19+0)+'DCF Model'!D45/(1+$B22)^('DCF Model'!C19+1)+'DCF Model'!E45/(1+$B22)^('DCF Model'!C19+2)+'DCF Model'!F45/(1+$B22)^('DCF Model'!C19+3)+'DCF Model'!G45/(1+$B22)^('DCF Model'!C19+4)+('DCF Model'!G39+'DCF Model'!G42)*H$17/(1+$B22)^('DCF Model'!C19+4)-'DCF Model'!C16)*1000000/'DCF Model'!C15,0),"")</f>
        <v>4192</v>
      </c>
      <c r="I22" s="32">
        <f>IFERROR(ROUND(('DCF Model'!C45/(1+$B22)^('DCF Model'!C19+0)+'DCF Model'!D45/(1+$B22)^('DCF Model'!C19+1)+'DCF Model'!E45/(1+$B22)^('DCF Model'!C19+2)+'DCF Model'!F45/(1+$B22)^('DCF Model'!C19+3)+'DCF Model'!G45/(1+$B22)^('DCF Model'!C19+4)+('DCF Model'!G39+'DCF Model'!G42)*I$17/(1+$B22)^('DCF Model'!C19+4)-'DCF Model'!C16)*1000000/'DCF Model'!C15,0),"")</f>
        <v>4437</v>
      </c>
    </row>
    <row r="23" spans="2:9" ht="13.5" x14ac:dyDescent="0.25">
      <c r="B23" s="34">
        <f>$C$3+0.01</f>
        <v>0.12920000000000001</v>
      </c>
      <c r="C23" s="32">
        <f>IFERROR(ROUND(('DCF Model'!C45/(1+$B23)^('DCF Model'!C19+0)+'DCF Model'!D45/(1+$B23)^('DCF Model'!C19+1)+'DCF Model'!E45/(1+$B23)^('DCF Model'!C19+2)+'DCF Model'!F45/(1+$B23)^('DCF Model'!C19+3)+'DCF Model'!G45/(1+$B23)^('DCF Model'!C19+4)+('DCF Model'!G39+'DCF Model'!G42)*C$17/(1+$B23)^('DCF Model'!C19+4)-'DCF Model'!C16)*1000000/'DCF Model'!C15,0),"")</f>
        <v>2928</v>
      </c>
      <c r="D23" s="32">
        <f>IFERROR(ROUND(('DCF Model'!C45/(1+$B23)^('DCF Model'!C19+0)+'DCF Model'!D45/(1+$B23)^('DCF Model'!C19+1)+'DCF Model'!E45/(1+$B23)^('DCF Model'!C19+2)+'DCF Model'!F45/(1+$B23)^('DCF Model'!C19+3)+'DCF Model'!G45/(1+$B23)^('DCF Model'!C19+4)+('DCF Model'!G39+'DCF Model'!G42)*D$17/(1+$B23)^('DCF Model'!C19+4)-'DCF Model'!C16)*1000000/'DCF Model'!C15,0),"")</f>
        <v>3168</v>
      </c>
      <c r="E23" s="32">
        <f>IFERROR(ROUND(('DCF Model'!C45/(1+$B23)^('DCF Model'!C19+0)+'DCF Model'!D45/(1+$B23)^('DCF Model'!C19+1)+'DCF Model'!E45/(1+$B23)^('DCF Model'!C19+2)+'DCF Model'!F45/(1+$B23)^('DCF Model'!C19+3)+'DCF Model'!G45/(1+$B23)^('DCF Model'!C19+4)+('DCF Model'!G39+'DCF Model'!G42)*E$17/(1+$B23)^('DCF Model'!C19+4)-'DCF Model'!C16)*1000000/'DCF Model'!C15,0),"")</f>
        <v>3409</v>
      </c>
      <c r="F23" s="32">
        <f>IFERROR(ROUND(('DCF Model'!C45/(1+$B23)^('DCF Model'!C19+0)+'DCF Model'!D45/(1+$B23)^('DCF Model'!C19+1)+'DCF Model'!E45/(1+$B23)^('DCF Model'!C19+2)+'DCF Model'!F45/(1+$B23)^('DCF Model'!C19+3)+'DCF Model'!G45/(1+$B23)^('DCF Model'!C19+4)+('DCF Model'!G39+'DCF Model'!G42)*F$17/(1+$B23)^('DCF Model'!C19+4)-'DCF Model'!C16)*1000000/'DCF Model'!C15,0),"")</f>
        <v>3649</v>
      </c>
      <c r="G23" s="32">
        <f>IFERROR(ROUND(('DCF Model'!C45/(1+$B23)^('DCF Model'!C19+0)+'DCF Model'!D45/(1+$B23)^('DCF Model'!C19+1)+'DCF Model'!E45/(1+$B23)^('DCF Model'!C19+2)+'DCF Model'!F45/(1+$B23)^('DCF Model'!C19+3)+'DCF Model'!G45/(1+$B23)^('DCF Model'!C19+4)+('DCF Model'!G39+'DCF Model'!G42)*G$17/(1+$B23)^('DCF Model'!C19+4)-'DCF Model'!C16)*1000000/'DCF Model'!C15,0),"")</f>
        <v>3889</v>
      </c>
      <c r="H23" s="32">
        <f>IFERROR(ROUND(('DCF Model'!C45/(1+$B23)^('DCF Model'!C19+0)+'DCF Model'!D45/(1+$B23)^('DCF Model'!C19+1)+'DCF Model'!E45/(1+$B23)^('DCF Model'!C19+2)+'DCF Model'!F45/(1+$B23)^('DCF Model'!C19+3)+'DCF Model'!G45/(1+$B23)^('DCF Model'!C19+4)+('DCF Model'!G39+'DCF Model'!G42)*H$17/(1+$B23)^('DCF Model'!C19+4)-'DCF Model'!C16)*1000000/'DCF Model'!C15,0),"")</f>
        <v>4130</v>
      </c>
      <c r="I23" s="32">
        <f>IFERROR(ROUND(('DCF Model'!C45/(1+$B23)^('DCF Model'!C19+0)+'DCF Model'!D45/(1+$B23)^('DCF Model'!C19+1)+'DCF Model'!E45/(1+$B23)^('DCF Model'!C19+2)+'DCF Model'!F45/(1+$B23)^('DCF Model'!C19+3)+'DCF Model'!G45/(1+$B23)^('DCF Model'!C19+4)+('DCF Model'!G39+'DCF Model'!G42)*I$17/(1+$B23)^('DCF Model'!C19+4)-'DCF Model'!C16)*1000000/'DCF Model'!C15,0),"")</f>
        <v>4370</v>
      </c>
    </row>
    <row r="24" spans="2:9" ht="13.5" x14ac:dyDescent="0.25">
      <c r="B24" s="34">
        <f>$C$3+0.015</f>
        <v>0.13419999999999999</v>
      </c>
      <c r="C24" s="32">
        <f>IFERROR(ROUND(('DCF Model'!C45/(1+$B24)^('DCF Model'!C19+0)+'DCF Model'!D45/(1+$B24)^('DCF Model'!C19+1)+'DCF Model'!E45/(1+$B24)^('DCF Model'!C19+2)+'DCF Model'!F45/(1+$B24)^('DCF Model'!C19+3)+'DCF Model'!G45/(1+$B24)^('DCF Model'!C19+4)+('DCF Model'!G39+'DCF Model'!G42)*C$17/(1+$B24)^('DCF Model'!C19+4)-'DCF Model'!C16)*1000000/'DCF Model'!C15,0),"")</f>
        <v>2889</v>
      </c>
      <c r="D24" s="32">
        <f>IFERROR(ROUND(('DCF Model'!C45/(1+$B24)^('DCF Model'!C19+0)+'DCF Model'!D45/(1+$B24)^('DCF Model'!C19+1)+'DCF Model'!E45/(1+$B24)^('DCF Model'!C19+2)+'DCF Model'!F45/(1+$B24)^('DCF Model'!C19+3)+'DCF Model'!G45/(1+$B24)^('DCF Model'!C19+4)+('DCF Model'!G39+'DCF Model'!G42)*D$17/(1+$B24)^('DCF Model'!C19+4)-'DCF Model'!C16)*1000000/'DCF Model'!C15,0),"")</f>
        <v>3125</v>
      </c>
      <c r="E24" s="32">
        <f>IFERROR(ROUND(('DCF Model'!C45/(1+$B24)^('DCF Model'!C19+0)+'DCF Model'!D45/(1+$B24)^('DCF Model'!C19+1)+'DCF Model'!E45/(1+$B24)^('DCF Model'!C19+2)+'DCF Model'!F45/(1+$B24)^('DCF Model'!C19+3)+'DCF Model'!G45/(1+$B24)^('DCF Model'!C19+4)+('DCF Model'!G39+'DCF Model'!G42)*E$17/(1+$B24)^('DCF Model'!C19+4)-'DCF Model'!C16)*1000000/'DCF Model'!C15,0),"")</f>
        <v>3361</v>
      </c>
      <c r="F24" s="32">
        <f>IFERROR(ROUND(('DCF Model'!C45/(1+$B24)^('DCF Model'!C19+0)+'DCF Model'!D45/(1+$B24)^('DCF Model'!C19+1)+'DCF Model'!E45/(1+$B24)^('DCF Model'!C19+2)+'DCF Model'!F45/(1+$B24)^('DCF Model'!C19+3)+'DCF Model'!G45/(1+$B24)^('DCF Model'!C19+4)+('DCF Model'!G39+'DCF Model'!G42)*F$17/(1+$B24)^('DCF Model'!C19+4)-'DCF Model'!C16)*1000000/'DCF Model'!C15,0),"")</f>
        <v>3597</v>
      </c>
      <c r="G24" s="32">
        <f>IFERROR(ROUND(('DCF Model'!C45/(1+$B24)^('DCF Model'!C19+0)+'DCF Model'!D45/(1+$B24)^('DCF Model'!C19+1)+'DCF Model'!E45/(1+$B24)^('DCF Model'!C19+2)+'DCF Model'!F45/(1+$B24)^('DCF Model'!C19+3)+'DCF Model'!G45/(1+$B24)^('DCF Model'!C19+4)+('DCF Model'!G39+'DCF Model'!G42)*G$17/(1+$B24)^('DCF Model'!C19+4)-'DCF Model'!C16)*1000000/'DCF Model'!C15,0),"")</f>
        <v>3833</v>
      </c>
      <c r="H24" s="32">
        <f>IFERROR(ROUND(('DCF Model'!C45/(1+$B24)^('DCF Model'!C19+0)+'DCF Model'!D45/(1+$B24)^('DCF Model'!C19+1)+'DCF Model'!E45/(1+$B24)^('DCF Model'!C19+2)+'DCF Model'!F45/(1+$B24)^('DCF Model'!C19+3)+'DCF Model'!G45/(1+$B24)^('DCF Model'!C19+4)+('DCF Model'!G39+'DCF Model'!G42)*H$17/(1+$B24)^('DCF Model'!C19+4)-'DCF Model'!C16)*1000000/'DCF Model'!C15,0),"")</f>
        <v>4069</v>
      </c>
      <c r="I24" s="32">
        <f>IFERROR(ROUND(('DCF Model'!C45/(1+$B24)^('DCF Model'!C19+0)+'DCF Model'!D45/(1+$B24)^('DCF Model'!C19+1)+'DCF Model'!E45/(1+$B24)^('DCF Model'!C19+2)+'DCF Model'!F45/(1+$B24)^('DCF Model'!C19+3)+'DCF Model'!G45/(1+$B24)^('DCF Model'!C19+4)+('DCF Model'!G39+'DCF Model'!G42)*I$17/(1+$B24)^('DCF Model'!C19+4)-'DCF Model'!C16)*1000000/'DCF Model'!C15,0),"")</f>
        <v>4305</v>
      </c>
    </row>
    <row r="26" spans="2:9" ht="14" x14ac:dyDescent="0.3">
      <c r="B26" s="53" t="s">
        <v>180</v>
      </c>
      <c r="C26" s="52"/>
      <c r="D26" s="52"/>
      <c r="E26" s="52"/>
      <c r="F26" s="52"/>
      <c r="G26" s="52"/>
      <c r="H26" s="52"/>
      <c r="I26" s="52"/>
    </row>
  </sheetData>
  <mergeCells count="1">
    <mergeCell ref="B26:I26"/>
  </mergeCells>
  <phoneticPr fontId="9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B0000"/>
  </sheetPr>
  <dimension ref="B2:J90"/>
  <sheetViews>
    <sheetView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3" x14ac:dyDescent="0.2"/>
  <cols>
    <col min="1" max="1" width="3" customWidth="1"/>
    <col min="2" max="2" width="34" customWidth="1"/>
    <col min="3" max="10" width="16" customWidth="1"/>
  </cols>
  <sheetData>
    <row r="2" spans="2:10" ht="18" x14ac:dyDescent="0.4">
      <c r="B2" s="2" t="s">
        <v>181</v>
      </c>
    </row>
    <row r="4" spans="2:10" ht="14" x14ac:dyDescent="0.3">
      <c r="C4" s="10" t="s">
        <v>34</v>
      </c>
      <c r="D4" s="10" t="s">
        <v>35</v>
      </c>
      <c r="E4" s="10" t="s">
        <v>182</v>
      </c>
      <c r="F4" s="10" t="s">
        <v>84</v>
      </c>
      <c r="G4" s="10" t="s">
        <v>85</v>
      </c>
      <c r="H4" s="10" t="s">
        <v>86</v>
      </c>
      <c r="I4" s="10" t="s">
        <v>87</v>
      </c>
      <c r="J4" s="10" t="s">
        <v>88</v>
      </c>
    </row>
    <row r="5" spans="2:10" ht="14" x14ac:dyDescent="0.3">
      <c r="B5" s="8" t="s">
        <v>183</v>
      </c>
      <c r="C5" s="9"/>
      <c r="D5" s="9"/>
      <c r="E5" s="9"/>
      <c r="F5" s="9"/>
      <c r="G5" s="9"/>
      <c r="H5" s="9"/>
      <c r="I5" s="9"/>
      <c r="J5" s="9"/>
    </row>
    <row r="6" spans="2:10" ht="14" x14ac:dyDescent="0.3">
      <c r="B6" s="4" t="s">
        <v>37</v>
      </c>
      <c r="C6" s="38" t="s">
        <v>184</v>
      </c>
      <c r="D6" s="28">
        <v>4771</v>
      </c>
      <c r="E6" s="28">
        <v>4570</v>
      </c>
      <c r="F6" s="28">
        <f>E6*(1+CHOOSE('DCF Model'!$D$27,F34,F35,F36,F37,F38))</f>
        <v>5049.8500000000004</v>
      </c>
      <c r="G6" s="28">
        <f>F6*(1+CHOOSE('DCF Model'!$D$27,G34,G35,G36,G37,G38))</f>
        <v>5699.765695000001</v>
      </c>
      <c r="H6" s="28">
        <f>G6*(1+CHOOSE('DCF Model'!$D$27,H34,H35,H36,H37,H38))</f>
        <v>6199.6351464515001</v>
      </c>
      <c r="I6" s="28">
        <f>H6*(1+CHOOSE('DCF Model'!$D$27,I34,I35,I36,I37,I38))</f>
        <v>6699.3257392554906</v>
      </c>
      <c r="J6" s="28">
        <f>I6*(1+CHOOSE('DCF Model'!$D$27,J34,J35,J36,J37,J38))</f>
        <v>6999.4555323741361</v>
      </c>
    </row>
    <row r="7" spans="2:10" ht="14" x14ac:dyDescent="0.3">
      <c r="B7" s="4" t="s">
        <v>185</v>
      </c>
      <c r="C7" s="38" t="s">
        <v>184</v>
      </c>
      <c r="D7" s="28">
        <v>675</v>
      </c>
      <c r="E7" s="28">
        <v>461</v>
      </c>
      <c r="F7" s="28">
        <f>F6*CHOOSE('DCF Model'!$D$27,F41,F42,F43,F44,F45)</f>
        <v>752.42764999999997</v>
      </c>
      <c r="G7" s="28">
        <f>G6*CHOOSE('DCF Model'!$D$27,G41,G42,G43,G44,G45)</f>
        <v>797.96719730000018</v>
      </c>
      <c r="H7" s="28">
        <f>H6*CHOOSE('DCF Model'!$D$27,H41,H42,H43,H44,H45)</f>
        <v>898.94709623546748</v>
      </c>
      <c r="I7" s="28">
        <f>I6*CHOOSE('DCF Model'!$D$27,I41,I42,I43,I44,I45)</f>
        <v>1004.8988608883235</v>
      </c>
      <c r="J7" s="28">
        <f>J6*CHOOSE('DCF Model'!$D$27,J41,J42,J43,J44,J45)</f>
        <v>1063.9172409208686</v>
      </c>
    </row>
    <row r="8" spans="2:10" ht="14" x14ac:dyDescent="0.3">
      <c r="B8" s="39" t="s">
        <v>186</v>
      </c>
      <c r="C8" s="38" t="s">
        <v>184</v>
      </c>
      <c r="D8" s="40">
        <f>D7/D6</f>
        <v>0.14147977363236219</v>
      </c>
      <c r="E8" s="40">
        <f>E7/E6</f>
        <v>0.10087527352297593</v>
      </c>
      <c r="F8" s="40">
        <f>CHOOSE('DCF Model'!$D$27,F41,F42,F43,F44,F45)</f>
        <v>0.14899999999999999</v>
      </c>
      <c r="G8" s="40">
        <f>CHOOSE('DCF Model'!$D$27,G41,G42,G43,G44,G45)</f>
        <v>0.14000000000000001</v>
      </c>
      <c r="H8" s="40">
        <f>CHOOSE('DCF Model'!$D$27,H41,H42,H43,H44,H45)</f>
        <v>0.14499999999999999</v>
      </c>
      <c r="I8" s="40">
        <f>CHOOSE('DCF Model'!$D$27,I41,I42,I43,I44,I45)</f>
        <v>0.15</v>
      </c>
      <c r="J8" s="40">
        <f>CHOOSE('DCF Model'!$D$27,J41,J42,J43,J44,J45)</f>
        <v>0.152</v>
      </c>
    </row>
    <row r="10" spans="2:10" ht="14" x14ac:dyDescent="0.3">
      <c r="B10" s="8" t="s">
        <v>187</v>
      </c>
      <c r="C10" s="9"/>
      <c r="D10" s="9"/>
      <c r="E10" s="9"/>
      <c r="F10" s="9"/>
      <c r="G10" s="9"/>
      <c r="H10" s="9"/>
      <c r="I10" s="9"/>
      <c r="J10" s="9"/>
    </row>
    <row r="11" spans="2:10" ht="14" x14ac:dyDescent="0.3">
      <c r="B11" s="4" t="s">
        <v>37</v>
      </c>
      <c r="C11" s="38" t="s">
        <v>184</v>
      </c>
      <c r="D11" s="28">
        <v>10546</v>
      </c>
      <c r="E11" s="28">
        <v>12035</v>
      </c>
      <c r="F11" s="28">
        <f>E11*(1+CHOOSE('DCF Model'!$D$27,F48,F49,F50,F51,F52))</f>
        <v>13949.7685</v>
      </c>
      <c r="G11" s="28">
        <f>F11*(1+CHOOSE('DCF Model'!$D$27,G48,G49,G50,G51,G52))</f>
        <v>16000.384469500001</v>
      </c>
      <c r="H11" s="28">
        <f>G11*(1+CHOOSE('DCF Model'!$D$27,H48,H49,H50,H51,H52))</f>
        <v>18000.432528187499</v>
      </c>
      <c r="I11" s="28">
        <f>H11*(1+CHOOSE('DCF Model'!$D$27,I48,I49,I50,I51,I52))</f>
        <v>20000.280582069128</v>
      </c>
      <c r="J11" s="28">
        <f>I11*(1+CHOOSE('DCF Model'!$D$27,J48,J49,J50,J51,J52))</f>
        <v>21000.294611172587</v>
      </c>
    </row>
    <row r="12" spans="2:10" ht="14" x14ac:dyDescent="0.3">
      <c r="B12" s="4" t="s">
        <v>185</v>
      </c>
      <c r="C12" s="38" t="s">
        <v>184</v>
      </c>
      <c r="D12" s="28">
        <v>1641</v>
      </c>
      <c r="E12" s="28">
        <v>1884</v>
      </c>
      <c r="F12" s="28">
        <f>F11*CHOOSE('DCF Model'!$D$27,F55,F56,F57,F58,F59)</f>
        <v>2399.3601819999999</v>
      </c>
      <c r="G12" s="28">
        <f>G11*CHOOSE('DCF Model'!$D$27,G55,G56,G57,G58,G59)</f>
        <v>2640.0634374675001</v>
      </c>
      <c r="H12" s="28">
        <f>H11*CHOOSE('DCF Model'!$D$27,H55,H56,H57,H58,H59)</f>
        <v>3060.073529791875</v>
      </c>
      <c r="I12" s="28">
        <f>I11*CHOOSE('DCF Model'!$D$27,I55,I56,I57,I58,I59)</f>
        <v>3500.0491018620974</v>
      </c>
      <c r="J12" s="28">
        <f>J11*CHOOSE('DCF Model'!$D$27,J55,J56,J57,J58,J59)</f>
        <v>3738.0524407887201</v>
      </c>
    </row>
    <row r="13" spans="2:10" ht="14" x14ac:dyDescent="0.3">
      <c r="B13" s="39" t="s">
        <v>186</v>
      </c>
      <c r="C13" s="38" t="s">
        <v>184</v>
      </c>
      <c r="D13" s="40">
        <f>D12/D11</f>
        <v>0.15560402048169922</v>
      </c>
      <c r="E13" s="40">
        <f>E12/E11</f>
        <v>0.15654341503946823</v>
      </c>
      <c r="F13" s="40">
        <f>CHOOSE('DCF Model'!$D$27,F55,F56,F57,F58,F59)</f>
        <v>0.17199999999999999</v>
      </c>
      <c r="G13" s="40">
        <f>CHOOSE('DCF Model'!$D$27,G55,G56,G57,G58,G59)</f>
        <v>0.16500000000000001</v>
      </c>
      <c r="H13" s="40">
        <f>CHOOSE('DCF Model'!$D$27,H55,H56,H57,H58,H59)</f>
        <v>0.17</v>
      </c>
      <c r="I13" s="40">
        <f>CHOOSE('DCF Model'!$D$27,I55,I56,I57,I58,I59)</f>
        <v>0.17499999999999999</v>
      </c>
      <c r="J13" s="40">
        <f>CHOOSE('DCF Model'!$D$27,J55,J56,J57,J58,J59)</f>
        <v>0.17799999999999999</v>
      </c>
    </row>
    <row r="15" spans="2:10" ht="14" x14ac:dyDescent="0.3">
      <c r="B15" s="8" t="s">
        <v>188</v>
      </c>
      <c r="C15" s="9"/>
      <c r="D15" s="9"/>
      <c r="E15" s="9"/>
      <c r="F15" s="9"/>
      <c r="G15" s="9"/>
      <c r="H15" s="9"/>
      <c r="I15" s="9"/>
      <c r="J15" s="9"/>
    </row>
    <row r="16" spans="2:10" ht="14" x14ac:dyDescent="0.3">
      <c r="B16" s="4" t="s">
        <v>37</v>
      </c>
      <c r="C16" s="38" t="s">
        <v>184</v>
      </c>
      <c r="D16" s="28">
        <v>8680</v>
      </c>
      <c r="E16" s="28">
        <v>7993</v>
      </c>
      <c r="F16" s="28">
        <f>E16*(1+CHOOSE('DCF Model'!$D$27,F62,F63,F64,F65,F66))</f>
        <v>8000.1936999999989</v>
      </c>
      <c r="G16" s="28">
        <f>F16*(1+CHOOSE('DCF Model'!$D$27,G62,G63,G64,G65,G66))</f>
        <v>8100.1961212499982</v>
      </c>
      <c r="H16" s="28">
        <f>G16*(1+CHOOSE('DCF Model'!$D$27,H62,H63,H64,H65,H66))</f>
        <v>8199.828533541373</v>
      </c>
      <c r="I16" s="28">
        <f>H16*(1+CHOOSE('DCF Model'!$D$27,I62,I63,I64,I65,I66))</f>
        <v>8299.8664416505781</v>
      </c>
      <c r="J16" s="28">
        <f>I16*(1+CHOOSE('DCF Model'!$D$27,J62,J63,J64,J65,J66))</f>
        <v>8399.4648389503855</v>
      </c>
    </row>
    <row r="17" spans="2:10" ht="14" x14ac:dyDescent="0.3">
      <c r="B17" s="4" t="s">
        <v>185</v>
      </c>
      <c r="C17" s="38" t="s">
        <v>184</v>
      </c>
      <c r="D17" s="28">
        <v>823</v>
      </c>
      <c r="E17" s="28">
        <v>829</v>
      </c>
      <c r="F17" s="28">
        <f>F16*CHOOSE('DCF Model'!$D$27,F69,F70,F71,F72,F73)</f>
        <v>900.02179124999986</v>
      </c>
      <c r="G17" s="28">
        <f>G16*CHOOSE('DCF Model'!$D$27,G69,G70,G71,G72,G73)</f>
        <v>874.82118109499982</v>
      </c>
      <c r="H17" s="28">
        <f>H16*CHOOSE('DCF Model'!$D$27,H69,H70,H71,H72,H73)</f>
        <v>901.98113868955102</v>
      </c>
      <c r="I17" s="28">
        <f>I16*CHOOSE('DCF Model'!$D$27,I69,I70,I71,I72,I73)</f>
        <v>929.58504146486473</v>
      </c>
      <c r="J17" s="28">
        <f>J16*CHOOSE('DCF Model'!$D$27,J69,J70,J71,J72,J73)</f>
        <v>957.53899164034397</v>
      </c>
    </row>
    <row r="18" spans="2:10" ht="14" x14ac:dyDescent="0.3">
      <c r="B18" s="39" t="s">
        <v>186</v>
      </c>
      <c r="C18" s="38" t="s">
        <v>184</v>
      </c>
      <c r="D18" s="40">
        <f>D17/D16</f>
        <v>9.4815668202764977E-2</v>
      </c>
      <c r="E18" s="40">
        <f>E17/E16</f>
        <v>0.10371575128237208</v>
      </c>
      <c r="F18" s="40">
        <f>CHOOSE('DCF Model'!$D$27,F69,F70,F71,F72,F73)</f>
        <v>0.1125</v>
      </c>
      <c r="G18" s="40">
        <f>CHOOSE('DCF Model'!$D$27,G69,G70,G71,G72,G73)</f>
        <v>0.108</v>
      </c>
      <c r="H18" s="40">
        <f>CHOOSE('DCF Model'!$D$27,H69,H70,H71,H72,H73)</f>
        <v>0.11</v>
      </c>
      <c r="I18" s="40">
        <f>CHOOSE('DCF Model'!$D$27,I69,I70,I71,I72,I73)</f>
        <v>0.112</v>
      </c>
      <c r="J18" s="40">
        <f>CHOOSE('DCF Model'!$D$27,J69,J70,J71,J72,J73)</f>
        <v>0.114</v>
      </c>
    </row>
    <row r="20" spans="2:10" ht="14" x14ac:dyDescent="0.3">
      <c r="B20" s="22" t="s">
        <v>189</v>
      </c>
      <c r="C20" s="23"/>
      <c r="D20" s="23"/>
      <c r="E20" s="23"/>
      <c r="F20" s="23"/>
      <c r="G20" s="23"/>
      <c r="H20" s="23"/>
      <c r="I20" s="23"/>
      <c r="J20" s="23"/>
    </row>
    <row r="21" spans="2:10" ht="14" x14ac:dyDescent="0.3">
      <c r="B21" s="4" t="s">
        <v>190</v>
      </c>
      <c r="C21" s="20" t="e">
        <f t="shared" ref="C21:J22" si="0">C6+C11+C16</f>
        <v>#VALUE!</v>
      </c>
      <c r="D21" s="20">
        <f t="shared" si="0"/>
        <v>23997</v>
      </c>
      <c r="E21" s="20">
        <f t="shared" si="0"/>
        <v>24598</v>
      </c>
      <c r="F21" s="20">
        <f t="shared" si="0"/>
        <v>26999.8122</v>
      </c>
      <c r="G21" s="20">
        <f t="shared" si="0"/>
        <v>29800.346285750002</v>
      </c>
      <c r="H21" s="20">
        <f t="shared" si="0"/>
        <v>32399.896208180369</v>
      </c>
      <c r="I21" s="20">
        <f t="shared" si="0"/>
        <v>34999.472762975201</v>
      </c>
      <c r="J21" s="20">
        <f t="shared" si="0"/>
        <v>36399.214982497113</v>
      </c>
    </row>
    <row r="22" spans="2:10" ht="14" x14ac:dyDescent="0.3">
      <c r="B22" s="4" t="s">
        <v>191</v>
      </c>
      <c r="C22" s="20" t="e">
        <f t="shared" si="0"/>
        <v>#VALUE!</v>
      </c>
      <c r="D22" s="20">
        <f t="shared" si="0"/>
        <v>3139</v>
      </c>
      <c r="E22" s="20">
        <f t="shared" si="0"/>
        <v>3174</v>
      </c>
      <c r="F22" s="20">
        <f t="shared" si="0"/>
        <v>4051.8096232499997</v>
      </c>
      <c r="G22" s="20">
        <f t="shared" si="0"/>
        <v>4312.8518158625002</v>
      </c>
      <c r="H22" s="20">
        <f t="shared" si="0"/>
        <v>4861.0017647168934</v>
      </c>
      <c r="I22" s="20">
        <f t="shared" si="0"/>
        <v>5434.5330042152855</v>
      </c>
      <c r="J22" s="20">
        <f t="shared" si="0"/>
        <v>5759.508673349932</v>
      </c>
    </row>
    <row r="23" spans="2:10" ht="14" x14ac:dyDescent="0.3">
      <c r="B23" s="39" t="s">
        <v>192</v>
      </c>
      <c r="C23" s="40" t="str">
        <f t="shared" ref="C23:J23" si="1">IFERROR(C22/C21,"—")</f>
        <v>—</v>
      </c>
      <c r="D23" s="40">
        <f t="shared" si="1"/>
        <v>0.13080801766887529</v>
      </c>
      <c r="E23" s="40">
        <f t="shared" si="1"/>
        <v>0.12903488088462475</v>
      </c>
      <c r="F23" s="40">
        <f t="shared" si="1"/>
        <v>0.15006806689010968</v>
      </c>
      <c r="G23" s="40">
        <f t="shared" si="1"/>
        <v>0.14472488925153296</v>
      </c>
      <c r="H23" s="40">
        <f t="shared" si="1"/>
        <v>0.15003139928237119</v>
      </c>
      <c r="I23" s="40">
        <f t="shared" si="1"/>
        <v>0.15527471059404929</v>
      </c>
      <c r="J23" s="40">
        <f t="shared" si="1"/>
        <v>0.15823167274677333</v>
      </c>
    </row>
    <row r="25" spans="2:10" ht="14" x14ac:dyDescent="0.3">
      <c r="B25" s="41" t="s">
        <v>193</v>
      </c>
      <c r="C25" s="42"/>
      <c r="D25" s="42"/>
      <c r="E25" s="42"/>
      <c r="F25" s="42"/>
      <c r="G25" s="42"/>
      <c r="H25" s="42"/>
      <c r="I25" s="42"/>
      <c r="J25" s="42"/>
    </row>
    <row r="26" spans="2:10" ht="14" x14ac:dyDescent="0.3">
      <c r="B26" s="4" t="s">
        <v>194</v>
      </c>
      <c r="F26" s="43">
        <f>'DCF Model'!C33</f>
        <v>26999.8122</v>
      </c>
      <c r="G26" s="43">
        <f>'DCF Model'!D33</f>
        <v>29800.346285750002</v>
      </c>
      <c r="H26" s="43">
        <f>'DCF Model'!E33</f>
        <v>32399.896208180369</v>
      </c>
      <c r="I26" s="43">
        <f>'DCF Model'!F33</f>
        <v>34999.472762975201</v>
      </c>
      <c r="J26" s="43">
        <f>'DCF Model'!G33</f>
        <v>36399.214982497113</v>
      </c>
    </row>
    <row r="27" spans="2:10" ht="14" x14ac:dyDescent="0.3">
      <c r="B27" s="4" t="s">
        <v>195</v>
      </c>
      <c r="F27" s="28">
        <f>F21</f>
        <v>26999.8122</v>
      </c>
      <c r="G27" s="28">
        <f>G21</f>
        <v>29800.346285750002</v>
      </c>
      <c r="H27" s="28">
        <f>H21</f>
        <v>32399.896208180369</v>
      </c>
      <c r="I27" s="28">
        <f>I21</f>
        <v>34999.472762975201</v>
      </c>
      <c r="J27" s="28">
        <f>J21</f>
        <v>36399.214982497113</v>
      </c>
    </row>
    <row r="28" spans="2:10" ht="14" x14ac:dyDescent="0.3">
      <c r="B28" s="4" t="s">
        <v>196</v>
      </c>
      <c r="F28" s="24">
        <f>F27-F26</f>
        <v>0</v>
      </c>
      <c r="G28" s="24">
        <f>G27-G26</f>
        <v>0</v>
      </c>
      <c r="H28" s="24">
        <f>H27-H26</f>
        <v>0</v>
      </c>
      <c r="I28" s="24">
        <f>I27-I26</f>
        <v>0</v>
      </c>
      <c r="J28" s="24">
        <f>J27-J26</f>
        <v>0</v>
      </c>
    </row>
    <row r="31" spans="2:10" ht="14" x14ac:dyDescent="0.3">
      <c r="B31" s="44" t="s">
        <v>197</v>
      </c>
      <c r="C31" s="45"/>
      <c r="D31" s="45"/>
      <c r="E31" s="45"/>
      <c r="F31" s="45"/>
      <c r="G31" s="45"/>
      <c r="H31" s="45"/>
      <c r="I31" s="45"/>
      <c r="J31" s="45"/>
    </row>
    <row r="32" spans="2:10" ht="14" x14ac:dyDescent="0.3">
      <c r="F32" s="30" t="s">
        <v>84</v>
      </c>
      <c r="G32" s="30" t="s">
        <v>85</v>
      </c>
      <c r="H32" s="30" t="s">
        <v>86</v>
      </c>
      <c r="I32" s="30" t="s">
        <v>87</v>
      </c>
      <c r="J32" s="30" t="s">
        <v>88</v>
      </c>
    </row>
    <row r="33" spans="2:10" ht="14" x14ac:dyDescent="0.3">
      <c r="B33" s="3" t="s">
        <v>198</v>
      </c>
    </row>
    <row r="34" spans="2:10" ht="14" x14ac:dyDescent="0.3">
      <c r="B34" s="4" t="s">
        <v>82</v>
      </c>
      <c r="F34" s="46">
        <v>0.105</v>
      </c>
      <c r="G34" s="46">
        <v>0.12870000000000001</v>
      </c>
      <c r="H34" s="46">
        <v>8.77E-2</v>
      </c>
      <c r="I34" s="46">
        <v>8.0600000000000005E-2</v>
      </c>
      <c r="J34" s="46">
        <v>4.48E-2</v>
      </c>
    </row>
    <row r="35" spans="2:10" ht="14" x14ac:dyDescent="0.3">
      <c r="B35" s="4" t="s">
        <v>131</v>
      </c>
      <c r="F35" s="46">
        <v>0.105</v>
      </c>
      <c r="G35" s="46">
        <v>0.12870000000000001</v>
      </c>
      <c r="H35" s="46">
        <v>8.77E-2</v>
      </c>
      <c r="I35" s="46">
        <v>8.0600000000000005E-2</v>
      </c>
      <c r="J35" s="46">
        <v>4.48E-2</v>
      </c>
    </row>
    <row r="36" spans="2:10" ht="14" x14ac:dyDescent="0.3">
      <c r="B36" s="4" t="s">
        <v>132</v>
      </c>
      <c r="F36" s="46">
        <v>0.105</v>
      </c>
      <c r="G36" s="46">
        <v>0.12870000000000001</v>
      </c>
      <c r="H36" s="46">
        <v>8.77E-2</v>
      </c>
      <c r="I36" s="46">
        <v>8.0600000000000005E-2</v>
      </c>
      <c r="J36" s="46">
        <v>4.48E-2</v>
      </c>
    </row>
    <row r="37" spans="2:10" ht="14" x14ac:dyDescent="0.3">
      <c r="B37" s="4" t="s">
        <v>133</v>
      </c>
      <c r="F37" s="46">
        <v>0.105</v>
      </c>
      <c r="G37" s="46">
        <v>0.12870000000000001</v>
      </c>
      <c r="H37" s="46">
        <v>8.77E-2</v>
      </c>
      <c r="I37" s="46">
        <v>8.0600000000000005E-2</v>
      </c>
      <c r="J37" s="46">
        <v>4.48E-2</v>
      </c>
    </row>
    <row r="38" spans="2:10" ht="14" x14ac:dyDescent="0.3">
      <c r="B38" s="4" t="s">
        <v>134</v>
      </c>
      <c r="F38" s="46">
        <v>0.105</v>
      </c>
      <c r="G38" s="46">
        <v>0.12870000000000001</v>
      </c>
      <c r="H38" s="46">
        <v>8.77E-2</v>
      </c>
      <c r="I38" s="46">
        <v>8.0600000000000005E-2</v>
      </c>
      <c r="J38" s="46">
        <v>4.48E-2</v>
      </c>
    </row>
    <row r="40" spans="2:10" ht="14" x14ac:dyDescent="0.3">
      <c r="B40" s="3" t="s">
        <v>199</v>
      </c>
    </row>
    <row r="41" spans="2:10" ht="14" x14ac:dyDescent="0.3">
      <c r="B41" s="4" t="s">
        <v>82</v>
      </c>
      <c r="F41" s="46">
        <v>0.14899999999999999</v>
      </c>
      <c r="G41" s="46">
        <v>0.14000000000000001</v>
      </c>
      <c r="H41" s="46">
        <v>0.14499999999999999</v>
      </c>
      <c r="I41" s="46">
        <v>0.15</v>
      </c>
      <c r="J41" s="46">
        <v>0.152</v>
      </c>
    </row>
    <row r="42" spans="2:10" ht="14" x14ac:dyDescent="0.3">
      <c r="B42" s="4" t="s">
        <v>131</v>
      </c>
      <c r="F42" s="46">
        <v>0.14899999999999999</v>
      </c>
      <c r="G42" s="46">
        <v>0.14000000000000001</v>
      </c>
      <c r="H42" s="46">
        <v>0.14499999999999999</v>
      </c>
      <c r="I42" s="46">
        <v>0.15</v>
      </c>
      <c r="J42" s="46">
        <v>0.152</v>
      </c>
    </row>
    <row r="43" spans="2:10" ht="14" x14ac:dyDescent="0.3">
      <c r="B43" s="4" t="s">
        <v>132</v>
      </c>
      <c r="F43" s="46">
        <v>0.14899999999999999</v>
      </c>
      <c r="G43" s="46">
        <v>0.14000000000000001</v>
      </c>
      <c r="H43" s="46">
        <v>0.14499999999999999</v>
      </c>
      <c r="I43" s="46">
        <v>0.15</v>
      </c>
      <c r="J43" s="46">
        <v>0.152</v>
      </c>
    </row>
    <row r="44" spans="2:10" ht="14" x14ac:dyDescent="0.3">
      <c r="B44" s="4" t="s">
        <v>133</v>
      </c>
      <c r="F44" s="46">
        <v>0.14899999999999999</v>
      </c>
      <c r="G44" s="46">
        <v>0.14000000000000001</v>
      </c>
      <c r="H44" s="46">
        <v>0.14499999999999999</v>
      </c>
      <c r="I44" s="46">
        <v>0.15</v>
      </c>
      <c r="J44" s="46">
        <v>0.152</v>
      </c>
    </row>
    <row r="45" spans="2:10" ht="14" x14ac:dyDescent="0.3">
      <c r="B45" s="4" t="s">
        <v>134</v>
      </c>
      <c r="F45" s="46">
        <v>0.14899999999999999</v>
      </c>
      <c r="G45" s="46">
        <v>0.14000000000000001</v>
      </c>
      <c r="H45" s="46">
        <v>0.14499999999999999</v>
      </c>
      <c r="I45" s="46">
        <v>0.15</v>
      </c>
      <c r="J45" s="46">
        <v>0.152</v>
      </c>
    </row>
    <row r="47" spans="2:10" ht="14" x14ac:dyDescent="0.3">
      <c r="B47" s="3" t="s">
        <v>200</v>
      </c>
    </row>
    <row r="48" spans="2:10" ht="14" x14ac:dyDescent="0.3">
      <c r="B48" s="4" t="s">
        <v>82</v>
      </c>
      <c r="F48" s="46">
        <v>0.15909999999999999</v>
      </c>
      <c r="G48" s="46">
        <v>0.14699999999999999</v>
      </c>
      <c r="H48" s="46">
        <v>0.125</v>
      </c>
      <c r="I48" s="46">
        <v>0.1111</v>
      </c>
      <c r="J48" s="46">
        <v>0.05</v>
      </c>
    </row>
    <row r="49" spans="2:10" ht="14" x14ac:dyDescent="0.3">
      <c r="B49" s="4" t="s">
        <v>131</v>
      </c>
      <c r="F49" s="46">
        <v>0.15909999999999999</v>
      </c>
      <c r="G49" s="46">
        <v>0.14699999999999999</v>
      </c>
      <c r="H49" s="46">
        <v>0.125</v>
      </c>
      <c r="I49" s="46">
        <v>0.1111</v>
      </c>
      <c r="J49" s="46">
        <v>0.05</v>
      </c>
    </row>
    <row r="50" spans="2:10" ht="14" x14ac:dyDescent="0.3">
      <c r="B50" s="4" t="s">
        <v>132</v>
      </c>
      <c r="F50" s="46">
        <v>0.15909999999999999</v>
      </c>
      <c r="G50" s="46">
        <v>0.14699999999999999</v>
      </c>
      <c r="H50" s="46">
        <v>0.125</v>
      </c>
      <c r="I50" s="46">
        <v>0.1111</v>
      </c>
      <c r="J50" s="46">
        <v>0.05</v>
      </c>
    </row>
    <row r="51" spans="2:10" ht="14" x14ac:dyDescent="0.3">
      <c r="B51" s="4" t="s">
        <v>133</v>
      </c>
      <c r="F51" s="46">
        <v>0.15909999999999999</v>
      </c>
      <c r="G51" s="46">
        <v>0.14699999999999999</v>
      </c>
      <c r="H51" s="46">
        <v>0.125</v>
      </c>
      <c r="I51" s="46">
        <v>0.1111</v>
      </c>
      <c r="J51" s="46">
        <v>0.05</v>
      </c>
    </row>
    <row r="52" spans="2:10" ht="14" x14ac:dyDescent="0.3">
      <c r="B52" s="4" t="s">
        <v>134</v>
      </c>
      <c r="F52" s="46">
        <v>0.15909999999999999</v>
      </c>
      <c r="G52" s="46">
        <v>0.14699999999999999</v>
      </c>
      <c r="H52" s="46">
        <v>0.125</v>
      </c>
      <c r="I52" s="46">
        <v>0.1111</v>
      </c>
      <c r="J52" s="46">
        <v>0.05</v>
      </c>
    </row>
    <row r="54" spans="2:10" ht="14" x14ac:dyDescent="0.3">
      <c r="B54" s="3" t="s">
        <v>201</v>
      </c>
    </row>
    <row r="55" spans="2:10" ht="14" x14ac:dyDescent="0.3">
      <c r="B55" s="4" t="s">
        <v>82</v>
      </c>
      <c r="F55" s="46">
        <v>0.17199999999999999</v>
      </c>
      <c r="G55" s="46">
        <v>0.16500000000000001</v>
      </c>
      <c r="H55" s="46">
        <v>0.17</v>
      </c>
      <c r="I55" s="46">
        <v>0.17499999999999999</v>
      </c>
      <c r="J55" s="46">
        <v>0.17799999999999999</v>
      </c>
    </row>
    <row r="56" spans="2:10" ht="14" x14ac:dyDescent="0.3">
      <c r="B56" s="4" t="s">
        <v>131</v>
      </c>
      <c r="F56" s="46">
        <v>0.17199999999999999</v>
      </c>
      <c r="G56" s="46">
        <v>0.16500000000000001</v>
      </c>
      <c r="H56" s="46">
        <v>0.17</v>
      </c>
      <c r="I56" s="46">
        <v>0.17499999999999999</v>
      </c>
      <c r="J56" s="46">
        <v>0.17799999999999999</v>
      </c>
    </row>
    <row r="57" spans="2:10" ht="14" x14ac:dyDescent="0.3">
      <c r="B57" s="4" t="s">
        <v>132</v>
      </c>
      <c r="F57" s="46">
        <v>0.17199999999999999</v>
      </c>
      <c r="G57" s="46">
        <v>0.16500000000000001</v>
      </c>
      <c r="H57" s="46">
        <v>0.17</v>
      </c>
      <c r="I57" s="46">
        <v>0.17499999999999999</v>
      </c>
      <c r="J57" s="46">
        <v>0.17799999999999999</v>
      </c>
    </row>
    <row r="58" spans="2:10" ht="14" x14ac:dyDescent="0.3">
      <c r="B58" s="4" t="s">
        <v>133</v>
      </c>
      <c r="F58" s="46">
        <v>0.17199999999999999</v>
      </c>
      <c r="G58" s="46">
        <v>0.16500000000000001</v>
      </c>
      <c r="H58" s="46">
        <v>0.17</v>
      </c>
      <c r="I58" s="46">
        <v>0.17499999999999999</v>
      </c>
      <c r="J58" s="46">
        <v>0.17799999999999999</v>
      </c>
    </row>
    <row r="59" spans="2:10" ht="14" x14ac:dyDescent="0.3">
      <c r="B59" s="4" t="s">
        <v>134</v>
      </c>
      <c r="F59" s="46">
        <v>0.17199999999999999</v>
      </c>
      <c r="G59" s="46">
        <v>0.16500000000000001</v>
      </c>
      <c r="H59" s="46">
        <v>0.17</v>
      </c>
      <c r="I59" s="46">
        <v>0.17499999999999999</v>
      </c>
      <c r="J59" s="46">
        <v>0.17799999999999999</v>
      </c>
    </row>
    <row r="61" spans="2:10" ht="14" x14ac:dyDescent="0.3">
      <c r="B61" s="3" t="s">
        <v>202</v>
      </c>
    </row>
    <row r="62" spans="2:10" ht="14" x14ac:dyDescent="0.3">
      <c r="B62" s="4" t="s">
        <v>82</v>
      </c>
      <c r="F62" s="46">
        <v>8.9999999999999998E-4</v>
      </c>
      <c r="G62" s="46">
        <v>1.2500000000000001E-2</v>
      </c>
      <c r="H62" s="46">
        <v>1.23E-2</v>
      </c>
      <c r="I62" s="46">
        <v>1.2200000000000001E-2</v>
      </c>
      <c r="J62" s="46">
        <v>1.2E-2</v>
      </c>
    </row>
    <row r="63" spans="2:10" ht="14" x14ac:dyDescent="0.3">
      <c r="B63" s="4" t="s">
        <v>131</v>
      </c>
      <c r="F63" s="46">
        <v>8.9999999999999998E-4</v>
      </c>
      <c r="G63" s="46">
        <v>1.2500000000000001E-2</v>
      </c>
      <c r="H63" s="46">
        <v>1.23E-2</v>
      </c>
      <c r="I63" s="46">
        <v>1.2200000000000001E-2</v>
      </c>
      <c r="J63" s="46">
        <v>1.2E-2</v>
      </c>
    </row>
    <row r="64" spans="2:10" ht="14" x14ac:dyDescent="0.3">
      <c r="B64" s="4" t="s">
        <v>132</v>
      </c>
      <c r="F64" s="46">
        <v>8.9999999999999998E-4</v>
      </c>
      <c r="G64" s="46">
        <v>1.2500000000000001E-2</v>
      </c>
      <c r="H64" s="46">
        <v>1.23E-2</v>
      </c>
      <c r="I64" s="46">
        <v>1.2200000000000001E-2</v>
      </c>
      <c r="J64" s="46">
        <v>1.2E-2</v>
      </c>
    </row>
    <row r="65" spans="2:10" ht="14" x14ac:dyDescent="0.3">
      <c r="B65" s="4" t="s">
        <v>133</v>
      </c>
      <c r="F65" s="46">
        <v>8.9999999999999998E-4</v>
      </c>
      <c r="G65" s="46">
        <v>1.2500000000000001E-2</v>
      </c>
      <c r="H65" s="46">
        <v>1.23E-2</v>
      </c>
      <c r="I65" s="46">
        <v>1.2200000000000001E-2</v>
      </c>
      <c r="J65" s="46">
        <v>1.2E-2</v>
      </c>
    </row>
    <row r="66" spans="2:10" ht="14" x14ac:dyDescent="0.3">
      <c r="B66" s="4" t="s">
        <v>134</v>
      </c>
      <c r="F66" s="46">
        <v>8.9999999999999998E-4</v>
      </c>
      <c r="G66" s="46">
        <v>1.2500000000000001E-2</v>
      </c>
      <c r="H66" s="46">
        <v>1.23E-2</v>
      </c>
      <c r="I66" s="46">
        <v>1.2200000000000001E-2</v>
      </c>
      <c r="J66" s="46">
        <v>1.2E-2</v>
      </c>
    </row>
    <row r="68" spans="2:10" ht="14" x14ac:dyDescent="0.3">
      <c r="B68" s="3" t="s">
        <v>203</v>
      </c>
    </row>
    <row r="69" spans="2:10" ht="14" x14ac:dyDescent="0.3">
      <c r="B69" s="4" t="s">
        <v>82</v>
      </c>
      <c r="F69" s="46">
        <v>0.1125</v>
      </c>
      <c r="G69" s="46">
        <v>0.108</v>
      </c>
      <c r="H69" s="46">
        <v>0.11</v>
      </c>
      <c r="I69" s="46">
        <v>0.112</v>
      </c>
      <c r="J69" s="46">
        <v>0.114</v>
      </c>
    </row>
    <row r="70" spans="2:10" ht="14" x14ac:dyDescent="0.3">
      <c r="B70" s="4" t="s">
        <v>131</v>
      </c>
      <c r="F70" s="46">
        <v>0.1125</v>
      </c>
      <c r="G70" s="46">
        <v>0.108</v>
      </c>
      <c r="H70" s="46">
        <v>0.11</v>
      </c>
      <c r="I70" s="46">
        <v>0.112</v>
      </c>
      <c r="J70" s="46">
        <v>0.114</v>
      </c>
    </row>
    <row r="71" spans="2:10" ht="14" x14ac:dyDescent="0.3">
      <c r="B71" s="4" t="s">
        <v>132</v>
      </c>
      <c r="F71" s="46">
        <v>0.1125</v>
      </c>
      <c r="G71" s="46">
        <v>0.108</v>
      </c>
      <c r="H71" s="46">
        <v>0.11</v>
      </c>
      <c r="I71" s="46">
        <v>0.112</v>
      </c>
      <c r="J71" s="46">
        <v>0.114</v>
      </c>
    </row>
    <row r="72" spans="2:10" ht="14" x14ac:dyDescent="0.3">
      <c r="B72" s="4" t="s">
        <v>133</v>
      </c>
      <c r="F72" s="46">
        <v>0.1125</v>
      </c>
      <c r="G72" s="46">
        <v>0.108</v>
      </c>
      <c r="H72" s="46">
        <v>0.11</v>
      </c>
      <c r="I72" s="46">
        <v>0.112</v>
      </c>
      <c r="J72" s="46">
        <v>0.114</v>
      </c>
    </row>
    <row r="73" spans="2:10" ht="14" x14ac:dyDescent="0.3">
      <c r="B73" s="4" t="s">
        <v>134</v>
      </c>
      <c r="F73" s="46">
        <v>0.1125</v>
      </c>
      <c r="G73" s="46">
        <v>0.108</v>
      </c>
      <c r="H73" s="46">
        <v>0.11</v>
      </c>
      <c r="I73" s="46">
        <v>0.112</v>
      </c>
      <c r="J73" s="46">
        <v>0.114</v>
      </c>
    </row>
    <row r="76" spans="2:10" ht="14" x14ac:dyDescent="0.3">
      <c r="B76" s="47" t="s">
        <v>204</v>
      </c>
      <c r="C76" s="48"/>
      <c r="D76" s="48"/>
      <c r="E76" s="48"/>
      <c r="F76" s="48"/>
      <c r="G76" s="48"/>
      <c r="H76" s="48"/>
      <c r="I76" s="48"/>
      <c r="J76" s="48"/>
    </row>
    <row r="77" spans="2:10" ht="14" x14ac:dyDescent="0.3">
      <c r="F77" s="30" t="s">
        <v>84</v>
      </c>
      <c r="G77" s="30" t="s">
        <v>85</v>
      </c>
      <c r="H77" s="30" t="s">
        <v>86</v>
      </c>
      <c r="I77" s="30" t="s">
        <v>87</v>
      </c>
      <c r="J77" s="30" t="s">
        <v>88</v>
      </c>
    </row>
    <row r="78" spans="2:10" ht="14" x14ac:dyDescent="0.3">
      <c r="B78" s="3" t="s">
        <v>89</v>
      </c>
    </row>
    <row r="79" spans="2:10" ht="14" x14ac:dyDescent="0.3">
      <c r="B79" s="4" t="s">
        <v>82</v>
      </c>
      <c r="F79" s="46">
        <v>0.72450000000000003</v>
      </c>
      <c r="G79" s="46">
        <v>0.72450000000000003</v>
      </c>
      <c r="H79" s="46">
        <v>0.72450000000000003</v>
      </c>
      <c r="I79" s="46">
        <v>0.72450000000000003</v>
      </c>
      <c r="J79" s="46">
        <v>0.72450000000000003</v>
      </c>
    </row>
    <row r="80" spans="2:10" ht="14" x14ac:dyDescent="0.3">
      <c r="B80" s="4" t="s">
        <v>131</v>
      </c>
      <c r="F80" s="46">
        <v>0.68830000000000002</v>
      </c>
      <c r="G80" s="46">
        <v>0.68830000000000002</v>
      </c>
      <c r="H80" s="46">
        <v>0.68830000000000002</v>
      </c>
      <c r="I80" s="46">
        <v>0.68830000000000002</v>
      </c>
      <c r="J80" s="46">
        <v>0.68830000000000002</v>
      </c>
    </row>
    <row r="81" spans="2:10" ht="14" x14ac:dyDescent="0.3">
      <c r="B81" s="4" t="s">
        <v>132</v>
      </c>
      <c r="F81" s="46">
        <v>0.72450000000000003</v>
      </c>
      <c r="G81" s="46">
        <v>0.72450000000000003</v>
      </c>
      <c r="H81" s="46">
        <v>0.72450000000000003</v>
      </c>
      <c r="I81" s="46">
        <v>0.72450000000000003</v>
      </c>
      <c r="J81" s="46">
        <v>0.72450000000000003</v>
      </c>
    </row>
    <row r="82" spans="2:10" ht="14" x14ac:dyDescent="0.3">
      <c r="B82" s="4" t="s">
        <v>133</v>
      </c>
      <c r="F82" s="46">
        <v>0.76070000000000004</v>
      </c>
      <c r="G82" s="46">
        <v>0.76070000000000004</v>
      </c>
      <c r="H82" s="46">
        <v>0.76070000000000004</v>
      </c>
      <c r="I82" s="46">
        <v>0.76070000000000004</v>
      </c>
      <c r="J82" s="46">
        <v>0.76070000000000004</v>
      </c>
    </row>
    <row r="83" spans="2:10" ht="14" x14ac:dyDescent="0.3">
      <c r="B83" s="4" t="s">
        <v>134</v>
      </c>
      <c r="F83" s="46">
        <v>0.79700000000000004</v>
      </c>
      <c r="G83" s="46">
        <v>0.79700000000000004</v>
      </c>
      <c r="H83" s="46">
        <v>0.79700000000000004</v>
      </c>
      <c r="I83" s="46">
        <v>0.79700000000000004</v>
      </c>
      <c r="J83" s="46">
        <v>0.79700000000000004</v>
      </c>
    </row>
    <row r="85" spans="2:10" ht="14" x14ac:dyDescent="0.3">
      <c r="B85" s="3" t="s">
        <v>90</v>
      </c>
    </row>
    <row r="86" spans="2:10" ht="14" x14ac:dyDescent="0.3">
      <c r="B86" s="4" t="s">
        <v>82</v>
      </c>
      <c r="F86" s="46">
        <v>0.13300000000000001</v>
      </c>
      <c r="G86" s="46">
        <v>0.13</v>
      </c>
      <c r="H86" s="46">
        <v>0.128</v>
      </c>
      <c r="I86" s="46">
        <v>0.126</v>
      </c>
      <c r="J86" s="46">
        <v>0.125</v>
      </c>
    </row>
    <row r="87" spans="2:10" ht="14" x14ac:dyDescent="0.3">
      <c r="B87" s="4" t="s">
        <v>131</v>
      </c>
      <c r="F87" s="46">
        <v>0.13</v>
      </c>
      <c r="G87" s="46">
        <v>0.125</v>
      </c>
      <c r="H87" s="46">
        <v>0.122</v>
      </c>
      <c r="I87" s="46">
        <v>0.12</v>
      </c>
      <c r="J87" s="46">
        <v>0.11799999999999999</v>
      </c>
    </row>
    <row r="88" spans="2:10" ht="14" x14ac:dyDescent="0.3">
      <c r="B88" s="4" t="s">
        <v>132</v>
      </c>
      <c r="F88" s="46">
        <v>0.14599999999999999</v>
      </c>
      <c r="G88" s="46">
        <v>0.14299999999999999</v>
      </c>
      <c r="H88" s="46">
        <v>0.14000000000000001</v>
      </c>
      <c r="I88" s="46">
        <v>0.13800000000000001</v>
      </c>
      <c r="J88" s="46">
        <v>0.13500000000000001</v>
      </c>
    </row>
    <row r="89" spans="2:10" ht="14" x14ac:dyDescent="0.3">
      <c r="B89" s="4" t="s">
        <v>133</v>
      </c>
      <c r="F89" s="46">
        <v>0.14000000000000001</v>
      </c>
      <c r="G89" s="46">
        <v>0.14199999999999999</v>
      </c>
      <c r="H89" s="46">
        <v>0.14499999999999999</v>
      </c>
      <c r="I89" s="46">
        <v>0.14499999999999999</v>
      </c>
      <c r="J89" s="46">
        <v>0.14499999999999999</v>
      </c>
    </row>
    <row r="90" spans="2:10" ht="14" x14ac:dyDescent="0.3">
      <c r="B90" s="4" t="s">
        <v>134</v>
      </c>
      <c r="F90" s="46">
        <v>0.14799999999999999</v>
      </c>
      <c r="G90" s="46">
        <v>0.15</v>
      </c>
      <c r="H90" s="46">
        <v>0.155</v>
      </c>
      <c r="I90" s="46">
        <v>0.155</v>
      </c>
      <c r="J90" s="46">
        <v>0.15</v>
      </c>
    </row>
  </sheetData>
  <phoneticPr fontId="9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4B0082"/>
  </sheetPr>
  <dimension ref="B2:J20"/>
  <sheetViews>
    <sheetView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3" x14ac:dyDescent="0.2"/>
  <cols>
    <col min="1" max="1" width="3" customWidth="1"/>
    <col min="2" max="2" width="34" customWidth="1"/>
    <col min="3" max="10" width="16" customWidth="1"/>
  </cols>
  <sheetData>
    <row r="2" spans="2:10" ht="18" x14ac:dyDescent="0.4">
      <c r="B2" s="2" t="s">
        <v>205</v>
      </c>
    </row>
    <row r="4" spans="2:10" ht="14" x14ac:dyDescent="0.3">
      <c r="C4" s="10" t="s">
        <v>34</v>
      </c>
      <c r="D4" s="10" t="s">
        <v>35</v>
      </c>
      <c r="E4" s="10" t="s">
        <v>182</v>
      </c>
      <c r="F4" s="10" t="s">
        <v>84</v>
      </c>
      <c r="G4" s="10" t="s">
        <v>85</v>
      </c>
      <c r="H4" s="10" t="s">
        <v>86</v>
      </c>
      <c r="I4" s="10" t="s">
        <v>87</v>
      </c>
      <c r="J4" s="10" t="s">
        <v>88</v>
      </c>
    </row>
    <row r="5" spans="2:10" ht="14" x14ac:dyDescent="0.3">
      <c r="B5" s="8" t="s">
        <v>206</v>
      </c>
      <c r="C5" s="9"/>
      <c r="D5" s="9"/>
      <c r="E5" s="9"/>
      <c r="F5" s="9"/>
      <c r="G5" s="9"/>
      <c r="H5" s="9"/>
      <c r="I5" s="9"/>
      <c r="J5" s="9"/>
    </row>
    <row r="6" spans="2:10" ht="14" x14ac:dyDescent="0.3">
      <c r="B6" s="4" t="s">
        <v>207</v>
      </c>
      <c r="C6" s="38" t="s">
        <v>184</v>
      </c>
      <c r="D6" s="28">
        <v>4771</v>
      </c>
      <c r="E6" s="28">
        <v>4570</v>
      </c>
      <c r="F6" s="49">
        <v>5050</v>
      </c>
      <c r="G6" s="49">
        <v>5700</v>
      </c>
      <c r="H6" s="49">
        <v>6200</v>
      </c>
      <c r="I6" s="49">
        <v>6700</v>
      </c>
      <c r="J6" s="49">
        <v>7000</v>
      </c>
    </row>
    <row r="7" spans="2:10" ht="14" x14ac:dyDescent="0.3">
      <c r="B7" s="39" t="s">
        <v>208</v>
      </c>
      <c r="C7" s="38" t="s">
        <v>184</v>
      </c>
      <c r="D7" s="40" t="str">
        <f t="shared" ref="D7:J7" si="0">IFERROR((D6-C6)/C6,"—")</f>
        <v>—</v>
      </c>
      <c r="E7" s="40">
        <f t="shared" si="0"/>
        <v>-4.2129532592747855E-2</v>
      </c>
      <c r="F7" s="40">
        <f t="shared" si="0"/>
        <v>0.10503282275711159</v>
      </c>
      <c r="G7" s="40">
        <f t="shared" si="0"/>
        <v>0.12871287128712872</v>
      </c>
      <c r="H7" s="40">
        <f t="shared" si="0"/>
        <v>8.771929824561403E-2</v>
      </c>
      <c r="I7" s="40">
        <f t="shared" si="0"/>
        <v>8.0645161290322578E-2</v>
      </c>
      <c r="J7" s="40">
        <f t="shared" si="0"/>
        <v>4.4776119402985072E-2</v>
      </c>
    </row>
    <row r="9" spans="2:10" ht="14" x14ac:dyDescent="0.3">
      <c r="B9" s="8" t="s">
        <v>209</v>
      </c>
      <c r="C9" s="9"/>
      <c r="D9" s="9"/>
      <c r="E9" s="9"/>
      <c r="F9" s="9"/>
      <c r="G9" s="9"/>
      <c r="H9" s="9"/>
      <c r="I9" s="9"/>
      <c r="J9" s="9"/>
    </row>
    <row r="10" spans="2:10" ht="14" x14ac:dyDescent="0.3">
      <c r="B10" s="4" t="s">
        <v>210</v>
      </c>
      <c r="C10" s="38" t="s">
        <v>184</v>
      </c>
      <c r="D10" s="38" t="s">
        <v>184</v>
      </c>
      <c r="E10" s="38" t="s">
        <v>184</v>
      </c>
      <c r="F10" s="31">
        <v>820</v>
      </c>
      <c r="G10" s="31">
        <v>850</v>
      </c>
      <c r="H10" s="31">
        <v>880</v>
      </c>
      <c r="I10" s="31">
        <v>910</v>
      </c>
      <c r="J10" s="31">
        <v>940</v>
      </c>
    </row>
    <row r="11" spans="2:10" ht="14" x14ac:dyDescent="0.3">
      <c r="B11" s="4" t="s">
        <v>211</v>
      </c>
      <c r="C11" s="38" t="s">
        <v>184</v>
      </c>
      <c r="D11" s="38" t="s">
        <v>184</v>
      </c>
      <c r="E11" s="38" t="s">
        <v>184</v>
      </c>
      <c r="F11" s="46">
        <v>0.92</v>
      </c>
      <c r="G11" s="46">
        <v>0.93</v>
      </c>
      <c r="H11" s="46">
        <v>0.93</v>
      </c>
      <c r="I11" s="46">
        <v>0.94</v>
      </c>
      <c r="J11" s="46">
        <v>0.94</v>
      </c>
    </row>
    <row r="12" spans="2:10" ht="14" x14ac:dyDescent="0.3">
      <c r="B12" s="4" t="s">
        <v>212</v>
      </c>
      <c r="C12" s="38" t="s">
        <v>184</v>
      </c>
      <c r="D12" s="38" t="s">
        <v>184</v>
      </c>
      <c r="E12" s="38" t="s">
        <v>184</v>
      </c>
      <c r="F12" s="50">
        <v>0.7</v>
      </c>
      <c r="G12" s="50">
        <v>0.72</v>
      </c>
      <c r="H12" s="50">
        <v>0.74</v>
      </c>
      <c r="I12" s="50">
        <v>0.76</v>
      </c>
      <c r="J12" s="50">
        <v>0.78</v>
      </c>
    </row>
    <row r="13" spans="2:10" ht="14" x14ac:dyDescent="0.3">
      <c r="B13" s="4" t="s">
        <v>213</v>
      </c>
      <c r="C13" s="38" t="s">
        <v>184</v>
      </c>
      <c r="D13" s="38" t="s">
        <v>184</v>
      </c>
      <c r="E13" s="38" t="s">
        <v>184</v>
      </c>
      <c r="F13" s="20">
        <f>F10*F11*F12*12</f>
        <v>6336.9599999999991</v>
      </c>
      <c r="G13" s="20">
        <f>G10*G11*G12*12</f>
        <v>6829.92</v>
      </c>
      <c r="H13" s="20">
        <f>H10*H11*H12*12</f>
        <v>7267.3920000000016</v>
      </c>
      <c r="I13" s="20">
        <f>I10*I11*I12*12</f>
        <v>7801.2480000000005</v>
      </c>
      <c r="J13" s="20">
        <f>J10*J11*J12*12</f>
        <v>8270.4959999999992</v>
      </c>
    </row>
    <row r="14" spans="2:10" ht="14" x14ac:dyDescent="0.3">
      <c r="B14" s="4" t="s">
        <v>214</v>
      </c>
      <c r="C14" s="38" t="s">
        <v>184</v>
      </c>
      <c r="D14" s="38" t="s">
        <v>184</v>
      </c>
      <c r="E14" s="28">
        <v>6058</v>
      </c>
      <c r="F14" s="49">
        <v>7400</v>
      </c>
      <c r="G14" s="49">
        <v>9238</v>
      </c>
      <c r="H14" s="49">
        <v>11000</v>
      </c>
      <c r="I14" s="49">
        <v>13000</v>
      </c>
      <c r="J14" s="49">
        <v>14500</v>
      </c>
    </row>
    <row r="15" spans="2:10" ht="14" x14ac:dyDescent="0.3">
      <c r="B15" s="4" t="s">
        <v>215</v>
      </c>
      <c r="C15" s="38" t="s">
        <v>184</v>
      </c>
      <c r="D15" s="20">
        <v>10546</v>
      </c>
      <c r="E15" s="20">
        <v>12035</v>
      </c>
      <c r="F15" s="20">
        <f>F13+F14</f>
        <v>13736.96</v>
      </c>
      <c r="G15" s="20">
        <f>G13+G14</f>
        <v>16067.92</v>
      </c>
      <c r="H15" s="20">
        <f>H13+H14</f>
        <v>18267.392</v>
      </c>
      <c r="I15" s="20">
        <f>I13+I14</f>
        <v>20801.248</v>
      </c>
      <c r="J15" s="20">
        <f>J13+J14</f>
        <v>22770.495999999999</v>
      </c>
    </row>
    <row r="16" spans="2:10" ht="14" x14ac:dyDescent="0.3">
      <c r="B16" s="39" t="s">
        <v>216</v>
      </c>
      <c r="C16" s="40" t="str">
        <f t="shared" ref="C16:J16" si="1">IFERROR(C14/C15,"—")</f>
        <v>—</v>
      </c>
      <c r="D16" s="40" t="str">
        <f t="shared" si="1"/>
        <v>—</v>
      </c>
      <c r="E16" s="40">
        <f t="shared" si="1"/>
        <v>0.50336518487744075</v>
      </c>
      <c r="F16" s="40">
        <f t="shared" si="1"/>
        <v>0.53869269474468884</v>
      </c>
      <c r="G16" s="40">
        <f t="shared" si="1"/>
        <v>0.57493440345732361</v>
      </c>
      <c r="H16" s="40">
        <f t="shared" si="1"/>
        <v>0.60216587020194234</v>
      </c>
      <c r="I16" s="40">
        <f t="shared" si="1"/>
        <v>0.62496250224986505</v>
      </c>
      <c r="J16" s="40">
        <f t="shared" si="1"/>
        <v>0.63678893951190174</v>
      </c>
    </row>
    <row r="18" spans="2:10" ht="14" x14ac:dyDescent="0.3">
      <c r="B18" s="8" t="s">
        <v>217</v>
      </c>
      <c r="C18" s="9"/>
      <c r="D18" s="9"/>
      <c r="E18" s="9"/>
      <c r="F18" s="9"/>
      <c r="G18" s="9"/>
      <c r="H18" s="9"/>
      <c r="I18" s="9"/>
      <c r="J18" s="9"/>
    </row>
    <row r="19" spans="2:10" ht="14" x14ac:dyDescent="0.3">
      <c r="B19" s="4" t="s">
        <v>207</v>
      </c>
      <c r="C19" s="38" t="s">
        <v>184</v>
      </c>
      <c r="D19" s="28">
        <v>8680</v>
      </c>
      <c r="E19" s="28">
        <v>7993</v>
      </c>
      <c r="F19" s="49">
        <v>8000</v>
      </c>
      <c r="G19" s="49">
        <v>8100</v>
      </c>
      <c r="H19" s="49">
        <v>8200</v>
      </c>
      <c r="I19" s="49">
        <v>8300</v>
      </c>
      <c r="J19" s="49">
        <v>8400</v>
      </c>
    </row>
    <row r="20" spans="2:10" ht="14" x14ac:dyDescent="0.3">
      <c r="B20" s="39" t="s">
        <v>208</v>
      </c>
      <c r="C20" s="38" t="s">
        <v>184</v>
      </c>
      <c r="D20" s="40" t="str">
        <f t="shared" ref="D20:J20" si="2">IFERROR((D19-C19)/C19,"—")</f>
        <v>—</v>
      </c>
      <c r="E20" s="40">
        <f t="shared" si="2"/>
        <v>-7.9147465437788014E-2</v>
      </c>
      <c r="F20" s="40">
        <f t="shared" si="2"/>
        <v>8.7576629550857002E-4</v>
      </c>
      <c r="G20" s="40">
        <f t="shared" si="2"/>
        <v>1.2500000000000001E-2</v>
      </c>
      <c r="H20" s="40">
        <f t="shared" si="2"/>
        <v>1.2345679012345678E-2</v>
      </c>
      <c r="I20" s="40">
        <f t="shared" si="2"/>
        <v>1.2195121951219513E-2</v>
      </c>
      <c r="J20" s="40">
        <f t="shared" si="2"/>
        <v>1.2048192771084338E-2</v>
      </c>
    </row>
  </sheetData>
  <phoneticPr fontId="9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8</vt:i4>
      </vt:variant>
    </vt:vector>
  </HeadingPairs>
  <TitlesOfParts>
    <vt:vector size="8" baseType="lpstr">
      <vt:lpstr>Executive Summary</vt:lpstr>
      <vt:lpstr>Financial Statements</vt:lpstr>
      <vt:lpstr>DCF Model</vt:lpstr>
      <vt:lpstr>NWC Schedule</vt:lpstr>
      <vt:lpstr>Comps Analysis</vt:lpstr>
      <vt:lpstr>Sensitivity Analysis</vt:lpstr>
      <vt:lpstr>Segment Analysis</vt:lpstr>
      <vt:lpstr>Driver 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良亮 佐藤</cp:lastModifiedBy>
  <dcterms:created xsi:type="dcterms:W3CDTF">2026-04-10T05:20:12Z</dcterms:created>
  <dcterms:modified xsi:type="dcterms:W3CDTF">2026-05-03T04:09:43Z</dcterms:modified>
</cp:coreProperties>
</file>