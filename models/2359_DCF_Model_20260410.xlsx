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EC2BC58F-0362-4167-B679-4B1BA7C5EC06}" xr6:coauthVersionLast="47" xr6:coauthVersionMax="47" xr10:uidLastSave="{00000000-0000-0000-0000-000000000000}"/>
  <bookViews>
    <workbookView xWindow="6320" yWindow="3290" windowWidth="4820" windowHeight="4600" tabRatio="500" firstSheet="2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  <sheet name="Implied Growth Analysis" sheetId="9" r:id="rId9"/>
    <sheet name="Market Scorecard" sheetId="10" r:id="rId10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10" l="1"/>
  <c r="C36" i="10"/>
  <c r="D36" i="10" s="1"/>
  <c r="C38" i="10" s="1"/>
  <c r="C28" i="10"/>
  <c r="C27" i="10"/>
  <c r="C26" i="10"/>
  <c r="E12" i="10"/>
  <c r="C74" i="9"/>
  <c r="C73" i="9"/>
  <c r="C72" i="9"/>
  <c r="C71" i="9"/>
  <c r="C70" i="9"/>
  <c r="C59" i="9"/>
  <c r="C55" i="9"/>
  <c r="D55" i="9" s="1"/>
  <c r="E55" i="9" s="1"/>
  <c r="F55" i="9" s="1"/>
  <c r="G55" i="9" s="1"/>
  <c r="H55" i="9" s="1"/>
  <c r="D54" i="9"/>
  <c r="E54" i="9" s="1"/>
  <c r="F54" i="9" s="1"/>
  <c r="G54" i="9" s="1"/>
  <c r="H54" i="9" s="1"/>
  <c r="C54" i="9"/>
  <c r="D53" i="9"/>
  <c r="C53" i="9"/>
  <c r="D52" i="9"/>
  <c r="C49" i="9"/>
  <c r="C48" i="9"/>
  <c r="F11" i="9"/>
  <c r="D11" i="9"/>
  <c r="E11" i="9" s="1"/>
  <c r="F10" i="9"/>
  <c r="E10" i="9"/>
  <c r="D10" i="9"/>
  <c r="D9" i="9"/>
  <c r="E9" i="9" s="1"/>
  <c r="F9" i="9" s="1"/>
  <c r="D8" i="9"/>
  <c r="E8" i="9" s="1"/>
  <c r="F8" i="9" s="1"/>
  <c r="D7" i="9"/>
  <c r="E7" i="9" s="1"/>
  <c r="F7" i="9" s="1"/>
  <c r="J20" i="8"/>
  <c r="I20" i="8"/>
  <c r="H20" i="8"/>
  <c r="G20" i="8"/>
  <c r="F20" i="8"/>
  <c r="E20" i="8"/>
  <c r="D20" i="8"/>
  <c r="I16" i="8"/>
  <c r="E16" i="8"/>
  <c r="D16" i="8"/>
  <c r="C16" i="8"/>
  <c r="J15" i="8"/>
  <c r="J16" i="8" s="1"/>
  <c r="J13" i="8"/>
  <c r="I13" i="8"/>
  <c r="I15" i="8" s="1"/>
  <c r="H13" i="8"/>
  <c r="H15" i="8" s="1"/>
  <c r="H16" i="8" s="1"/>
  <c r="G13" i="8"/>
  <c r="G15" i="8" s="1"/>
  <c r="G16" i="8" s="1"/>
  <c r="F13" i="8"/>
  <c r="F15" i="8" s="1"/>
  <c r="F16" i="8" s="1"/>
  <c r="J7" i="8"/>
  <c r="I7" i="8"/>
  <c r="H7" i="8"/>
  <c r="G7" i="8"/>
  <c r="F7" i="8"/>
  <c r="E7" i="8"/>
  <c r="D7" i="8"/>
  <c r="D23" i="7"/>
  <c r="E22" i="7"/>
  <c r="E23" i="7" s="1"/>
  <c r="D22" i="7"/>
  <c r="C22" i="7"/>
  <c r="C23" i="7" s="1"/>
  <c r="E21" i="7"/>
  <c r="D21" i="7"/>
  <c r="C21" i="7"/>
  <c r="E18" i="7"/>
  <c r="D18" i="7"/>
  <c r="E13" i="7"/>
  <c r="D13" i="7"/>
  <c r="E8" i="7"/>
  <c r="D8" i="7"/>
  <c r="I17" i="6"/>
  <c r="H17" i="6"/>
  <c r="F17" i="6"/>
  <c r="E17" i="6"/>
  <c r="H6" i="6"/>
  <c r="G6" i="6"/>
  <c r="E6" i="6"/>
  <c r="D6" i="6"/>
  <c r="I3" i="6"/>
  <c r="G17" i="6" s="1"/>
  <c r="F3" i="6"/>
  <c r="F6" i="6" s="1"/>
  <c r="I17" i="5"/>
  <c r="G17" i="5"/>
  <c r="I16" i="5"/>
  <c r="G16" i="5"/>
  <c r="F16" i="5"/>
  <c r="C28" i="5" s="1"/>
  <c r="C19" i="1" s="1"/>
  <c r="D19" i="1" s="1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H17" i="5" s="1"/>
  <c r="L6" i="5"/>
  <c r="K6" i="5"/>
  <c r="J6" i="5"/>
  <c r="D17" i="5" s="1"/>
  <c r="N5" i="5"/>
  <c r="L5" i="5"/>
  <c r="F15" i="5" s="1"/>
  <c r="K5" i="5"/>
  <c r="J5" i="5"/>
  <c r="C18" i="4"/>
  <c r="C16" i="4"/>
  <c r="C14" i="4"/>
  <c r="C7" i="4"/>
  <c r="C6" i="4"/>
  <c r="C5" i="4"/>
  <c r="D27" i="3"/>
  <c r="E31" i="3" s="1"/>
  <c r="C25" i="3"/>
  <c r="C26" i="3" s="1"/>
  <c r="C24" i="3"/>
  <c r="C23" i="3"/>
  <c r="G28" i="2"/>
  <c r="F28" i="2"/>
  <c r="E28" i="2"/>
  <c r="D28" i="2"/>
  <c r="C28" i="2"/>
  <c r="G23" i="2"/>
  <c r="F23" i="2"/>
  <c r="E23" i="2"/>
  <c r="D23" i="2"/>
  <c r="C23" i="2"/>
  <c r="D22" i="2"/>
  <c r="G21" i="2"/>
  <c r="G22" i="2" s="1"/>
  <c r="F21" i="2"/>
  <c r="F22" i="2" s="1"/>
  <c r="E21" i="2"/>
  <c r="E22" i="2" s="1"/>
  <c r="D21" i="2"/>
  <c r="C21" i="2"/>
  <c r="C22" i="2" s="1"/>
  <c r="G16" i="2"/>
  <c r="F16" i="2"/>
  <c r="E16" i="2"/>
  <c r="D16" i="2"/>
  <c r="G15" i="2"/>
  <c r="F15" i="2"/>
  <c r="E15" i="2"/>
  <c r="D15" i="2"/>
  <c r="G14" i="2"/>
  <c r="F14" i="2"/>
  <c r="E14" i="2"/>
  <c r="D14" i="2"/>
  <c r="C14" i="2"/>
  <c r="G13" i="2"/>
  <c r="F13" i="2"/>
  <c r="E13" i="2"/>
  <c r="D13" i="2"/>
  <c r="C13" i="2"/>
  <c r="D9" i="2"/>
  <c r="G8" i="2"/>
  <c r="G9" i="2" s="1"/>
  <c r="F8" i="2"/>
  <c r="F9" i="2" s="1"/>
  <c r="E8" i="2"/>
  <c r="E9" i="2" s="1"/>
  <c r="D8" i="2"/>
  <c r="C8" i="2"/>
  <c r="C9" i="2" s="1"/>
  <c r="F46" i="3" l="1"/>
  <c r="D46" i="3"/>
  <c r="C46" i="3"/>
  <c r="C3" i="6"/>
  <c r="E46" i="3"/>
  <c r="G46" i="3"/>
  <c r="C32" i="3"/>
  <c r="D5" i="4"/>
  <c r="H6" i="4"/>
  <c r="D16" i="5"/>
  <c r="C27" i="5" s="1"/>
  <c r="C18" i="1" s="1"/>
  <c r="D18" i="1" s="1"/>
  <c r="E53" i="9"/>
  <c r="D56" i="9"/>
  <c r="G6" i="4"/>
  <c r="H15" i="5"/>
  <c r="D32" i="3"/>
  <c r="E5" i="4"/>
  <c r="E16" i="5"/>
  <c r="E17" i="5"/>
  <c r="E32" i="3"/>
  <c r="F5" i="4"/>
  <c r="D7" i="4"/>
  <c r="G8" i="7"/>
  <c r="C31" i="3"/>
  <c r="F32" i="3"/>
  <c r="H5" i="4"/>
  <c r="E7" i="4"/>
  <c r="H16" i="5"/>
  <c r="F6" i="7"/>
  <c r="H8" i="7"/>
  <c r="I13" i="7"/>
  <c r="J18" i="7"/>
  <c r="G31" i="3"/>
  <c r="D31" i="3"/>
  <c r="G32" i="3"/>
  <c r="F7" i="4"/>
  <c r="D15" i="5"/>
  <c r="F11" i="7"/>
  <c r="J13" i="7"/>
  <c r="G18" i="7"/>
  <c r="H13" i="7"/>
  <c r="I8" i="7"/>
  <c r="F16" i="7"/>
  <c r="J8" i="7"/>
  <c r="G7" i="4"/>
  <c r="E6" i="4"/>
  <c r="I18" i="7"/>
  <c r="G13" i="7"/>
  <c r="F8" i="7"/>
  <c r="H18" i="7"/>
  <c r="F13" i="7"/>
  <c r="G5" i="4"/>
  <c r="F18" i="7"/>
  <c r="D6" i="4"/>
  <c r="H7" i="4"/>
  <c r="E15" i="5"/>
  <c r="F31" i="3"/>
  <c r="F6" i="4"/>
  <c r="I6" i="6"/>
  <c r="D9" i="10"/>
  <c r="D26" i="10"/>
  <c r="C8" i="10"/>
  <c r="D8" i="10" s="1"/>
  <c r="F17" i="5"/>
  <c r="C17" i="6"/>
  <c r="C6" i="6"/>
  <c r="D17" i="6"/>
  <c r="C50" i="9"/>
  <c r="C56" i="9"/>
  <c r="C60" i="9"/>
  <c r="C9" i="10"/>
  <c r="G9" i="10" l="1"/>
  <c r="F9" i="10"/>
  <c r="G8" i="10"/>
  <c r="F8" i="10"/>
  <c r="F12" i="7"/>
  <c r="G11" i="7"/>
  <c r="G6" i="7"/>
  <c r="F7" i="7"/>
  <c r="F21" i="7"/>
  <c r="F27" i="7" s="1"/>
  <c r="D57" i="9"/>
  <c r="F17" i="7"/>
  <c r="G16" i="7"/>
  <c r="E56" i="9"/>
  <c r="E57" i="9" s="1"/>
  <c r="F53" i="9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D58" i="9"/>
  <c r="F22" i="7" l="1"/>
  <c r="F56" i="9"/>
  <c r="F57" i="9" s="1"/>
  <c r="F58" i="9"/>
  <c r="G53" i="9"/>
  <c r="G21" i="7"/>
  <c r="G7" i="7"/>
  <c r="H6" i="7"/>
  <c r="Q20" i="9"/>
  <c r="Q25" i="9" s="1"/>
  <c r="I20" i="9"/>
  <c r="I25" i="9" s="1"/>
  <c r="M20" i="9"/>
  <c r="M25" i="9" s="1"/>
  <c r="E20" i="9"/>
  <c r="E25" i="9" s="1"/>
  <c r="K20" i="9"/>
  <c r="K25" i="9" s="1"/>
  <c r="T20" i="9"/>
  <c r="T25" i="9" s="1"/>
  <c r="J20" i="9"/>
  <c r="J25" i="9" s="1"/>
  <c r="S20" i="9"/>
  <c r="S25" i="9" s="1"/>
  <c r="H20" i="9"/>
  <c r="H25" i="9" s="1"/>
  <c r="R20" i="9"/>
  <c r="R25" i="9" s="1"/>
  <c r="P20" i="9"/>
  <c r="P25" i="9" s="1"/>
  <c r="F20" i="9"/>
  <c r="F25" i="9" s="1"/>
  <c r="O20" i="9"/>
  <c r="O25" i="9" s="1"/>
  <c r="D20" i="9"/>
  <c r="D25" i="9" s="1"/>
  <c r="N20" i="9"/>
  <c r="N25" i="9" s="1"/>
  <c r="C20" i="9"/>
  <c r="C25" i="9" s="1"/>
  <c r="G20" i="9"/>
  <c r="G25" i="9" s="1"/>
  <c r="L20" i="9"/>
  <c r="L25" i="9" s="1"/>
  <c r="C33" i="3"/>
  <c r="G12" i="7"/>
  <c r="H11" i="7"/>
  <c r="E58" i="9"/>
  <c r="G17" i="7"/>
  <c r="H16" i="7"/>
  <c r="F23" i="7"/>
  <c r="O21" i="9"/>
  <c r="G21" i="9"/>
  <c r="S21" i="9"/>
  <c r="K21" i="9"/>
  <c r="C21" i="9"/>
  <c r="N21" i="9"/>
  <c r="D21" i="9"/>
  <c r="M21" i="9"/>
  <c r="L21" i="9"/>
  <c r="J21" i="9"/>
  <c r="T21" i="9"/>
  <c r="I21" i="9"/>
  <c r="R21" i="9"/>
  <c r="H21" i="9"/>
  <c r="Q21" i="9"/>
  <c r="F21" i="9"/>
  <c r="P21" i="9"/>
  <c r="E21" i="9"/>
  <c r="G22" i="7" l="1"/>
  <c r="G23" i="7" s="1"/>
  <c r="F26" i="9"/>
  <c r="F30" i="9"/>
  <c r="F35" i="9" s="1"/>
  <c r="K30" i="9"/>
  <c r="K35" i="9" s="1"/>
  <c r="K26" i="9"/>
  <c r="Q30" i="9"/>
  <c r="Q35" i="9" s="1"/>
  <c r="Q26" i="9"/>
  <c r="F26" i="7"/>
  <c r="F28" i="7" s="1"/>
  <c r="D9" i="4"/>
  <c r="D12" i="4" s="1"/>
  <c r="C30" i="3"/>
  <c r="C34" i="3"/>
  <c r="D10" i="4" s="1"/>
  <c r="C37" i="3"/>
  <c r="P26" i="9"/>
  <c r="P30" i="9"/>
  <c r="P35" i="9" s="1"/>
  <c r="I16" i="7"/>
  <c r="H17" i="7"/>
  <c r="M30" i="9"/>
  <c r="M35" i="9" s="1"/>
  <c r="M26" i="9"/>
  <c r="T30" i="9"/>
  <c r="T35" i="9" s="1"/>
  <c r="T26" i="9"/>
  <c r="R26" i="9"/>
  <c r="R30" i="9"/>
  <c r="R35" i="9" s="1"/>
  <c r="C26" i="9"/>
  <c r="C30" i="9"/>
  <c r="C35" i="9" s="1"/>
  <c r="I30" i="9"/>
  <c r="I35" i="9" s="1"/>
  <c r="I26" i="9"/>
  <c r="L30" i="9"/>
  <c r="L35" i="9" s="1"/>
  <c r="L26" i="9"/>
  <c r="H7" i="7"/>
  <c r="I6" i="7"/>
  <c r="H21" i="7"/>
  <c r="G26" i="9"/>
  <c r="G30" i="9"/>
  <c r="G35" i="9" s="1"/>
  <c r="H26" i="9"/>
  <c r="H30" i="9"/>
  <c r="H35" i="9" s="1"/>
  <c r="I11" i="7"/>
  <c r="H12" i="7"/>
  <c r="D30" i="9"/>
  <c r="D35" i="9" s="1"/>
  <c r="D26" i="9"/>
  <c r="S26" i="9"/>
  <c r="S30" i="9"/>
  <c r="S35" i="9" s="1"/>
  <c r="E30" i="9"/>
  <c r="E35" i="9" s="1"/>
  <c r="E26" i="9"/>
  <c r="D33" i="3"/>
  <c r="G27" i="7"/>
  <c r="N30" i="9"/>
  <c r="N35" i="9" s="1"/>
  <c r="N26" i="9"/>
  <c r="G56" i="9"/>
  <c r="G57" i="9" s="1"/>
  <c r="H53" i="9"/>
  <c r="G58" i="9"/>
  <c r="O30" i="9"/>
  <c r="O35" i="9" s="1"/>
  <c r="O26" i="9"/>
  <c r="J26" i="9"/>
  <c r="J30" i="9"/>
  <c r="J35" i="9" s="1"/>
  <c r="M22" i="9"/>
  <c r="E22" i="9"/>
  <c r="T22" i="9"/>
  <c r="Q22" i="9"/>
  <c r="I22" i="9"/>
  <c r="R22" i="9"/>
  <c r="G22" i="9"/>
  <c r="P22" i="9"/>
  <c r="F22" i="9"/>
  <c r="O22" i="9"/>
  <c r="D22" i="9"/>
  <c r="N22" i="9"/>
  <c r="C22" i="9"/>
  <c r="L22" i="9"/>
  <c r="K22" i="9"/>
  <c r="J22" i="9"/>
  <c r="S22" i="9"/>
  <c r="H22" i="9"/>
  <c r="H27" i="7" l="1"/>
  <c r="E33" i="3"/>
  <c r="C31" i="9"/>
  <c r="C36" i="9" s="1"/>
  <c r="C27" i="9"/>
  <c r="H56" i="9"/>
  <c r="I21" i="7"/>
  <c r="I7" i="7"/>
  <c r="J6" i="7"/>
  <c r="S23" i="9"/>
  <c r="K23" i="9"/>
  <c r="C23" i="9"/>
  <c r="R23" i="9"/>
  <c r="J23" i="9"/>
  <c r="O23" i="9"/>
  <c r="G23" i="9"/>
  <c r="M23" i="9"/>
  <c r="L23" i="9"/>
  <c r="I23" i="9"/>
  <c r="H23" i="9"/>
  <c r="T23" i="9"/>
  <c r="F23" i="9"/>
  <c r="Q23" i="9"/>
  <c r="E23" i="9"/>
  <c r="P23" i="9"/>
  <c r="D23" i="9"/>
  <c r="N23" i="9"/>
  <c r="S31" i="9"/>
  <c r="S36" i="9" s="1"/>
  <c r="S27" i="9"/>
  <c r="H22" i="7"/>
  <c r="H23" i="7" s="1"/>
  <c r="R31" i="9"/>
  <c r="R36" i="9" s="1"/>
  <c r="R27" i="9"/>
  <c r="Q27" i="9"/>
  <c r="Q31" i="9"/>
  <c r="Q36" i="9" s="1"/>
  <c r="G31" i="9"/>
  <c r="G36" i="9" s="1"/>
  <c r="G27" i="9"/>
  <c r="J16" i="7"/>
  <c r="J17" i="7" s="1"/>
  <c r="I17" i="7"/>
  <c r="N27" i="9"/>
  <c r="N31" i="9"/>
  <c r="N36" i="9" s="1"/>
  <c r="D27" i="9"/>
  <c r="D31" i="9"/>
  <c r="D36" i="9" s="1"/>
  <c r="L27" i="9"/>
  <c r="L31" i="9"/>
  <c r="L36" i="9" s="1"/>
  <c r="T31" i="9"/>
  <c r="T36" i="9" s="1"/>
  <c r="T27" i="9"/>
  <c r="P27" i="9"/>
  <c r="P31" i="9"/>
  <c r="P36" i="9" s="1"/>
  <c r="E27" i="9"/>
  <c r="E31" i="9"/>
  <c r="E36" i="9" s="1"/>
  <c r="F31" i="9"/>
  <c r="F36" i="9" s="1"/>
  <c r="F27" i="9"/>
  <c r="H31" i="9"/>
  <c r="H36" i="9" s="1"/>
  <c r="H27" i="9"/>
  <c r="C35" i="3"/>
  <c r="K31" i="9"/>
  <c r="K36" i="9" s="1"/>
  <c r="K27" i="9"/>
  <c r="J31" i="9"/>
  <c r="J36" i="9" s="1"/>
  <c r="J27" i="9"/>
  <c r="I31" i="9"/>
  <c r="I36" i="9" s="1"/>
  <c r="I27" i="9"/>
  <c r="M27" i="9"/>
  <c r="M31" i="9"/>
  <c r="M36" i="9" s="1"/>
  <c r="O31" i="9"/>
  <c r="O36" i="9" s="1"/>
  <c r="O27" i="9"/>
  <c r="D45" i="10"/>
  <c r="E45" i="10" s="1"/>
  <c r="F45" i="10" s="1"/>
  <c r="G26" i="7"/>
  <c r="G28" i="7" s="1"/>
  <c r="E9" i="4"/>
  <c r="E12" i="4" s="1"/>
  <c r="D34" i="3"/>
  <c r="E10" i="4" s="1"/>
  <c r="D37" i="3"/>
  <c r="D30" i="3"/>
  <c r="I12" i="7"/>
  <c r="J11" i="7"/>
  <c r="J12" i="7" s="1"/>
  <c r="D15" i="4"/>
  <c r="D16" i="4" s="1"/>
  <c r="D13" i="4"/>
  <c r="D14" i="4" s="1"/>
  <c r="D18" i="4" l="1"/>
  <c r="D19" i="4" s="1"/>
  <c r="C44" i="3" s="1"/>
  <c r="E15" i="4"/>
  <c r="E16" i="4" s="1"/>
  <c r="E13" i="4"/>
  <c r="E14" i="4" s="1"/>
  <c r="M32" i="9"/>
  <c r="M37" i="9" s="1"/>
  <c r="M28" i="9"/>
  <c r="H32" i="9"/>
  <c r="H37" i="9" s="1"/>
  <c r="H28" i="9"/>
  <c r="P32" i="9"/>
  <c r="P37" i="9" s="1"/>
  <c r="P28" i="9"/>
  <c r="C32" i="9"/>
  <c r="C37" i="9" s="1"/>
  <c r="C28" i="9"/>
  <c r="Q32" i="9"/>
  <c r="Q37" i="9" s="1"/>
  <c r="Q28" i="9"/>
  <c r="T28" i="9"/>
  <c r="T32" i="9"/>
  <c r="T37" i="9" s="1"/>
  <c r="N32" i="9"/>
  <c r="N37" i="9" s="1"/>
  <c r="N28" i="9"/>
  <c r="R32" i="9"/>
  <c r="R37" i="9" s="1"/>
  <c r="R28" i="9"/>
  <c r="J21" i="7"/>
  <c r="J7" i="7"/>
  <c r="J22" i="7" s="1"/>
  <c r="I32" i="9"/>
  <c r="I37" i="9" s="1"/>
  <c r="I28" i="9"/>
  <c r="I22" i="7"/>
  <c r="I23" i="7" s="1"/>
  <c r="F9" i="4"/>
  <c r="F12" i="4" s="1"/>
  <c r="E34" i="3"/>
  <c r="F10" i="4" s="1"/>
  <c r="E37" i="3"/>
  <c r="H26" i="7"/>
  <c r="H28" i="7" s="1"/>
  <c r="E30" i="3"/>
  <c r="I27" i="7"/>
  <c r="F33" i="3"/>
  <c r="D32" i="9"/>
  <c r="D37" i="9" s="1"/>
  <c r="D28" i="9"/>
  <c r="O32" i="9"/>
  <c r="O37" i="9" s="1"/>
  <c r="O28" i="9"/>
  <c r="J28" i="9"/>
  <c r="J32" i="9"/>
  <c r="J37" i="9" s="1"/>
  <c r="L28" i="9"/>
  <c r="L32" i="9"/>
  <c r="L37" i="9" s="1"/>
  <c r="G28" i="9"/>
  <c r="G32" i="9"/>
  <c r="G37" i="9" s="1"/>
  <c r="F28" i="9"/>
  <c r="F32" i="9"/>
  <c r="F37" i="9" s="1"/>
  <c r="E32" i="9"/>
  <c r="E37" i="9" s="1"/>
  <c r="E28" i="9"/>
  <c r="S28" i="9"/>
  <c r="S32" i="9"/>
  <c r="S37" i="9" s="1"/>
  <c r="K28" i="9"/>
  <c r="K32" i="9"/>
  <c r="K37" i="9" s="1"/>
  <c r="H62" i="9"/>
  <c r="H57" i="9"/>
  <c r="H61" i="9"/>
  <c r="C36" i="3"/>
  <c r="C39" i="3"/>
  <c r="D35" i="3"/>
  <c r="H58" i="9"/>
  <c r="E35" i="3" l="1"/>
  <c r="E36" i="3" s="1"/>
  <c r="E18" i="4"/>
  <c r="E19" i="4"/>
  <c r="D44" i="3" s="1"/>
  <c r="J23" i="7"/>
  <c r="J27" i="7"/>
  <c r="G33" i="3"/>
  <c r="C33" i="9"/>
  <c r="C38" i="9" s="1"/>
  <c r="C40" i="9" s="1"/>
  <c r="C43" i="9" s="1"/>
  <c r="C44" i="9" s="1"/>
  <c r="C45" i="9" s="1"/>
  <c r="F33" i="9"/>
  <c r="F38" i="9" s="1"/>
  <c r="Q33" i="9"/>
  <c r="Q38" i="9" s="1"/>
  <c r="M33" i="9"/>
  <c r="M38" i="9" s="1"/>
  <c r="E85" i="9"/>
  <c r="E82" i="9"/>
  <c r="E84" i="9"/>
  <c r="E83" i="9"/>
  <c r="E86" i="9"/>
  <c r="D33" i="9"/>
  <c r="D38" i="9" s="1"/>
  <c r="D36" i="3"/>
  <c r="D39" i="3"/>
  <c r="N33" i="9"/>
  <c r="N38" i="9" s="1"/>
  <c r="P29" i="9"/>
  <c r="P34" i="9" s="1"/>
  <c r="P39" i="9" s="1"/>
  <c r="P41" i="9" s="1"/>
  <c r="P42" i="9" s="1"/>
  <c r="P33" i="9"/>
  <c r="P38" i="9" s="1"/>
  <c r="P40" i="9" s="1"/>
  <c r="P43" i="9" s="1"/>
  <c r="P44" i="9" s="1"/>
  <c r="P45" i="9" s="1"/>
  <c r="R29" i="9"/>
  <c r="R34" i="9" s="1"/>
  <c r="R39" i="9" s="1"/>
  <c r="R41" i="9" s="1"/>
  <c r="R42" i="9" s="1"/>
  <c r="R33" i="9"/>
  <c r="R38" i="9" s="1"/>
  <c r="R40" i="9" s="1"/>
  <c r="R43" i="9" s="1"/>
  <c r="R44" i="9" s="1"/>
  <c r="R45" i="9" s="1"/>
  <c r="I26" i="7"/>
  <c r="I28" i="7" s="1"/>
  <c r="F34" i="3"/>
  <c r="G10" i="4" s="1"/>
  <c r="F37" i="3"/>
  <c r="F30" i="3"/>
  <c r="G9" i="4"/>
  <c r="G12" i="4" s="1"/>
  <c r="G33" i="9"/>
  <c r="G38" i="9" s="1"/>
  <c r="F15" i="4"/>
  <c r="F16" i="4" s="1"/>
  <c r="F13" i="4"/>
  <c r="F14" i="4" s="1"/>
  <c r="S33" i="9"/>
  <c r="S38" i="9" s="1"/>
  <c r="L33" i="9"/>
  <c r="L38" i="9" s="1"/>
  <c r="H33" i="9"/>
  <c r="H38" i="9" s="1"/>
  <c r="O33" i="9"/>
  <c r="O38" i="9" s="1"/>
  <c r="O40" i="9" s="1"/>
  <c r="O43" i="9" s="1"/>
  <c r="O44" i="9" s="1"/>
  <c r="O45" i="9" s="1"/>
  <c r="O29" i="9"/>
  <c r="O34" i="9" s="1"/>
  <c r="O39" i="9" s="1"/>
  <c r="O41" i="9" s="1"/>
  <c r="O42" i="9" s="1"/>
  <c r="K33" i="9"/>
  <c r="K38" i="9" s="1"/>
  <c r="C38" i="3"/>
  <c r="C40" i="3"/>
  <c r="C41" i="3" s="1"/>
  <c r="C45" i="3" s="1"/>
  <c r="E33" i="9"/>
  <c r="E38" i="9" s="1"/>
  <c r="E40" i="9" s="1"/>
  <c r="E43" i="9" s="1"/>
  <c r="E44" i="9" s="1"/>
  <c r="E45" i="9" s="1"/>
  <c r="I33" i="9"/>
  <c r="I38" i="9" s="1"/>
  <c r="Q24" i="9"/>
  <c r="Q29" i="9" s="1"/>
  <c r="Q34" i="9" s="1"/>
  <c r="Q39" i="9" s="1"/>
  <c r="Q41" i="9" s="1"/>
  <c r="Q42" i="9" s="1"/>
  <c r="I24" i="9"/>
  <c r="I29" i="9" s="1"/>
  <c r="I34" i="9" s="1"/>
  <c r="I39" i="9" s="1"/>
  <c r="I41" i="9" s="1"/>
  <c r="I42" i="9" s="1"/>
  <c r="P24" i="9"/>
  <c r="H24" i="9"/>
  <c r="H29" i="9" s="1"/>
  <c r="H34" i="9" s="1"/>
  <c r="H39" i="9" s="1"/>
  <c r="H41" i="9" s="1"/>
  <c r="H42" i="9" s="1"/>
  <c r="M24" i="9"/>
  <c r="M29" i="9" s="1"/>
  <c r="M34" i="9" s="1"/>
  <c r="M39" i="9" s="1"/>
  <c r="M41" i="9" s="1"/>
  <c r="M42" i="9" s="1"/>
  <c r="E24" i="9"/>
  <c r="E29" i="9" s="1"/>
  <c r="E34" i="9" s="1"/>
  <c r="E39" i="9" s="1"/>
  <c r="E41" i="9" s="1"/>
  <c r="E42" i="9" s="1"/>
  <c r="T24" i="9"/>
  <c r="T29" i="9" s="1"/>
  <c r="T34" i="9" s="1"/>
  <c r="T39" i="9" s="1"/>
  <c r="T41" i="9" s="1"/>
  <c r="T42" i="9" s="1"/>
  <c r="G24" i="9"/>
  <c r="G29" i="9" s="1"/>
  <c r="G34" i="9" s="1"/>
  <c r="G39" i="9" s="1"/>
  <c r="G41" i="9" s="1"/>
  <c r="G42" i="9" s="1"/>
  <c r="S24" i="9"/>
  <c r="S29" i="9" s="1"/>
  <c r="S34" i="9" s="1"/>
  <c r="S39" i="9" s="1"/>
  <c r="S41" i="9" s="1"/>
  <c r="S42" i="9" s="1"/>
  <c r="F24" i="9"/>
  <c r="F29" i="9" s="1"/>
  <c r="F34" i="9" s="1"/>
  <c r="F39" i="9" s="1"/>
  <c r="R24" i="9"/>
  <c r="D24" i="9"/>
  <c r="D29" i="9" s="1"/>
  <c r="D34" i="9" s="1"/>
  <c r="D39" i="9" s="1"/>
  <c r="D41" i="9" s="1"/>
  <c r="D42" i="9" s="1"/>
  <c r="O24" i="9"/>
  <c r="C24" i="9"/>
  <c r="C29" i="9" s="1"/>
  <c r="C34" i="9" s="1"/>
  <c r="C39" i="9" s="1"/>
  <c r="C41" i="9" s="1"/>
  <c r="C42" i="9" s="1"/>
  <c r="N24" i="9"/>
  <c r="N29" i="9" s="1"/>
  <c r="N34" i="9" s="1"/>
  <c r="N39" i="9" s="1"/>
  <c r="L24" i="9"/>
  <c r="L29" i="9" s="1"/>
  <c r="L34" i="9" s="1"/>
  <c r="L39" i="9" s="1"/>
  <c r="L41" i="9" s="1"/>
  <c r="L42" i="9" s="1"/>
  <c r="K24" i="9"/>
  <c r="K29" i="9" s="1"/>
  <c r="K34" i="9" s="1"/>
  <c r="K39" i="9" s="1"/>
  <c r="J24" i="9"/>
  <c r="D86" i="9"/>
  <c r="D85" i="9"/>
  <c r="D84" i="9"/>
  <c r="D82" i="9"/>
  <c r="D83" i="9"/>
  <c r="J33" i="9"/>
  <c r="J38" i="9" s="1"/>
  <c r="J29" i="9"/>
  <c r="J34" i="9" s="1"/>
  <c r="J39" i="9" s="1"/>
  <c r="J41" i="9" s="1"/>
  <c r="J42" i="9" s="1"/>
  <c r="T33" i="9"/>
  <c r="T38" i="9" s="1"/>
  <c r="T40" i="9" s="1"/>
  <c r="T43" i="9" s="1"/>
  <c r="T44" i="9" s="1"/>
  <c r="T45" i="9" s="1"/>
  <c r="E39" i="3" l="1"/>
  <c r="F35" i="3"/>
  <c r="Q40" i="9"/>
  <c r="Q43" i="9" s="1"/>
  <c r="Q44" i="9" s="1"/>
  <c r="Q45" i="9" s="1"/>
  <c r="K41" i="9"/>
  <c r="K42" i="9" s="1"/>
  <c r="K40" i="9"/>
  <c r="S40" i="9"/>
  <c r="S43" i="9" s="1"/>
  <c r="S44" i="9" s="1"/>
  <c r="S45" i="9" s="1"/>
  <c r="D40" i="9"/>
  <c r="D43" i="9" s="1"/>
  <c r="D44" i="9" s="1"/>
  <c r="D45" i="9" s="1"/>
  <c r="F41" i="9"/>
  <c r="F42" i="9" s="1"/>
  <c r="F40" i="9"/>
  <c r="G40" i="9"/>
  <c r="G43" i="9" s="1"/>
  <c r="G44" i="9" s="1"/>
  <c r="G45" i="9" s="1"/>
  <c r="N41" i="9"/>
  <c r="N42" i="9" s="1"/>
  <c r="N40" i="9"/>
  <c r="L40" i="9"/>
  <c r="L43" i="9" s="1"/>
  <c r="L44" i="9" s="1"/>
  <c r="L45" i="9" s="1"/>
  <c r="C47" i="3"/>
  <c r="M40" i="9"/>
  <c r="M43" i="9" s="1"/>
  <c r="M44" i="9" s="1"/>
  <c r="M45" i="9" s="1"/>
  <c r="D44" i="10"/>
  <c r="E44" i="10" s="1"/>
  <c r="D38" i="3"/>
  <c r="D40" i="3"/>
  <c r="D41" i="3" s="1"/>
  <c r="D45" i="3" s="1"/>
  <c r="I40" i="9"/>
  <c r="I43" i="9" s="1"/>
  <c r="I44" i="9" s="1"/>
  <c r="I45" i="9" s="1"/>
  <c r="F39" i="3"/>
  <c r="F36" i="3"/>
  <c r="J26" i="7"/>
  <c r="G34" i="3"/>
  <c r="H10" i="4" s="1"/>
  <c r="G37" i="3"/>
  <c r="G43" i="3"/>
  <c r="G42" i="3"/>
  <c r="G30" i="3"/>
  <c r="H9" i="4"/>
  <c r="H12" i="4" s="1"/>
  <c r="J40" i="9"/>
  <c r="J43" i="9" s="1"/>
  <c r="J44" i="9" s="1"/>
  <c r="J45" i="9" s="1"/>
  <c r="J28" i="7"/>
  <c r="G13" i="4"/>
  <c r="G14" i="4" s="1"/>
  <c r="G15" i="4"/>
  <c r="G16" i="4" s="1"/>
  <c r="E40" i="3"/>
  <c r="E41" i="3" s="1"/>
  <c r="E38" i="3"/>
  <c r="H40" i="9"/>
  <c r="H43" i="9" s="1"/>
  <c r="H44" i="9" s="1"/>
  <c r="H45" i="9" s="1"/>
  <c r="F18" i="4"/>
  <c r="F19" i="4" s="1"/>
  <c r="E44" i="3" s="1"/>
  <c r="E45" i="3" l="1"/>
  <c r="E47" i="3" s="1"/>
  <c r="G35" i="3"/>
  <c r="G39" i="3" s="1"/>
  <c r="D47" i="3"/>
  <c r="N43" i="9"/>
  <c r="N44" i="9" s="1"/>
  <c r="N45" i="9" s="1"/>
  <c r="F43" i="9"/>
  <c r="F44" i="9" s="1"/>
  <c r="F45" i="9" s="1"/>
  <c r="C49" i="10"/>
  <c r="C10" i="10" s="1"/>
  <c r="C48" i="10"/>
  <c r="F44" i="10"/>
  <c r="D49" i="10" s="1"/>
  <c r="D10" i="10" s="1"/>
  <c r="H15" i="4"/>
  <c r="H16" i="4" s="1"/>
  <c r="H13" i="4"/>
  <c r="H14" i="4" s="1"/>
  <c r="G18" i="4"/>
  <c r="G19" i="4" s="1"/>
  <c r="F44" i="3" s="1"/>
  <c r="F40" i="3"/>
  <c r="F41" i="3" s="1"/>
  <c r="F38" i="3"/>
  <c r="K43" i="9"/>
  <c r="K44" i="9" s="1"/>
  <c r="K45" i="9" s="1"/>
  <c r="G36" i="3" l="1"/>
  <c r="F45" i="3"/>
  <c r="F47" i="3" s="1"/>
  <c r="H18" i="4"/>
  <c r="H19" i="4" s="1"/>
  <c r="G44" i="3" s="1"/>
  <c r="D71" i="9"/>
  <c r="D72" i="9"/>
  <c r="D74" i="9"/>
  <c r="D73" i="9"/>
  <c r="G10" i="10"/>
  <c r="F10" i="10"/>
  <c r="G40" i="3"/>
  <c r="G41" i="3" s="1"/>
  <c r="C59" i="3"/>
  <c r="C60" i="3" s="1"/>
  <c r="C61" i="3" s="1"/>
  <c r="G38" i="3"/>
  <c r="D70" i="9"/>
  <c r="G45" i="3" l="1"/>
  <c r="H9" i="6" s="1"/>
  <c r="D18" i="6"/>
  <c r="H18" i="6"/>
  <c r="D7" i="6"/>
  <c r="D22" i="6"/>
  <c r="F7" i="6"/>
  <c r="I24" i="6"/>
  <c r="I8" i="6"/>
  <c r="G24" i="6"/>
  <c r="D23" i="6"/>
  <c r="G20" i="6"/>
  <c r="F73" i="9"/>
  <c r="E73" i="9"/>
  <c r="I22" i="6"/>
  <c r="D8" i="6"/>
  <c r="G18" i="6"/>
  <c r="I9" i="6"/>
  <c r="H19" i="6"/>
  <c r="F8" i="6"/>
  <c r="F13" i="6"/>
  <c r="D9" i="6"/>
  <c r="E7" i="6"/>
  <c r="E13" i="6"/>
  <c r="E8" i="6"/>
  <c r="G7" i="6"/>
  <c r="I19" i="6"/>
  <c r="D13" i="6"/>
  <c r="G9" i="6"/>
  <c r="C24" i="6"/>
  <c r="F9" i="6"/>
  <c r="D19" i="6"/>
  <c r="F74" i="9"/>
  <c r="E74" i="9"/>
  <c r="H23" i="6"/>
  <c r="F12" i="6"/>
  <c r="I13" i="6"/>
  <c r="C19" i="6"/>
  <c r="E18" i="6"/>
  <c r="C21" i="6"/>
  <c r="F70" i="9"/>
  <c r="E70" i="9"/>
  <c r="C51" i="3"/>
  <c r="C52" i="3" s="1"/>
  <c r="G47" i="3"/>
  <c r="C50" i="3" s="1"/>
  <c r="F22" i="6"/>
  <c r="H20" i="6"/>
  <c r="D24" i="6"/>
  <c r="E11" i="6"/>
  <c r="E10" i="6"/>
  <c r="E24" i="6"/>
  <c r="E20" i="6"/>
  <c r="E19" i="6"/>
  <c r="E9" i="6"/>
  <c r="I11" i="6"/>
  <c r="C7" i="6"/>
  <c r="I10" i="6"/>
  <c r="G22" i="6"/>
  <c r="F72" i="9"/>
  <c r="E72" i="9"/>
  <c r="H21" i="6"/>
  <c r="E12" i="6"/>
  <c r="D21" i="6"/>
  <c r="C20" i="6"/>
  <c r="I20" i="6"/>
  <c r="C8" i="6"/>
  <c r="E23" i="6"/>
  <c r="D20" i="6"/>
  <c r="I18" i="6"/>
  <c r="G11" i="6"/>
  <c r="H24" i="6"/>
  <c r="I7" i="6"/>
  <c r="H7" i="6"/>
  <c r="H22" i="6"/>
  <c r="G21" i="6"/>
  <c r="E22" i="6"/>
  <c r="E21" i="6"/>
  <c r="D11" i="6"/>
  <c r="H11" i="6"/>
  <c r="H10" i="6"/>
  <c r="G10" i="6"/>
  <c r="F10" i="6"/>
  <c r="G19" i="6"/>
  <c r="F23" i="6"/>
  <c r="F71" i="9"/>
  <c r="C81" i="9"/>
  <c r="E71" i="9"/>
  <c r="C91" i="9"/>
  <c r="F20" i="6"/>
  <c r="G12" i="6"/>
  <c r="C12" i="6"/>
  <c r="C10" i="6"/>
  <c r="C18" i="6"/>
  <c r="D12" i="6"/>
  <c r="F21" i="6"/>
  <c r="C9" i="6"/>
  <c r="H8" i="6"/>
  <c r="H13" i="6"/>
  <c r="G13" i="6"/>
  <c r="C23" i="6"/>
  <c r="G23" i="6"/>
  <c r="C13" i="6"/>
  <c r="I23" i="6"/>
  <c r="F24" i="6"/>
  <c r="F19" i="6"/>
  <c r="I21" i="6"/>
  <c r="F11" i="6" l="1"/>
  <c r="C22" i="6"/>
  <c r="H12" i="6"/>
  <c r="G8" i="6"/>
  <c r="F18" i="6"/>
  <c r="C11" i="6"/>
  <c r="I12" i="6"/>
  <c r="D10" i="6"/>
  <c r="C7" i="10"/>
  <c r="D7" i="10" s="1"/>
  <c r="D91" i="9"/>
  <c r="C93" i="9"/>
  <c r="F86" i="9"/>
  <c r="G86" i="9" s="1"/>
  <c r="F85" i="9"/>
  <c r="G85" i="9" s="1"/>
  <c r="F82" i="9"/>
  <c r="G82" i="9" s="1"/>
  <c r="F84" i="9"/>
  <c r="G84" i="9" s="1"/>
  <c r="F83" i="9"/>
  <c r="G83" i="9" s="1"/>
  <c r="E81" i="9"/>
  <c r="D81" i="9"/>
  <c r="C58" i="3"/>
  <c r="C62" i="3" s="1"/>
  <c r="C63" i="3" s="1"/>
  <c r="C64" i="3" s="1"/>
  <c r="C17" i="1" s="1"/>
  <c r="D17" i="1" s="1"/>
  <c r="C53" i="3"/>
  <c r="C54" i="3" s="1"/>
  <c r="C55" i="3" s="1"/>
  <c r="C16" i="1" s="1"/>
  <c r="C10" i="1" l="1"/>
  <c r="C12" i="1" s="1"/>
  <c r="C11" i="1" s="1"/>
  <c r="D16" i="1"/>
  <c r="C21" i="1"/>
  <c r="C94" i="9"/>
  <c r="D93" i="9"/>
  <c r="G7" i="10"/>
  <c r="F7" i="10"/>
  <c r="F12" i="10" s="1"/>
  <c r="G12" i="10" s="1"/>
</calcChain>
</file>

<file path=xl/sharedStrings.xml><?xml version="1.0" encoding="utf-8"?>
<sst xmlns="http://schemas.openxmlformats.org/spreadsheetml/2006/main" count="540" uniqueCount="377">
  <si>
    <t>DISCLAIMER: This is a sample analysis for demonstration purposes only. It does not constitute investment advice.</t>
  </si>
  <si>
    <t>株式会社コア (2359.T)</t>
  </si>
  <si>
    <t>Equity Research Report</t>
  </si>
  <si>
    <t>Company</t>
  </si>
  <si>
    <t>株式会社コア</t>
  </si>
  <si>
    <t>Ticker</t>
  </si>
  <si>
    <t>2359.T (TSE)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</si>
  <si>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</si>
  <si>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</si>
  <si>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</si>
  <si>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</si>
  <si>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</si>
  <si>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</si>
  <si>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</si>
  <si>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</si>
  <si>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</si>
  <si>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</si>
  <si>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</si>
  <si>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</si>
  <si>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</si>
  <si>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</si>
  <si>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</si>
  <si>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</si>
  <si>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Defense Tech: GNSS anti-spoofing tech for JASDF; 4-layer moat (proprietary receiver + QZSS auth + security clearance + space tech track record)</t>
  </si>
  <si>
    <t>2. AX Transformation: Layer 2 (solution) ratio rising 25.9% → 33.3%, structurally improving OPM</t>
  </si>
  <si>
    <t>3. Earnings Surprise: Base case EPS &gt;¥200 vs consensus ~¥174; Q3 OP progress rate 82.5% implies ~¥4,050M OP</t>
  </si>
  <si>
    <t>Key Risks</t>
  </si>
  <si>
    <t>1. Defense contracts still in R&amp;D/validation phase — mass production orders unconfirmed</t>
  </si>
  <si>
    <t>2. Key person risk in specialized GNSS/space technology division</t>
  </si>
  <si>
    <t>3. Revenue concentration in Japanese domestic IT services market</t>
  </si>
  <si>
    <t>株式会社コア - Historical Financials (JPY mn)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</si>
  <si>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</si>
  <si>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</si>
  <si>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</si>
  <si>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</si>
  <si>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</si>
  <si>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</si>
  <si>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</si>
  <si>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</si>
  <si>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</si>
  <si>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</si>
  <si>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</si>
  <si>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</si>
  <si>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</si>
  <si>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</si>
  <si>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</si>
  <si>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</si>
  <si>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</si>
  <si>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</si>
  <si>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</si>
  <si>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</si>
  <si>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</si>
  <si>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</si>
  <si>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</si>
  <si>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</si>
  <si>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</si>
  <si>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</si>
  <si>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</si>
  <si>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</si>
  <si>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r>
      <rPr>
        <b/>
        <sz val="14"/>
        <rFont val="Arial"/>
        <family val="2"/>
      </rPr>
      <t xml:space="preserve">DCF Valuation Model - </t>
    </r>
    <r>
      <rPr>
        <b/>
        <sz val="14"/>
        <rFont val="Noto Sans CJK SC"/>
        <family val="2"/>
      </rPr>
      <t>株式会社コア</t>
    </r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</si>
  <si>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</si>
  <si>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</si>
  <si>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</si>
  <si>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</si>
  <si>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</si>
  <si>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</si>
  <si>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</si>
  <si>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</si>
  <si>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</si>
  <si>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</si>
  <si>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</si>
  <si>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</si>
  <si>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</si>
  <si>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</si>
  <si>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</si>
  <si>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</si>
  <si>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</si>
  <si>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</si>
  <si>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</si>
  <si>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</si>
  <si>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</si>
  <si>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</si>
  <si>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</si>
  <si>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</si>
  <si>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</si>
  <si>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</si>
  <si>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</si>
  <si>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</si>
  <si>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</si>
  <si>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</si>
  <si>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</si>
  <si>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</si>
  <si>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</si>
  <si>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</si>
  <si>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</si>
  <si>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</si>
  <si>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</si>
  <si>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</si>
  <si>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</si>
  <si>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</si>
  <si>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</si>
  <si>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</si>
  <si>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</si>
  <si>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</si>
  <si>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</si>
  <si>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</si>
  <si>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</si>
  <si>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</si>
  <si>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</si>
  <si>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</si>
  <si>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</si>
  <si>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</si>
  <si>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</si>
  <si>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</si>
  <si>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r>
      <rPr>
        <b/>
        <sz val="14"/>
        <rFont val="Arial"/>
        <family val="2"/>
      </rPr>
      <t xml:space="preserve">NWC Schedule - </t>
    </r>
    <r>
      <rPr>
        <b/>
        <sz val="14"/>
        <rFont val="Noto Sans CJK SC"/>
        <family val="2"/>
      </rPr>
      <t>株式会社コア</t>
    </r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</si>
  <si>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</si>
  <si>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</si>
  <si>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</si>
  <si>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</si>
  <si>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</si>
  <si>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</si>
  <si>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</si>
  <si>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</si>
  <si>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</si>
  <si>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</si>
  <si>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</si>
  <si>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</si>
  <si>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</si>
  <si>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</si>
  <si>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</si>
  <si>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</si>
  <si>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Upside</t>
  </si>
  <si>
    <t>Management</t>
  </si>
  <si>
    <t>Downside 1</t>
  </si>
  <si>
    <t>Downside 2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</si>
  <si>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</si>
  <si>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</si>
  <si>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</si>
  <si>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</si>
  <si>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</si>
  <si>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</si>
  <si>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</si>
  <si>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</si>
  <si>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</si>
  <si>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</si>
  <si>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</si>
  <si>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</si>
  <si>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</si>
  <si>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</si>
  <si>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</si>
  <si>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</si>
  <si>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</si>
  <si>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</si>
  <si>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</si>
  <si>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</si>
  <si>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</si>
  <si>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Cresco</t>
  </si>
  <si>
    <t>4674.T</t>
  </si>
  <si>
    <t>DTS</t>
  </si>
  <si>
    <t>9682.T</t>
  </si>
  <si>
    <t>Statistics</t>
  </si>
  <si>
    <t>25th Percentile</t>
  </si>
  <si>
    <t>Median (50th)</t>
  </si>
  <si>
    <t>75th Percentile</t>
  </si>
  <si>
    <r>
      <rPr>
        <b/>
        <sz val="11"/>
        <rFont val="Arial"/>
        <family val="2"/>
      </rPr>
      <t xml:space="preserve">Implied Valuation for </t>
    </r>
    <r>
      <rPr>
        <b/>
        <sz val="11"/>
        <rFont val="Noto Sans CJK SC"/>
        <family val="2"/>
      </rPr>
      <t>株式会社コア</t>
    </r>
  </si>
  <si>
    <t>株式会社コア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</si>
  <si>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</si>
  <si>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</si>
  <si>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</si>
  <si>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</si>
  <si>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</si>
  <si>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</si>
  <si>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</si>
  <si>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</si>
  <si>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</si>
  <si>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</si>
  <si>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</si>
  <si>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</si>
  <si>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</si>
  <si>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</si>
  <si>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</si>
  <si>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r>
      <rPr>
        <b/>
        <sz val="14"/>
        <rFont val="Arial"/>
        <family val="2"/>
      </rPr>
      <t xml:space="preserve">Segment Analysis - </t>
    </r>
    <r>
      <rPr>
        <b/>
        <sz val="14"/>
        <rFont val="Noto Sans CJK SC"/>
        <family val="2"/>
      </rPr>
      <t>株式会社コア</t>
    </r>
  </si>
  <si>
    <t>FY2026</t>
  </si>
  <si>
    <r>
      <rPr>
        <b/>
        <sz val="11"/>
        <rFont val="Arial"/>
        <family val="2"/>
      </rPr>
      <t>Future Society Solutions (</t>
    </r>
    <r>
      <rPr>
        <b/>
        <sz val="11"/>
        <rFont val="Noto Sans CJK SC"/>
        <family val="2"/>
      </rPr>
      <t>未来社会ソリューション</t>
    </r>
    <r>
      <rPr>
        <b/>
        <sz val="11"/>
        <rFont val="Arial"/>
        <family val="2"/>
      </rPr>
      <t>)</t>
    </r>
  </si>
  <si>
    <t>—</t>
  </si>
  <si>
    <t>Operating Profit</t>
  </si>
  <si>
    <t>OP Margin</t>
  </si>
  <si>
    <r>
      <rPr>
        <b/>
        <sz val="11"/>
        <rFont val="Arial"/>
        <family val="2"/>
      </rPr>
      <t>Industrial Technology Solutions (</t>
    </r>
    <r>
      <rPr>
        <b/>
        <sz val="11"/>
        <rFont val="Noto Sans CJK SC"/>
        <family val="2"/>
      </rPr>
      <t>産業技術ソリューション</t>
    </r>
    <r>
      <rPr>
        <b/>
        <sz val="11"/>
        <rFont val="Arial"/>
        <family val="2"/>
      </rPr>
      <t>)</t>
    </r>
  </si>
  <si>
    <r>
      <rPr>
        <b/>
        <sz val="11"/>
        <rFont val="Arial"/>
        <family val="2"/>
      </rPr>
      <t>Customer Business Integration (</t>
    </r>
    <r>
      <rPr>
        <b/>
        <sz val="11"/>
        <rFont val="Noto Sans CJK SC"/>
        <family val="2"/>
      </rPr>
      <t>顧客業務インテグレーション</t>
    </r>
    <r>
      <rPr>
        <b/>
        <sz val="11"/>
        <rFont val="Arial"/>
        <family val="2"/>
      </rPr>
      <t>)</t>
    </r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</si>
  <si>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</si>
  <si>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</si>
  <si>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</si>
  <si>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</si>
  <si>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</si>
  <si>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</si>
  <si>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</si>
  <si>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</si>
  <si>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</si>
  <si>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Future Society Solutions - Revenue Growth (YoY)</t>
  </si>
  <si>
    <t>Future Society Solutions - OP Margin</t>
  </si>
  <si>
    <t>Industrial Technology Solutions - Revenue Growth (YoY)</t>
  </si>
  <si>
    <t>Industrial Technology Solutions - OP Margin</t>
  </si>
  <si>
    <t>Customer Business Integration - Revenue Growth (YoY)</t>
  </si>
  <si>
    <t>Customer Business Integration - OP Margin</t>
  </si>
  <si>
    <r>
      <rPr>
        <b/>
        <sz val="11"/>
        <rFont val="Arial"/>
        <family val="2"/>
      </rPr>
      <t>Consolidated Inputs (</t>
    </r>
    <r>
      <rPr>
        <b/>
        <sz val="11"/>
        <rFont val="Noto Sans CJK SC"/>
        <family val="2"/>
      </rPr>
      <t>連結レベル</t>
    </r>
    <r>
      <rPr>
        <b/>
        <sz val="11"/>
        <rFont val="Arial"/>
        <family val="2"/>
      </rPr>
      <t>)</t>
    </r>
  </si>
  <si>
    <r>
      <rPr>
        <b/>
        <sz val="14"/>
        <rFont val="Arial"/>
        <family val="2"/>
      </rPr>
      <t xml:space="preserve">Driver Analysis - </t>
    </r>
    <r>
      <rPr>
        <b/>
        <sz val="14"/>
        <rFont val="Noto Sans CJK SC"/>
        <family val="2"/>
      </rPr>
      <t>株式会社コア</t>
    </r>
  </si>
  <si>
    <r>
      <rPr>
        <b/>
        <sz val="11"/>
        <rFont val="Arial"/>
        <family val="2"/>
      </rPr>
      <t>Future Society Solutions (</t>
    </r>
    <r>
      <rPr>
        <b/>
        <sz val="11"/>
        <rFont val="Noto Sans CJK SC"/>
        <family val="2"/>
      </rPr>
      <t>未来社会ソリューション</t>
    </r>
    <r>
      <rPr>
        <b/>
        <sz val="11"/>
        <rFont val="Arial"/>
        <family val="2"/>
      </rPr>
      <t>) [manual]</t>
    </r>
  </si>
  <si>
    <t>Revenue (Direct Input)</t>
  </si>
  <si>
    <t>YoY Growth</t>
  </si>
  <si>
    <r>
      <rPr>
        <b/>
        <sz val="11"/>
        <rFont val="Arial"/>
        <family val="2"/>
      </rPr>
      <t>Industrial Technology Solutions (</t>
    </r>
    <r>
      <rPr>
        <b/>
        <sz val="11"/>
        <rFont val="Noto Sans CJK SC"/>
        <family val="2"/>
      </rPr>
      <t>産業技術ソリューション</t>
    </r>
    <r>
      <rPr>
        <b/>
        <sz val="11"/>
        <rFont val="Arial"/>
        <family val="2"/>
      </rPr>
      <t>) [manmonth]</t>
    </r>
  </si>
  <si>
    <t>Headcount</t>
  </si>
  <si>
    <t>× Utilization</t>
  </si>
  <si>
    <t>× Unit Price (JPY mn/month)</t>
  </si>
  <si>
    <t>Layer 1 Revenue</t>
  </si>
  <si>
    <t>+ Layer 2 (Solution) Revenue</t>
  </si>
  <si>
    <t>Segment Revenue</t>
  </si>
  <si>
    <t>Layer 2 Mix %</t>
  </si>
  <si>
    <r>
      <rPr>
        <b/>
        <sz val="11"/>
        <rFont val="Arial"/>
        <family val="2"/>
      </rPr>
      <t>Customer Business Integration (</t>
    </r>
    <r>
      <rPr>
        <b/>
        <sz val="11"/>
        <rFont val="Noto Sans CJK SC"/>
        <family val="2"/>
      </rPr>
      <t>顧客業務インテグレーション</t>
    </r>
    <r>
      <rPr>
        <b/>
        <sz val="11"/>
        <rFont val="Arial"/>
        <family val="2"/>
      </rPr>
      <t>) [manual]</t>
    </r>
  </si>
  <si>
    <r>
      <rPr>
        <b/>
        <sz val="14"/>
        <color rgb="FFFFFFFF"/>
        <rFont val="Calibri"/>
        <family val="2"/>
      </rPr>
      <t xml:space="preserve">IMPLIED GROWTH ANALYSIS - </t>
    </r>
    <r>
      <rPr>
        <b/>
        <sz val="14"/>
        <color rgb="FFFFFFFF"/>
        <rFont val="Noto Sans CJK SC"/>
        <family val="2"/>
      </rPr>
      <t xml:space="preserve">株式会社コア </t>
    </r>
    <r>
      <rPr>
        <b/>
        <sz val="14"/>
        <color rgb="FFFFFFFF"/>
        <rFont val="Calibri"/>
        <family val="2"/>
      </rPr>
      <t>(2359)</t>
    </r>
  </si>
  <si>
    <t>市場が織り込んでいる成長率を逆算し、自分の予想とのギャップを定量化</t>
  </si>
  <si>
    <t>【BLOCK 1】Market Inputs</t>
  </si>
  <si>
    <t>価格ポイント</t>
  </si>
  <si>
    <t>株価 (JPY)</t>
  </si>
  <si>
    <t>Equity Value (JPY mn)</t>
  </si>
  <si>
    <t>Enterprise Value (JPY mn)</t>
  </si>
  <si>
    <t>Required PV(FCF+TV) (JPY mn)</t>
  </si>
  <si>
    <t>想定タイミング</t>
  </si>
  <si>
    <r>
      <rPr>
        <sz val="11"/>
        <color theme="1"/>
        <rFont val="ＭＳ Ｐゴシック"/>
        <family val="2"/>
        <charset val="1"/>
      </rPr>
      <t>Pre-Earnings Peak (3</t>
    </r>
    <r>
      <rPr>
        <sz val="11"/>
        <color theme="1"/>
        <rFont val="Noto Sans CJK SC"/>
        <family val="2"/>
      </rPr>
      <t>月高値</t>
    </r>
    <r>
      <rPr>
        <sz val="11"/>
        <color theme="1"/>
        <rFont val="ＭＳ Ｐゴシック"/>
        <family val="2"/>
        <charset val="1"/>
      </rPr>
      <t>)</t>
    </r>
  </si>
  <si>
    <t>決算前ピーク - 期待最大</t>
  </si>
  <si>
    <r>
      <rPr>
        <sz val="11"/>
        <color theme="1"/>
        <rFont val="ＭＳ Ｐゴシック"/>
        <family val="2"/>
        <charset val="1"/>
      </rPr>
      <t>Current Price (</t>
    </r>
    <r>
      <rPr>
        <sz val="11"/>
        <color theme="1"/>
        <rFont val="Noto Sans CJK SC"/>
        <family val="2"/>
      </rPr>
      <t>現在</t>
    </r>
    <r>
      <rPr>
        <sz val="11"/>
        <color theme="1"/>
        <rFont val="ＭＳ Ｐゴシック"/>
        <family val="2"/>
        <charset val="1"/>
      </rPr>
      <t>)</t>
    </r>
  </si>
  <si>
    <t>決算後 - 失望売り後</t>
  </si>
  <si>
    <t>Post-Earnings Trough</t>
  </si>
  <si>
    <r>
      <rPr>
        <i/>
        <sz val="9"/>
        <color rgb="FF595959"/>
        <rFont val="Cambria"/>
        <family val="1"/>
      </rPr>
      <t>1</t>
    </r>
    <r>
      <rPr>
        <i/>
        <sz val="9"/>
        <color rgb="FF595959"/>
        <rFont val="Noto Sans CJK SC"/>
        <family val="2"/>
      </rPr>
      <t xml:space="preserve">月安値 </t>
    </r>
    <r>
      <rPr>
        <i/>
        <sz val="9"/>
        <color rgb="FF595959"/>
        <rFont val="Cambria"/>
        <family val="1"/>
      </rPr>
      <t xml:space="preserve">- </t>
    </r>
    <r>
      <rPr>
        <i/>
        <sz val="9"/>
        <color rgb="FF595959"/>
        <rFont val="Noto Sans CJK SC"/>
        <family val="2"/>
      </rPr>
      <t>サポートライン</t>
    </r>
  </si>
  <si>
    <r>
      <rPr>
        <sz val="11"/>
        <color theme="1"/>
        <rFont val="ＭＳ Ｐゴシック"/>
        <family val="2"/>
        <charset val="1"/>
      </rPr>
      <t>Entry Price (</t>
    </r>
    <r>
      <rPr>
        <sz val="11"/>
        <color theme="1"/>
        <rFont val="Noto Sans CJK SC"/>
        <family val="2"/>
      </rPr>
      <t>取得価格</t>
    </r>
    <r>
      <rPr>
        <sz val="11"/>
        <color theme="1"/>
        <rFont val="ＭＳ Ｐゴシック"/>
        <family val="2"/>
        <charset val="1"/>
      </rPr>
      <t>)</t>
    </r>
  </si>
  <si>
    <t>あなたの取得価格</t>
  </si>
  <si>
    <t>DCF Base Target</t>
  </si>
  <si>
    <t>モデルBase評価額</t>
  </si>
  <si>
    <t>【BLOCK 2】Reverse DCF - 成長プロファイル乗数α探索</t>
  </si>
  <si>
    <t>理論: Baseシナリオの成長カーブ × α でスケール。α=1.0でBase完全一致、α=0.0でゼロ成長想定</t>
  </si>
  <si>
    <t>α (Growth Multiplier)</t>
  </si>
  <si>
    <t>計算項目 \ α</t>
  </si>
  <si>
    <t>FY2027E Revenue Growth (α-scaled)</t>
  </si>
  <si>
    <t>FY2028E Revenue Growth (α-scaled)</t>
  </si>
  <si>
    <t>FY2029E Revenue Growth (α-scaled)</t>
  </si>
  <si>
    <t>FY2030E Revenue Growth (α-scaled)</t>
  </si>
  <si>
    <t>FY2031E Revenue Growth (α-scaled)</t>
  </si>
  <si>
    <t>FY2027E Revenue</t>
  </si>
  <si>
    <t>FY2028E Revenue</t>
  </si>
  <si>
    <t>FY2029E Revenue</t>
  </si>
  <si>
    <t>FY2030E Revenue</t>
  </si>
  <si>
    <t>FY2031E Revenue</t>
  </si>
  <si>
    <t>FY2027E EBIT (Base OPM)</t>
  </si>
  <si>
    <t>FY2028E EBIT (Base OPM)</t>
  </si>
  <si>
    <t>FY2029E EBIT (Base OPM)</t>
  </si>
  <si>
    <t>FY2030E EBIT (Base OPM)</t>
  </si>
  <si>
    <t>FY2031E EBIT (Base OPM)</t>
  </si>
  <si>
    <t>FY2027E FCF</t>
  </si>
  <si>
    <t>FY2028E FCF</t>
  </si>
  <si>
    <t>FY2029E FCF</t>
  </si>
  <si>
    <t>FY2030E FCF</t>
  </si>
  <si>
    <t>FY2031E FCF</t>
  </si>
  <si>
    <t>PV of Explicit FCFs (Sum)</t>
  </si>
  <si>
    <t>Implied Share Price (JPY)</t>
  </si>
  <si>
    <t>【参考】Base全社売上 (補助計算)</t>
  </si>
  <si>
    <t>FY2026A Total Revenue</t>
  </si>
  <si>
    <t>FY2027E Total Revenue (Base, α=1)</t>
  </si>
  <si>
    <t>FY2027E Base Growth (α=1)</t>
  </si>
  <si>
    <r>
      <rPr>
        <i/>
        <sz val="8"/>
        <color rgb="FF808080"/>
        <rFont val="Cambria"/>
        <family val="1"/>
      </rPr>
      <t>Base</t>
    </r>
    <r>
      <rPr>
        <i/>
        <sz val="8"/>
        <color rgb="FF808080"/>
        <rFont val="Noto Sans CJK SC"/>
        <family val="2"/>
      </rPr>
      <t xml:space="preserve">全社成長率 各年度 </t>
    </r>
    <r>
      <rPr>
        <i/>
        <sz val="8"/>
        <color rgb="FF808080"/>
        <rFont val="Cambria"/>
        <family val="1"/>
      </rPr>
      <t>(</t>
    </r>
    <r>
      <rPr>
        <i/>
        <sz val="8"/>
        <color rgb="FF808080"/>
        <rFont val="Noto Sans CJK SC"/>
        <family val="2"/>
      </rPr>
      <t>加重平均</t>
    </r>
    <r>
      <rPr>
        <i/>
        <sz val="8"/>
        <color rgb="FF808080"/>
        <rFont val="Cambria"/>
        <family val="1"/>
      </rPr>
      <t>)</t>
    </r>
  </si>
  <si>
    <t>FY2027</t>
  </si>
  <si>
    <t>未来社会 Base Rev</t>
  </si>
  <si>
    <t>産業技術 Base Rev</t>
  </si>
  <si>
    <t>顧客業務 Base Rev</t>
  </si>
  <si>
    <t>全社合計 Base Rev</t>
  </si>
  <si>
    <t>全社 Base 成長率</t>
  </si>
  <si>
    <t>全社 Base OPM (加重平均)</t>
  </si>
  <si>
    <r>
      <rPr>
        <sz val="11"/>
        <color theme="1"/>
        <rFont val="ＭＳ Ｐゴシック"/>
        <family val="2"/>
        <charset val="1"/>
      </rPr>
      <t>FY2026A Total OP (</t>
    </r>
    <r>
      <rPr>
        <sz val="11"/>
        <color theme="1"/>
        <rFont val="Noto Sans CJK SC"/>
        <family val="2"/>
      </rPr>
      <t>補助</t>
    </r>
    <r>
      <rPr>
        <sz val="11"/>
        <color theme="1"/>
        <rFont val="ＭＳ Ｐゴシック"/>
        <family val="2"/>
        <charset val="1"/>
      </rPr>
      <t>)</t>
    </r>
  </si>
  <si>
    <r>
      <rPr>
        <sz val="11"/>
        <color theme="1"/>
        <rFont val="ＭＳ Ｐゴシック"/>
        <family val="2"/>
        <charset val="1"/>
      </rPr>
      <t>FY2026A OPM (</t>
    </r>
    <r>
      <rPr>
        <sz val="11"/>
        <color theme="1"/>
        <rFont val="Noto Sans CJK SC"/>
        <family val="2"/>
      </rPr>
      <t>補助</t>
    </r>
    <r>
      <rPr>
        <sz val="11"/>
        <color theme="1"/>
        <rFont val="ＭＳ Ｐゴシック"/>
        <family val="2"/>
        <charset val="1"/>
      </rPr>
      <t>)</t>
    </r>
  </si>
  <si>
    <r>
      <rPr>
        <sz val="11"/>
        <color theme="1"/>
        <rFont val="ＭＳ Ｐゴシック"/>
        <family val="2"/>
        <charset val="1"/>
      </rPr>
      <t xml:space="preserve">Base D&amp;A </t>
    </r>
    <r>
      <rPr>
        <sz val="11"/>
        <color theme="1"/>
        <rFont val="Noto Sans CJK SC"/>
        <family val="2"/>
      </rPr>
      <t xml:space="preserve">各年度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補助</t>
    </r>
    <r>
      <rPr>
        <sz val="11"/>
        <color theme="1"/>
        <rFont val="ＭＳ Ｐゴシック"/>
        <family val="2"/>
        <charset val="1"/>
      </rPr>
      <t>)</t>
    </r>
  </si>
  <si>
    <r>
      <rPr>
        <sz val="11"/>
        <color theme="1"/>
        <rFont val="ＭＳ Ｐゴシック"/>
        <family val="2"/>
        <charset val="1"/>
      </rPr>
      <t xml:space="preserve">Base Capex </t>
    </r>
    <r>
      <rPr>
        <sz val="11"/>
        <color theme="1"/>
        <rFont val="Noto Sans CJK SC"/>
        <family val="2"/>
      </rPr>
      <t xml:space="preserve">各年度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補助</t>
    </r>
    <r>
      <rPr>
        <sz val="11"/>
        <color theme="1"/>
        <rFont val="ＭＳ Ｐゴシック"/>
        <family val="2"/>
        <charset val="1"/>
      </rPr>
      <t>)</t>
    </r>
  </si>
  <si>
    <r>
      <rPr>
        <sz val="11"/>
        <color theme="1"/>
        <rFont val="ＭＳ Ｐゴシック"/>
        <family val="2"/>
        <charset val="1"/>
      </rPr>
      <t xml:space="preserve">Base ΔNWC </t>
    </r>
    <r>
      <rPr>
        <sz val="11"/>
        <color theme="1"/>
        <rFont val="Noto Sans CJK SC"/>
        <family val="2"/>
      </rPr>
      <t xml:space="preserve">各年度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補助、固定</t>
    </r>
    <r>
      <rPr>
        <sz val="11"/>
        <color theme="1"/>
        <rFont val="ＭＳ Ｐゴシック"/>
        <family val="2"/>
        <charset val="1"/>
      </rPr>
      <t>)</t>
    </r>
  </si>
  <si>
    <t>【BLOCK 3】価格ポイント別のインプライドα</t>
  </si>
  <si>
    <t>各価格ポイントが示唆するα(Base成長率乗数)を線形補間で算出</t>
  </si>
  <si>
    <t>Implied α</t>
  </si>
  <si>
    <t>解釈</t>
  </si>
  <si>
    <t>市場の見方</t>
  </si>
  <si>
    <t>Pre-Earnings Peak</t>
  </si>
  <si>
    <t>Entry Price</t>
  </si>
  <si>
    <t>【BLOCK 4】Comparison Matrix - 市場 vs 自分の見方</t>
  </si>
  <si>
    <t>現在株価のインプライドαと、各シナリオが含意するα(Baseに対する相対倍率)を比較</t>
  </si>
  <si>
    <t>比較項目</t>
  </si>
  <si>
    <t>5Y CAGR (Rev)</t>
  </si>
  <si>
    <t>Avg OPM</t>
  </si>
  <si>
    <t>Gap vs Market</t>
  </si>
  <si>
    <t>Verdict</t>
  </si>
  <si>
    <t>市場 (Current ¥2,011)</t>
  </si>
  <si>
    <t>-</t>
  </si>
  <si>
    <t>Reference</t>
  </si>
  <si>
    <t>【BLOCK 5】Final Verdict &amp; Action</t>
  </si>
  <si>
    <r>
      <rPr>
        <b/>
        <sz val="10"/>
        <rFont val="Calibri"/>
        <family val="2"/>
      </rPr>
      <t>Market View (</t>
    </r>
    <r>
      <rPr>
        <b/>
        <sz val="10"/>
        <rFont val="Noto Sans CJK SC"/>
        <family val="2"/>
      </rPr>
      <t>現在株価</t>
    </r>
    <r>
      <rPr>
        <b/>
        <sz val="10"/>
        <rFont val="Calibri"/>
        <family val="2"/>
      </rPr>
      <t>):</t>
    </r>
  </si>
  <si>
    <r>
      <rPr>
        <b/>
        <sz val="10"/>
        <rFont val="Calibri"/>
        <family val="2"/>
      </rPr>
      <t>My View (Base</t>
    </r>
    <r>
      <rPr>
        <b/>
        <sz val="10"/>
        <rFont val="Noto Sans CJK SC"/>
        <family val="2"/>
      </rPr>
      <t>シナリオ</t>
    </r>
    <r>
      <rPr>
        <b/>
        <sz val="10"/>
        <rFont val="Calibri"/>
        <family val="2"/>
      </rPr>
      <t>):</t>
    </r>
  </si>
  <si>
    <t>基準値 (DCF Base想定)</t>
  </si>
  <si>
    <t>Gap (My View - Market):</t>
  </si>
  <si>
    <t>Action Recommendation:</t>
  </si>
  <si>
    <t>【使い方】</t>
  </si>
  <si>
    <r>
      <rPr>
        <sz val="9"/>
        <color rgb="FF595959"/>
        <rFont val="Cambria"/>
        <family val="1"/>
      </rPr>
      <t>• C92 (My View)</t>
    </r>
    <r>
      <rPr>
        <sz val="9"/>
        <color rgb="FF595959"/>
        <rFont val="Noto Sans CJK SC"/>
        <family val="2"/>
      </rPr>
      <t>を変更すると、現在の市場認識との差分が即座に再計算されます</t>
    </r>
  </si>
  <si>
    <r>
      <rPr>
        <sz val="9"/>
        <color rgb="FF595959"/>
        <rFont val="Cambria"/>
        <family val="1"/>
      </rPr>
      <t xml:space="preserve">• BLOCK 1 </t>
    </r>
    <r>
      <rPr>
        <sz val="9"/>
        <color rgb="FF595959"/>
        <rFont val="Noto Sans CJK SC"/>
        <family val="2"/>
      </rPr>
      <t xml:space="preserve">の </t>
    </r>
    <r>
      <rPr>
        <sz val="9"/>
        <color rgb="FF595959"/>
        <rFont val="Cambria"/>
        <family val="1"/>
      </rPr>
      <t>C7-C11 (</t>
    </r>
    <r>
      <rPr>
        <sz val="9"/>
        <color rgb="FF595959"/>
        <rFont val="Noto Sans CJK SC"/>
        <family val="2"/>
      </rPr>
      <t>株価</t>
    </r>
    <r>
      <rPr>
        <sz val="9"/>
        <color rgb="FF595959"/>
        <rFont val="Cambria"/>
        <family val="1"/>
      </rPr>
      <t xml:space="preserve">) </t>
    </r>
    <r>
      <rPr>
        <sz val="9"/>
        <color rgb="FF595959"/>
        <rFont val="Noto Sans CJK SC"/>
        <family val="2"/>
      </rPr>
      <t>を編集すると、各価格ポイントの</t>
    </r>
    <r>
      <rPr>
        <sz val="9"/>
        <color rgb="FF595959"/>
        <rFont val="Cambria"/>
        <family val="1"/>
      </rPr>
      <t>α</t>
    </r>
    <r>
      <rPr>
        <sz val="9"/>
        <color rgb="FF595959"/>
        <rFont val="Noto Sans CJK SC"/>
        <family val="2"/>
      </rPr>
      <t>逆算が更新されます</t>
    </r>
  </si>
  <si>
    <t>• 線形補間のため、テーブル範囲外(α&lt;-0.5 または α&gt;1.5)の株価は精度が落ちます</t>
  </si>
  <si>
    <r>
      <rPr>
        <sz val="9"/>
        <color rgb="FF595959"/>
        <rFont val="Cambria"/>
        <family val="1"/>
      </rPr>
      <t>• OPM</t>
    </r>
    <r>
      <rPr>
        <sz val="9"/>
        <color rgb="FF595959"/>
        <rFont val="Noto Sans CJK SC"/>
        <family val="2"/>
      </rPr>
      <t>も</t>
    </r>
    <r>
      <rPr>
        <sz val="9"/>
        <color rgb="FF595959"/>
        <rFont val="Cambria"/>
        <family val="1"/>
      </rPr>
      <t>α</t>
    </r>
    <r>
      <rPr>
        <sz val="9"/>
        <color rgb="FF595959"/>
        <rFont val="Noto Sans CJK SC"/>
        <family val="2"/>
      </rPr>
      <t>で連動。</t>
    </r>
    <r>
      <rPr>
        <sz val="9"/>
        <color rgb="FF595959"/>
        <rFont val="Cambria"/>
        <family val="1"/>
      </rPr>
      <t>α&lt;0</t>
    </r>
    <r>
      <rPr>
        <sz val="9"/>
        <color rgb="FF595959"/>
        <rFont val="Noto Sans CJK SC"/>
        <family val="2"/>
      </rPr>
      <t>は売上成長低下</t>
    </r>
    <r>
      <rPr>
        <sz val="9"/>
        <color rgb="FF595959"/>
        <rFont val="Cambria"/>
        <family val="1"/>
      </rPr>
      <t>+</t>
    </r>
    <r>
      <rPr>
        <sz val="9"/>
        <color rgb="FF595959"/>
        <rFont val="Noto Sans CJK SC"/>
        <family val="2"/>
      </rPr>
      <t>利益率低下の同時織込みを意味</t>
    </r>
  </si>
  <si>
    <t>• 既存DCFモデルのD&amp;A、Capex、ΔNWCはBaseシナリオの値を流用 (簡略化)</t>
  </si>
  <si>
    <r>
      <rPr>
        <b/>
        <sz val="14"/>
        <color rgb="FFFFFFFF"/>
        <rFont val="Calibri"/>
        <family val="2"/>
      </rPr>
      <t xml:space="preserve">MARKET SCORECARD - </t>
    </r>
    <r>
      <rPr>
        <b/>
        <sz val="14"/>
        <color rgb="FFFFFFFF"/>
        <rFont val="Noto Sans CJK SC"/>
        <family val="2"/>
      </rPr>
      <t xml:space="preserve">株式会社コア </t>
    </r>
    <r>
      <rPr>
        <b/>
        <sz val="14"/>
        <color rgb="FFFFFFFF"/>
        <rFont val="Calibri"/>
        <family val="2"/>
      </rPr>
      <t>(2359)</t>
    </r>
  </si>
  <si>
    <r>
      <rPr>
        <i/>
        <sz val="9"/>
        <color rgb="FF595959"/>
        <rFont val="Cambria"/>
        <family val="1"/>
      </rPr>
      <t>4</t>
    </r>
    <r>
      <rPr>
        <i/>
        <sz val="9"/>
        <color rgb="FF595959"/>
        <rFont val="Noto Sans CJK SC"/>
        <family val="2"/>
      </rPr>
      <t>要素・</t>
    </r>
    <r>
      <rPr>
        <i/>
        <sz val="9"/>
        <color rgb="FF595959"/>
        <rFont val="Cambria"/>
        <family val="1"/>
      </rPr>
      <t>5</t>
    </r>
    <r>
      <rPr>
        <i/>
        <sz val="9"/>
        <color rgb="FF595959"/>
        <rFont val="Noto Sans CJK SC"/>
        <family val="2"/>
      </rPr>
      <t>段階・重み付き総合スコアで市場と業績の整合性を判定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</si>
  <si>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Calibri"/>
        <family val="2"/>
      </rPr>
      <t>SCORECARD SUMMARY</t>
    </r>
    <r>
      <rPr>
        <b/>
        <sz val="11"/>
        <color rgb="FFFFFFFF"/>
        <rFont val="Noto Sans CJK SC"/>
        <family val="2"/>
      </rPr>
      <t>】</t>
    </r>
  </si>
  <si>
    <t>要素</t>
  </si>
  <si>
    <t>計測値</t>
  </si>
  <si>
    <t>スコア</t>
  </si>
  <si>
    <t>ウェイト</t>
  </si>
  <si>
    <t>寄与</t>
  </si>
  <si>
    <t>判定</t>
  </si>
  <si>
    <t>① インプライド成長率</t>
  </si>
  <si>
    <r>
      <rPr>
        <b/>
        <sz val="11"/>
        <rFont val="Noto Sans CJK SC"/>
        <family val="2"/>
      </rPr>
      <t xml:space="preserve">② 株価モメンタム </t>
    </r>
    <r>
      <rPr>
        <b/>
        <sz val="11"/>
        <rFont val="Cambria"/>
        <family val="1"/>
      </rPr>
      <t>(3</t>
    </r>
    <r>
      <rPr>
        <b/>
        <sz val="11"/>
        <rFont val="Noto Sans CJK SC"/>
        <family val="2"/>
      </rPr>
      <t>ヶ月</t>
    </r>
    <r>
      <rPr>
        <b/>
        <sz val="11"/>
        <rFont val="Cambria"/>
        <family val="1"/>
      </rPr>
      <t>)</t>
    </r>
  </si>
  <si>
    <t>③ 信用残動向</t>
  </si>
  <si>
    <r>
      <rPr>
        <b/>
        <sz val="11"/>
        <rFont val="Noto Sans CJK SC"/>
        <family val="2"/>
      </rPr>
      <t xml:space="preserve">④ 予想ギャップ </t>
    </r>
    <r>
      <rPr>
        <b/>
        <sz val="11"/>
        <rFont val="Cambria"/>
        <family val="1"/>
      </rPr>
      <t xml:space="preserve">(Mine vs </t>
    </r>
    <r>
      <rPr>
        <b/>
        <sz val="11"/>
        <rFont val="Noto Sans CJK SC"/>
        <family val="2"/>
      </rPr>
      <t>会社</t>
    </r>
    <r>
      <rPr>
        <b/>
        <sz val="11"/>
        <rFont val="Cambria"/>
        <family val="1"/>
      </rPr>
      <t>)</t>
    </r>
  </si>
  <si>
    <t>【総合スコア】</t>
  </si>
  <si>
    <r>
      <rPr>
        <i/>
        <sz val="9"/>
        <color rgb="FF595959"/>
        <rFont val="Noto Sans CJK SC"/>
        <family val="2"/>
      </rPr>
      <t xml:space="preserve">【判定スケール】 </t>
    </r>
    <r>
      <rPr>
        <i/>
        <sz val="9"/>
        <color rgb="FF595959"/>
        <rFont val="Cambria"/>
        <family val="1"/>
      </rPr>
      <t>STRONG BUY (≥+1.0) | BUY (+0.5</t>
    </r>
    <r>
      <rPr>
        <i/>
        <sz val="9"/>
        <color rgb="FF595959"/>
        <rFont val="Noto Sans CJK SC"/>
        <family val="2"/>
      </rPr>
      <t>〜</t>
    </r>
    <r>
      <rPr>
        <i/>
        <sz val="9"/>
        <color rgb="FF595959"/>
        <rFont val="Cambria"/>
        <family val="1"/>
      </rPr>
      <t>+1.0) | HOLD (-0.5</t>
    </r>
    <r>
      <rPr>
        <i/>
        <sz val="9"/>
        <color rgb="FF595959"/>
        <rFont val="Noto Sans CJK SC"/>
        <family val="2"/>
      </rPr>
      <t>〜</t>
    </r>
    <r>
      <rPr>
        <i/>
        <sz val="9"/>
        <color rgb="FF595959"/>
        <rFont val="Cambria"/>
        <family val="1"/>
      </rPr>
      <t>+0.5) | CAUTION (-1.0</t>
    </r>
    <r>
      <rPr>
        <i/>
        <sz val="9"/>
        <color rgb="FF595959"/>
        <rFont val="Noto Sans CJK SC"/>
        <family val="2"/>
      </rPr>
      <t>〜</t>
    </r>
    <r>
      <rPr>
        <i/>
        <sz val="9"/>
        <color rgb="FF595959"/>
        <rFont val="Cambria"/>
        <family val="1"/>
      </rPr>
      <t>-0.5) | AVOID (&lt;-1.0)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</si>
  <si>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Calibri"/>
        <family val="2"/>
      </rPr>
      <t>BLOCK 2</t>
    </r>
    <r>
      <rPr>
        <b/>
        <sz val="11"/>
        <color rgb="FFFFFFFF"/>
        <rFont val="Noto Sans CJK SC"/>
        <family val="2"/>
      </rPr>
      <t>】株価モメンタム入力</t>
    </r>
  </si>
  <si>
    <t>項目</t>
  </si>
  <si>
    <t>値</t>
  </si>
  <si>
    <t>備考</t>
  </si>
  <si>
    <r>
      <rPr>
        <sz val="11"/>
        <color theme="1"/>
        <rFont val="Noto Sans CJK SC"/>
        <family val="2"/>
      </rPr>
      <t xml:space="preserve">現在株価 </t>
    </r>
    <r>
      <rPr>
        <sz val="11"/>
        <color theme="1"/>
        <rFont val="ＭＳ Ｐゴシック"/>
        <family val="2"/>
        <charset val="1"/>
      </rPr>
      <t>(JPY)</t>
    </r>
  </si>
  <si>
    <t>今日の株価</t>
  </si>
  <si>
    <r>
      <rPr>
        <sz val="11"/>
        <color theme="1"/>
        <rFont val="ＭＳ Ｐゴシック"/>
        <family val="2"/>
        <charset val="1"/>
      </rPr>
      <t>3</t>
    </r>
    <r>
      <rPr>
        <sz val="11"/>
        <color theme="1"/>
        <rFont val="Noto Sans CJK SC"/>
        <family val="2"/>
      </rPr>
      <t xml:space="preserve">ヶ月前株価 </t>
    </r>
    <r>
      <rPr>
        <sz val="11"/>
        <color theme="1"/>
        <rFont val="ＭＳ Ｐゴシック"/>
        <family val="2"/>
        <charset val="1"/>
      </rPr>
      <t>(JPY)</t>
    </r>
  </si>
  <si>
    <r>
      <rPr>
        <sz val="11"/>
        <color theme="1"/>
        <rFont val="ＭＳ Ｐゴシック"/>
        <family val="2"/>
        <charset val="1"/>
      </rPr>
      <t>2026</t>
    </r>
    <r>
      <rPr>
        <sz val="11"/>
        <color theme="1"/>
        <rFont val="Noto Sans CJK SC"/>
        <family val="2"/>
      </rPr>
      <t>年</t>
    </r>
    <r>
      <rPr>
        <sz val="11"/>
        <color theme="1"/>
        <rFont val="ＭＳ Ｐゴシック"/>
        <family val="2"/>
        <charset val="1"/>
      </rPr>
      <t>2</t>
    </r>
    <r>
      <rPr>
        <sz val="11"/>
        <color theme="1"/>
        <rFont val="Noto Sans CJK SC"/>
        <family val="2"/>
      </rPr>
      <t>月初頃の株価</t>
    </r>
  </si>
  <si>
    <r>
      <rPr>
        <sz val="11"/>
        <color theme="1"/>
        <rFont val="ＭＳ Ｐゴシック"/>
        <family val="2"/>
        <charset val="1"/>
      </rPr>
      <t>1</t>
    </r>
    <r>
      <rPr>
        <sz val="11"/>
        <color theme="1"/>
        <rFont val="Noto Sans CJK SC"/>
        <family val="2"/>
      </rPr>
      <t xml:space="preserve">ヶ月前株価 </t>
    </r>
    <r>
      <rPr>
        <sz val="11"/>
        <color theme="1"/>
        <rFont val="ＭＳ Ｐゴシック"/>
        <family val="2"/>
        <charset val="1"/>
      </rPr>
      <t>(JPY)</t>
    </r>
  </si>
  <si>
    <r>
      <rPr>
        <sz val="11"/>
        <color theme="1"/>
        <rFont val="ＭＳ Ｐゴシック"/>
        <family val="2"/>
        <charset val="1"/>
      </rPr>
      <t>4</t>
    </r>
    <r>
      <rPr>
        <sz val="11"/>
        <color theme="1"/>
        <rFont val="Noto Sans CJK SC"/>
        <family val="2"/>
      </rPr>
      <t xml:space="preserve">月初頃の株価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参考</t>
    </r>
    <r>
      <rPr>
        <sz val="11"/>
        <color theme="1"/>
        <rFont val="ＭＳ Ｐゴシック"/>
        <family val="2"/>
        <charset val="1"/>
      </rPr>
      <t>)</t>
    </r>
  </si>
  <si>
    <r>
      <rPr>
        <sz val="11"/>
        <color theme="1"/>
        <rFont val="Noto Sans CJK SC"/>
        <family val="2"/>
      </rPr>
      <t xml:space="preserve">直近高値 </t>
    </r>
    <r>
      <rPr>
        <sz val="11"/>
        <color theme="1"/>
        <rFont val="ＭＳ Ｐゴシック"/>
        <family val="2"/>
        <charset val="1"/>
      </rPr>
      <t>(JPY)</t>
    </r>
  </si>
  <si>
    <r>
      <rPr>
        <sz val="11"/>
        <color theme="1"/>
        <rFont val="ＭＳ Ｐゴシック"/>
        <family val="2"/>
        <charset val="1"/>
      </rPr>
      <t>3-4</t>
    </r>
    <r>
      <rPr>
        <sz val="11"/>
        <color theme="1"/>
        <rFont val="Noto Sans CJK SC"/>
        <family val="2"/>
      </rPr>
      <t>月の高値</t>
    </r>
  </si>
  <si>
    <r>
      <rPr>
        <sz val="11"/>
        <color theme="1"/>
        <rFont val="Noto Sans CJK SC"/>
        <family val="2"/>
      </rPr>
      <t xml:space="preserve">直近安値 </t>
    </r>
    <r>
      <rPr>
        <sz val="11"/>
        <color theme="1"/>
        <rFont val="ＭＳ Ｐゴシック"/>
        <family val="2"/>
        <charset val="1"/>
      </rPr>
      <t>(JPY)</t>
    </r>
  </si>
  <si>
    <t>直近安値</t>
  </si>
  <si>
    <r>
      <rPr>
        <b/>
        <sz val="11"/>
        <rFont val="Cambria"/>
        <family val="1"/>
      </rPr>
      <t>3</t>
    </r>
    <r>
      <rPr>
        <b/>
        <sz val="11"/>
        <rFont val="Noto Sans CJK SC"/>
        <family val="2"/>
      </rPr>
      <t>ヶ月変化率</t>
    </r>
  </si>
  <si>
    <r>
      <rPr>
        <sz val="9"/>
        <color rgb="FF808080"/>
        <rFont val="Cambria"/>
        <family val="1"/>
      </rPr>
      <t>1</t>
    </r>
    <r>
      <rPr>
        <sz val="9"/>
        <color rgb="FF808080"/>
        <rFont val="Noto Sans CJK SC"/>
        <family val="2"/>
      </rPr>
      <t xml:space="preserve">ヶ月変化率 </t>
    </r>
    <r>
      <rPr>
        <sz val="9"/>
        <color rgb="FF808080"/>
        <rFont val="Cambria"/>
        <family val="1"/>
      </rPr>
      <t>(</t>
    </r>
    <r>
      <rPr>
        <sz val="9"/>
        <color rgb="FF808080"/>
        <rFont val="Noto Sans CJK SC"/>
        <family val="2"/>
      </rPr>
      <t>参考</t>
    </r>
    <r>
      <rPr>
        <sz val="9"/>
        <color rgb="FF808080"/>
        <rFont val="Cambria"/>
        <family val="1"/>
      </rPr>
      <t>)</t>
    </r>
  </si>
  <si>
    <r>
      <rPr>
        <sz val="9"/>
        <color rgb="FF808080"/>
        <rFont val="Noto Sans CJK SC"/>
        <family val="2"/>
      </rPr>
      <t xml:space="preserve">高値からの下落率 </t>
    </r>
    <r>
      <rPr>
        <sz val="9"/>
        <color rgb="FF808080"/>
        <rFont val="Cambria"/>
        <family val="1"/>
      </rPr>
      <t>(</t>
    </r>
    <r>
      <rPr>
        <sz val="9"/>
        <color rgb="FF808080"/>
        <rFont val="Noto Sans CJK SC"/>
        <family val="2"/>
      </rPr>
      <t>参考</t>
    </r>
    <r>
      <rPr>
        <sz val="9"/>
        <color rgb="FF808080"/>
        <rFont val="Cambria"/>
        <family val="1"/>
      </rPr>
      <t>)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</si>
  <si>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Calibri"/>
        <family val="2"/>
      </rPr>
      <t>BLOCK 3</t>
    </r>
    <r>
      <rPr>
        <b/>
        <sz val="11"/>
        <color rgb="FFFFFFFF"/>
        <rFont val="Noto Sans CJK SC"/>
        <family val="2"/>
      </rPr>
      <t>】信用残動向入力</t>
    </r>
  </si>
  <si>
    <r>
      <rPr>
        <sz val="11"/>
        <color theme="1"/>
        <rFont val="Noto Sans CJK SC"/>
        <family val="2"/>
      </rPr>
      <t xml:space="preserve">信用買残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株</t>
    </r>
    <r>
      <rPr>
        <sz val="11"/>
        <color theme="1"/>
        <rFont val="ＭＳ Ｐゴシック"/>
        <family val="2"/>
        <charset val="1"/>
      </rPr>
      <t>)</t>
    </r>
  </si>
  <si>
    <t>直近開示の買残</t>
  </si>
  <si>
    <r>
      <rPr>
        <sz val="11"/>
        <color theme="1"/>
        <rFont val="Noto Sans CJK SC"/>
        <family val="2"/>
      </rPr>
      <t xml:space="preserve">信用売残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株</t>
    </r>
    <r>
      <rPr>
        <sz val="11"/>
        <color theme="1"/>
        <rFont val="ＭＳ Ｐゴシック"/>
        <family val="2"/>
        <charset val="1"/>
      </rPr>
      <t>)</t>
    </r>
  </si>
  <si>
    <t>直近開示の売残</t>
  </si>
  <si>
    <r>
      <rPr>
        <sz val="11"/>
        <color theme="1"/>
        <rFont val="Noto Sans CJK SC"/>
        <family val="2"/>
      </rPr>
      <t>過去</t>
    </r>
    <r>
      <rPr>
        <sz val="11"/>
        <color theme="1"/>
        <rFont val="ＭＳ Ｐゴシック"/>
        <family val="2"/>
        <charset val="1"/>
      </rPr>
      <t>6</t>
    </r>
    <r>
      <rPr>
        <sz val="11"/>
        <color theme="1"/>
        <rFont val="Noto Sans CJK SC"/>
        <family val="2"/>
      </rPr>
      <t xml:space="preserve">ヶ月の売残ピーク </t>
    </r>
    <r>
      <rPr>
        <sz val="11"/>
        <color theme="1"/>
        <rFont val="ＭＳ Ｐゴシック"/>
        <family val="2"/>
        <charset val="1"/>
      </rPr>
      <t>(</t>
    </r>
    <r>
      <rPr>
        <sz val="11"/>
        <color theme="1"/>
        <rFont val="Noto Sans CJK SC"/>
        <family val="2"/>
      </rPr>
      <t>株</t>
    </r>
    <r>
      <rPr>
        <sz val="11"/>
        <color theme="1"/>
        <rFont val="ＭＳ Ｐゴシック"/>
        <family val="2"/>
        <charset val="1"/>
      </rPr>
      <t>)</t>
    </r>
  </si>
  <si>
    <t>踏み上げ余地の過去最大値</t>
  </si>
  <si>
    <t>信用倍率</t>
  </si>
  <si>
    <r>
      <rPr>
        <sz val="9"/>
        <color rgb="FF808080"/>
        <rFont val="Noto Sans CJK SC"/>
        <family val="2"/>
      </rPr>
      <t xml:space="preserve">売残充実度 </t>
    </r>
    <r>
      <rPr>
        <sz val="9"/>
        <color rgb="FF808080"/>
        <rFont val="Cambria"/>
        <family val="1"/>
      </rPr>
      <t xml:space="preserve">(vs </t>
    </r>
    <r>
      <rPr>
        <sz val="9"/>
        <color rgb="FF808080"/>
        <rFont val="Noto Sans CJK SC"/>
        <family val="2"/>
      </rPr>
      <t>ピーク</t>
    </r>
    <r>
      <rPr>
        <sz val="9"/>
        <color rgb="FF808080"/>
        <rFont val="Cambria"/>
        <family val="1"/>
      </rPr>
      <t>)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</si>
  <si>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Calibri"/>
        <family val="2"/>
      </rPr>
      <t>BLOCK 4</t>
    </r>
    <r>
      <rPr>
        <b/>
        <sz val="11"/>
        <color rgb="FFFFFFFF"/>
        <rFont val="Noto Sans CJK SC"/>
        <family val="2"/>
      </rPr>
      <t xml:space="preserve">】予想ギャップ入力 </t>
    </r>
    <r>
      <rPr>
        <b/>
        <sz val="11"/>
        <color rgb="FFFFFFFF"/>
        <rFont val="Calibri"/>
        <family val="2"/>
      </rPr>
      <t>(</t>
    </r>
    <r>
      <rPr>
        <b/>
        <sz val="11"/>
        <color rgb="FFFFFFFF"/>
        <rFont val="Noto Sans CJK SC"/>
        <family val="2"/>
      </rPr>
      <t xml:space="preserve">会社 </t>
    </r>
    <r>
      <rPr>
        <b/>
        <sz val="11"/>
        <color rgb="FFFFFFFF"/>
        <rFont val="Calibri"/>
        <family val="2"/>
      </rPr>
      <t xml:space="preserve">vs </t>
    </r>
    <r>
      <rPr>
        <b/>
        <sz val="11"/>
        <color rgb="FFFFFFFF"/>
        <rFont val="Noto Sans CJK SC"/>
        <family val="2"/>
      </rPr>
      <t>自分の予想</t>
    </r>
    <r>
      <rPr>
        <b/>
        <sz val="11"/>
        <color rgb="FFFFFFFF"/>
        <rFont val="Calibri"/>
        <family val="2"/>
      </rPr>
      <t>)</t>
    </r>
  </si>
  <si>
    <t>指標</t>
  </si>
  <si>
    <t>会社予想</t>
  </si>
  <si>
    <r>
      <rPr>
        <b/>
        <sz val="10"/>
        <rFont val="Noto Sans CJK SC"/>
        <family val="2"/>
      </rPr>
      <t xml:space="preserve">自分予想 </t>
    </r>
    <r>
      <rPr>
        <b/>
        <sz val="10"/>
        <rFont val="Calibri"/>
        <family val="2"/>
      </rPr>
      <t>(Base)</t>
    </r>
  </si>
  <si>
    <t>ギャップ</t>
  </si>
  <si>
    <r>
      <rPr>
        <b/>
        <sz val="11"/>
        <rFont val="Noto Sans CJK SC"/>
        <family val="2"/>
      </rPr>
      <t xml:space="preserve">営業利益成長率 </t>
    </r>
    <r>
      <rPr>
        <b/>
        <sz val="11"/>
        <rFont val="Cambria"/>
        <family val="1"/>
      </rPr>
      <t>(FY27)</t>
    </r>
  </si>
  <si>
    <r>
      <rPr>
        <b/>
        <sz val="11"/>
        <rFont val="Noto Sans CJK SC"/>
        <family val="2"/>
      </rPr>
      <t xml:space="preserve">売上成長率 </t>
    </r>
    <r>
      <rPr>
        <b/>
        <sz val="11"/>
        <rFont val="Cambria"/>
        <family val="1"/>
      </rPr>
      <t>(FY27)</t>
    </r>
  </si>
  <si>
    <t>【統合判定】</t>
  </si>
  <si>
    <r>
      <rPr>
        <sz val="9"/>
        <rFont val="Noto Sans CJK SC"/>
        <family val="2"/>
      </rPr>
      <t xml:space="preserve">平均ギャップ </t>
    </r>
    <r>
      <rPr>
        <sz val="9"/>
        <rFont val="Cambria"/>
        <family val="1"/>
      </rPr>
      <t>(</t>
    </r>
    <r>
      <rPr>
        <sz val="9"/>
        <rFont val="Noto Sans CJK SC"/>
        <family val="2"/>
      </rPr>
      <t>営業利益</t>
    </r>
    <r>
      <rPr>
        <sz val="9"/>
        <rFont val="Cambria"/>
        <family val="1"/>
      </rPr>
      <t>+</t>
    </r>
    <r>
      <rPr>
        <sz val="9"/>
        <rFont val="Noto Sans CJK SC"/>
        <family val="2"/>
      </rPr>
      <t xml:space="preserve">売上 </t>
    </r>
    <r>
      <rPr>
        <sz val="9"/>
        <rFont val="Cambria"/>
        <family val="1"/>
      </rPr>
      <t>/ 2)</t>
    </r>
  </si>
  <si>
    <r>
      <rPr>
        <b/>
        <sz val="11"/>
        <rFont val="Noto Sans CJK SC"/>
        <family val="2"/>
      </rPr>
      <t xml:space="preserve">統合スコア </t>
    </r>
    <r>
      <rPr>
        <b/>
        <sz val="11"/>
        <rFont val="Cambria"/>
        <family val="1"/>
      </rPr>
      <t>(Block 1 ④</t>
    </r>
    <r>
      <rPr>
        <b/>
        <sz val="11"/>
        <rFont val="Noto Sans CJK SC"/>
        <family val="2"/>
      </rPr>
      <t>へ送信</t>
    </r>
    <r>
      <rPr>
        <b/>
        <sz val="11"/>
        <rFont val="Cambria"/>
        <family val="1"/>
      </rPr>
      <t>)</t>
    </r>
  </si>
  <si>
    <r>
      <rPr>
        <i/>
        <sz val="9"/>
        <color rgb="FF808080"/>
        <rFont val="Noto Sans CJK SC"/>
        <family val="2"/>
      </rPr>
      <t>注</t>
    </r>
    <r>
      <rPr>
        <i/>
        <sz val="9"/>
        <color rgb="FF808080"/>
        <rFont val="Cambria"/>
        <family val="1"/>
      </rPr>
      <t xml:space="preserve">: </t>
    </r>
    <r>
      <rPr>
        <i/>
        <sz val="9"/>
        <color rgb="FF808080"/>
        <rFont val="Noto Sans CJK SC"/>
        <family val="2"/>
      </rPr>
      <t>アナリストコンセンサスがある場合は別途上書き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</si>
  <si>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Calibri"/>
        <family val="2"/>
      </rPr>
      <t>BLOCK 5</t>
    </r>
    <r>
      <rPr>
        <b/>
        <sz val="11"/>
        <color rgb="FFFFFFFF"/>
        <rFont val="Noto Sans CJK SC"/>
        <family val="2"/>
      </rPr>
      <t>】解釈ガイド</t>
    </r>
  </si>
  <si>
    <r>
      <rPr>
        <b/>
        <sz val="9"/>
        <rFont val="Cambria"/>
        <family val="1"/>
      </rPr>
      <t>STRONG BUY (+1.0</t>
    </r>
    <r>
      <rPr>
        <b/>
        <sz val="9"/>
        <rFont val="Noto Sans CJK SC"/>
        <family val="2"/>
      </rPr>
      <t>以上</t>
    </r>
    <r>
      <rPr>
        <b/>
        <sz val="9"/>
        <rFont val="Cambria"/>
        <family val="1"/>
      </rPr>
      <t>)</t>
    </r>
  </si>
  <si>
    <r>
      <rPr>
        <sz val="9"/>
        <rFont val="Cambria"/>
        <family val="1"/>
      </rPr>
      <t>4</t>
    </r>
    <r>
      <rPr>
        <sz val="9"/>
        <rFont val="Noto Sans CJK SC"/>
        <family val="2"/>
      </rPr>
      <t>要素全てがポジティブ。市場が大幅悲観でファンダ良好。積極買い局面</t>
    </r>
  </si>
  <si>
    <r>
      <rPr>
        <b/>
        <sz val="9"/>
        <rFont val="Cambria"/>
        <family val="1"/>
      </rPr>
      <t>BUY (+0.5</t>
    </r>
    <r>
      <rPr>
        <b/>
        <sz val="9"/>
        <rFont val="Noto Sans CJK SC"/>
        <family val="2"/>
      </rPr>
      <t>〜</t>
    </r>
    <r>
      <rPr>
        <b/>
        <sz val="9"/>
        <rFont val="Cambria"/>
        <family val="1"/>
      </rPr>
      <t>+1.0)</t>
    </r>
  </si>
  <si>
    <t>主要要素がポジティブ。買い候補だが、リスク管理は必要</t>
  </si>
  <si>
    <r>
      <rPr>
        <b/>
        <sz val="9"/>
        <rFont val="Cambria"/>
        <family val="1"/>
      </rPr>
      <t>HOLD (-0.5</t>
    </r>
    <r>
      <rPr>
        <b/>
        <sz val="9"/>
        <rFont val="Noto Sans CJK SC"/>
        <family val="2"/>
      </rPr>
      <t>〜</t>
    </r>
    <r>
      <rPr>
        <b/>
        <sz val="9"/>
        <rFont val="Cambria"/>
        <family val="1"/>
      </rPr>
      <t>+0.5)</t>
    </r>
  </si>
  <si>
    <t>要素混在。市場と認識ほぼ一致。様子見または既存ポジション維持</t>
  </si>
  <si>
    <r>
      <rPr>
        <b/>
        <sz val="9"/>
        <rFont val="Cambria"/>
        <family val="1"/>
      </rPr>
      <t>CAUTION (-1.0</t>
    </r>
    <r>
      <rPr>
        <b/>
        <sz val="9"/>
        <rFont val="Noto Sans CJK SC"/>
        <family val="2"/>
      </rPr>
      <t>〜</t>
    </r>
    <r>
      <rPr>
        <b/>
        <sz val="9"/>
        <rFont val="Cambria"/>
        <family val="1"/>
      </rPr>
      <t>-0.5)</t>
    </r>
  </si>
  <si>
    <t>主要要素がネガティブ。利確検討、新規買いは避ける</t>
  </si>
  <si>
    <r>
      <rPr>
        <b/>
        <sz val="9"/>
        <rFont val="Cambria"/>
        <family val="1"/>
      </rPr>
      <t>AVOID (-1.0</t>
    </r>
    <r>
      <rPr>
        <b/>
        <sz val="9"/>
        <rFont val="Noto Sans CJK SC"/>
        <family val="2"/>
      </rPr>
      <t>以下</t>
    </r>
    <r>
      <rPr>
        <b/>
        <sz val="9"/>
        <rFont val="Cambria"/>
        <family val="1"/>
      </rPr>
      <t>)</t>
    </r>
  </si>
  <si>
    <r>
      <rPr>
        <sz val="9"/>
        <rFont val="Cambria"/>
        <family val="1"/>
      </rPr>
      <t>4</t>
    </r>
    <r>
      <rPr>
        <sz val="9"/>
        <rFont val="Noto Sans CJK SC"/>
        <family val="2"/>
      </rPr>
      <t>要素全てがネガティブ。市場過熱でファンダ悪化リスク。売却推奨</t>
    </r>
  </si>
  <si>
    <r>
      <rPr>
        <sz val="9"/>
        <color rgb="FF595959"/>
        <rFont val="Cambria"/>
        <family val="1"/>
      </rPr>
      <t xml:space="preserve">• Block 2-4 </t>
    </r>
    <r>
      <rPr>
        <sz val="9"/>
        <color rgb="FF595959"/>
        <rFont val="Noto Sans CJK SC"/>
        <family val="2"/>
      </rPr>
      <t>の黄色セル</t>
    </r>
    <r>
      <rPr>
        <sz val="9"/>
        <color rgb="FF595959"/>
        <rFont val="Cambria"/>
        <family val="1"/>
      </rPr>
      <t>(</t>
    </r>
    <r>
      <rPr>
        <sz val="9"/>
        <color rgb="FF595959"/>
        <rFont val="Noto Sans CJK SC"/>
        <family val="2"/>
      </rPr>
      <t>入力欄</t>
    </r>
    <r>
      <rPr>
        <sz val="9"/>
        <color rgb="FF595959"/>
        <rFont val="Cambria"/>
        <family val="1"/>
      </rPr>
      <t>)</t>
    </r>
    <r>
      <rPr>
        <sz val="9"/>
        <color rgb="FF595959"/>
        <rFont val="Noto Sans CJK SC"/>
        <family val="2"/>
      </rPr>
      <t>を最新データで更新すると、</t>
    </r>
    <r>
      <rPr>
        <sz val="9"/>
        <color rgb="FF595959"/>
        <rFont val="Cambria"/>
        <family val="1"/>
      </rPr>
      <t xml:space="preserve">Block 1 </t>
    </r>
    <r>
      <rPr>
        <sz val="9"/>
        <color rgb="FF595959"/>
        <rFont val="Noto Sans CJK SC"/>
        <family val="2"/>
      </rPr>
      <t>のスコアが自動更新</t>
    </r>
  </si>
  <si>
    <r>
      <rPr>
        <sz val="9"/>
        <color rgb="FF595959"/>
        <rFont val="Noto Sans CJK SC"/>
        <family val="2"/>
      </rPr>
      <t>• 要素①</t>
    </r>
    <r>
      <rPr>
        <sz val="9"/>
        <color rgb="FF595959"/>
        <rFont val="Cambria"/>
        <family val="1"/>
      </rPr>
      <t>(</t>
    </r>
    <r>
      <rPr>
        <sz val="9"/>
        <color rgb="FF595959"/>
        <rFont val="Noto Sans CJK SC"/>
        <family val="2"/>
      </rPr>
      <t>インプライド成長率</t>
    </r>
    <r>
      <rPr>
        <sz val="9"/>
        <color rgb="FF595959"/>
        <rFont val="Cambria"/>
        <family val="1"/>
      </rPr>
      <t>)</t>
    </r>
    <r>
      <rPr>
        <sz val="9"/>
        <color rgb="FF595959"/>
        <rFont val="Noto Sans CJK SC"/>
        <family val="2"/>
      </rPr>
      <t>は</t>
    </r>
    <r>
      <rPr>
        <sz val="9"/>
        <color rgb="FF595959"/>
        <rFont val="Cambria"/>
        <family val="1"/>
      </rPr>
      <t>Implied Growth Analysis</t>
    </r>
    <r>
      <rPr>
        <sz val="9"/>
        <color rgb="FF595959"/>
        <rFont val="Noto Sans CJK SC"/>
        <family val="2"/>
      </rPr>
      <t>シートと自動連動</t>
    </r>
  </si>
  <si>
    <r>
      <rPr>
        <sz val="9"/>
        <color rgb="FF595959"/>
        <rFont val="Noto Sans CJK SC"/>
        <family val="2"/>
      </rPr>
      <t xml:space="preserve">• 要素④はアナリストコンセンサスがあれば </t>
    </r>
    <r>
      <rPr>
        <sz val="9"/>
        <color rgb="FF595959"/>
        <rFont val="Cambria"/>
        <family val="1"/>
      </rPr>
      <t xml:space="preserve">C44/C45 </t>
    </r>
    <r>
      <rPr>
        <sz val="9"/>
        <color rgb="FF595959"/>
        <rFont val="Noto Sans CJK SC"/>
        <family val="2"/>
      </rPr>
      <t>にコンセンサス値を入力</t>
    </r>
  </si>
  <si>
    <r>
      <rPr>
        <sz val="9"/>
        <color rgb="FF595959"/>
        <rFont val="Noto Sans CJK SC"/>
        <family val="2"/>
      </rPr>
      <t xml:space="preserve">• 信用残データはみんかぶ・株探等で取得 </t>
    </r>
    <r>
      <rPr>
        <sz val="9"/>
        <color rgb="FF595959"/>
        <rFont val="Cambria"/>
        <family val="1"/>
      </rPr>
      <t>(</t>
    </r>
    <r>
      <rPr>
        <sz val="9"/>
        <color rgb="FF595959"/>
        <rFont val="Noto Sans CJK SC"/>
        <family val="2"/>
      </rPr>
      <t>週</t>
    </r>
    <r>
      <rPr>
        <sz val="9"/>
        <color rgb="FF595959"/>
        <rFont val="Cambria"/>
        <family val="1"/>
      </rPr>
      <t>1</t>
    </r>
    <r>
      <rPr>
        <sz val="9"/>
        <color rgb="FF595959"/>
        <rFont val="Noto Sans CJK SC"/>
        <family val="2"/>
      </rPr>
      <t>回更新が現実的</t>
    </r>
    <r>
      <rPr>
        <sz val="9"/>
        <color rgb="FF595959"/>
        <rFont val="Cambria"/>
        <family val="1"/>
      </rPr>
      <t>)</t>
    </r>
  </si>
  <si>
    <r>
      <rPr>
        <sz val="9"/>
        <color rgb="FF595959"/>
        <rFont val="Noto Sans CJK SC"/>
        <family val="2"/>
      </rPr>
      <t xml:space="preserve">• 株価モメンタムは決算発表前後の判定に最重要 </t>
    </r>
    <r>
      <rPr>
        <sz val="9"/>
        <color rgb="FF595959"/>
        <rFont val="Cambria"/>
        <family val="1"/>
      </rPr>
      <t>(</t>
    </r>
    <r>
      <rPr>
        <sz val="9"/>
        <color rgb="FF595959"/>
        <rFont val="Noto Sans CJK SC"/>
        <family val="2"/>
      </rPr>
      <t>期待織込み度の代理変数</t>
    </r>
    <r>
      <rPr>
        <sz val="9"/>
        <color rgb="FF595959"/>
        <rFont val="Cambria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</si>
</sst>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;\(#,##0\)"/>
    <numFmt numFmtId="177" formatCode="0.0%;\(0.0%\)"/>
    <numFmt numFmtId="178" formatCode="0.000"/>
    <numFmt numFmtId="179" formatCode="0.00\x"/>
    <numFmt numFmtId="180" formatCode="0.00%;\(0.00%\)"/>
    <numFmt numFmtId="181" formatCode="0.0000"/>
    <numFmt numFmtId="182" formatCode="#,##0.0;\(#,##0.0\)"/>
    <numFmt numFmtId="183" formatCode="0.0"/>
    <numFmt numFmtId="184" formatCode="0.0%"/>
    <numFmt numFmtId="185" formatCode="\+0.00;\-0.00"/>
    <numFmt numFmtId="186" formatCode="\+0;\-0;0"/>
    <numFmt numFmtId="187" formatCode="\+0.00%;\-0.00%"/>
    <numFmt numFmtId="188" formatCode="\+0.0%;\-0.0%"/>
  </numFmts>
  <fonts count="54">
    <font>
      <sz val="11"/>
      <color theme="1"/>
      <name val="ＭＳ Ｐゴシック"/>
      <family val="2"/>
      <charset val="1"/>
    </font>
    <font>
      <i/>
      <sz val="9"/>
      <color rgb="FF808080"/>
      <name val="Arial"/>
      <charset val="1"/>
    </font>
    <font>
      <b/>
      <sz val="14"/>
      <name val="Noto Sans CJK SC"/>
      <family val="2"/>
      <charset val="1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Noto Sans CJK SC"/>
      <family val="2"/>
      <charset val="1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6600"/>
      <name val="Arial"/>
      <family val="2"/>
    </font>
    <font>
      <b/>
      <sz val="14"/>
      <name val="Arial"/>
      <family val="2"/>
    </font>
    <font>
      <b/>
      <sz val="14"/>
      <name val="Noto Sans CJK SC"/>
      <family val="2"/>
    </font>
    <font>
      <b/>
      <sz val="11"/>
      <name val="Noto Sans CJK SC"/>
      <family val="2"/>
    </font>
    <font>
      <b/>
      <sz val="11"/>
      <name val="Noto Sans CJK SC"/>
      <family val="2"/>
      <charset val="1"/>
    </font>
    <font>
      <i/>
      <sz val="10"/>
      <color rgb="FF808080"/>
      <name val="Arial"/>
      <family val="2"/>
    </font>
    <font>
      <b/>
      <sz val="14"/>
      <color rgb="FFFFFFFF"/>
      <name val="Calibri"/>
      <family val="2"/>
    </font>
    <font>
      <b/>
      <sz val="14"/>
      <color rgb="FFFFFFFF"/>
      <name val="Noto Sans CJK SC"/>
      <family val="2"/>
    </font>
    <font>
      <i/>
      <sz val="9"/>
      <color rgb="FF595959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0"/>
      <name val="Calibri"/>
      <family val="2"/>
    </font>
    <font>
      <sz val="11"/>
      <color theme="1"/>
      <name val="Noto Sans CJK SC"/>
      <family val="2"/>
    </font>
    <font>
      <i/>
      <sz val="9"/>
      <color rgb="FF595959"/>
      <name val="Cambria"/>
      <family val="1"/>
    </font>
    <font>
      <i/>
      <sz val="9"/>
      <color rgb="FF595959"/>
      <name val="Noto Sans CJK SC"/>
      <family val="2"/>
    </font>
    <font>
      <sz val="9"/>
      <name val="Cambria"/>
      <family val="1"/>
    </font>
    <font>
      <b/>
      <sz val="9"/>
      <name val="Cambria"/>
      <family val="1"/>
    </font>
    <font>
      <b/>
      <sz val="10"/>
      <name val="Cambria"/>
      <family val="1"/>
    </font>
    <font>
      <i/>
      <sz val="8"/>
      <color rgb="FF808080"/>
      <name val="Noto Sans CJK SC"/>
      <family val="2"/>
      <charset val="1"/>
    </font>
    <font>
      <sz val="8"/>
      <color rgb="FF808080"/>
      <name val="Cambria"/>
      <family val="1"/>
    </font>
    <font>
      <i/>
      <sz val="8"/>
      <color rgb="FF808080"/>
      <name val="Cambria"/>
      <family val="1"/>
    </font>
    <font>
      <i/>
      <sz val="8"/>
      <color rgb="FF808080"/>
      <name val="Noto Sans CJK SC"/>
      <family val="2"/>
    </font>
    <font>
      <b/>
      <sz val="8"/>
      <color rgb="FF808080"/>
      <name val="Cambria"/>
      <family val="1"/>
    </font>
    <font>
      <b/>
      <sz val="11"/>
      <name val="Cambria"/>
      <family val="1"/>
    </font>
    <font>
      <i/>
      <sz val="9"/>
      <name val="Cambria"/>
      <family val="1"/>
    </font>
    <font>
      <b/>
      <sz val="10"/>
      <name val="Noto Sans CJK SC"/>
      <family val="2"/>
    </font>
    <font>
      <i/>
      <sz val="11"/>
      <name val="Cambria"/>
      <family val="1"/>
    </font>
    <font>
      <i/>
      <sz val="11"/>
      <name val="Noto Sans CJK SC"/>
      <family val="2"/>
      <charset val="1"/>
    </font>
    <font>
      <b/>
      <sz val="12"/>
      <name val="Cambria"/>
      <family val="1"/>
    </font>
    <font>
      <b/>
      <sz val="9"/>
      <name val="Noto Sans CJK SC"/>
      <family val="2"/>
      <charset val="1"/>
    </font>
    <font>
      <sz val="9"/>
      <color rgb="FF595959"/>
      <name val="Cambria"/>
      <family val="1"/>
    </font>
    <font>
      <sz val="9"/>
      <color rgb="FF595959"/>
      <name val="Noto Sans CJK SC"/>
      <family val="2"/>
    </font>
    <font>
      <sz val="9"/>
      <color rgb="FF595959"/>
      <name val="Noto Sans CJK SC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Calibri"/>
      <family val="2"/>
    </font>
    <font>
      <sz val="9"/>
      <name val="Noto Sans CJK SC"/>
      <family val="2"/>
    </font>
    <font>
      <b/>
      <sz val="12"/>
      <name val="Noto Sans CJK SC"/>
      <family val="2"/>
    </font>
    <font>
      <b/>
      <sz val="14"/>
      <name val="Cambria"/>
      <family val="1"/>
    </font>
    <font>
      <b/>
      <sz val="14"/>
      <color rgb="FFFFFFFF"/>
      <name val="Cambria"/>
      <family val="1"/>
    </font>
    <font>
      <i/>
      <sz val="9"/>
      <name val="Noto Sans CJK SC"/>
      <family val="2"/>
    </font>
    <font>
      <sz val="9"/>
      <color rgb="FF808080"/>
      <name val="Cambria"/>
      <family val="1"/>
    </font>
    <font>
      <sz val="9"/>
      <color rgb="FF808080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Cambria"/>
      <family val="1"/>
    </font>
    <font>
      <b/>
      <sz val="9"/>
      <name val="Noto Sans CJK SC"/>
      <family val="2"/>
    </font>
    <font>
      <sz val="6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CE6F1"/>
        <bgColor rgb="FFD9E2F3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E6CCE6"/>
        <bgColor rgb="FFD9E1F2"/>
      </patternFill>
    </fill>
    <fill>
      <patternFill patternType="solid">
        <fgColor rgb="FFD9E2F3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E2F3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E2EFDA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76" fontId="6" fillId="0" borderId="0" xfId="0" applyNumberFormat="1" applyFont="1"/>
    <xf numFmtId="0" fontId="6" fillId="0" borderId="0" xfId="0" applyFont="1"/>
    <xf numFmtId="177" fontId="6" fillId="0" borderId="0" xfId="0" applyNumberFormat="1" applyFont="1"/>
    <xf numFmtId="0" fontId="3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horizontal="center" wrapText="1"/>
    </xf>
    <xf numFmtId="176" fontId="8" fillId="0" borderId="0" xfId="0" applyNumberFormat="1" applyFont="1"/>
    <xf numFmtId="0" fontId="9" fillId="0" borderId="0" xfId="0" applyFont="1"/>
    <xf numFmtId="2" fontId="6" fillId="0" borderId="0" xfId="0" applyNumberFormat="1" applyFont="1"/>
    <xf numFmtId="178" fontId="6" fillId="0" borderId="0" xfId="0" applyNumberFormat="1" applyFont="1"/>
    <xf numFmtId="179" fontId="6" fillId="0" borderId="0" xfId="0" applyNumberFormat="1" applyFont="1"/>
    <xf numFmtId="3" fontId="6" fillId="0" borderId="0" xfId="0" applyNumberFormat="1" applyFont="1"/>
    <xf numFmtId="180" fontId="6" fillId="0" borderId="0" xfId="0" applyNumberFormat="1" applyFont="1"/>
    <xf numFmtId="0" fontId="6" fillId="0" borderId="2" xfId="0" applyFont="1" applyBorder="1"/>
    <xf numFmtId="177" fontId="6" fillId="2" borderId="0" xfId="0" applyNumberFormat="1" applyFont="1" applyFill="1"/>
    <xf numFmtId="176" fontId="6" fillId="0" borderId="3" xfId="0" applyNumberFormat="1" applyFont="1" applyBorder="1"/>
    <xf numFmtId="176" fontId="6" fillId="4" borderId="3" xfId="0" applyNumberFormat="1" applyFont="1" applyFill="1" applyBorder="1"/>
    <xf numFmtId="181" fontId="6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6" fillId="0" borderId="4" xfId="0" applyNumberFormat="1" applyFont="1" applyBorder="1"/>
    <xf numFmtId="0" fontId="7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6" fillId="0" borderId="5" xfId="0" applyNumberFormat="1" applyFont="1" applyBorder="1"/>
    <xf numFmtId="176" fontId="6" fillId="0" borderId="5" xfId="0" applyNumberFormat="1" applyFont="1" applyBorder="1"/>
    <xf numFmtId="0" fontId="6" fillId="0" borderId="5" xfId="0" applyFont="1" applyBorder="1"/>
    <xf numFmtId="0" fontId="7" fillId="3" borderId="0" xfId="0" applyFont="1" applyFill="1" applyAlignment="1">
      <alignment horizontal="center"/>
    </xf>
    <xf numFmtId="3" fontId="6" fillId="0" borderId="2" xfId="0" applyNumberFormat="1" applyFont="1" applyBorder="1"/>
    <xf numFmtId="176" fontId="6" fillId="0" borderId="6" xfId="0" applyNumberFormat="1" applyFont="1" applyBorder="1"/>
    <xf numFmtId="179" fontId="6" fillId="0" borderId="6" xfId="0" applyNumberFormat="1" applyFont="1" applyBorder="1"/>
    <xf numFmtId="177" fontId="6" fillId="0" borderId="6" xfId="0" applyNumberFormat="1" applyFont="1" applyBorder="1"/>
    <xf numFmtId="0" fontId="12" fillId="0" borderId="0" xfId="0" applyFont="1"/>
    <xf numFmtId="0" fontId="7" fillId="3" borderId="6" xfId="0" applyFont="1" applyFill="1" applyBorder="1" applyAlignment="1">
      <alignment horizontal="center" wrapText="1"/>
    </xf>
    <xf numFmtId="177" fontId="7" fillId="3" borderId="6" xfId="0" applyNumberFormat="1" applyFont="1" applyFill="1" applyBorder="1" applyAlignment="1">
      <alignment horizontal="center"/>
    </xf>
    <xf numFmtId="179" fontId="7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13" fillId="0" borderId="0" xfId="0" applyFont="1"/>
    <xf numFmtId="177" fontId="6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8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6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6" fillId="0" borderId="2" xfId="0" applyNumberFormat="1" applyFont="1" applyBorder="1"/>
    <xf numFmtId="182" fontId="6" fillId="0" borderId="2" xfId="0" applyNumberFormat="1" applyFont="1" applyBorder="1"/>
    <xf numFmtId="0" fontId="18" fillId="11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0" fillId="0" borderId="7" xfId="0" applyBorder="1"/>
    <xf numFmtId="3" fontId="0" fillId="6" borderId="7" xfId="0" applyNumberFormat="1" applyFill="1" applyBorder="1"/>
    <xf numFmtId="3" fontId="0" fillId="0" borderId="7" xfId="0" applyNumberFormat="1" applyBorder="1"/>
    <xf numFmtId="0" fontId="16" fillId="0" borderId="7" xfId="0" applyFont="1" applyBorder="1"/>
    <xf numFmtId="0" fontId="21" fillId="0" borderId="7" xfId="0" applyFont="1" applyBorder="1"/>
    <xf numFmtId="0" fontId="19" fillId="11" borderId="7" xfId="0" applyFont="1" applyFill="1" applyBorder="1"/>
    <xf numFmtId="183" fontId="19" fillId="11" borderId="7" xfId="0" applyNumberFormat="1" applyFont="1" applyFill="1" applyBorder="1" applyAlignment="1">
      <alignment horizontal="center"/>
    </xf>
    <xf numFmtId="0" fontId="18" fillId="11" borderId="7" xfId="0" applyFont="1" applyFill="1" applyBorder="1" applyAlignment="1">
      <alignment horizontal="center"/>
    </xf>
    <xf numFmtId="0" fontId="23" fillId="0" borderId="7" xfId="0" applyFont="1" applyBorder="1"/>
    <xf numFmtId="184" fontId="23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5" borderId="0" xfId="0" applyNumberFormat="1" applyFont="1" applyFill="1"/>
    <xf numFmtId="0" fontId="26" fillId="0" borderId="0" xfId="0" applyFont="1"/>
    <xf numFmtId="3" fontId="27" fillId="0" borderId="0" xfId="0" applyNumberFormat="1" applyFont="1"/>
    <xf numFmtId="10" fontId="27" fillId="0" borderId="0" xfId="0" applyNumberFormat="1" applyFont="1"/>
    <xf numFmtId="0" fontId="28" fillId="0" borderId="0" xfId="0" applyFont="1"/>
    <xf numFmtId="3" fontId="30" fillId="0" borderId="0" xfId="0" applyNumberFormat="1" applyFont="1"/>
    <xf numFmtId="10" fontId="28" fillId="0" borderId="0" xfId="0" applyNumberFormat="1" applyFont="1"/>
    <xf numFmtId="2" fontId="31" fillId="5" borderId="7" xfId="0" applyNumberFormat="1" applyFont="1" applyFill="1" applyBorder="1"/>
    <xf numFmtId="0" fontId="19" fillId="11" borderId="7" xfId="0" applyFont="1" applyFill="1" applyBorder="1" applyAlignment="1">
      <alignment horizontal="center"/>
    </xf>
    <xf numFmtId="0" fontId="5" fillId="0" borderId="7" xfId="0" applyFont="1" applyBorder="1"/>
    <xf numFmtId="2" fontId="31" fillId="12" borderId="7" xfId="0" applyNumberFormat="1" applyFont="1" applyFill="1" applyBorder="1"/>
    <xf numFmtId="10" fontId="0" fillId="0" borderId="7" xfId="0" applyNumberFormat="1" applyBorder="1"/>
    <xf numFmtId="0" fontId="32" fillId="0" borderId="7" xfId="0" applyFont="1" applyBorder="1"/>
    <xf numFmtId="2" fontId="0" fillId="6" borderId="7" xfId="0" applyNumberFormat="1" applyFill="1" applyBorder="1"/>
    <xf numFmtId="185" fontId="31" fillId="0" borderId="7" xfId="0" applyNumberFormat="1" applyFont="1" applyBorder="1"/>
    <xf numFmtId="0" fontId="24" fillId="0" borderId="7" xfId="0" applyFont="1" applyBorder="1"/>
    <xf numFmtId="0" fontId="19" fillId="0" borderId="0" xfId="0" applyFont="1"/>
    <xf numFmtId="2" fontId="0" fillId="0" borderId="0" xfId="0" applyNumberFormat="1"/>
    <xf numFmtId="2" fontId="0" fillId="6" borderId="0" xfId="0" applyNumberFormat="1" applyFill="1"/>
    <xf numFmtId="185" fontId="36" fillId="12" borderId="0" xfId="0" applyNumberFormat="1" applyFont="1" applyFill="1"/>
    <xf numFmtId="0" fontId="37" fillId="0" borderId="0" xfId="0" applyFont="1"/>
    <xf numFmtId="0" fontId="33" fillId="11" borderId="7" xfId="0" applyFont="1" applyFill="1" applyBorder="1" applyAlignment="1">
      <alignment horizontal="center"/>
    </xf>
    <xf numFmtId="0" fontId="11" fillId="0" borderId="7" xfId="0" applyFont="1" applyBorder="1"/>
    <xf numFmtId="185" fontId="0" fillId="5" borderId="7" xfId="0" applyNumberFormat="1" applyFill="1" applyBorder="1"/>
    <xf numFmtId="186" fontId="36" fillId="0" borderId="7" xfId="0" applyNumberFormat="1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185" fontId="31" fillId="0" borderId="7" xfId="0" applyNumberFormat="1" applyFont="1" applyBorder="1" applyAlignment="1">
      <alignment horizontal="center"/>
    </xf>
    <xf numFmtId="0" fontId="43" fillId="0" borderId="7" xfId="0" applyFont="1" applyBorder="1"/>
    <xf numFmtId="187" fontId="0" fillId="5" borderId="7" xfId="0" applyNumberFormat="1" applyFill="1" applyBorder="1"/>
    <xf numFmtId="2" fontId="0" fillId="5" borderId="7" xfId="0" applyNumberFormat="1" applyFill="1" applyBorder="1"/>
    <xf numFmtId="188" fontId="0" fillId="5" borderId="7" xfId="0" applyNumberFormat="1" applyFill="1" applyBorder="1"/>
    <xf numFmtId="0" fontId="44" fillId="12" borderId="7" xfId="0" applyFont="1" applyFill="1" applyBorder="1"/>
    <xf numFmtId="0" fontId="0" fillId="12" borderId="7" xfId="0" applyFill="1" applyBorder="1"/>
    <xf numFmtId="9" fontId="31" fillId="12" borderId="7" xfId="0" applyNumberFormat="1" applyFont="1" applyFill="1" applyBorder="1" applyAlignment="1">
      <alignment horizontal="center"/>
    </xf>
    <xf numFmtId="185" fontId="45" fillId="12" borderId="7" xfId="0" applyNumberFormat="1" applyFont="1" applyFill="1" applyBorder="1" applyAlignment="1">
      <alignment horizontal="center"/>
    </xf>
    <xf numFmtId="0" fontId="46" fillId="9" borderId="7" xfId="0" applyFont="1" applyFill="1" applyBorder="1" applyAlignment="1">
      <alignment horizontal="center"/>
    </xf>
    <xf numFmtId="0" fontId="33" fillId="11" borderId="7" xfId="0" applyFont="1" applyFill="1" applyBorder="1"/>
    <xf numFmtId="0" fontId="20" fillId="0" borderId="7" xfId="0" applyFont="1" applyBorder="1"/>
    <xf numFmtId="0" fontId="31" fillId="0" borderId="7" xfId="0" applyFont="1" applyBorder="1"/>
    <xf numFmtId="187" fontId="31" fillId="5" borderId="7" xfId="0" applyNumberFormat="1" applyFont="1" applyFill="1" applyBorder="1"/>
    <xf numFmtId="0" fontId="47" fillId="0" borderId="7" xfId="0" applyFont="1" applyBorder="1"/>
    <xf numFmtId="0" fontId="48" fillId="0" borderId="0" xfId="0" applyFont="1"/>
    <xf numFmtId="187" fontId="48" fillId="0" borderId="0" xfId="0" applyNumberFormat="1" applyFont="1"/>
    <xf numFmtId="0" fontId="49" fillId="0" borderId="0" xfId="0" applyFont="1"/>
    <xf numFmtId="186" fontId="36" fillId="5" borderId="7" xfId="0" applyNumberFormat="1" applyFont="1" applyFill="1" applyBorder="1" applyAlignment="1">
      <alignment horizontal="center"/>
    </xf>
    <xf numFmtId="184" fontId="48" fillId="0" borderId="0" xfId="0" applyNumberFormat="1" applyFont="1"/>
    <xf numFmtId="188" fontId="0" fillId="6" borderId="7" xfId="0" applyNumberFormat="1" applyFill="1" applyBorder="1"/>
    <xf numFmtId="188" fontId="31" fillId="0" borderId="7" xfId="0" applyNumberFormat="1" applyFont="1" applyBorder="1"/>
    <xf numFmtId="186" fontId="31" fillId="0" borderId="7" xfId="0" applyNumberFormat="1" applyFont="1" applyBorder="1" applyAlignment="1">
      <alignment horizontal="center"/>
    </xf>
    <xf numFmtId="0" fontId="11" fillId="11" borderId="0" xfId="0" applyFont="1" applyFill="1"/>
    <xf numFmtId="188" fontId="31" fillId="5" borderId="7" xfId="0" applyNumberFormat="1" applyFont="1" applyFill="1" applyBorder="1"/>
    <xf numFmtId="0" fontId="24" fillId="0" borderId="0" xfId="0" applyFont="1"/>
    <xf numFmtId="0" fontId="52" fillId="0" borderId="0" xfId="0" applyFont="1"/>
    <xf numFmtId="0" fontId="1" fillId="0" borderId="0" xfId="0" applyFont="1"/>
    <xf numFmtId="0" fontId="2" fillId="0" borderId="0" xfId="0" applyFont="1"/>
    <xf numFmtId="0" fontId="38" fillId="0" borderId="0" xfId="0" applyFont="1"/>
    <xf numFmtId="0" fontId="40" fillId="0" borderId="0" xfId="0" applyFont="1"/>
    <xf numFmtId="0" fontId="34" fillId="0" borderId="0" xfId="0" applyFont="1"/>
    <xf numFmtId="0" fontId="35" fillId="0" borderId="0" xfId="0" applyFont="1"/>
    <xf numFmtId="0" fontId="36" fillId="13" borderId="0" xfId="0" applyFont="1" applyFill="1"/>
    <xf numFmtId="0" fontId="17" fillId="10" borderId="0" xfId="0" applyFont="1" applyFill="1"/>
    <xf numFmtId="0" fontId="16" fillId="0" borderId="0" xfId="0" applyFont="1"/>
    <xf numFmtId="0" fontId="14" fillId="9" borderId="0" xfId="0" applyFont="1" applyFill="1"/>
    <xf numFmtId="0" fontId="39" fillId="0" borderId="0" xfId="0" applyFont="1"/>
    <xf numFmtId="0" fontId="23" fillId="0" borderId="0" xfId="0" applyFont="1"/>
    <xf numFmtId="0" fontId="43" fillId="0" borderId="0" xfId="0" applyFont="1"/>
    <xf numFmtId="0" fontId="41" fillId="10" borderId="0" xfId="0" applyFont="1" applyFill="1"/>
    <xf numFmtId="0" fontId="47" fillId="0" borderId="0" xfId="0" applyFont="1"/>
    <xf numFmtId="0" fontId="50" fillId="0" borderId="0" xfId="0" applyFont="1"/>
    <xf numFmtId="0" fontId="21" fillId="0" borderId="0" xfId="0" applyFont="1"/>
    <xf numFmtId="0" fontId="2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FF2CC"/>
      <rgbColor rgb="FFDCE6F1"/>
      <rgbColor rgb="FF4B0082"/>
      <rgbColor rgb="FFFF8080"/>
      <rgbColor rgb="FF0066CC"/>
      <rgbColor rgb="FFE6C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FF99CC"/>
      <rgbColor rgb="FFD9E2F3"/>
      <rgbColor rgb="FFC6E0B4"/>
      <rgbColor rgb="FF2E75B6"/>
      <rgbColor rgb="FF33CCCC"/>
      <rgbColor rgb="FF99CC00"/>
      <rgbColor rgb="FFFFCC00"/>
      <rgbColor rgb="FFFF9900"/>
      <rgbColor rgb="FFCC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zoomScaleNormal="100" workbookViewId="0">
      <selection activeCell="C10" sqref="C10"/>
    </sheetView>
  </sheetViews>
  <sheetFormatPr defaultColWidth="8.54296875" defaultRowHeight="13"/>
  <cols>
    <col min="1" max="1" width="3" customWidth="1"/>
    <col min="2" max="2" width="30" customWidth="1"/>
    <col min="3" max="5" width="22" customWidth="1"/>
  </cols>
  <sheetData>
    <row r="1" spans="2:5" ht="13.5" customHeight="1">
      <c r="B1" s="121" t="s">
        <v>0</v>
      </c>
      <c r="C1" s="121"/>
      <c r="D1" s="121"/>
      <c r="E1" s="121"/>
    </row>
    <row r="2" spans="2:5" ht="13.5" customHeight="1"/>
    <row r="3" spans="2:5" ht="18" customHeight="1">
      <c r="B3" s="122" t="s">
        <v>1</v>
      </c>
      <c r="C3" s="122"/>
      <c r="D3" s="122"/>
    </row>
    <row r="4" spans="2:5" ht="13.5" customHeight="1">
      <c r="B4" s="3" t="s">
        <v>2</v>
      </c>
    </row>
    <row r="5" spans="2:5" ht="13.5" customHeight="1"/>
    <row r="6" spans="2:5" ht="13.5" customHeight="1">
      <c r="B6" s="4" t="s">
        <v>3</v>
      </c>
      <c r="C6" s="5" t="s">
        <v>4</v>
      </c>
    </row>
    <row r="7" spans="2:5" ht="13.5" customHeight="1">
      <c r="B7" s="4" t="s">
        <v>5</v>
      </c>
      <c r="C7" t="s">
        <v>6</v>
      </c>
    </row>
    <row r="8" spans="2:5" ht="13.5" customHeight="1">
      <c r="B8" s="4" t="s">
        <v>7</v>
      </c>
      <c r="C8" t="s">
        <v>8</v>
      </c>
    </row>
    <row r="9" spans="2:5" ht="13.5" customHeight="1">
      <c r="B9" s="4" t="s">
        <v>9</v>
      </c>
      <c r="C9" s="6">
        <v>2011</v>
      </c>
    </row>
    <row r="10" spans="2:5" ht="13.5" customHeight="1">
      <c r="B10" s="4" t="s">
        <v>10</v>
      </c>
      <c r="C10" s="6">
        <f>ROUND(AVERAGE(C16:C19),0)</f>
        <v>2666</v>
      </c>
    </row>
    <row r="11" spans="2:5" ht="13.5" customHeight="1">
      <c r="B11" s="4" t="s">
        <v>11</v>
      </c>
      <c r="C11" s="7" t="str">
        <f>IF(C12&gt;0.15,"BUY",IF(C12&gt;0.05,"HOLD","SELL"))</f>
        <v>BUY</v>
      </c>
    </row>
    <row r="12" spans="2:5" ht="13.5" customHeight="1">
      <c r="B12" s="4" t="s">
        <v>12</v>
      </c>
      <c r="C12" s="8">
        <f>(C10-C9)/C9</f>
        <v>0.32570860268523122</v>
      </c>
    </row>
    <row r="13" spans="2:5" ht="13.5" customHeight="1"/>
    <row r="14" spans="2:5" ht="13.5" customHeight="1">
      <c r="B14" s="9" t="s">
        <v>13</v>
      </c>
      <c r="C14" s="10"/>
      <c r="D14" s="10"/>
    </row>
    <row r="15" spans="2:5" ht="13.5" customHeight="1">
      <c r="B15" s="11" t="s">
        <v>14</v>
      </c>
      <c r="C15" s="11" t="s">
        <v>15</v>
      </c>
      <c r="D15" s="11" t="s">
        <v>16</v>
      </c>
    </row>
    <row r="16" spans="2:5" ht="13.5" customHeight="1">
      <c r="B16" t="s">
        <v>17</v>
      </c>
      <c r="C16" s="12">
        <f>'DCF Model'!C55</f>
        <v>2893</v>
      </c>
      <c r="D16" s="8">
        <f>(C16-C9)/C9</f>
        <v>0.43858776727996024</v>
      </c>
    </row>
    <row r="17" spans="2:4" ht="13.5" customHeight="1">
      <c r="B17" t="s">
        <v>18</v>
      </c>
      <c r="C17" s="12">
        <f>'DCF Model'!C64</f>
        <v>3298</v>
      </c>
      <c r="D17" s="8">
        <f>(C17-C9)/C9</f>
        <v>0.63998010939830929</v>
      </c>
    </row>
    <row r="18" spans="2:4" ht="13.5" customHeight="1">
      <c r="B18" t="s">
        <v>19</v>
      </c>
      <c r="C18" s="12">
        <f>'Comps Analysis'!C27</f>
        <v>2450</v>
      </c>
      <c r="D18" s="8">
        <f>(C18-C9)/C9</f>
        <v>0.21829935355544505</v>
      </c>
    </row>
    <row r="19" spans="2:4" ht="13.5" customHeight="1">
      <c r="B19" t="s">
        <v>20</v>
      </c>
      <c r="C19" s="12">
        <f>'Comps Analysis'!C28</f>
        <v>2021</v>
      </c>
      <c r="D19" s="8">
        <f>(C19-C9)/C9</f>
        <v>4.9726504226752857E-3</v>
      </c>
    </row>
    <row r="20" spans="2:4" ht="13.5" customHeight="1"/>
    <row r="21" spans="2:4" ht="13.5" customHeight="1">
      <c r="B21" s="4" t="s">
        <v>21</v>
      </c>
      <c r="C21" s="7" t="str">
        <f>MIN(C16:C19)&amp;" - "&amp;MAX(C16:C19)</f>
        <v>2021 - 3298</v>
      </c>
    </row>
    <row r="22" spans="2:4" ht="13.5" customHeight="1"/>
    <row r="23" spans="2:4" ht="13.5" customHeight="1">
      <c r="B23" s="9" t="s">
        <v>22</v>
      </c>
      <c r="C23" s="10"/>
      <c r="D23" s="10"/>
    </row>
    <row r="24" spans="2:4" ht="13.5" customHeight="1">
      <c r="B24" t="s">
        <v>23</v>
      </c>
    </row>
    <row r="25" spans="2:4" ht="13.5" customHeight="1">
      <c r="B25" t="s">
        <v>24</v>
      </c>
    </row>
    <row r="26" spans="2:4" ht="13.5" customHeight="1">
      <c r="B26" t="s">
        <v>25</v>
      </c>
    </row>
    <row r="27" spans="2:4" ht="13.5" customHeight="1"/>
    <row r="28" spans="2:4" ht="13.5" customHeight="1">
      <c r="B28" s="9" t="s">
        <v>26</v>
      </c>
      <c r="C28" s="10"/>
      <c r="D28" s="10"/>
    </row>
    <row r="29" spans="2:4" ht="13.5" customHeight="1">
      <c r="B29" t="s">
        <v>27</v>
      </c>
    </row>
    <row r="30" spans="2:4" ht="13.5" customHeight="1">
      <c r="B30" t="s">
        <v>28</v>
      </c>
    </row>
    <row r="31" spans="2:4" ht="13.5" customHeight="1">
      <c r="B31" t="s">
        <v>29</v>
      </c>
    </row>
  </sheetData>
  <mergeCells count="2">
    <mergeCell ref="B1:E1"/>
    <mergeCell ref="B3:D3"/>
  </mergeCells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1:G28"/>
  <sheetViews>
    <sheetView zoomScaleNormal="100" workbookViewId="0"/>
  </sheetViews>
  <sheetFormatPr defaultColWidth="8.54296875" defaultRowHeight="13"/>
  <cols>
    <col min="1" max="1" width="3" customWidth="1"/>
    <col min="2" max="2" width="32" customWidth="1"/>
    <col min="3" max="7" width="18" customWidth="1"/>
  </cols>
  <sheetData>
    <row r="1" spans="2:7" ht="13.5" customHeight="1"/>
    <row r="2" spans="2:7" ht="18" customHeight="1">
      <c r="B2" s="1" t="s">
        <v>30</v>
      </c>
    </row>
    <row r="3" spans="2:7" ht="13.5" customHeight="1"/>
    <row r="4" spans="2:7" ht="13.5" customHeight="1"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</row>
    <row r="5" spans="2:7" ht="13.5" customHeight="1">
      <c r="B5" s="3" t="s">
        <v>36</v>
      </c>
    </row>
    <row r="6" spans="2:7" ht="13.5" customHeight="1">
      <c r="B6" s="4" t="s">
        <v>37</v>
      </c>
      <c r="C6" s="6">
        <v>20785.261999999999</v>
      </c>
      <c r="D6" s="6">
        <v>21798.077000000001</v>
      </c>
      <c r="E6" s="6">
        <v>22848.129000000001</v>
      </c>
      <c r="F6" s="6">
        <v>23998.562000000002</v>
      </c>
      <c r="G6" s="6">
        <v>24599.166000000001</v>
      </c>
    </row>
    <row r="7" spans="2:7" ht="13.5" customHeight="1">
      <c r="B7" s="4" t="s">
        <v>38</v>
      </c>
      <c r="C7" s="6">
        <v>15524.609</v>
      </c>
      <c r="D7" s="6">
        <v>16231.035</v>
      </c>
      <c r="E7" s="6">
        <v>16853.21</v>
      </c>
      <c r="F7" s="6">
        <v>17407.88</v>
      </c>
      <c r="G7" s="6">
        <v>17821.474999999999</v>
      </c>
    </row>
    <row r="8" spans="2:7" ht="13.5" customHeight="1">
      <c r="B8" s="4" t="s">
        <v>39</v>
      </c>
      <c r="C8" s="6">
        <f>C6-C7</f>
        <v>5260.6529999999984</v>
      </c>
      <c r="D8" s="6">
        <f>D6-D7</f>
        <v>5567.0420000000013</v>
      </c>
      <c r="E8" s="6">
        <f>E6-E7</f>
        <v>5994.9190000000017</v>
      </c>
      <c r="F8" s="6">
        <f>F6-F7</f>
        <v>6590.6820000000007</v>
      </c>
      <c r="G8" s="6">
        <f>G6-G7</f>
        <v>6777.6910000000025</v>
      </c>
    </row>
    <row r="9" spans="2:7" ht="13.5" customHeight="1">
      <c r="B9" t="s">
        <v>40</v>
      </c>
      <c r="C9" s="8">
        <f>C8/C6</f>
        <v>0.25309534226703512</v>
      </c>
      <c r="D9" s="8">
        <f>D8/D6</f>
        <v>0.25539142741811588</v>
      </c>
      <c r="E9" s="8">
        <f>E8/E6</f>
        <v>0.26238117790739018</v>
      </c>
      <c r="F9" s="8">
        <f>F8/F6</f>
        <v>0.27462820480660466</v>
      </c>
      <c r="G9" s="8">
        <f>G8/G6</f>
        <v>0.27552523528643214</v>
      </c>
    </row>
    <row r="10" spans="2:7" ht="13.5" customHeight="1">
      <c r="B10" s="4" t="s">
        <v>41</v>
      </c>
      <c r="C10" s="6">
        <v>3228.5680000000002</v>
      </c>
      <c r="D10" s="6">
        <v>3199.384</v>
      </c>
      <c r="E10" s="6">
        <v>3251.0509999999999</v>
      </c>
      <c r="F10" s="6">
        <v>3450.098</v>
      </c>
      <c r="G10" s="6">
        <v>3602.2289999999998</v>
      </c>
    </row>
    <row r="11" spans="2:7" ht="13.5" customHeight="1">
      <c r="B11" s="4" t="s">
        <v>42</v>
      </c>
      <c r="C11" s="6">
        <v>2032.0840000000001</v>
      </c>
      <c r="D11" s="6">
        <v>2367.6579999999999</v>
      </c>
      <c r="E11" s="6">
        <v>2743.8670000000002</v>
      </c>
      <c r="F11" s="6">
        <v>3140.5830000000001</v>
      </c>
      <c r="G11" s="6">
        <v>3175.462</v>
      </c>
    </row>
    <row r="12" spans="2:7" ht="13.5" customHeight="1">
      <c r="B12" s="4" t="s">
        <v>43</v>
      </c>
      <c r="C12" s="6">
        <v>1423.3579999999999</v>
      </c>
      <c r="D12" s="6">
        <v>1622.7159999999999</v>
      </c>
      <c r="E12" s="6">
        <v>1968.404</v>
      </c>
      <c r="F12" s="6">
        <v>2270.7040000000002</v>
      </c>
      <c r="G12" s="6">
        <v>2242.34</v>
      </c>
    </row>
    <row r="13" spans="2:7" ht="13.5" customHeight="1">
      <c r="B13" t="s">
        <v>44</v>
      </c>
      <c r="C13" s="8">
        <f>C11/C6</f>
        <v>9.7765618735044094E-2</v>
      </c>
      <c r="D13" s="8">
        <f>D11/D6</f>
        <v>0.1086177464186405</v>
      </c>
      <c r="E13" s="8">
        <f>E11/E6</f>
        <v>0.12009154009941034</v>
      </c>
      <c r="F13" s="8">
        <f>F11/F6</f>
        <v>0.13086546602250584</v>
      </c>
      <c r="G13" s="8">
        <f>G11/G6</f>
        <v>0.12908819754295733</v>
      </c>
    </row>
    <row r="14" spans="2:7" ht="13.5" customHeight="1">
      <c r="B14" t="s">
        <v>45</v>
      </c>
      <c r="C14" s="8">
        <f>C12/C6</f>
        <v>6.8479194536975291E-2</v>
      </c>
      <c r="D14" s="8">
        <f>D12/D6</f>
        <v>7.4443080460721373E-2</v>
      </c>
      <c r="E14" s="8">
        <f>E12/E6</f>
        <v>8.615164944140502E-2</v>
      </c>
      <c r="F14" s="8">
        <f>F12/F6</f>
        <v>9.4618335881958268E-2</v>
      </c>
      <c r="G14" s="8">
        <f>G12/G6</f>
        <v>9.1155122901321134E-2</v>
      </c>
    </row>
    <row r="15" spans="2:7" ht="13.5" customHeight="1">
      <c r="B15" t="s">
        <v>46</v>
      </c>
      <c r="C15" t="s">
        <v>47</v>
      </c>
      <c r="D15" s="8">
        <f>(D6-C6)/C6</f>
        <v>4.8727555130168791E-2</v>
      </c>
      <c r="E15" s="8">
        <f>(E6-D6)/D6</f>
        <v>4.8171772216420723E-2</v>
      </c>
      <c r="F15" s="8">
        <f>(F6-E6)/E6</f>
        <v>5.0351300099890056E-2</v>
      </c>
      <c r="G15" s="8">
        <f>(G6-F6)/F6</f>
        <v>2.5026666181081989E-2</v>
      </c>
    </row>
    <row r="16" spans="2:7" ht="13.5" customHeight="1">
      <c r="B16" t="s">
        <v>48</v>
      </c>
      <c r="C16" t="s">
        <v>47</v>
      </c>
      <c r="D16" s="8">
        <f>(D11-C11)/C11</f>
        <v>0.16513785847435433</v>
      </c>
      <c r="E16" s="8">
        <f>(E11-D11)/D11</f>
        <v>0.15889499243556304</v>
      </c>
      <c r="F16" s="8">
        <f>(F11-E11)/E11</f>
        <v>0.14458280958953182</v>
      </c>
      <c r="G16" s="8">
        <f>(G11-F11)/F11</f>
        <v>1.1105899764470451E-2</v>
      </c>
    </row>
    <row r="17" spans="2:7" ht="13.5" customHeight="1"/>
    <row r="18" spans="2:7" ht="13.5" customHeight="1">
      <c r="B18" s="3" t="s">
        <v>49</v>
      </c>
    </row>
    <row r="19" spans="2:7" ht="13.5" customHeight="1">
      <c r="B19" s="4" t="s">
        <v>50</v>
      </c>
      <c r="C19" s="6">
        <v>1851.105</v>
      </c>
      <c r="D19" s="6">
        <v>1799.231</v>
      </c>
      <c r="E19" s="6">
        <v>1943.7950000000001</v>
      </c>
      <c r="F19" s="6">
        <v>2190.0940000000001</v>
      </c>
      <c r="G19" s="6">
        <v>2372.799</v>
      </c>
    </row>
    <row r="20" spans="2:7" ht="13.5" customHeight="1">
      <c r="B20" s="4" t="s">
        <v>51</v>
      </c>
      <c r="C20" s="6">
        <v>93.543000000000006</v>
      </c>
      <c r="D20" s="6">
        <v>72.084000000000003</v>
      </c>
      <c r="E20" s="6">
        <v>85.454999999999998</v>
      </c>
      <c r="F20" s="6">
        <v>93.4</v>
      </c>
      <c r="G20" s="6">
        <v>95.32</v>
      </c>
    </row>
    <row r="21" spans="2:7" ht="13.5" customHeight="1">
      <c r="B21" s="4" t="s">
        <v>52</v>
      </c>
      <c r="C21" s="6">
        <f>C19-C20</f>
        <v>1757.5619999999999</v>
      </c>
      <c r="D21" s="6">
        <f>D19-D20</f>
        <v>1727.1469999999999</v>
      </c>
      <c r="E21" s="6">
        <f>E19-E20</f>
        <v>1858.3400000000001</v>
      </c>
      <c r="F21" s="6">
        <f>F19-F20</f>
        <v>2096.694</v>
      </c>
      <c r="G21" s="6">
        <f>G19-G20</f>
        <v>2277.4789999999998</v>
      </c>
    </row>
    <row r="22" spans="2:7" ht="13.5" customHeight="1">
      <c r="B22" t="s">
        <v>53</v>
      </c>
      <c r="C22" s="8">
        <f>C21/C6</f>
        <v>8.4558087360168954E-2</v>
      </c>
      <c r="D22" s="8">
        <f>D21/D6</f>
        <v>7.9233915909187769E-2</v>
      </c>
      <c r="E22" s="8">
        <f>E21/E6</f>
        <v>8.1334449748598672E-2</v>
      </c>
      <c r="F22" s="8">
        <f>F21/F6</f>
        <v>8.7367484768462372E-2</v>
      </c>
      <c r="G22" s="8">
        <f>G21/G6</f>
        <v>9.258358596384933E-2</v>
      </c>
    </row>
    <row r="23" spans="2:7" ht="13.5" customHeight="1">
      <c r="B23" t="s">
        <v>54</v>
      </c>
      <c r="C23" s="8">
        <f>C20/C6</f>
        <v>4.5004484427475589E-3</v>
      </c>
      <c r="D23" s="8">
        <f>D20/D6</f>
        <v>3.3068972093272266E-3</v>
      </c>
      <c r="E23" s="8">
        <f>E20/E6</f>
        <v>3.7401311941122179E-3</v>
      </c>
      <c r="F23" s="8">
        <f>F20/F6</f>
        <v>3.8918998563330586E-3</v>
      </c>
      <c r="G23" s="8">
        <f>G20/G6</f>
        <v>3.8749281174817059E-3</v>
      </c>
    </row>
    <row r="24" spans="2:7" ht="13.5" customHeight="1"/>
    <row r="25" spans="2:7" ht="13.5" customHeight="1">
      <c r="B25" s="3" t="s">
        <v>55</v>
      </c>
    </row>
    <row r="26" spans="2:7" ht="13.5" customHeight="1">
      <c r="B26" s="4" t="s">
        <v>56</v>
      </c>
      <c r="C26" s="6">
        <v>3636.2190000000001</v>
      </c>
      <c r="D26" s="6">
        <v>4700.2349999999997</v>
      </c>
      <c r="E26" s="6">
        <v>5586.9340000000002</v>
      </c>
      <c r="F26" s="6">
        <v>6300.0749999999998</v>
      </c>
      <c r="G26" s="6">
        <v>7586.0709999999999</v>
      </c>
    </row>
    <row r="27" spans="2:7" ht="13.5" customHeight="1">
      <c r="B27" s="4" t="s">
        <v>57</v>
      </c>
      <c r="C27" s="6">
        <v>2109.6999999999998</v>
      </c>
      <c r="D27" s="6">
        <v>1963.6</v>
      </c>
      <c r="E27" s="6">
        <v>1812</v>
      </c>
      <c r="F27" s="6">
        <v>1734.8</v>
      </c>
      <c r="G27" s="6">
        <v>1412.4</v>
      </c>
    </row>
    <row r="28" spans="2:7" ht="13.5" customHeight="1">
      <c r="B28" s="4" t="s">
        <v>58</v>
      </c>
      <c r="C28" s="6">
        <f>C27-C26</f>
        <v>-1526.5190000000002</v>
      </c>
      <c r="D28" s="6">
        <f>D27-D26</f>
        <v>-2736.6349999999998</v>
      </c>
      <c r="E28" s="6">
        <f>E27-E26</f>
        <v>-3774.9340000000002</v>
      </c>
      <c r="F28" s="6">
        <f>F27-F26</f>
        <v>-4565.2749999999996</v>
      </c>
      <c r="G28" s="6">
        <f>G27-G26</f>
        <v>-6173.6710000000003</v>
      </c>
    </row>
  </sheetData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1:G66"/>
  <sheetViews>
    <sheetView tabSelected="1" topLeftCell="A2" zoomScale="69" zoomScaleNormal="100" workbookViewId="0">
      <selection activeCell="C27" sqref="C27"/>
    </sheetView>
  </sheetViews>
  <sheetFormatPr defaultColWidth="8.54296875" defaultRowHeight="13"/>
  <cols>
    <col min="1" max="1" width="3" customWidth="1"/>
    <col min="2" max="2" width="32" customWidth="1"/>
    <col min="3" max="7" width="16" customWidth="1"/>
  </cols>
  <sheetData>
    <row r="1" spans="2:7" ht="13.5" customHeight="1"/>
    <row r="2" spans="2:7" ht="18" customHeight="1">
      <c r="B2" s="13" t="s">
        <v>59</v>
      </c>
    </row>
    <row r="3" spans="2:7" ht="13.5" customHeight="1"/>
    <row r="4" spans="2:7" ht="13.5" customHeight="1">
      <c r="B4" s="9" t="s">
        <v>60</v>
      </c>
      <c r="C4" s="10"/>
      <c r="D4" s="10"/>
      <c r="E4" s="10"/>
      <c r="F4" s="10"/>
      <c r="G4" s="10"/>
    </row>
    <row r="5" spans="2:7" ht="13.5" customHeight="1">
      <c r="B5" s="4" t="s">
        <v>54</v>
      </c>
      <c r="C5" s="8">
        <v>4.1668079316185E-3</v>
      </c>
    </row>
    <row r="6" spans="2:7" ht="13.5" customHeight="1">
      <c r="B6" s="4" t="s">
        <v>61</v>
      </c>
      <c r="C6" s="8">
        <v>0.30499999999999999</v>
      </c>
    </row>
    <row r="7" spans="2:7" ht="13.5" customHeight="1">
      <c r="B7" s="4" t="s">
        <v>62</v>
      </c>
      <c r="C7" s="8">
        <v>2.1999999999999999E-2</v>
      </c>
    </row>
    <row r="8" spans="2:7" ht="13.5" customHeight="1">
      <c r="B8" s="4" t="s">
        <v>63</v>
      </c>
      <c r="C8" s="14">
        <v>0.88</v>
      </c>
    </row>
    <row r="9" spans="2:7" ht="13.5" customHeight="1">
      <c r="B9" s="4" t="s">
        <v>64</v>
      </c>
      <c r="C9" s="8">
        <v>6.5000000000000002E-2</v>
      </c>
    </row>
    <row r="10" spans="2:7" ht="13.5" customHeight="1">
      <c r="B10" s="4" t="s">
        <v>65</v>
      </c>
      <c r="C10" s="8">
        <v>0.04</v>
      </c>
    </row>
    <row r="11" spans="2:7" ht="13.5" customHeight="1">
      <c r="B11" s="4" t="s">
        <v>66</v>
      </c>
      <c r="C11" s="8">
        <v>5.0000000000000001E-3</v>
      </c>
    </row>
    <row r="12" spans="2:7" ht="13.5" customHeight="1">
      <c r="B12" s="4" t="s">
        <v>67</v>
      </c>
      <c r="C12" s="15">
        <v>0</v>
      </c>
    </row>
    <row r="13" spans="2:7" ht="13.5" customHeight="1">
      <c r="B13" s="4" t="s">
        <v>68</v>
      </c>
      <c r="C13" s="8">
        <v>0.02</v>
      </c>
    </row>
    <row r="14" spans="2:7" ht="13.5" customHeight="1">
      <c r="B14" s="4" t="s">
        <v>69</v>
      </c>
      <c r="C14" s="16">
        <v>8</v>
      </c>
    </row>
    <row r="15" spans="2:7" ht="13.5" customHeight="1">
      <c r="B15" s="4" t="s">
        <v>70</v>
      </c>
      <c r="C15" s="17">
        <v>14368501</v>
      </c>
    </row>
    <row r="16" spans="2:7" ht="13.5" customHeight="1">
      <c r="B16" s="4" t="s">
        <v>71</v>
      </c>
      <c r="C16" s="6">
        <v>-7296.8</v>
      </c>
    </row>
    <row r="17" spans="2:7" ht="13.5" customHeight="1">
      <c r="B17" s="4" t="s">
        <v>72</v>
      </c>
      <c r="C17" s="6">
        <v>24599.166000000001</v>
      </c>
    </row>
    <row r="18" spans="2:7" ht="13.5" customHeight="1">
      <c r="B18" s="4" t="s">
        <v>73</v>
      </c>
      <c r="C18" s="8">
        <v>8.5876895176039691E-3</v>
      </c>
    </row>
    <row r="19" spans="2:7" ht="13.5" customHeight="1">
      <c r="B19" s="4" t="s">
        <v>74</v>
      </c>
      <c r="C19" s="14">
        <v>0.25</v>
      </c>
    </row>
    <row r="20" spans="2:7" ht="13.5" customHeight="1">
      <c r="B20" s="4" t="s">
        <v>75</v>
      </c>
      <c r="C20" s="6">
        <v>24599</v>
      </c>
    </row>
    <row r="21" spans="2:7" ht="13.5" customHeight="1"/>
    <row r="22" spans="2:7" ht="13.5" customHeight="1">
      <c r="B22" s="9" t="s">
        <v>76</v>
      </c>
      <c r="C22" s="10"/>
      <c r="D22" s="10"/>
      <c r="E22" s="10"/>
      <c r="F22" s="10"/>
      <c r="G22" s="10"/>
    </row>
    <row r="23" spans="2:7" ht="13.5" customHeight="1">
      <c r="B23" s="4" t="s">
        <v>77</v>
      </c>
      <c r="C23" s="18">
        <f>C7+C8*C9+C10</f>
        <v>0.1192</v>
      </c>
    </row>
    <row r="24" spans="2:7" ht="13.5" customHeight="1">
      <c r="B24" s="4" t="s">
        <v>78</v>
      </c>
      <c r="C24" s="18">
        <f>1/(1+C12)</f>
        <v>1</v>
      </c>
    </row>
    <row r="25" spans="2:7" ht="13.5" customHeight="1">
      <c r="B25" s="4" t="s">
        <v>79</v>
      </c>
      <c r="C25" s="18">
        <f>C12/(1+C12)</f>
        <v>0</v>
      </c>
    </row>
    <row r="26" spans="2:7" ht="13.5" customHeight="1">
      <c r="B26" s="4" t="s">
        <v>80</v>
      </c>
      <c r="C26" s="18">
        <f>C23*C24+C11*C25</f>
        <v>0.1192</v>
      </c>
    </row>
    <row r="27" spans="2:7" ht="13.5" customHeight="1">
      <c r="B27" s="4" t="s">
        <v>81</v>
      </c>
      <c r="C27" s="19" t="s">
        <v>82</v>
      </c>
      <c r="D27" s="7">
        <f>MATCH(C27,{"Base","Upside","Management","Downside 1","Downside 2"},0)</f>
        <v>1</v>
      </c>
    </row>
    <row r="28" spans="2:7" ht="13.5" customHeight="1">
      <c r="B28" s="9" t="s">
        <v>83</v>
      </c>
      <c r="C28" s="10"/>
      <c r="D28" s="10"/>
      <c r="E28" s="10"/>
      <c r="F28" s="10"/>
      <c r="G28" s="10"/>
    </row>
    <row r="29" spans="2:7" ht="13.5" customHeight="1">
      <c r="C29" s="11" t="s">
        <v>84</v>
      </c>
      <c r="D29" s="11" t="s">
        <v>85</v>
      </c>
      <c r="E29" s="11" t="s">
        <v>86</v>
      </c>
      <c r="F29" s="11" t="s">
        <v>87</v>
      </c>
      <c r="G29" s="11" t="s">
        <v>88</v>
      </c>
    </row>
    <row r="30" spans="2:7" ht="13.5" customHeight="1">
      <c r="B30" s="4" t="s">
        <v>46</v>
      </c>
      <c r="C30" s="20">
        <f>(C33/C17)-1</f>
        <v>0.17388369995958386</v>
      </c>
      <c r="D30" s="20">
        <f>(D33/C33)-1</f>
        <v>8.5724203298453983E-2</v>
      </c>
      <c r="E30" s="20">
        <f>(E33/D33)-1</f>
        <v>7.0924590533278487E-2</v>
      </c>
      <c r="F30" s="20">
        <f>(F33/E33)-1</f>
        <v>5.2593291295782718E-2</v>
      </c>
      <c r="G30" s="20">
        <f>(G33/F33)-1</f>
        <v>4.0871093480814524E-2</v>
      </c>
    </row>
    <row r="31" spans="2:7" ht="13.5" customHeight="1">
      <c r="B31" s="4" t="s">
        <v>89</v>
      </c>
      <c r="C31" s="20">
        <f>CHOOSE($D$27,'Segment Analysis'!F79,'Segment Analysis'!F80,'Segment Analysis'!F81,'Segment Analysis'!F82,'Segment Analysis'!F83)</f>
        <v>0.72450000000000003</v>
      </c>
      <c r="D31" s="20">
        <f>CHOOSE($D$27,'Segment Analysis'!G79,'Segment Analysis'!G80,'Segment Analysis'!G81,'Segment Analysis'!G82,'Segment Analysis'!G83)</f>
        <v>0.72450000000000003</v>
      </c>
      <c r="E31" s="20">
        <f>CHOOSE($D$27,'Segment Analysis'!H79,'Segment Analysis'!H80,'Segment Analysis'!H81,'Segment Analysis'!H82,'Segment Analysis'!H83)</f>
        <v>0.72450000000000003</v>
      </c>
      <c r="F31" s="20">
        <f>CHOOSE($D$27,'Segment Analysis'!I79,'Segment Analysis'!I80,'Segment Analysis'!I81,'Segment Analysis'!I82,'Segment Analysis'!I83)</f>
        <v>0.72450000000000003</v>
      </c>
      <c r="G31" s="20">
        <f>CHOOSE($D$27,'Segment Analysis'!J79,'Segment Analysis'!J80,'Segment Analysis'!J81,'Segment Analysis'!J82,'Segment Analysis'!J83)</f>
        <v>0.72450000000000003</v>
      </c>
    </row>
    <row r="32" spans="2:7" ht="13.5" customHeight="1">
      <c r="B32" s="4" t="s">
        <v>90</v>
      </c>
      <c r="C32" s="20">
        <f>CHOOSE($D$27,'Segment Analysis'!F86,'Segment Analysis'!F87,'Segment Analysis'!F88,'Segment Analysis'!F89,'Segment Analysis'!F90)</f>
        <v>0.13300000000000001</v>
      </c>
      <c r="D32" s="20">
        <f>CHOOSE($D$27,'Segment Analysis'!G86,'Segment Analysis'!G87,'Segment Analysis'!G88,'Segment Analysis'!G89,'Segment Analysis'!G90)</f>
        <v>0.13</v>
      </c>
      <c r="E32" s="20">
        <f>CHOOSE($D$27,'Segment Analysis'!H86,'Segment Analysis'!H87,'Segment Analysis'!H88,'Segment Analysis'!H89,'Segment Analysis'!H90)</f>
        <v>0.128</v>
      </c>
      <c r="F32" s="20">
        <f>CHOOSE($D$27,'Segment Analysis'!I86,'Segment Analysis'!I87,'Segment Analysis'!I88,'Segment Analysis'!I89,'Segment Analysis'!I90)</f>
        <v>0.126</v>
      </c>
      <c r="G32" s="20">
        <f>CHOOSE($D$27,'Segment Analysis'!J86,'Segment Analysis'!J87,'Segment Analysis'!J88,'Segment Analysis'!J89,'Segment Analysis'!J90)</f>
        <v>0.125</v>
      </c>
    </row>
    <row r="33" spans="2:7" ht="13.5" customHeight="1">
      <c r="B33" s="4" t="s">
        <v>37</v>
      </c>
      <c r="C33" s="6">
        <f>'Segment Analysis'!F21</f>
        <v>28876.559999999998</v>
      </c>
      <c r="D33" s="6">
        <f>'Segment Analysis'!G21</f>
        <v>31351.980100000001</v>
      </c>
      <c r="E33" s="6">
        <f>'Segment Analysis'!H21</f>
        <v>33575.606451</v>
      </c>
      <c r="F33" s="6">
        <f>'Segment Analysis'!I21</f>
        <v>35341.458101510005</v>
      </c>
      <c r="G33" s="6">
        <f>'Segment Analysis'!J21</f>
        <v>36785.90213932511</v>
      </c>
    </row>
    <row r="34" spans="2:7" ht="13.5" customHeight="1">
      <c r="B34" s="4" t="s">
        <v>38</v>
      </c>
      <c r="C34" s="6">
        <f>C33*C31</f>
        <v>20921.067719999999</v>
      </c>
      <c r="D34" s="6">
        <f>D33*D31</f>
        <v>22714.509582450002</v>
      </c>
      <c r="E34" s="6">
        <f>E33*E31</f>
        <v>24325.526873749503</v>
      </c>
      <c r="F34" s="6">
        <f>F33*F31</f>
        <v>25604.886394543999</v>
      </c>
      <c r="G34" s="6">
        <f>G33*G31</f>
        <v>26651.386099941043</v>
      </c>
    </row>
    <row r="35" spans="2:7" ht="13.5" customHeight="1">
      <c r="B35" s="4" t="s">
        <v>39</v>
      </c>
      <c r="C35" s="21">
        <f>C33-C34</f>
        <v>7955.4922799999986</v>
      </c>
      <c r="D35" s="21">
        <f>D33-D34</f>
        <v>8637.4705175499985</v>
      </c>
      <c r="E35" s="21">
        <f>E33-E34</f>
        <v>9250.0795772504971</v>
      </c>
      <c r="F35" s="21">
        <f>F33-F34</f>
        <v>9736.5717069660059</v>
      </c>
      <c r="G35" s="21">
        <f>G33-G34</f>
        <v>10134.516039384067</v>
      </c>
    </row>
    <row r="36" spans="2:7" ht="13.5" customHeight="1">
      <c r="B36" s="4" t="s">
        <v>40</v>
      </c>
      <c r="C36" s="8">
        <f>C35/C33</f>
        <v>0.27549999999999997</v>
      </c>
      <c r="D36" s="8">
        <f>D35/D33</f>
        <v>0.27549999999999997</v>
      </c>
      <c r="E36" s="8">
        <f>E35/E33</f>
        <v>0.27549999999999991</v>
      </c>
      <c r="F36" s="8">
        <f>F35/F33</f>
        <v>0.27549999999999997</v>
      </c>
      <c r="G36" s="8">
        <f>G35/G33</f>
        <v>0.27549999999999997</v>
      </c>
    </row>
    <row r="37" spans="2:7" ht="13.5" customHeight="1">
      <c r="B37" s="4" t="s">
        <v>91</v>
      </c>
      <c r="C37" s="6">
        <f>C33*C32</f>
        <v>3840.58248</v>
      </c>
      <c r="D37" s="6">
        <f>D33*D32</f>
        <v>4075.7574130000003</v>
      </c>
      <c r="E37" s="6">
        <f>E33*E32</f>
        <v>4297.6776257279998</v>
      </c>
      <c r="F37" s="6">
        <f>F33*F32</f>
        <v>4453.023720790261</v>
      </c>
      <c r="G37" s="6">
        <f>G33*G32</f>
        <v>4598.2377674156387</v>
      </c>
    </row>
    <row r="38" spans="2:7" ht="13.5" customHeight="1">
      <c r="B38" s="4" t="s">
        <v>92</v>
      </c>
      <c r="C38" s="8">
        <f>C39/C33</f>
        <v>0.14249999999999996</v>
      </c>
      <c r="D38" s="8">
        <f>D39/D33</f>
        <v>0.14549999999999993</v>
      </c>
      <c r="E38" s="8">
        <f>E39/E33</f>
        <v>0.14749999999999991</v>
      </c>
      <c r="F38" s="8">
        <f>F39/F33</f>
        <v>0.14949999999999997</v>
      </c>
      <c r="G38" s="8">
        <f>G39/G33</f>
        <v>0.15049999999999997</v>
      </c>
    </row>
    <row r="39" spans="2:7" ht="13.5" customHeight="1">
      <c r="B39" s="4" t="s">
        <v>93</v>
      </c>
      <c r="C39" s="21">
        <f>C35-C37</f>
        <v>4114.9097999999985</v>
      </c>
      <c r="D39" s="21">
        <f>D35-D37</f>
        <v>4561.7131045499982</v>
      </c>
      <c r="E39" s="21">
        <f>E35-E37</f>
        <v>4952.4019515224973</v>
      </c>
      <c r="F39" s="21">
        <f>F35-F37</f>
        <v>5283.5479861757449</v>
      </c>
      <c r="G39" s="21">
        <f>G35-G37</f>
        <v>5536.2782719684283</v>
      </c>
    </row>
    <row r="40" spans="2:7" ht="13.5" customHeight="1">
      <c r="B40" s="4" t="s">
        <v>94</v>
      </c>
      <c r="C40" s="6">
        <f>MAX(0,C39*C6)</f>
        <v>1255.0474889999996</v>
      </c>
      <c r="D40" s="6">
        <f>MAX(0,D39*C6)</f>
        <v>1391.3224968877494</v>
      </c>
      <c r="E40" s="6">
        <f>MAX(0,E39*C6)</f>
        <v>1510.4825952143617</v>
      </c>
      <c r="F40" s="6">
        <f>MAX(0,F39*C6)</f>
        <v>1611.4821357836022</v>
      </c>
      <c r="G40" s="6">
        <f>MAX(0,G39*C6)</f>
        <v>1688.5648729503705</v>
      </c>
    </row>
    <row r="41" spans="2:7" ht="13.5" customHeight="1">
      <c r="B41" s="4" t="s">
        <v>95</v>
      </c>
      <c r="C41" s="21">
        <f>C39-C40</f>
        <v>2859.862310999999</v>
      </c>
      <c r="D41" s="21">
        <f>D39-D40</f>
        <v>3170.3906076622488</v>
      </c>
      <c r="E41" s="21">
        <f>E39-E40</f>
        <v>3441.9193563081353</v>
      </c>
      <c r="F41" s="21">
        <f>F39-F40</f>
        <v>3672.0658503921427</v>
      </c>
      <c r="G41" s="21">
        <f>G39-G40</f>
        <v>3847.7133990180578</v>
      </c>
    </row>
    <row r="42" spans="2:7" ht="13.5" customHeight="1">
      <c r="B42" s="4" t="s">
        <v>96</v>
      </c>
      <c r="C42" s="6">
        <v>210</v>
      </c>
      <c r="D42" s="6">
        <v>210</v>
      </c>
      <c r="E42" s="6">
        <v>210</v>
      </c>
      <c r="F42" s="6">
        <v>215</v>
      </c>
      <c r="G42" s="6">
        <f>G33*C18</f>
        <v>315.9059061974877</v>
      </c>
    </row>
    <row r="43" spans="2:7" ht="13.5" customHeight="1">
      <c r="B43" s="4" t="s">
        <v>97</v>
      </c>
      <c r="C43" s="6">
        <v>100</v>
      </c>
      <c r="D43" s="6">
        <v>100</v>
      </c>
      <c r="E43" s="6">
        <v>105</v>
      </c>
      <c r="F43" s="6">
        <v>105</v>
      </c>
      <c r="G43" s="6">
        <f>G33*C5</f>
        <v>153.27978880588182</v>
      </c>
    </row>
    <row r="44" spans="2:7" ht="13.5" customHeight="1">
      <c r="B44" s="4" t="s">
        <v>98</v>
      </c>
      <c r="C44" s="6">
        <f>'NWC Schedule'!D19</f>
        <v>1026.8724277260271</v>
      </c>
      <c r="D44" s="6">
        <f>'NWC Schedule'!E19</f>
        <v>613.76993690794461</v>
      </c>
      <c r="E44" s="6">
        <f>'NWC Schedule'!F19</f>
        <v>570.91758865099837</v>
      </c>
      <c r="F44" s="6">
        <f>'NWC Schedule'!G19</f>
        <v>453.38362075587611</v>
      </c>
      <c r="G44" s="6">
        <f>'NWC Schedule'!H19</f>
        <v>370.86199605426009</v>
      </c>
    </row>
    <row r="45" spans="2:7" ht="13.5" customHeight="1">
      <c r="B45" s="4" t="s">
        <v>99</v>
      </c>
      <c r="C45" s="22">
        <f>C41+C42-C43-C44</f>
        <v>1942.9898832739718</v>
      </c>
      <c r="D45" s="22">
        <f>D41+D42-D43-D44</f>
        <v>2666.6206707543042</v>
      </c>
      <c r="E45" s="22">
        <f>E41+E42-E43-E44</f>
        <v>2976.001767657137</v>
      </c>
      <c r="F45" s="22">
        <f>F41+F42-F43-F44</f>
        <v>3328.6822296362666</v>
      </c>
      <c r="G45" s="22">
        <f>G41+G42-G43-G44</f>
        <v>3639.4775203554041</v>
      </c>
    </row>
    <row r="46" spans="2:7" ht="13.5" customHeight="1">
      <c r="B46" s="4" t="s">
        <v>100</v>
      </c>
      <c r="C46" s="23">
        <f>1/(1+C26)^(C19+0)</f>
        <v>0.97223908155185634</v>
      </c>
      <c r="D46" s="23">
        <f>1/(1+C26)^(C19+1)</f>
        <v>0.86869110217285239</v>
      </c>
      <c r="E46" s="23">
        <f>1/(1+C26)^(C19+2)</f>
        <v>0.77617146369983236</v>
      </c>
      <c r="F46" s="23">
        <f>1/(1+C26)^(C19+3)</f>
        <v>0.69350559658669797</v>
      </c>
      <c r="G46" s="23">
        <f>1/(1+C26)^(C19+4)</f>
        <v>0.61964402840126698</v>
      </c>
    </row>
    <row r="47" spans="2:7" ht="13.5" customHeight="1">
      <c r="B47" s="4" t="s">
        <v>101</v>
      </c>
      <c r="C47" s="21">
        <f>C45*C46</f>
        <v>1889.0506995788348</v>
      </c>
      <c r="D47" s="21">
        <f>D45*D46</f>
        <v>2316.4696495544677</v>
      </c>
      <c r="E47" s="21">
        <f>E45*E46</f>
        <v>2309.8876479757282</v>
      </c>
      <c r="F47" s="21">
        <f>F45*F46</f>
        <v>2308.4597555114392</v>
      </c>
      <c r="G47" s="21">
        <f>G45*G46</f>
        <v>2255.1805119888768</v>
      </c>
    </row>
    <row r="48" spans="2:7" ht="13.5" customHeight="1"/>
    <row r="49" spans="2:7" ht="13.5" customHeight="1">
      <c r="B49" s="24" t="s">
        <v>102</v>
      </c>
      <c r="C49" s="25"/>
      <c r="D49" s="25"/>
      <c r="E49" s="25"/>
      <c r="F49" s="25"/>
      <c r="G49" s="25"/>
    </row>
    <row r="50" spans="2:7" ht="13.5" customHeight="1">
      <c r="B50" s="4" t="s">
        <v>103</v>
      </c>
      <c r="C50" s="6">
        <f>SUM(C47:G47)</f>
        <v>11079.048264609348</v>
      </c>
    </row>
    <row r="51" spans="2:7" ht="13.5" customHeight="1">
      <c r="B51" s="4" t="s">
        <v>104</v>
      </c>
      <c r="C51" s="6">
        <f>G45*(1+C13)/(C26-C13)</f>
        <v>37422.04708429952</v>
      </c>
    </row>
    <row r="52" spans="2:7" ht="13.5" customHeight="1">
      <c r="B52" s="4" t="s">
        <v>105</v>
      </c>
      <c r="C52" s="6">
        <f>C51*G46</f>
        <v>23188.348006337241</v>
      </c>
    </row>
    <row r="53" spans="2:7" ht="13.5" customHeight="1">
      <c r="B53" s="4" t="s">
        <v>106</v>
      </c>
      <c r="C53" s="6">
        <f>C50+C52</f>
        <v>34267.396270946585</v>
      </c>
    </row>
    <row r="54" spans="2:7" ht="13.5" customHeight="1">
      <c r="B54" s="4" t="s">
        <v>107</v>
      </c>
      <c r="C54" s="6">
        <f>C53-C16</f>
        <v>41564.196270946588</v>
      </c>
    </row>
    <row r="55" spans="2:7" ht="13.5" customHeight="1">
      <c r="B55" s="4" t="s">
        <v>108</v>
      </c>
      <c r="C55" s="26">
        <f>ROUND(C54*1000000/C15,0)</f>
        <v>2893</v>
      </c>
    </row>
    <row r="56" spans="2:7" ht="13.5" customHeight="1"/>
    <row r="57" spans="2:7" ht="13.5" customHeight="1">
      <c r="B57" s="24" t="s">
        <v>109</v>
      </c>
      <c r="C57" s="25"/>
      <c r="D57" s="25"/>
      <c r="E57" s="25"/>
      <c r="F57" s="25"/>
      <c r="G57" s="25"/>
    </row>
    <row r="58" spans="2:7" ht="13.5" customHeight="1">
      <c r="B58" s="4" t="s">
        <v>103</v>
      </c>
      <c r="C58" s="6">
        <f>C50</f>
        <v>11079.048264609348</v>
      </c>
    </row>
    <row r="59" spans="2:7" ht="13.5" customHeight="1">
      <c r="B59" s="4" t="s">
        <v>110</v>
      </c>
      <c r="C59" s="6">
        <f>G39+G42</f>
        <v>5852.1841781659159</v>
      </c>
    </row>
    <row r="60" spans="2:7" ht="13.5" customHeight="1">
      <c r="B60" s="4" t="s">
        <v>111</v>
      </c>
      <c r="C60" s="6">
        <f>C59*C14</f>
        <v>46817.473425327327</v>
      </c>
    </row>
    <row r="61" spans="2:7" ht="13.5" customHeight="1">
      <c r="B61" s="4" t="s">
        <v>105</v>
      </c>
      <c r="C61" s="6">
        <f>C60*G46</f>
        <v>29010.167832839088</v>
      </c>
    </row>
    <row r="62" spans="2:7" ht="13.5" customHeight="1">
      <c r="B62" s="4" t="s">
        <v>106</v>
      </c>
      <c r="C62" s="6">
        <f>C58+C61</f>
        <v>40089.216097448436</v>
      </c>
    </row>
    <row r="63" spans="2:7" ht="13.5" customHeight="1">
      <c r="B63" s="4" t="s">
        <v>107</v>
      </c>
      <c r="C63" s="6">
        <f>C62-C16</f>
        <v>47386.016097448439</v>
      </c>
    </row>
    <row r="64" spans="2:7" ht="13.5" customHeight="1">
      <c r="B64" s="4" t="s">
        <v>112</v>
      </c>
      <c r="C64" s="26">
        <f>ROUND(C63*1000000/C15,0)</f>
        <v>3298</v>
      </c>
    </row>
    <row r="65" spans="2:2" ht="13.5" customHeight="1"/>
    <row r="66" spans="2:2" ht="13.5" customHeight="1">
      <c r="B66" s="2" t="s">
        <v>113</v>
      </c>
    </row>
  </sheetData>
  <phoneticPr fontId="53"/>
  <dataValidations count="1">
    <dataValidation type="list" sqref="C27" xr:uid="{00000000-0002-0000-0200-000000000000}">
      <formula1>"Base,Upside,Management,Downside 1,Downside 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1:H43"/>
  <sheetViews>
    <sheetView zoomScaleNormal="100" workbookViewId="0"/>
  </sheetViews>
  <sheetFormatPr defaultColWidth="8.54296875" defaultRowHeight="13"/>
  <cols>
    <col min="1" max="1" width="3" customWidth="1"/>
    <col min="2" max="2" width="28" customWidth="1"/>
    <col min="3" max="8" width="16" customWidth="1"/>
  </cols>
  <sheetData>
    <row r="1" spans="2:8" ht="13.5" customHeight="1"/>
    <row r="2" spans="2:8" ht="18" customHeight="1">
      <c r="B2" s="13" t="s">
        <v>114</v>
      </c>
    </row>
    <row r="3" spans="2:8" ht="13.5" customHeight="1"/>
    <row r="4" spans="2:8" ht="13.5" customHeight="1">
      <c r="B4" s="9" t="s">
        <v>115</v>
      </c>
      <c r="C4" s="27" t="s">
        <v>116</v>
      </c>
      <c r="D4" s="27" t="s">
        <v>84</v>
      </c>
      <c r="E4" s="27" t="s">
        <v>85</v>
      </c>
      <c r="F4" s="27" t="s">
        <v>86</v>
      </c>
      <c r="G4" s="27" t="s">
        <v>87</v>
      </c>
      <c r="H4" s="27" t="s">
        <v>88</v>
      </c>
    </row>
    <row r="5" spans="2:8" ht="13.5" customHeight="1">
      <c r="B5" s="28" t="s">
        <v>117</v>
      </c>
      <c r="C5" s="29">
        <f>C12/C9*365</f>
        <v>116.89298734761982</v>
      </c>
      <c r="D5" s="29">
        <f>CHOOSE('DCF Model'!$D$27,D25,D26,D27,D28,D29)</f>
        <v>115</v>
      </c>
      <c r="E5" s="29">
        <f>CHOOSE('DCF Model'!$D$27,E25,E26,E27,E28,E29)</f>
        <v>114</v>
      </c>
      <c r="F5" s="29">
        <f>CHOOSE('DCF Model'!$D$27,F25,F26,F27,F28,F29)</f>
        <v>114</v>
      </c>
      <c r="G5" s="29">
        <f>CHOOSE('DCF Model'!$D$27,G25,G26,G27,G28,G29)</f>
        <v>114</v>
      </c>
      <c r="H5" s="29">
        <f>CHOOSE('DCF Model'!$D$27,H25,H26,H27,H28,H29)</f>
        <v>114</v>
      </c>
    </row>
    <row r="6" spans="2:8" ht="13.5" customHeight="1">
      <c r="B6" s="28" t="s">
        <v>118</v>
      </c>
      <c r="C6" s="29">
        <f>C13/C10*365</f>
        <v>5.509364404461472</v>
      </c>
      <c r="D6" s="29">
        <f>CHOOSE('DCF Model'!$D$27,D32,D33,D34,D35,D36)</f>
        <v>6</v>
      </c>
      <c r="E6" s="29">
        <f>CHOOSE('DCF Model'!$D$27,E32,E33,E34,E35,E36)</f>
        <v>6</v>
      </c>
      <c r="F6" s="29">
        <f>CHOOSE('DCF Model'!$D$27,F32,F33,F34,F35,F36)</f>
        <v>6</v>
      </c>
      <c r="G6" s="29">
        <f>CHOOSE('DCF Model'!$D$27,G32,G33,G34,G35,G36)</f>
        <v>6</v>
      </c>
      <c r="H6" s="29">
        <f>CHOOSE('DCF Model'!$D$27,H32,H33,H34,H35,H36)</f>
        <v>6</v>
      </c>
    </row>
    <row r="7" spans="2:8" ht="13.5" customHeight="1">
      <c r="B7" s="28" t="s">
        <v>119</v>
      </c>
      <c r="C7" s="29">
        <f>C15/C10*365</f>
        <v>35.595819089048469</v>
      </c>
      <c r="D7" s="29">
        <f>CHOOSE('DCF Model'!$D$27,D39,D40,D41,D42,D43)</f>
        <v>35</v>
      </c>
      <c r="E7" s="29">
        <f>CHOOSE('DCF Model'!$D$27,E39,E40,E41,E42,E43)</f>
        <v>34</v>
      </c>
      <c r="F7" s="29">
        <f>CHOOSE('DCF Model'!$D$27,F39,F40,F41,F42,F43)</f>
        <v>34</v>
      </c>
      <c r="G7" s="29">
        <f>CHOOSE('DCF Model'!$D$27,G39,G40,G41,G42,G43)</f>
        <v>34</v>
      </c>
      <c r="H7" s="29">
        <f>CHOOSE('DCF Model'!$D$27,H39,H40,H41,H42,H43)</f>
        <v>34</v>
      </c>
    </row>
    <row r="8" spans="2:8" ht="13.5" customHeight="1">
      <c r="B8" s="9" t="s">
        <v>120</v>
      </c>
      <c r="C8" s="10"/>
      <c r="D8" s="10"/>
      <c r="E8" s="10"/>
      <c r="F8" s="10"/>
      <c r="G8" s="10"/>
      <c r="H8" s="10"/>
    </row>
    <row r="9" spans="2:8" ht="13.5" customHeight="1">
      <c r="B9" s="28" t="s">
        <v>37</v>
      </c>
      <c r="C9" s="30">
        <v>24599.166000000001</v>
      </c>
      <c r="D9" s="30">
        <f>'DCF Model'!C33</f>
        <v>28876.559999999998</v>
      </c>
      <c r="E9" s="30">
        <f>'DCF Model'!D33</f>
        <v>31351.980100000001</v>
      </c>
      <c r="F9" s="30">
        <f>'DCF Model'!E33</f>
        <v>33575.606451</v>
      </c>
      <c r="G9" s="30">
        <f>'DCF Model'!F33</f>
        <v>35341.458101510005</v>
      </c>
      <c r="H9" s="30">
        <f>'DCF Model'!G33</f>
        <v>36785.90213932511</v>
      </c>
    </row>
    <row r="10" spans="2:8" ht="13.5" customHeight="1">
      <c r="B10" s="28" t="s">
        <v>38</v>
      </c>
      <c r="C10" s="30">
        <v>17821.474999999999</v>
      </c>
      <c r="D10" s="30">
        <f>'DCF Model'!C34</f>
        <v>20921.067719999999</v>
      </c>
      <c r="E10" s="30">
        <f>'DCF Model'!D34</f>
        <v>22714.509582450002</v>
      </c>
      <c r="F10" s="30">
        <f>'DCF Model'!E34</f>
        <v>24325.526873749503</v>
      </c>
      <c r="G10" s="30">
        <f>'DCF Model'!F34</f>
        <v>25604.886394543999</v>
      </c>
      <c r="H10" s="30">
        <f>'DCF Model'!G34</f>
        <v>26651.386099941043</v>
      </c>
    </row>
    <row r="11" spans="2:8" ht="13.5" customHeight="1">
      <c r="B11" s="9" t="s">
        <v>121</v>
      </c>
      <c r="C11" s="10"/>
      <c r="D11" s="10"/>
      <c r="E11" s="10"/>
      <c r="F11" s="10"/>
      <c r="G11" s="10"/>
      <c r="H11" s="10"/>
    </row>
    <row r="12" spans="2:8" ht="13.5" customHeight="1">
      <c r="B12" s="28" t="s">
        <v>122</v>
      </c>
      <c r="C12" s="30">
        <v>7878</v>
      </c>
      <c r="D12" s="30">
        <f t="shared" ref="D12:H13" si="0">D9*D5/365</f>
        <v>9098.0942465753415</v>
      </c>
      <c r="E12" s="30">
        <f t="shared" si="0"/>
        <v>9792.125291506849</v>
      </c>
      <c r="F12" s="30">
        <f t="shared" si="0"/>
        <v>10486.627768257535</v>
      </c>
      <c r="G12" s="30">
        <f t="shared" si="0"/>
        <v>11038.154037183947</v>
      </c>
      <c r="H12" s="30">
        <f t="shared" si="0"/>
        <v>11489.295462693322</v>
      </c>
    </row>
    <row r="13" spans="2:8" ht="13.5" customHeight="1">
      <c r="B13" s="28" t="s">
        <v>123</v>
      </c>
      <c r="C13" s="30">
        <v>269</v>
      </c>
      <c r="D13" s="30">
        <f t="shared" si="0"/>
        <v>343.90796252054793</v>
      </c>
      <c r="E13" s="30">
        <f t="shared" si="0"/>
        <v>373.38919861561646</v>
      </c>
      <c r="F13" s="30">
        <f t="shared" si="0"/>
        <v>399.87167463697813</v>
      </c>
      <c r="G13" s="30">
        <f t="shared" si="0"/>
        <v>420.90224210209317</v>
      </c>
      <c r="H13" s="30">
        <f t="shared" si="0"/>
        <v>438.1049769853322</v>
      </c>
    </row>
    <row r="14" spans="2:8" ht="13.5" customHeight="1">
      <c r="B14" s="28" t="s">
        <v>124</v>
      </c>
      <c r="C14" s="30">
        <f t="shared" ref="C14:H14" si="1">C12+C13</f>
        <v>8147</v>
      </c>
      <c r="D14" s="30">
        <f t="shared" si="1"/>
        <v>9442.0022090958901</v>
      </c>
      <c r="E14" s="30">
        <f t="shared" si="1"/>
        <v>10165.514490122465</v>
      </c>
      <c r="F14" s="30">
        <f t="shared" si="1"/>
        <v>10886.499442894512</v>
      </c>
      <c r="G14" s="30">
        <f t="shared" si="1"/>
        <v>11459.05627928604</v>
      </c>
      <c r="H14" s="30">
        <f t="shared" si="1"/>
        <v>11927.400439678655</v>
      </c>
    </row>
    <row r="15" spans="2:8" ht="13.5" customHeight="1">
      <c r="B15" s="28" t="s">
        <v>125</v>
      </c>
      <c r="C15" s="30">
        <v>1738</v>
      </c>
      <c r="D15" s="30">
        <f>D10*D7/365</f>
        <v>2006.1297813698629</v>
      </c>
      <c r="E15" s="30">
        <f>E10*E7/365</f>
        <v>2115.8721254884936</v>
      </c>
      <c r="F15" s="30">
        <f>F10*F7/365</f>
        <v>2265.9394896095428</v>
      </c>
      <c r="G15" s="30">
        <f>G10*G7/365</f>
        <v>2385.1127052451943</v>
      </c>
      <c r="H15" s="30">
        <f>H10*H7/365</f>
        <v>2482.5948695835491</v>
      </c>
    </row>
    <row r="16" spans="2:8" ht="13.5" customHeight="1">
      <c r="B16" s="28" t="s">
        <v>126</v>
      </c>
      <c r="C16" s="30">
        <f t="shared" ref="C16:H16" si="2">C15</f>
        <v>1738</v>
      </c>
      <c r="D16" s="30">
        <f t="shared" si="2"/>
        <v>2006.1297813698629</v>
      </c>
      <c r="E16" s="30">
        <f t="shared" si="2"/>
        <v>2115.8721254884936</v>
      </c>
      <c r="F16" s="30">
        <f t="shared" si="2"/>
        <v>2265.9394896095428</v>
      </c>
      <c r="G16" s="30">
        <f t="shared" si="2"/>
        <v>2385.1127052451943</v>
      </c>
      <c r="H16" s="30">
        <f t="shared" si="2"/>
        <v>2482.5948695835491</v>
      </c>
    </row>
    <row r="17" spans="2:8" ht="13.5" customHeight="1">
      <c r="B17" s="24" t="s">
        <v>127</v>
      </c>
      <c r="C17" s="25"/>
      <c r="D17" s="25"/>
      <c r="E17" s="25"/>
      <c r="F17" s="25"/>
      <c r="G17" s="25"/>
      <c r="H17" s="25"/>
    </row>
    <row r="18" spans="2:8" ht="13.5" customHeight="1">
      <c r="B18" s="28" t="s">
        <v>128</v>
      </c>
      <c r="C18" s="22">
        <f t="shared" ref="C18:H18" si="3">C14-C16</f>
        <v>6409</v>
      </c>
      <c r="D18" s="22">
        <f t="shared" si="3"/>
        <v>7435.8724277260271</v>
      </c>
      <c r="E18" s="22">
        <f t="shared" si="3"/>
        <v>8049.6423646339717</v>
      </c>
      <c r="F18" s="22">
        <f t="shared" si="3"/>
        <v>8620.5599532849701</v>
      </c>
      <c r="G18" s="22">
        <f t="shared" si="3"/>
        <v>9073.9435740408462</v>
      </c>
      <c r="H18" s="22">
        <f t="shared" si="3"/>
        <v>9444.8055700951063</v>
      </c>
    </row>
    <row r="19" spans="2:8" ht="13.5" customHeight="1">
      <c r="B19" s="28" t="s">
        <v>98</v>
      </c>
      <c r="C19" s="31" t="s">
        <v>47</v>
      </c>
      <c r="D19" s="26">
        <f>D18-C18</f>
        <v>1026.8724277260271</v>
      </c>
      <c r="E19" s="26">
        <f>E18-D18</f>
        <v>613.76993690794461</v>
      </c>
      <c r="F19" s="26">
        <f>F18-E18</f>
        <v>570.91758865099837</v>
      </c>
      <c r="G19" s="26">
        <f>G18-F18</f>
        <v>453.38362075587611</v>
      </c>
      <c r="H19" s="26">
        <f>H18-G18</f>
        <v>370.86199605426009</v>
      </c>
    </row>
    <row r="20" spans="2:8" ht="13.5" customHeight="1"/>
    <row r="21" spans="2:8" ht="13.5" customHeight="1"/>
    <row r="22" spans="2:8" ht="13.5" customHeight="1">
      <c r="B22" s="24" t="s">
        <v>129</v>
      </c>
      <c r="C22" s="25"/>
      <c r="D22" s="25"/>
      <c r="E22" s="25"/>
      <c r="F22" s="25"/>
      <c r="G22" s="25"/>
      <c r="H22" s="25"/>
    </row>
    <row r="23" spans="2:8" ht="13.5" customHeight="1">
      <c r="D23" s="32" t="s">
        <v>84</v>
      </c>
      <c r="E23" s="32" t="s">
        <v>85</v>
      </c>
      <c r="F23" s="32" t="s">
        <v>86</v>
      </c>
      <c r="G23" s="32" t="s">
        <v>87</v>
      </c>
      <c r="H23" s="32" t="s">
        <v>88</v>
      </c>
    </row>
    <row r="24" spans="2:8" ht="13.5" customHeight="1">
      <c r="B24" s="3" t="s">
        <v>130</v>
      </c>
    </row>
    <row r="25" spans="2:8" ht="13.5" customHeight="1">
      <c r="B25" s="4" t="s">
        <v>82</v>
      </c>
      <c r="D25" s="33">
        <v>115</v>
      </c>
      <c r="E25" s="33">
        <v>114</v>
      </c>
      <c r="F25" s="33">
        <v>114</v>
      </c>
      <c r="G25" s="33">
        <v>114</v>
      </c>
      <c r="H25" s="33">
        <v>114</v>
      </c>
    </row>
    <row r="26" spans="2:8" ht="13.5" customHeight="1">
      <c r="B26" s="4" t="s">
        <v>131</v>
      </c>
      <c r="D26" s="33">
        <v>113</v>
      </c>
      <c r="E26" s="33">
        <v>111</v>
      </c>
      <c r="F26" s="33">
        <v>109</v>
      </c>
      <c r="G26" s="33">
        <v>107</v>
      </c>
      <c r="H26" s="33">
        <v>107</v>
      </c>
    </row>
    <row r="27" spans="2:8" ht="13.5" customHeight="1">
      <c r="B27" s="4" t="s">
        <v>132</v>
      </c>
      <c r="D27" s="33">
        <v>116</v>
      </c>
      <c r="E27" s="33">
        <v>115</v>
      </c>
      <c r="F27" s="33">
        <v>115</v>
      </c>
      <c r="G27" s="33">
        <v>115</v>
      </c>
      <c r="H27" s="33">
        <v>115</v>
      </c>
    </row>
    <row r="28" spans="2:8" ht="13.5" customHeight="1">
      <c r="B28" s="4" t="s">
        <v>133</v>
      </c>
      <c r="D28" s="33">
        <v>118</v>
      </c>
      <c r="E28" s="33">
        <v>119</v>
      </c>
      <c r="F28" s="33">
        <v>120</v>
      </c>
      <c r="G28" s="33">
        <v>120</v>
      </c>
      <c r="H28" s="33">
        <v>120</v>
      </c>
    </row>
    <row r="29" spans="2:8" ht="13.5" customHeight="1">
      <c r="B29" s="4" t="s">
        <v>134</v>
      </c>
      <c r="D29" s="33">
        <v>120</v>
      </c>
      <c r="E29" s="33">
        <v>122</v>
      </c>
      <c r="F29" s="33">
        <v>124</v>
      </c>
      <c r="G29" s="33">
        <v>125</v>
      </c>
      <c r="H29" s="33">
        <v>125</v>
      </c>
    </row>
    <row r="30" spans="2:8" ht="13.5" customHeight="1"/>
    <row r="31" spans="2:8" ht="13.5" customHeight="1">
      <c r="B31" s="3" t="s">
        <v>135</v>
      </c>
    </row>
    <row r="32" spans="2:8" ht="13.5" customHeight="1">
      <c r="B32" s="4" t="s">
        <v>82</v>
      </c>
      <c r="D32" s="33">
        <v>6</v>
      </c>
      <c r="E32" s="33">
        <v>6</v>
      </c>
      <c r="F32" s="33">
        <v>6</v>
      </c>
      <c r="G32" s="33">
        <v>6</v>
      </c>
      <c r="H32" s="33">
        <v>6</v>
      </c>
    </row>
    <row r="33" spans="2:8" ht="13.5" customHeight="1">
      <c r="B33" s="4" t="s">
        <v>131</v>
      </c>
      <c r="D33" s="33">
        <v>5.5</v>
      </c>
      <c r="E33" s="33">
        <v>5.5</v>
      </c>
      <c r="F33" s="33">
        <v>5.5</v>
      </c>
      <c r="G33" s="33">
        <v>5.5</v>
      </c>
      <c r="H33" s="33">
        <v>5.5</v>
      </c>
    </row>
    <row r="34" spans="2:8" ht="13.5" customHeight="1">
      <c r="B34" s="4" t="s">
        <v>132</v>
      </c>
      <c r="D34" s="33">
        <v>6</v>
      </c>
      <c r="E34" s="33">
        <v>6</v>
      </c>
      <c r="F34" s="33">
        <v>6</v>
      </c>
      <c r="G34" s="33">
        <v>6</v>
      </c>
      <c r="H34" s="33">
        <v>6</v>
      </c>
    </row>
    <row r="35" spans="2:8" ht="13.5" customHeight="1">
      <c r="B35" s="4" t="s">
        <v>133</v>
      </c>
      <c r="D35" s="33">
        <v>6.5</v>
      </c>
      <c r="E35" s="33">
        <v>6.5</v>
      </c>
      <c r="F35" s="33">
        <v>7</v>
      </c>
      <c r="G35" s="33">
        <v>7</v>
      </c>
      <c r="H35" s="33">
        <v>7</v>
      </c>
    </row>
    <row r="36" spans="2:8" ht="13.5" customHeight="1">
      <c r="B36" s="4" t="s">
        <v>134</v>
      </c>
      <c r="D36" s="33">
        <v>7</v>
      </c>
      <c r="E36" s="33">
        <v>7</v>
      </c>
      <c r="F36" s="33">
        <v>7.5</v>
      </c>
      <c r="G36" s="33">
        <v>7.5</v>
      </c>
      <c r="H36" s="33">
        <v>7.5</v>
      </c>
    </row>
    <row r="37" spans="2:8" ht="13.5" customHeight="1"/>
    <row r="38" spans="2:8" ht="13.5" customHeight="1">
      <c r="B38" s="3" t="s">
        <v>136</v>
      </c>
    </row>
    <row r="39" spans="2:8" ht="13.5" customHeight="1">
      <c r="B39" s="4" t="s">
        <v>82</v>
      </c>
      <c r="D39" s="33">
        <v>35</v>
      </c>
      <c r="E39" s="33">
        <v>34</v>
      </c>
      <c r="F39" s="33">
        <v>34</v>
      </c>
      <c r="G39" s="33">
        <v>34</v>
      </c>
      <c r="H39" s="33">
        <v>34</v>
      </c>
    </row>
    <row r="40" spans="2:8" ht="13.5" customHeight="1">
      <c r="B40" s="4" t="s">
        <v>131</v>
      </c>
      <c r="D40" s="33">
        <v>36</v>
      </c>
      <c r="E40" s="33">
        <v>37</v>
      </c>
      <c r="F40" s="33">
        <v>38</v>
      </c>
      <c r="G40" s="33">
        <v>38</v>
      </c>
      <c r="H40" s="33">
        <v>38</v>
      </c>
    </row>
    <row r="41" spans="2:8" ht="13.5" customHeight="1">
      <c r="B41" s="4" t="s">
        <v>132</v>
      </c>
      <c r="D41" s="33">
        <v>35</v>
      </c>
      <c r="E41" s="33">
        <v>35</v>
      </c>
      <c r="F41" s="33">
        <v>35</v>
      </c>
      <c r="G41" s="33">
        <v>35</v>
      </c>
      <c r="H41" s="33">
        <v>35</v>
      </c>
    </row>
    <row r="42" spans="2:8" ht="13.5" customHeight="1">
      <c r="B42" s="4" t="s">
        <v>133</v>
      </c>
      <c r="D42" s="33">
        <v>34</v>
      </c>
      <c r="E42" s="33">
        <v>33</v>
      </c>
      <c r="F42" s="33">
        <v>33</v>
      </c>
      <c r="G42" s="33">
        <v>33</v>
      </c>
      <c r="H42" s="33">
        <v>33</v>
      </c>
    </row>
    <row r="43" spans="2:8" ht="13.5" customHeight="1">
      <c r="B43" s="4" t="s">
        <v>134</v>
      </c>
      <c r="D43" s="33">
        <v>33</v>
      </c>
      <c r="E43" s="33">
        <v>32</v>
      </c>
      <c r="F43" s="33">
        <v>32</v>
      </c>
      <c r="G43" s="33">
        <v>32</v>
      </c>
      <c r="H43" s="33">
        <v>32</v>
      </c>
    </row>
  </sheetData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1:O28"/>
  <sheetViews>
    <sheetView zoomScaleNormal="100" workbookViewId="0"/>
  </sheetViews>
  <sheetFormatPr defaultColWidth="8.54296875" defaultRowHeight="13"/>
  <cols>
    <col min="1" max="1" width="3" customWidth="1"/>
    <col min="2" max="2" width="16" customWidth="1"/>
    <col min="3" max="3" width="10" customWidth="1"/>
    <col min="4" max="15" width="12" customWidth="1"/>
  </cols>
  <sheetData>
    <row r="1" spans="2:15" ht="13.5" customHeight="1"/>
    <row r="2" spans="2:15" ht="18" customHeight="1">
      <c r="B2" s="13" t="s">
        <v>137</v>
      </c>
    </row>
    <row r="3" spans="2:15" ht="13.5" customHeight="1"/>
    <row r="4" spans="2:15" ht="27.75" customHeight="1">
      <c r="B4" s="11" t="s">
        <v>3</v>
      </c>
      <c r="C4" s="11" t="s">
        <v>5</v>
      </c>
      <c r="D4" s="11" t="s">
        <v>138</v>
      </c>
      <c r="E4" s="11" t="s">
        <v>139</v>
      </c>
      <c r="F4" s="11" t="s">
        <v>140</v>
      </c>
      <c r="G4" s="11" t="s">
        <v>141</v>
      </c>
      <c r="H4" s="11" t="s">
        <v>142</v>
      </c>
      <c r="I4" s="11" t="s">
        <v>143</v>
      </c>
      <c r="J4" s="11" t="s">
        <v>144</v>
      </c>
      <c r="K4" s="11" t="s">
        <v>145</v>
      </c>
      <c r="L4" s="11" t="s">
        <v>146</v>
      </c>
      <c r="M4" s="11" t="s">
        <v>147</v>
      </c>
      <c r="N4" s="11" t="s">
        <v>148</v>
      </c>
      <c r="O4" s="11" t="s">
        <v>149</v>
      </c>
    </row>
    <row r="5" spans="2:15" ht="13.5" customHeight="1">
      <c r="B5" s="4" t="s">
        <v>150</v>
      </c>
      <c r="C5" t="s">
        <v>151</v>
      </c>
      <c r="D5" s="34">
        <v>147986.710528</v>
      </c>
      <c r="E5" s="34">
        <v>149536.710528</v>
      </c>
      <c r="F5" s="34">
        <v>92410</v>
      </c>
      <c r="G5" s="34">
        <v>15820</v>
      </c>
      <c r="H5" s="34">
        <v>15360</v>
      </c>
      <c r="I5" s="34">
        <v>11250</v>
      </c>
      <c r="J5" s="35">
        <f>E5/G5</f>
        <v>9.4523837249051823</v>
      </c>
      <c r="K5" s="35">
        <f>E5/F5</f>
        <v>1.6181875395303538</v>
      </c>
      <c r="L5" s="35">
        <f>D5/I5</f>
        <v>13.154374269155555</v>
      </c>
      <c r="M5" s="35">
        <v>4.4912506988770904</v>
      </c>
      <c r="N5" s="36">
        <f>H5/F5</f>
        <v>0.16621577751325614</v>
      </c>
      <c r="O5" s="36">
        <v>0.34142640364188198</v>
      </c>
    </row>
    <row r="6" spans="2:15" ht="13.5" customHeight="1">
      <c r="B6" s="4" t="s">
        <v>152</v>
      </c>
      <c r="C6" t="s">
        <v>153</v>
      </c>
      <c r="D6" s="34">
        <v>60200.480768000001</v>
      </c>
      <c r="E6" s="34">
        <v>60270.480768000001</v>
      </c>
      <c r="F6" s="34">
        <v>54700</v>
      </c>
      <c r="G6" s="34">
        <v>8490</v>
      </c>
      <c r="H6" s="34">
        <v>8300</v>
      </c>
      <c r="I6" s="34">
        <v>5000</v>
      </c>
      <c r="J6" s="35">
        <f>E6/G6</f>
        <v>7.0989965568904596</v>
      </c>
      <c r="K6" s="35">
        <f>E6/F6</f>
        <v>1.1018369427422303</v>
      </c>
      <c r="L6" s="35">
        <f>D6/I6</f>
        <v>12.0400961536</v>
      </c>
      <c r="M6" s="35">
        <v>1.9355200709899401</v>
      </c>
      <c r="N6" s="36">
        <f>H6/F6</f>
        <v>0.15173674588665448</v>
      </c>
      <c r="O6" s="36">
        <v>0.16075619715139999</v>
      </c>
    </row>
    <row r="7" spans="2:15" ht="13.5" customHeight="1">
      <c r="B7" s="4" t="s">
        <v>154</v>
      </c>
      <c r="C7" t="s">
        <v>155</v>
      </c>
      <c r="D7" s="34">
        <v>61796.72064</v>
      </c>
      <c r="E7" s="34">
        <v>62146.72064</v>
      </c>
      <c r="F7" s="34">
        <v>65000</v>
      </c>
      <c r="G7" s="34">
        <v>8018</v>
      </c>
      <c r="H7" s="34">
        <v>7200</v>
      </c>
      <c r="I7" s="34">
        <v>5150</v>
      </c>
      <c r="J7" s="35">
        <f>E7/G7</f>
        <v>7.750900553754053</v>
      </c>
      <c r="K7" s="35">
        <f>E7/F7</f>
        <v>0.95610339446153847</v>
      </c>
      <c r="L7" s="35">
        <f>D7/I7</f>
        <v>11.999363231067962</v>
      </c>
      <c r="M7" s="35">
        <v>1.5295839370312601</v>
      </c>
      <c r="N7" s="36">
        <f>H7/F7</f>
        <v>0.11076923076923077</v>
      </c>
      <c r="O7" s="36">
        <v>0.12747209227494399</v>
      </c>
    </row>
    <row r="8" spans="2:15" ht="13.5" customHeight="1">
      <c r="B8" s="4" t="s">
        <v>156</v>
      </c>
      <c r="C8" t="s">
        <v>157</v>
      </c>
      <c r="D8" s="34">
        <v>58446.2336</v>
      </c>
      <c r="E8" s="34">
        <v>55946.2336</v>
      </c>
      <c r="F8" s="34">
        <v>48000</v>
      </c>
      <c r="G8" s="34">
        <v>6800</v>
      </c>
      <c r="H8" s="34">
        <v>5200</v>
      </c>
      <c r="I8" s="34">
        <v>3600</v>
      </c>
      <c r="J8" s="35">
        <f>E8/G8</f>
        <v>8.2273872941176478</v>
      </c>
      <c r="K8" s="35">
        <f>E8/F8</f>
        <v>1.1655465333333332</v>
      </c>
      <c r="L8" s="35">
        <f>D8/I8</f>
        <v>16.235064888888889</v>
      </c>
      <c r="M8" s="35">
        <v>2.6566469818181799</v>
      </c>
      <c r="N8" s="36">
        <f>H8/F8</f>
        <v>0.10833333333333334</v>
      </c>
      <c r="O8" s="36">
        <v>0.163636363636364</v>
      </c>
    </row>
    <row r="9" spans="2:15" ht="13.5" customHeight="1">
      <c r="B9" s="4" t="s">
        <v>158</v>
      </c>
      <c r="C9" t="s">
        <v>159</v>
      </c>
      <c r="D9" s="34">
        <v>165563.46572800001</v>
      </c>
      <c r="E9" s="34">
        <v>162563.46572800001</v>
      </c>
      <c r="F9" s="34">
        <v>47000</v>
      </c>
      <c r="G9" s="34">
        <v>7500</v>
      </c>
      <c r="H9" s="34">
        <v>5700</v>
      </c>
      <c r="I9" s="34">
        <v>3900</v>
      </c>
      <c r="J9" s="35">
        <f>E9/G9</f>
        <v>21.675128763733333</v>
      </c>
      <c r="K9" s="35">
        <f>E9/F9</f>
        <v>3.4587971431489364</v>
      </c>
      <c r="L9" s="35">
        <f>D9/I9</f>
        <v>42.452170699487183</v>
      </c>
      <c r="M9" s="35">
        <v>5.9129809188571398</v>
      </c>
      <c r="N9" s="36">
        <f>H9/F9</f>
        <v>0.12127659574468085</v>
      </c>
      <c r="O9" s="36">
        <v>0.13928571428571401</v>
      </c>
    </row>
    <row r="10" spans="2:15" ht="13.5" customHeight="1"/>
    <row r="11" spans="2:15" ht="13.5" customHeight="1"/>
    <row r="12" spans="2:15" ht="13.5" customHeight="1"/>
    <row r="13" spans="2:15" ht="13.5" customHeight="1"/>
    <row r="14" spans="2:15" ht="13.5" customHeight="1">
      <c r="B14" s="3" t="s">
        <v>160</v>
      </c>
    </row>
    <row r="15" spans="2:15" ht="13.5" customHeight="1">
      <c r="B15" s="4" t="s">
        <v>161</v>
      </c>
      <c r="D15" s="35">
        <f t="shared" ref="D15:I15" si="0">PERCENTILE(J5:J9,0.25)</f>
        <v>7.750900553754053</v>
      </c>
      <c r="E15" s="35">
        <f t="shared" si="0"/>
        <v>1.1018369427422303</v>
      </c>
      <c r="F15" s="35">
        <f t="shared" si="0"/>
        <v>12.0400961536</v>
      </c>
      <c r="G15" s="35">
        <f t="shared" si="0"/>
        <v>1.9355200709899401</v>
      </c>
      <c r="H15" s="36">
        <f t="shared" si="0"/>
        <v>0.11076923076923077</v>
      </c>
      <c r="I15" s="36">
        <f t="shared" si="0"/>
        <v>0.13928571428571401</v>
      </c>
    </row>
    <row r="16" spans="2:15" ht="13.5" customHeight="1">
      <c r="B16" s="4" t="s">
        <v>162</v>
      </c>
      <c r="D16" s="35">
        <f t="shared" ref="D16:I16" si="1">MEDIAN(J5:J9)</f>
        <v>8.2273872941176478</v>
      </c>
      <c r="E16" s="35">
        <f t="shared" si="1"/>
        <v>1.1655465333333332</v>
      </c>
      <c r="F16" s="35">
        <f t="shared" si="1"/>
        <v>13.154374269155555</v>
      </c>
      <c r="G16" s="35">
        <f t="shared" si="1"/>
        <v>2.6566469818181799</v>
      </c>
      <c r="H16" s="36">
        <f t="shared" si="1"/>
        <v>0.12127659574468085</v>
      </c>
      <c r="I16" s="36">
        <f t="shared" si="1"/>
        <v>0.16075619715139999</v>
      </c>
    </row>
    <row r="17" spans="2:9" ht="13.5" customHeight="1">
      <c r="B17" s="4" t="s">
        <v>163</v>
      </c>
      <c r="D17" s="35">
        <f t="shared" ref="D17:I17" si="2">PERCENTILE(J5:J9,0.75)</f>
        <v>9.4523837249051823</v>
      </c>
      <c r="E17" s="35">
        <f t="shared" si="2"/>
        <v>1.6181875395303538</v>
      </c>
      <c r="F17" s="35">
        <f t="shared" si="2"/>
        <v>16.235064888888889</v>
      </c>
      <c r="G17" s="35">
        <f t="shared" si="2"/>
        <v>4.4912506988770904</v>
      </c>
      <c r="H17" s="36">
        <f t="shared" si="2"/>
        <v>0.15173674588665448</v>
      </c>
      <c r="I17" s="36">
        <f t="shared" si="2"/>
        <v>0.163636363636364</v>
      </c>
    </row>
    <row r="18" spans="2:9" ht="13.5" customHeight="1"/>
    <row r="19" spans="2:9" ht="13.5" customHeight="1">
      <c r="B19" s="24" t="s">
        <v>164</v>
      </c>
      <c r="C19" s="25"/>
      <c r="D19" s="25"/>
      <c r="E19" s="25"/>
      <c r="F19" s="25"/>
      <c r="G19" s="25"/>
      <c r="H19" s="25"/>
      <c r="I19" s="25"/>
    </row>
    <row r="20" spans="2:9" ht="13.5" customHeight="1">
      <c r="B20" s="37" t="s">
        <v>165</v>
      </c>
    </row>
    <row r="21" spans="2:9" ht="13.5" customHeight="1">
      <c r="B21" s="4" t="s">
        <v>166</v>
      </c>
      <c r="C21" s="6">
        <v>3391</v>
      </c>
    </row>
    <row r="22" spans="2:9" ht="13.5" customHeight="1">
      <c r="B22" s="4" t="s">
        <v>167</v>
      </c>
      <c r="C22" s="6">
        <v>2207</v>
      </c>
    </row>
    <row r="23" spans="2:9" ht="13.5" customHeight="1">
      <c r="B23" s="4" t="s">
        <v>168</v>
      </c>
      <c r="C23" s="17">
        <v>14368501</v>
      </c>
    </row>
    <row r="24" spans="2:9" ht="13.5" customHeight="1">
      <c r="B24" s="4" t="s">
        <v>71</v>
      </c>
      <c r="C24" s="6">
        <v>-7296.8</v>
      </c>
    </row>
    <row r="25" spans="2:9" ht="13.5" customHeight="1"/>
    <row r="26" spans="2:9" ht="13.5" customHeight="1">
      <c r="B26" s="3" t="s">
        <v>169</v>
      </c>
    </row>
    <row r="27" spans="2:9" ht="13.5" customHeight="1">
      <c r="B27" s="4" t="s">
        <v>170</v>
      </c>
      <c r="C27" s="26">
        <f>ROUND((C21*D16-C24)*1000000/C23,0)</f>
        <v>2450</v>
      </c>
    </row>
    <row r="28" spans="2:9" ht="13.5" customHeight="1">
      <c r="B28" s="4" t="s">
        <v>171</v>
      </c>
      <c r="C28" s="26">
        <f>ROUND(C22*F16*1000000/C23,0)</f>
        <v>2021</v>
      </c>
    </row>
  </sheetData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1:I26"/>
  <sheetViews>
    <sheetView zoomScaleNormal="100" workbookViewId="0"/>
  </sheetViews>
  <sheetFormatPr defaultColWidth="8.54296875" defaultRowHeight="13"/>
  <cols>
    <col min="1" max="1" width="3" customWidth="1"/>
    <col min="2" max="2" width="24" customWidth="1"/>
    <col min="3" max="9" width="14" customWidth="1"/>
  </cols>
  <sheetData>
    <row r="1" spans="2:9" ht="13.5" customHeight="1"/>
    <row r="2" spans="2:9" ht="18" customHeight="1">
      <c r="B2" s="13" t="s">
        <v>172</v>
      </c>
    </row>
    <row r="3" spans="2:9" ht="13.5" customHeight="1">
      <c r="B3" s="4" t="s">
        <v>173</v>
      </c>
      <c r="C3" s="18">
        <f>'DCF Model'!C26</f>
        <v>0.1192</v>
      </c>
      <c r="E3" s="4" t="s">
        <v>174</v>
      </c>
      <c r="F3" s="18">
        <f>'DCF Model'!C13</f>
        <v>0.02</v>
      </c>
      <c r="H3" s="4" t="s">
        <v>175</v>
      </c>
      <c r="I3" s="16">
        <f>'DCF Model'!C14</f>
        <v>8</v>
      </c>
    </row>
    <row r="4" spans="2:9" ht="13.5" customHeight="1"/>
    <row r="5" spans="2:9" ht="13.5" customHeight="1">
      <c r="B5" s="3" t="s">
        <v>176</v>
      </c>
    </row>
    <row r="6" spans="2:9" ht="13.5" customHeight="1">
      <c r="B6" s="38" t="s">
        <v>177</v>
      </c>
      <c r="C6" s="39">
        <f>$F$3-0.0075</f>
        <v>1.2500000000000001E-2</v>
      </c>
      <c r="D6" s="39">
        <f>$F$3-0.005</f>
        <v>1.4999999999999999E-2</v>
      </c>
      <c r="E6" s="39">
        <f>$F$3-0.0025</f>
        <v>1.7500000000000002E-2</v>
      </c>
      <c r="F6" s="39">
        <f>$F$3</f>
        <v>0.02</v>
      </c>
      <c r="G6" s="39">
        <f>$F$3+0.0025</f>
        <v>2.2499999999999999E-2</v>
      </c>
      <c r="H6" s="39">
        <f>$F$3+0.005</f>
        <v>2.5000000000000001E-2</v>
      </c>
      <c r="I6" s="39">
        <f>$F$3+0.0075</f>
        <v>2.75E-2</v>
      </c>
    </row>
    <row r="7" spans="2:9" ht="13.5" customHeight="1">
      <c r="B7" s="36">
        <f>$C$3-0.015</f>
        <v>0.1042</v>
      </c>
      <c r="C7" s="34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3139</v>
      </c>
      <c r="D7" s="34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3195</v>
      </c>
      <c r="E7" s="34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3254</v>
      </c>
      <c r="F7" s="34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3317</v>
      </c>
      <c r="G7" s="34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3384</v>
      </c>
      <c r="H7" s="34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3455</v>
      </c>
      <c r="I7" s="34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3530</v>
      </c>
    </row>
    <row r="8" spans="2:9" ht="13.5" customHeight="1">
      <c r="B8" s="36">
        <f>$C$3-0.01</f>
        <v>0.10920000000000001</v>
      </c>
      <c r="C8" s="34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3002</v>
      </c>
      <c r="D8" s="34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3052</v>
      </c>
      <c r="E8" s="34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3104</v>
      </c>
      <c r="F8" s="34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3160</v>
      </c>
      <c r="G8" s="34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3218</v>
      </c>
      <c r="H8" s="34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3280</v>
      </c>
      <c r="I8" s="34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3346</v>
      </c>
    </row>
    <row r="9" spans="2:9" ht="13.5" customHeight="1">
      <c r="B9" s="36">
        <f>$C$3-0.005</f>
        <v>0.1142</v>
      </c>
      <c r="C9" s="34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2880</v>
      </c>
      <c r="D9" s="34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2924</v>
      </c>
      <c r="E9" s="34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2970</v>
      </c>
      <c r="F9" s="34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3019</v>
      </c>
      <c r="G9" s="34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3071</v>
      </c>
      <c r="H9" s="34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3125</v>
      </c>
      <c r="I9" s="34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3183</v>
      </c>
    </row>
    <row r="10" spans="2:9" ht="13.5" customHeight="1">
      <c r="B10" s="36">
        <f>$C$3</f>
        <v>0.1192</v>
      </c>
      <c r="C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2768</v>
      </c>
      <c r="D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2808</v>
      </c>
      <c r="E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2849</v>
      </c>
      <c r="F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2893</v>
      </c>
      <c r="G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2939</v>
      </c>
      <c r="H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2987</v>
      </c>
      <c r="I10" s="34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3038</v>
      </c>
    </row>
    <row r="11" spans="2:9" ht="13.5" customHeight="1">
      <c r="B11" s="36">
        <f>$C$3+0.005</f>
        <v>0.1242</v>
      </c>
      <c r="C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2667</v>
      </c>
      <c r="D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2702</v>
      </c>
      <c r="E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2740</v>
      </c>
      <c r="F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2779</v>
      </c>
      <c r="G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2819</v>
      </c>
      <c r="H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2862</v>
      </c>
      <c r="I11" s="34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2907</v>
      </c>
    </row>
    <row r="12" spans="2:9" ht="13.5" customHeight="1">
      <c r="B12" s="36">
        <f>$C$3+0.01</f>
        <v>0.12920000000000001</v>
      </c>
      <c r="C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2574</v>
      </c>
      <c r="D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2606</v>
      </c>
      <c r="E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2640</v>
      </c>
      <c r="F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2675</v>
      </c>
      <c r="G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2712</v>
      </c>
      <c r="H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2750</v>
      </c>
      <c r="I12" s="34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2790</v>
      </c>
    </row>
    <row r="13" spans="2:9" ht="13.5" customHeight="1">
      <c r="B13" s="36">
        <f>$C$3+0.015</f>
        <v>0.13419999999999999</v>
      </c>
      <c r="C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2490</v>
      </c>
      <c r="D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2519</v>
      </c>
      <c r="E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2549</v>
      </c>
      <c r="F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2580</v>
      </c>
      <c r="G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2613</v>
      </c>
      <c r="H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2648</v>
      </c>
      <c r="I13" s="34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2684</v>
      </c>
    </row>
    <row r="14" spans="2:9" ht="13.5" customHeight="1"/>
    <row r="15" spans="2:9" ht="13.5" customHeight="1"/>
    <row r="16" spans="2:9" ht="13.5" customHeight="1">
      <c r="B16" s="3" t="s">
        <v>178</v>
      </c>
    </row>
    <row r="17" spans="2:9" ht="13.5" customHeight="1">
      <c r="B17" s="38" t="s">
        <v>179</v>
      </c>
      <c r="C17" s="40">
        <f>$I$3-3</f>
        <v>5</v>
      </c>
      <c r="D17" s="40">
        <f>$I$3-2</f>
        <v>6</v>
      </c>
      <c r="E17" s="40">
        <f>$I$3-1</f>
        <v>7</v>
      </c>
      <c r="F17" s="40">
        <f>$I$3</f>
        <v>8</v>
      </c>
      <c r="G17" s="40">
        <f>$I$3+1</f>
        <v>9</v>
      </c>
      <c r="H17" s="40">
        <f>$I$3+2</f>
        <v>10</v>
      </c>
      <c r="I17" s="40">
        <f>$I$3+3</f>
        <v>11</v>
      </c>
    </row>
    <row r="18" spans="2:9" ht="13.5" customHeight="1">
      <c r="B18" s="36">
        <f>$C$3-0.015</f>
        <v>0.1042</v>
      </c>
      <c r="C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2640</v>
      </c>
      <c r="D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2907</v>
      </c>
      <c r="E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3174</v>
      </c>
      <c r="F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3442</v>
      </c>
      <c r="G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3709</v>
      </c>
      <c r="H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3976</v>
      </c>
      <c r="I18" s="34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4243</v>
      </c>
    </row>
    <row r="19" spans="2:9" ht="13.5" customHeight="1">
      <c r="B19" s="36">
        <f>$C$3-0.01</f>
        <v>0.10920000000000001</v>
      </c>
      <c r="C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2606</v>
      </c>
      <c r="D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2868</v>
      </c>
      <c r="E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3130</v>
      </c>
      <c r="F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3393</v>
      </c>
      <c r="G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3655</v>
      </c>
      <c r="H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3917</v>
      </c>
      <c r="I19" s="34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4179</v>
      </c>
    </row>
    <row r="20" spans="2:9" ht="13.5" customHeight="1">
      <c r="B20" s="36">
        <f>$C$3-0.005</f>
        <v>0.1142</v>
      </c>
      <c r="C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2573</v>
      </c>
      <c r="D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2830</v>
      </c>
      <c r="E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3088</v>
      </c>
      <c r="F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3345</v>
      </c>
      <c r="G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3602</v>
      </c>
      <c r="H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3859</v>
      </c>
      <c r="I20" s="34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4116</v>
      </c>
    </row>
    <row r="21" spans="2:9" ht="13.5" customHeight="1">
      <c r="B21" s="36">
        <f>$C$3</f>
        <v>0.1192</v>
      </c>
      <c r="C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2541</v>
      </c>
      <c r="D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2793</v>
      </c>
      <c r="E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3046</v>
      </c>
      <c r="F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3298</v>
      </c>
      <c r="G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3550</v>
      </c>
      <c r="H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3803</v>
      </c>
      <c r="I21" s="34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4055</v>
      </c>
    </row>
    <row r="22" spans="2:9" ht="13.5" customHeight="1">
      <c r="B22" s="36">
        <f>$C$3+0.005</f>
        <v>0.1242</v>
      </c>
      <c r="C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2509</v>
      </c>
      <c r="D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2757</v>
      </c>
      <c r="E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3004</v>
      </c>
      <c r="F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3252</v>
      </c>
      <c r="G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3500</v>
      </c>
      <c r="H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3747</v>
      </c>
      <c r="I22" s="34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3995</v>
      </c>
    </row>
    <row r="23" spans="2:9" ht="13.5" customHeight="1">
      <c r="B23" s="36">
        <f>$C$3+0.01</f>
        <v>0.12920000000000001</v>
      </c>
      <c r="C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2478</v>
      </c>
      <c r="D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2721</v>
      </c>
      <c r="E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2964</v>
      </c>
      <c r="F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3207</v>
      </c>
      <c r="G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3450</v>
      </c>
      <c r="H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3693</v>
      </c>
      <c r="I23" s="34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3936</v>
      </c>
    </row>
    <row r="24" spans="2:9" ht="13.5" customHeight="1">
      <c r="B24" s="36">
        <f>$C$3+0.015</f>
        <v>0.13419999999999999</v>
      </c>
      <c r="C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2448</v>
      </c>
      <c r="D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2687</v>
      </c>
      <c r="E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2925</v>
      </c>
      <c r="F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3164</v>
      </c>
      <c r="G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3402</v>
      </c>
      <c r="H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3641</v>
      </c>
      <c r="I24" s="34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3879</v>
      </c>
    </row>
    <row r="25" spans="2:9" ht="13.5" customHeight="1"/>
    <row r="26" spans="2:9" ht="13.5" customHeight="1">
      <c r="B26" s="121" t="s">
        <v>180</v>
      </c>
      <c r="C26" s="121"/>
      <c r="D26" s="121"/>
      <c r="E26" s="121"/>
      <c r="F26" s="121"/>
      <c r="G26" s="121"/>
      <c r="H26" s="121"/>
      <c r="I26" s="121"/>
    </row>
  </sheetData>
  <mergeCells count="1">
    <mergeCell ref="B26:I26"/>
  </mergeCells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1:J90"/>
  <sheetViews>
    <sheetView zoomScale="66" zoomScaleNormal="100" workbookViewId="0">
      <pane xSplit="2" ySplit="4" topLeftCell="C9" activePane="bottomRight" state="frozen"/>
      <selection pane="topRight" activeCell="C1" sqref="C1"/>
      <selection pane="bottomLeft" activeCell="A50" sqref="A50"/>
      <selection pane="bottomRight" activeCell="O27" sqref="O27"/>
    </sheetView>
  </sheetViews>
  <sheetFormatPr defaultColWidth="8.54296875" defaultRowHeight="13"/>
  <cols>
    <col min="1" max="1" width="3" customWidth="1"/>
    <col min="2" max="2" width="34" customWidth="1"/>
    <col min="3" max="10" width="16" customWidth="1"/>
  </cols>
  <sheetData>
    <row r="1" spans="2:10" ht="13.5" customHeight="1"/>
    <row r="2" spans="2:10" ht="18" customHeight="1">
      <c r="B2" s="13" t="s">
        <v>181</v>
      </c>
    </row>
    <row r="3" spans="2:10" ht="13.5" customHeight="1"/>
    <row r="4" spans="2:10" ht="13.5" customHeight="1">
      <c r="C4" s="11" t="s">
        <v>34</v>
      </c>
      <c r="D4" s="11" t="s">
        <v>35</v>
      </c>
      <c r="E4" s="11" t="s">
        <v>182</v>
      </c>
      <c r="F4" s="11" t="s">
        <v>84</v>
      </c>
      <c r="G4" s="11" t="s">
        <v>85</v>
      </c>
      <c r="H4" s="11" t="s">
        <v>86</v>
      </c>
      <c r="I4" s="11" t="s">
        <v>87</v>
      </c>
      <c r="J4" s="11" t="s">
        <v>88</v>
      </c>
    </row>
    <row r="5" spans="2:10" ht="13.5" customHeight="1">
      <c r="B5" s="9" t="s">
        <v>183</v>
      </c>
      <c r="C5" s="10"/>
      <c r="D5" s="10"/>
      <c r="E5" s="10"/>
      <c r="F5" s="10"/>
      <c r="G5" s="10"/>
      <c r="H5" s="10"/>
      <c r="I5" s="10"/>
      <c r="J5" s="10"/>
    </row>
    <row r="6" spans="2:10" ht="13.5" customHeight="1">
      <c r="B6" s="4" t="s">
        <v>37</v>
      </c>
      <c r="C6" s="41" t="s">
        <v>184</v>
      </c>
      <c r="D6" s="30">
        <v>4771</v>
      </c>
      <c r="E6" s="30">
        <v>5084</v>
      </c>
      <c r="F6" s="30">
        <f>E6*(1+CHOOSE('DCF Model'!$D$27,F34,F35,F36,F37,F38))</f>
        <v>5846.5999999999995</v>
      </c>
      <c r="G6" s="30">
        <f>F6*(1+CHOOSE('DCF Model'!$D$27,G34,G35,G36,G37,G38))</f>
        <v>6723.5899999999992</v>
      </c>
      <c r="H6" s="30">
        <f>G6*(1+CHOOSE('DCF Model'!$D$27,H34,H35,H36,H37,H38))</f>
        <v>7530.4207999999999</v>
      </c>
      <c r="I6" s="30">
        <f>H6*(1+CHOOSE('DCF Model'!$D$27,I34,I35,I36,I37,I38))</f>
        <v>8132.854464</v>
      </c>
      <c r="J6" s="30">
        <f>I6*(1+CHOOSE('DCF Model'!$D$27,J34,J35,J36,J37,J38))</f>
        <v>8539.4971872000006</v>
      </c>
    </row>
    <row r="7" spans="2:10" ht="13.5" customHeight="1">
      <c r="B7" s="4" t="s">
        <v>185</v>
      </c>
      <c r="C7" s="41" t="s">
        <v>184</v>
      </c>
      <c r="D7" s="30">
        <v>675</v>
      </c>
      <c r="E7" s="30">
        <v>741</v>
      </c>
      <c r="F7" s="30">
        <f>F6*CHOOSE('DCF Model'!$D$27,F41,F42,F43,F44,F45)</f>
        <v>876.9899999999999</v>
      </c>
      <c r="G7" s="30">
        <f>G6*CHOOSE('DCF Model'!$D$27,G41,G42,G43,G44,G45)</f>
        <v>1042.1564499999999</v>
      </c>
      <c r="H7" s="30">
        <f>H6*CHOOSE('DCF Model'!$D$27,H41,H42,H43,H44,H45)</f>
        <v>1204.867328</v>
      </c>
      <c r="I7" s="30">
        <f>I6*CHOOSE('DCF Model'!$D$27,I41,I42,I43,I44,I45)</f>
        <v>1341.9209865600001</v>
      </c>
      <c r="J7" s="30">
        <f>J6*CHOOSE('DCF Model'!$D$27,J41,J42,J43,J44,J45)</f>
        <v>1451.7145218240003</v>
      </c>
    </row>
    <row r="8" spans="2:10" ht="13.5" customHeight="1">
      <c r="B8" s="42" t="s">
        <v>186</v>
      </c>
      <c r="C8" s="41" t="s">
        <v>184</v>
      </c>
      <c r="D8" s="43">
        <f>D7/D6</f>
        <v>0.14147977363236219</v>
      </c>
      <c r="E8" s="43">
        <f>E7/E6</f>
        <v>0.1457513768686074</v>
      </c>
      <c r="F8" s="43">
        <f>CHOOSE('DCF Model'!$D$27,F41,F42,F43,F44,F45)</f>
        <v>0.15</v>
      </c>
      <c r="G8" s="43">
        <f>CHOOSE('DCF Model'!$D$27,G41,G42,G43,G44,G45)</f>
        <v>0.155</v>
      </c>
      <c r="H8" s="43">
        <f>CHOOSE('DCF Model'!$D$27,H41,H42,H43,H44,H45)</f>
        <v>0.16</v>
      </c>
      <c r="I8" s="43">
        <f>CHOOSE('DCF Model'!$D$27,I41,I42,I43,I44,I45)</f>
        <v>0.16500000000000001</v>
      </c>
      <c r="J8" s="43">
        <f>CHOOSE('DCF Model'!$D$27,J41,J42,J43,J44,J45)</f>
        <v>0.17</v>
      </c>
    </row>
    <row r="9" spans="2:10" ht="13.5" customHeight="1"/>
    <row r="10" spans="2:10" ht="13.5" customHeight="1">
      <c r="B10" s="9" t="s">
        <v>187</v>
      </c>
      <c r="C10" s="10"/>
      <c r="D10" s="10"/>
      <c r="E10" s="10"/>
      <c r="F10" s="10"/>
      <c r="G10" s="10"/>
      <c r="H10" s="10"/>
      <c r="I10" s="10"/>
      <c r="J10" s="10"/>
    </row>
    <row r="11" spans="2:10" ht="13.5" customHeight="1">
      <c r="B11" s="4" t="s">
        <v>37</v>
      </c>
      <c r="C11" s="41" t="s">
        <v>184</v>
      </c>
      <c r="D11" s="30">
        <v>10546</v>
      </c>
      <c r="E11" s="30">
        <v>13695</v>
      </c>
      <c r="F11" s="30">
        <f>E11*(1+CHOOSE('DCF Model'!$D$27,F48,F49,F50,F51,F52))</f>
        <v>15201.45</v>
      </c>
      <c r="G11" s="30">
        <f>F11*(1+CHOOSE('DCF Model'!$D$27,G48,G49,G50,G51,G52))</f>
        <v>16721.595000000001</v>
      </c>
      <c r="H11" s="30">
        <f>G11*(1+CHOOSE('DCF Model'!$D$27,H48,H49,H50,H51,H52))</f>
        <v>18059.322600000003</v>
      </c>
      <c r="I11" s="30">
        <f>H11*(1+CHOOSE('DCF Model'!$D$27,I48,I49,I50,I51,I52))</f>
        <v>19142.881956000005</v>
      </c>
      <c r="J11" s="30">
        <f>I11*(1+CHOOSE('DCF Model'!$D$27,J48,J49,J50,J51,J52))</f>
        <v>20100.026053800008</v>
      </c>
    </row>
    <row r="12" spans="2:10" ht="13.5" customHeight="1">
      <c r="B12" s="4" t="s">
        <v>185</v>
      </c>
      <c r="C12" s="41" t="s">
        <v>184</v>
      </c>
      <c r="D12" s="30">
        <v>1641</v>
      </c>
      <c r="E12" s="30">
        <v>2312</v>
      </c>
      <c r="F12" s="30">
        <f>F11*CHOOSE('DCF Model'!$D$27,F55,F56,F57,F58,F59)</f>
        <v>2660.2537499999999</v>
      </c>
      <c r="G12" s="30">
        <f>G11*CHOOSE('DCF Model'!$D$27,G55,G56,G57,G58,G59)</f>
        <v>2976.44391</v>
      </c>
      <c r="H12" s="30">
        <f>H11*CHOOSE('DCF Model'!$D$27,H55,H56,H57,H58,H59)</f>
        <v>3250.6780680000006</v>
      </c>
      <c r="I12" s="30">
        <f>I11*CHOOSE('DCF Model'!$D$27,I55,I56,I57,I58,I59)</f>
        <v>3484.004515992001</v>
      </c>
      <c r="J12" s="30">
        <f>J11*CHOOSE('DCF Model'!$D$27,J55,J56,J57,J58,J59)</f>
        <v>3718.5048199530015</v>
      </c>
    </row>
    <row r="13" spans="2:10" ht="13.5" customHeight="1">
      <c r="B13" s="42" t="s">
        <v>186</v>
      </c>
      <c r="C13" s="41" t="s">
        <v>184</v>
      </c>
      <c r="D13" s="43">
        <f>D12/D11</f>
        <v>0.15560402048169922</v>
      </c>
      <c r="E13" s="43">
        <f>E12/E11</f>
        <v>0.1688207374954363</v>
      </c>
      <c r="F13" s="43">
        <f>CHOOSE('DCF Model'!$D$27,F55,F56,F57,F58,F59)</f>
        <v>0.17499999999999999</v>
      </c>
      <c r="G13" s="43">
        <f>CHOOSE('DCF Model'!$D$27,G55,G56,G57,G58,G59)</f>
        <v>0.17799999999999999</v>
      </c>
      <c r="H13" s="43">
        <f>CHOOSE('DCF Model'!$D$27,H55,H56,H57,H58,H59)</f>
        <v>0.18</v>
      </c>
      <c r="I13" s="43">
        <f>CHOOSE('DCF Model'!$D$27,I55,I56,I57,I58,I59)</f>
        <v>0.182</v>
      </c>
      <c r="J13" s="43">
        <f>CHOOSE('DCF Model'!$D$27,J55,J56,J57,J58,J59)</f>
        <v>0.185</v>
      </c>
    </row>
    <row r="14" spans="2:10" ht="13.5" customHeight="1"/>
    <row r="15" spans="2:10" ht="13.5" customHeight="1">
      <c r="B15" s="9" t="s">
        <v>188</v>
      </c>
      <c r="C15" s="10"/>
      <c r="D15" s="10"/>
      <c r="E15" s="10"/>
      <c r="F15" s="10"/>
      <c r="G15" s="10"/>
      <c r="H15" s="10"/>
      <c r="I15" s="10"/>
      <c r="J15" s="10"/>
    </row>
    <row r="16" spans="2:10" ht="13.5" customHeight="1">
      <c r="B16" s="4" t="s">
        <v>37</v>
      </c>
      <c r="C16" s="41" t="s">
        <v>184</v>
      </c>
      <c r="D16" s="30">
        <v>8680</v>
      </c>
      <c r="E16" s="30">
        <v>7751</v>
      </c>
      <c r="F16" s="30">
        <f>E16*(1+CHOOSE('DCF Model'!$D$27,F62,F63,F64,F65,F66))</f>
        <v>7828.51</v>
      </c>
      <c r="G16" s="30">
        <f>F16*(1+CHOOSE('DCF Model'!$D$27,G62,G63,G64,G65,G66))</f>
        <v>7906.7951000000003</v>
      </c>
      <c r="H16" s="30">
        <f>G16*(1+CHOOSE('DCF Model'!$D$27,H62,H63,H64,H65,H66))</f>
        <v>7985.8630510000003</v>
      </c>
      <c r="I16" s="30">
        <f>H16*(1+CHOOSE('DCF Model'!$D$27,I62,I63,I64,I65,I66))</f>
        <v>8065.7216815100001</v>
      </c>
      <c r="J16" s="30">
        <f>I16*(1+CHOOSE('DCF Model'!$D$27,J62,J63,J64,J65,J66))</f>
        <v>8146.3788983250997</v>
      </c>
    </row>
    <row r="17" spans="2:10" ht="13.5" customHeight="1">
      <c r="B17" s="4" t="s">
        <v>185</v>
      </c>
      <c r="C17" s="41" t="s">
        <v>184</v>
      </c>
      <c r="D17" s="30">
        <v>823</v>
      </c>
      <c r="E17" s="30">
        <v>765</v>
      </c>
      <c r="F17" s="30">
        <f>F16*CHOOSE('DCF Model'!$D$27,F69,F70,F71,F72,F73)</f>
        <v>821.99355000000003</v>
      </c>
      <c r="G17" s="30">
        <f>G16*CHOOSE('DCF Model'!$D$27,G69,G70,G71,G72,G73)</f>
        <v>869.74746100000004</v>
      </c>
      <c r="H17" s="30">
        <f>H16*CHOOSE('DCF Model'!$D$27,H69,H70,H71,H72,H73)</f>
        <v>918.37425086500002</v>
      </c>
      <c r="I17" s="30">
        <f>I16*CHOOSE('DCF Model'!$D$27,I69,I70,I71,I72,I73)</f>
        <v>967.88660178119994</v>
      </c>
      <c r="J17" s="30">
        <f>J16*CHOOSE('DCF Model'!$D$27,J69,J70,J71,J72,J73)</f>
        <v>977.56546779901191</v>
      </c>
    </row>
    <row r="18" spans="2:10" ht="13.5" customHeight="1">
      <c r="B18" s="42" t="s">
        <v>186</v>
      </c>
      <c r="C18" s="41" t="s">
        <v>184</v>
      </c>
      <c r="D18" s="43">
        <f>D17/D16</f>
        <v>9.4815668202764977E-2</v>
      </c>
      <c r="E18" s="43">
        <f>E17/E16</f>
        <v>9.8696942330021936E-2</v>
      </c>
      <c r="F18" s="43">
        <f>CHOOSE('DCF Model'!$D$27,F69,F70,F71,F72,F73)</f>
        <v>0.105</v>
      </c>
      <c r="G18" s="43">
        <f>CHOOSE('DCF Model'!$D$27,G69,G70,G71,G72,G73)</f>
        <v>0.11</v>
      </c>
      <c r="H18" s="43">
        <f>CHOOSE('DCF Model'!$D$27,H69,H70,H71,H72,H73)</f>
        <v>0.115</v>
      </c>
      <c r="I18" s="43">
        <f>CHOOSE('DCF Model'!$D$27,I69,I70,I71,I72,I73)</f>
        <v>0.12</v>
      </c>
      <c r="J18" s="43">
        <f>CHOOSE('DCF Model'!$D$27,J69,J70,J71,J72,J73)</f>
        <v>0.12</v>
      </c>
    </row>
    <row r="19" spans="2:10" ht="13.5" customHeight="1"/>
    <row r="20" spans="2:10" ht="13.5" customHeight="1">
      <c r="B20" s="24" t="s">
        <v>189</v>
      </c>
      <c r="C20" s="25"/>
      <c r="D20" s="25"/>
      <c r="E20" s="25"/>
      <c r="F20" s="25"/>
      <c r="G20" s="25"/>
      <c r="H20" s="25"/>
      <c r="I20" s="25"/>
      <c r="J20" s="25"/>
    </row>
    <row r="21" spans="2:10" ht="13.5" customHeight="1">
      <c r="B21" s="4" t="s">
        <v>190</v>
      </c>
      <c r="C21" s="22" t="e">
        <f t="shared" ref="C21:J22" si="0">C6+C11+C16</f>
        <v>#VALUE!</v>
      </c>
      <c r="D21" s="22">
        <f t="shared" si="0"/>
        <v>23997</v>
      </c>
      <c r="E21" s="22">
        <f t="shared" si="0"/>
        <v>26530</v>
      </c>
      <c r="F21" s="22">
        <f t="shared" si="0"/>
        <v>28876.559999999998</v>
      </c>
      <c r="G21" s="22">
        <f t="shared" si="0"/>
        <v>31351.980100000001</v>
      </c>
      <c r="H21" s="22">
        <f t="shared" si="0"/>
        <v>33575.606451</v>
      </c>
      <c r="I21" s="22">
        <f t="shared" si="0"/>
        <v>35341.458101510005</v>
      </c>
      <c r="J21" s="22">
        <f t="shared" si="0"/>
        <v>36785.90213932511</v>
      </c>
    </row>
    <row r="22" spans="2:10" ht="13.5" customHeight="1">
      <c r="B22" s="4" t="s">
        <v>191</v>
      </c>
      <c r="C22" s="22" t="e">
        <f t="shared" si="0"/>
        <v>#VALUE!</v>
      </c>
      <c r="D22" s="22">
        <f t="shared" si="0"/>
        <v>3139</v>
      </c>
      <c r="E22" s="22">
        <f t="shared" si="0"/>
        <v>3818</v>
      </c>
      <c r="F22" s="22">
        <f t="shared" si="0"/>
        <v>4359.2372999999998</v>
      </c>
      <c r="G22" s="22">
        <f t="shared" si="0"/>
        <v>4888.3478210000003</v>
      </c>
      <c r="H22" s="22">
        <f t="shared" si="0"/>
        <v>5373.9196468650007</v>
      </c>
      <c r="I22" s="22">
        <f t="shared" si="0"/>
        <v>5793.8121043332012</v>
      </c>
      <c r="J22" s="22">
        <f t="shared" si="0"/>
        <v>6147.7848095760128</v>
      </c>
    </row>
    <row r="23" spans="2:10" ht="13.5" customHeight="1">
      <c r="B23" s="42" t="s">
        <v>192</v>
      </c>
      <c r="C23" s="43" t="str">
        <f t="shared" ref="C23:J23" si="1">IFERROR(C22/C21,"—")</f>
        <v>—</v>
      </c>
      <c r="D23" s="43">
        <f t="shared" si="1"/>
        <v>0.13080801766887529</v>
      </c>
      <c r="E23" s="43">
        <f t="shared" si="1"/>
        <v>0.1439125518281191</v>
      </c>
      <c r="F23" s="43">
        <f t="shared" si="1"/>
        <v>0.15096110132231819</v>
      </c>
      <c r="G23" s="43">
        <f t="shared" si="1"/>
        <v>0.15591831218979371</v>
      </c>
      <c r="H23" s="43">
        <f t="shared" si="1"/>
        <v>0.16005428389529347</v>
      </c>
      <c r="I23" s="43">
        <f t="shared" si="1"/>
        <v>0.16393811731513289</v>
      </c>
      <c r="J23" s="43">
        <f t="shared" si="1"/>
        <v>0.16712339380155822</v>
      </c>
    </row>
    <row r="24" spans="2:10" ht="13.5" customHeight="1"/>
    <row r="25" spans="2:10" ht="13.5" customHeight="1">
      <c r="B25" s="44" t="s">
        <v>193</v>
      </c>
      <c r="C25" s="45"/>
      <c r="D25" s="45"/>
      <c r="E25" s="45"/>
      <c r="F25" s="45"/>
      <c r="G25" s="45"/>
      <c r="H25" s="45"/>
      <c r="I25" s="45"/>
      <c r="J25" s="45"/>
    </row>
    <row r="26" spans="2:10" ht="13.5" customHeight="1">
      <c r="B26" s="4" t="s">
        <v>194</v>
      </c>
      <c r="F26" s="46">
        <f>'DCF Model'!C33</f>
        <v>28876.559999999998</v>
      </c>
      <c r="G26" s="46">
        <f>'DCF Model'!D33</f>
        <v>31351.980100000001</v>
      </c>
      <c r="H26" s="46">
        <f>'DCF Model'!E33</f>
        <v>33575.606451</v>
      </c>
      <c r="I26" s="46">
        <f>'DCF Model'!F33</f>
        <v>35341.458101510005</v>
      </c>
      <c r="J26" s="46">
        <f>'DCF Model'!G33</f>
        <v>36785.90213932511</v>
      </c>
    </row>
    <row r="27" spans="2:10" ht="13.5" customHeight="1">
      <c r="B27" s="4" t="s">
        <v>195</v>
      </c>
      <c r="F27" s="30">
        <f>F21</f>
        <v>28876.559999999998</v>
      </c>
      <c r="G27" s="30">
        <f>G21</f>
        <v>31351.980100000001</v>
      </c>
      <c r="H27" s="30">
        <f>H21</f>
        <v>33575.606451</v>
      </c>
      <c r="I27" s="30">
        <f>I21</f>
        <v>35341.458101510005</v>
      </c>
      <c r="J27" s="30">
        <f>J21</f>
        <v>36785.90213932511</v>
      </c>
    </row>
    <row r="28" spans="2:10" ht="13.5" customHeight="1">
      <c r="B28" s="4" t="s">
        <v>196</v>
      </c>
      <c r="F28" s="26">
        <f>F27-F26</f>
        <v>0</v>
      </c>
      <c r="G28" s="26">
        <f>G27-G26</f>
        <v>0</v>
      </c>
      <c r="H28" s="26">
        <f>H27-H26</f>
        <v>0</v>
      </c>
      <c r="I28" s="26">
        <f>I27-I26</f>
        <v>0</v>
      </c>
      <c r="J28" s="26">
        <f>J27-J26</f>
        <v>0</v>
      </c>
    </row>
    <row r="29" spans="2:10" ht="13.5" customHeight="1"/>
    <row r="30" spans="2:10" ht="13.5" customHeight="1"/>
    <row r="31" spans="2:10" ht="13.5" customHeight="1">
      <c r="B31" s="47" t="s">
        <v>197</v>
      </c>
      <c r="C31" s="48"/>
      <c r="D31" s="48"/>
      <c r="E31" s="48"/>
      <c r="F31" s="48"/>
      <c r="G31" s="48"/>
      <c r="H31" s="48"/>
      <c r="I31" s="48"/>
      <c r="J31" s="48"/>
    </row>
    <row r="32" spans="2:10" ht="13.5" customHeight="1">
      <c r="F32" s="32" t="s">
        <v>84</v>
      </c>
      <c r="G32" s="32" t="s">
        <v>85</v>
      </c>
      <c r="H32" s="32" t="s">
        <v>86</v>
      </c>
      <c r="I32" s="32" t="s">
        <v>87</v>
      </c>
      <c r="J32" s="32" t="s">
        <v>88</v>
      </c>
    </row>
    <row r="33" spans="2:10" ht="13.5" customHeight="1">
      <c r="B33" s="3" t="s">
        <v>198</v>
      </c>
    </row>
    <row r="34" spans="2:10" ht="13.5" customHeight="1">
      <c r="B34" s="4" t="s">
        <v>82</v>
      </c>
      <c r="F34" s="49">
        <v>0.15</v>
      </c>
      <c r="G34" s="49">
        <v>0.15</v>
      </c>
      <c r="H34" s="49">
        <v>0.12</v>
      </c>
      <c r="I34" s="49">
        <v>0.08</v>
      </c>
      <c r="J34" s="49">
        <v>0.05</v>
      </c>
    </row>
    <row r="35" spans="2:10" ht="13.5" customHeight="1">
      <c r="B35" s="4" t="s">
        <v>131</v>
      </c>
      <c r="F35" s="49">
        <v>0.25</v>
      </c>
      <c r="G35" s="49">
        <v>0.22</v>
      </c>
      <c r="H35" s="49">
        <v>0.18</v>
      </c>
      <c r="I35" s="49">
        <v>0.12</v>
      </c>
      <c r="J35" s="49">
        <v>0.08</v>
      </c>
    </row>
    <row r="36" spans="2:10" ht="13.5" customHeight="1">
      <c r="B36" s="4" t="s">
        <v>132</v>
      </c>
      <c r="F36" s="49">
        <v>0.12</v>
      </c>
      <c r="G36" s="49">
        <v>0.12</v>
      </c>
      <c r="H36" s="49">
        <v>0.1</v>
      </c>
      <c r="I36" s="49">
        <v>7.0000000000000007E-2</v>
      </c>
      <c r="J36" s="49">
        <v>0.05</v>
      </c>
    </row>
    <row r="37" spans="2:10" ht="13.5" customHeight="1">
      <c r="B37" s="4" t="s">
        <v>133</v>
      </c>
      <c r="F37" s="49">
        <v>0.08</v>
      </c>
      <c r="G37" s="49">
        <v>7.0000000000000007E-2</v>
      </c>
      <c r="H37" s="49">
        <v>0.05</v>
      </c>
      <c r="I37" s="49">
        <v>0.03</v>
      </c>
      <c r="J37" s="49">
        <v>0.02</v>
      </c>
    </row>
    <row r="38" spans="2:10" ht="13.5" customHeight="1">
      <c r="B38" s="4" t="s">
        <v>134</v>
      </c>
      <c r="F38" s="49">
        <v>0.03</v>
      </c>
      <c r="G38" s="49">
        <v>0.03</v>
      </c>
      <c r="H38" s="49">
        <v>0.02</v>
      </c>
      <c r="I38" s="49">
        <v>0.01</v>
      </c>
      <c r="J38" s="49">
        <v>0.01</v>
      </c>
    </row>
    <row r="39" spans="2:10" ht="13.5" customHeight="1"/>
    <row r="40" spans="2:10" ht="13.5" customHeight="1">
      <c r="B40" s="3" t="s">
        <v>199</v>
      </c>
    </row>
    <row r="41" spans="2:10" ht="13.5" customHeight="1">
      <c r="B41" s="4" t="s">
        <v>82</v>
      </c>
      <c r="F41" s="49">
        <v>0.15</v>
      </c>
      <c r="G41" s="49">
        <v>0.155</v>
      </c>
      <c r="H41" s="49">
        <v>0.16</v>
      </c>
      <c r="I41" s="49">
        <v>0.16500000000000001</v>
      </c>
      <c r="J41" s="49">
        <v>0.17</v>
      </c>
    </row>
    <row r="42" spans="2:10" ht="13.5" customHeight="1">
      <c r="B42" s="4" t="s">
        <v>131</v>
      </c>
      <c r="F42" s="49">
        <v>0.155</v>
      </c>
      <c r="G42" s="49">
        <v>0.16500000000000001</v>
      </c>
      <c r="H42" s="49">
        <v>0.17499999999999999</v>
      </c>
      <c r="I42" s="49">
        <v>0.18</v>
      </c>
      <c r="J42" s="49">
        <v>0.185</v>
      </c>
    </row>
    <row r="43" spans="2:10" ht="13.5" customHeight="1">
      <c r="B43" s="4" t="s">
        <v>132</v>
      </c>
      <c r="F43" s="49">
        <v>0.14799999999999999</v>
      </c>
      <c r="G43" s="49">
        <v>0.15</v>
      </c>
      <c r="H43" s="49">
        <v>0.152</v>
      </c>
      <c r="I43" s="49">
        <v>0.155</v>
      </c>
      <c r="J43" s="49">
        <v>0.158</v>
      </c>
    </row>
    <row r="44" spans="2:10" ht="13.5" customHeight="1">
      <c r="B44" s="4" t="s">
        <v>133</v>
      </c>
      <c r="F44" s="49">
        <v>0.14000000000000001</v>
      </c>
      <c r="G44" s="49">
        <v>0.14000000000000001</v>
      </c>
      <c r="H44" s="49">
        <v>0.14199999999999999</v>
      </c>
      <c r="I44" s="49">
        <v>0.14499999999999999</v>
      </c>
      <c r="J44" s="49">
        <v>0.14499999999999999</v>
      </c>
    </row>
    <row r="45" spans="2:10" ht="13.5" customHeight="1">
      <c r="B45" s="4" t="s">
        <v>134</v>
      </c>
      <c r="F45" s="49">
        <v>0.13</v>
      </c>
      <c r="G45" s="49">
        <v>0.125</v>
      </c>
      <c r="H45" s="49">
        <v>0.125</v>
      </c>
      <c r="I45" s="49">
        <v>0.125</v>
      </c>
      <c r="J45" s="49">
        <v>0.125</v>
      </c>
    </row>
    <row r="46" spans="2:10" ht="13.5" customHeight="1"/>
    <row r="47" spans="2:10" ht="13.5" customHeight="1">
      <c r="B47" s="3" t="s">
        <v>200</v>
      </c>
    </row>
    <row r="48" spans="2:10" ht="13.5" customHeight="1">
      <c r="B48" s="4" t="s">
        <v>82</v>
      </c>
      <c r="F48" s="49">
        <v>0.11</v>
      </c>
      <c r="G48" s="49">
        <v>0.1</v>
      </c>
      <c r="H48" s="49">
        <v>0.08</v>
      </c>
      <c r="I48" s="49">
        <v>0.06</v>
      </c>
      <c r="J48" s="49">
        <v>0.05</v>
      </c>
    </row>
    <row r="49" spans="2:10" ht="13.5" customHeight="1">
      <c r="B49" s="4" t="s">
        <v>131</v>
      </c>
      <c r="F49" s="49">
        <v>0.12</v>
      </c>
      <c r="G49" s="49">
        <v>0.11</v>
      </c>
      <c r="H49" s="49">
        <v>0.1</v>
      </c>
      <c r="I49" s="49">
        <v>0.08</v>
      </c>
      <c r="J49" s="49">
        <v>0.06</v>
      </c>
    </row>
    <row r="50" spans="2:10" ht="13.5" customHeight="1">
      <c r="B50" s="4" t="s">
        <v>132</v>
      </c>
      <c r="F50" s="49">
        <v>0.1</v>
      </c>
      <c r="G50" s="49">
        <v>0.09</v>
      </c>
      <c r="H50" s="49">
        <v>0.08</v>
      </c>
      <c r="I50" s="49">
        <v>0.06</v>
      </c>
      <c r="J50" s="49">
        <v>0.05</v>
      </c>
    </row>
    <row r="51" spans="2:10" ht="13.5" customHeight="1">
      <c r="B51" s="4" t="s">
        <v>133</v>
      </c>
      <c r="F51" s="49">
        <v>0.08</v>
      </c>
      <c r="G51" s="49">
        <v>0.06</v>
      </c>
      <c r="H51" s="49">
        <v>0.05</v>
      </c>
      <c r="I51" s="49">
        <v>0.04</v>
      </c>
      <c r="J51" s="49">
        <v>0.03</v>
      </c>
    </row>
    <row r="52" spans="2:10" ht="13.5" customHeight="1">
      <c r="B52" s="4" t="s">
        <v>134</v>
      </c>
      <c r="F52" s="49">
        <v>0.05</v>
      </c>
      <c r="G52" s="49">
        <v>0.03</v>
      </c>
      <c r="H52" s="49">
        <v>0.02</v>
      </c>
      <c r="I52" s="49">
        <v>0.02</v>
      </c>
      <c r="J52" s="49">
        <v>0.02</v>
      </c>
    </row>
    <row r="53" spans="2:10" ht="13.5" customHeight="1"/>
    <row r="54" spans="2:10" ht="13.5" customHeight="1">
      <c r="B54" s="3" t="s">
        <v>201</v>
      </c>
    </row>
    <row r="55" spans="2:10" ht="13.5" customHeight="1">
      <c r="B55" s="4" t="s">
        <v>82</v>
      </c>
      <c r="F55" s="49">
        <v>0.17499999999999999</v>
      </c>
      <c r="G55" s="49">
        <v>0.17799999999999999</v>
      </c>
      <c r="H55" s="49">
        <v>0.18</v>
      </c>
      <c r="I55" s="49">
        <v>0.182</v>
      </c>
      <c r="J55" s="49">
        <v>0.185</v>
      </c>
    </row>
    <row r="56" spans="2:10" ht="13.5" customHeight="1">
      <c r="B56" s="4" t="s">
        <v>131</v>
      </c>
      <c r="F56" s="49">
        <v>0.18</v>
      </c>
      <c r="G56" s="49">
        <v>0.185</v>
      </c>
      <c r="H56" s="49">
        <v>0.19</v>
      </c>
      <c r="I56" s="49">
        <v>0.19500000000000001</v>
      </c>
      <c r="J56" s="49">
        <v>0.19800000000000001</v>
      </c>
    </row>
    <row r="57" spans="2:10" ht="13.5" customHeight="1">
      <c r="B57" s="4" t="s">
        <v>132</v>
      </c>
      <c r="F57" s="49">
        <v>0.17</v>
      </c>
      <c r="G57" s="49">
        <v>0.17</v>
      </c>
      <c r="H57" s="49">
        <v>0.17199999999999999</v>
      </c>
      <c r="I57" s="49">
        <v>0.17499999999999999</v>
      </c>
      <c r="J57" s="49">
        <v>0.17799999999999999</v>
      </c>
    </row>
    <row r="58" spans="2:10" ht="13.5" customHeight="1">
      <c r="B58" s="4" t="s">
        <v>133</v>
      </c>
      <c r="F58" s="49">
        <v>0.16</v>
      </c>
      <c r="G58" s="49">
        <v>0.158</v>
      </c>
      <c r="H58" s="49">
        <v>0.158</v>
      </c>
      <c r="I58" s="49">
        <v>0.16</v>
      </c>
      <c r="J58" s="49">
        <v>0.16</v>
      </c>
    </row>
    <row r="59" spans="2:10" ht="13.5" customHeight="1">
      <c r="B59" s="4" t="s">
        <v>134</v>
      </c>
      <c r="F59" s="49">
        <v>0.15</v>
      </c>
      <c r="G59" s="49">
        <v>0.14499999999999999</v>
      </c>
      <c r="H59" s="49">
        <v>0.14499999999999999</v>
      </c>
      <c r="I59" s="49">
        <v>0.14499999999999999</v>
      </c>
      <c r="J59" s="49">
        <v>0.14499999999999999</v>
      </c>
    </row>
    <row r="60" spans="2:10" ht="13.5" customHeight="1"/>
    <row r="61" spans="2:10" ht="13.5" customHeight="1">
      <c r="B61" s="3" t="s">
        <v>202</v>
      </c>
    </row>
    <row r="62" spans="2:10" ht="13.5" customHeight="1">
      <c r="B62" s="4" t="s">
        <v>82</v>
      </c>
      <c r="F62" s="49">
        <v>0.01</v>
      </c>
      <c r="G62" s="49">
        <v>0.01</v>
      </c>
      <c r="H62" s="49">
        <v>0.01</v>
      </c>
      <c r="I62" s="49">
        <v>0.01</v>
      </c>
      <c r="J62" s="49">
        <v>0.01</v>
      </c>
    </row>
    <row r="63" spans="2:10" ht="13.5" customHeight="1">
      <c r="B63" s="4" t="s">
        <v>131</v>
      </c>
      <c r="F63" s="49">
        <v>0.02</v>
      </c>
      <c r="G63" s="49">
        <v>0.02</v>
      </c>
      <c r="H63" s="49">
        <v>1.4999999999999999E-2</v>
      </c>
      <c r="I63" s="49">
        <v>0.01</v>
      </c>
      <c r="J63" s="49">
        <v>0.01</v>
      </c>
    </row>
    <row r="64" spans="2:10" ht="13.5" customHeight="1">
      <c r="B64" s="4" t="s">
        <v>132</v>
      </c>
      <c r="F64" s="49">
        <v>0</v>
      </c>
      <c r="G64" s="49">
        <v>5.0000000000000001E-3</v>
      </c>
      <c r="H64" s="49">
        <v>0</v>
      </c>
      <c r="I64" s="49">
        <v>0</v>
      </c>
      <c r="J64" s="49">
        <v>0</v>
      </c>
    </row>
    <row r="65" spans="2:10" ht="13.5" customHeight="1">
      <c r="B65" s="4" t="s">
        <v>133</v>
      </c>
      <c r="F65" s="49">
        <v>-0.02</v>
      </c>
      <c r="G65" s="49">
        <v>-0.01</v>
      </c>
      <c r="H65" s="49">
        <v>-5.0000000000000001E-3</v>
      </c>
      <c r="I65" s="49">
        <v>-5.0000000000000001E-3</v>
      </c>
      <c r="J65" s="49">
        <v>-5.0000000000000001E-3</v>
      </c>
    </row>
    <row r="66" spans="2:10" ht="13.5" customHeight="1">
      <c r="B66" s="4" t="s">
        <v>134</v>
      </c>
      <c r="F66" s="49">
        <v>-0.05</v>
      </c>
      <c r="G66" s="49">
        <v>-0.03</v>
      </c>
      <c r="H66" s="49">
        <v>-0.02</v>
      </c>
      <c r="I66" s="49">
        <v>-0.01</v>
      </c>
      <c r="J66" s="49">
        <v>-0.01</v>
      </c>
    </row>
    <row r="67" spans="2:10" ht="13.5" customHeight="1"/>
    <row r="68" spans="2:10" ht="13.5" customHeight="1">
      <c r="B68" s="3" t="s">
        <v>203</v>
      </c>
    </row>
    <row r="69" spans="2:10" ht="13.5" customHeight="1">
      <c r="B69" s="4" t="s">
        <v>82</v>
      </c>
      <c r="F69" s="49">
        <v>0.105</v>
      </c>
      <c r="G69" s="49">
        <v>0.11</v>
      </c>
      <c r="H69" s="49">
        <v>0.115</v>
      </c>
      <c r="I69" s="49">
        <v>0.12</v>
      </c>
      <c r="J69" s="49">
        <v>0.12</v>
      </c>
    </row>
    <row r="70" spans="2:10" ht="13.5" customHeight="1">
      <c r="B70" s="4" t="s">
        <v>131</v>
      </c>
      <c r="F70" s="49">
        <v>0.11</v>
      </c>
      <c r="G70" s="49">
        <v>0.12</v>
      </c>
      <c r="H70" s="49">
        <v>0.13</v>
      </c>
      <c r="I70" s="49">
        <v>0.13500000000000001</v>
      </c>
      <c r="J70" s="49">
        <v>0.14000000000000001</v>
      </c>
    </row>
    <row r="71" spans="2:10" ht="13.5" customHeight="1">
      <c r="B71" s="4" t="s">
        <v>132</v>
      </c>
      <c r="F71" s="49">
        <v>0.1</v>
      </c>
      <c r="G71" s="49">
        <v>0.105</v>
      </c>
      <c r="H71" s="49">
        <v>0.11</v>
      </c>
      <c r="I71" s="49">
        <v>0.115</v>
      </c>
      <c r="J71" s="49">
        <v>0.115</v>
      </c>
    </row>
    <row r="72" spans="2:10" ht="13.5" customHeight="1">
      <c r="B72" s="4" t="s">
        <v>133</v>
      </c>
      <c r="F72" s="49">
        <v>9.5000000000000001E-2</v>
      </c>
      <c r="G72" s="49">
        <v>0.09</v>
      </c>
      <c r="H72" s="49">
        <v>0.09</v>
      </c>
      <c r="I72" s="49">
        <v>0.09</v>
      </c>
      <c r="J72" s="49">
        <v>0.09</v>
      </c>
    </row>
    <row r="73" spans="2:10" ht="13.5" customHeight="1">
      <c r="B73" s="4" t="s">
        <v>134</v>
      </c>
      <c r="F73" s="49">
        <v>8.5000000000000006E-2</v>
      </c>
      <c r="G73" s="49">
        <v>0.08</v>
      </c>
      <c r="H73" s="49">
        <v>7.4999999999999997E-2</v>
      </c>
      <c r="I73" s="49">
        <v>7.4999999999999997E-2</v>
      </c>
      <c r="J73" s="49">
        <v>7.4999999999999997E-2</v>
      </c>
    </row>
    <row r="74" spans="2:10" ht="13.5" customHeight="1"/>
    <row r="75" spans="2:10" ht="13.5" customHeight="1"/>
    <row r="76" spans="2:10" ht="13.5" customHeight="1">
      <c r="B76" s="50" t="s">
        <v>204</v>
      </c>
      <c r="C76" s="51"/>
      <c r="D76" s="51"/>
      <c r="E76" s="51"/>
      <c r="F76" s="51"/>
      <c r="G76" s="51"/>
      <c r="H76" s="51"/>
      <c r="I76" s="51"/>
      <c r="J76" s="51"/>
    </row>
    <row r="77" spans="2:10" ht="13.5" customHeight="1">
      <c r="F77" s="32" t="s">
        <v>84</v>
      </c>
      <c r="G77" s="32" t="s">
        <v>85</v>
      </c>
      <c r="H77" s="32" t="s">
        <v>86</v>
      </c>
      <c r="I77" s="32" t="s">
        <v>87</v>
      </c>
      <c r="J77" s="32" t="s">
        <v>88</v>
      </c>
    </row>
    <row r="78" spans="2:10" ht="13.5" customHeight="1">
      <c r="B78" s="3" t="s">
        <v>89</v>
      </c>
    </row>
    <row r="79" spans="2:10" ht="13.5" customHeight="1">
      <c r="B79" s="4" t="s">
        <v>82</v>
      </c>
      <c r="F79" s="49">
        <v>0.72450000000000003</v>
      </c>
      <c r="G79" s="49">
        <v>0.72450000000000003</v>
      </c>
      <c r="H79" s="49">
        <v>0.72450000000000003</v>
      </c>
      <c r="I79" s="49">
        <v>0.72450000000000003</v>
      </c>
      <c r="J79" s="49">
        <v>0.72450000000000003</v>
      </c>
    </row>
    <row r="80" spans="2:10" ht="13.5" customHeight="1">
      <c r="B80" s="4" t="s">
        <v>131</v>
      </c>
      <c r="F80" s="49">
        <v>0.68830000000000002</v>
      </c>
      <c r="G80" s="49">
        <v>0.68830000000000002</v>
      </c>
      <c r="H80" s="49">
        <v>0.68830000000000002</v>
      </c>
      <c r="I80" s="49">
        <v>0.68830000000000002</v>
      </c>
      <c r="J80" s="49">
        <v>0.68830000000000002</v>
      </c>
    </row>
    <row r="81" spans="2:10" ht="13.5" customHeight="1">
      <c r="B81" s="4" t="s">
        <v>132</v>
      </c>
      <c r="F81" s="49">
        <v>0.72450000000000003</v>
      </c>
      <c r="G81" s="49">
        <v>0.72450000000000003</v>
      </c>
      <c r="H81" s="49">
        <v>0.72450000000000003</v>
      </c>
      <c r="I81" s="49">
        <v>0.72450000000000003</v>
      </c>
      <c r="J81" s="49">
        <v>0.72450000000000003</v>
      </c>
    </row>
    <row r="82" spans="2:10" ht="13.5" customHeight="1">
      <c r="B82" s="4" t="s">
        <v>133</v>
      </c>
      <c r="F82" s="49">
        <v>0.76070000000000004</v>
      </c>
      <c r="G82" s="49">
        <v>0.76070000000000004</v>
      </c>
      <c r="H82" s="49">
        <v>0.76070000000000004</v>
      </c>
      <c r="I82" s="49">
        <v>0.76070000000000004</v>
      </c>
      <c r="J82" s="49">
        <v>0.76070000000000004</v>
      </c>
    </row>
    <row r="83" spans="2:10" ht="13.5" customHeight="1">
      <c r="B83" s="4" t="s">
        <v>134</v>
      </c>
      <c r="F83" s="49">
        <v>0.79700000000000004</v>
      </c>
      <c r="G83" s="49">
        <v>0.79700000000000004</v>
      </c>
      <c r="H83" s="49">
        <v>0.79700000000000004</v>
      </c>
      <c r="I83" s="49">
        <v>0.79700000000000004</v>
      </c>
      <c r="J83" s="49">
        <v>0.79700000000000004</v>
      </c>
    </row>
    <row r="84" spans="2:10" ht="13.5" customHeight="1"/>
    <row r="85" spans="2:10" ht="13.5" customHeight="1">
      <c r="B85" s="3" t="s">
        <v>90</v>
      </c>
    </row>
    <row r="86" spans="2:10" ht="13.5" customHeight="1">
      <c r="B86" s="4" t="s">
        <v>82</v>
      </c>
      <c r="F86" s="49">
        <v>0.13300000000000001</v>
      </c>
      <c r="G86" s="49">
        <v>0.13</v>
      </c>
      <c r="H86" s="49">
        <v>0.128</v>
      </c>
      <c r="I86" s="49">
        <v>0.126</v>
      </c>
      <c r="J86" s="49">
        <v>0.125</v>
      </c>
    </row>
    <row r="87" spans="2:10" ht="13.5" customHeight="1">
      <c r="B87" s="4" t="s">
        <v>131</v>
      </c>
      <c r="F87" s="49">
        <v>0.13</v>
      </c>
      <c r="G87" s="49">
        <v>0.125</v>
      </c>
      <c r="H87" s="49">
        <v>0.122</v>
      </c>
      <c r="I87" s="49">
        <v>0.12</v>
      </c>
      <c r="J87" s="49">
        <v>0.11799999999999999</v>
      </c>
    </row>
    <row r="88" spans="2:10" ht="13.5" customHeight="1">
      <c r="B88" s="4" t="s">
        <v>132</v>
      </c>
      <c r="F88" s="49">
        <v>0.14599999999999999</v>
      </c>
      <c r="G88" s="49">
        <v>0.14299999999999999</v>
      </c>
      <c r="H88" s="49">
        <v>0.14000000000000001</v>
      </c>
      <c r="I88" s="49">
        <v>0.13800000000000001</v>
      </c>
      <c r="J88" s="49">
        <v>0.13500000000000001</v>
      </c>
    </row>
    <row r="89" spans="2:10" ht="13.5" customHeight="1">
      <c r="B89" s="4" t="s">
        <v>133</v>
      </c>
      <c r="F89" s="49">
        <v>0.14000000000000001</v>
      </c>
      <c r="G89" s="49">
        <v>0.14199999999999999</v>
      </c>
      <c r="H89" s="49">
        <v>0.14499999999999999</v>
      </c>
      <c r="I89" s="49">
        <v>0.14499999999999999</v>
      </c>
      <c r="J89" s="49">
        <v>0.14499999999999999</v>
      </c>
    </row>
    <row r="90" spans="2:10" ht="13.5" customHeight="1">
      <c r="B90" s="4" t="s">
        <v>134</v>
      </c>
      <c r="F90" s="49">
        <v>0.14799999999999999</v>
      </c>
      <c r="G90" s="49">
        <v>0.15</v>
      </c>
      <c r="H90" s="49">
        <v>0.155</v>
      </c>
      <c r="I90" s="49">
        <v>0.155</v>
      </c>
      <c r="J90" s="49">
        <v>0.15</v>
      </c>
    </row>
  </sheetData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1:J2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54296875" defaultRowHeight="13"/>
  <cols>
    <col min="1" max="1" width="3" customWidth="1"/>
    <col min="2" max="2" width="34" customWidth="1"/>
    <col min="3" max="10" width="16" customWidth="1"/>
  </cols>
  <sheetData>
    <row r="1" spans="2:10" ht="13.5" customHeight="1"/>
    <row r="2" spans="2:10" ht="18" customHeight="1">
      <c r="B2" s="13" t="s">
        <v>205</v>
      </c>
    </row>
    <row r="3" spans="2:10" ht="13.5" customHeight="1"/>
    <row r="4" spans="2:10" ht="13.5" customHeight="1">
      <c r="C4" s="11" t="s">
        <v>34</v>
      </c>
      <c r="D4" s="11" t="s">
        <v>35</v>
      </c>
      <c r="E4" s="11" t="s">
        <v>182</v>
      </c>
      <c r="F4" s="11" t="s">
        <v>84</v>
      </c>
      <c r="G4" s="11" t="s">
        <v>85</v>
      </c>
      <c r="H4" s="11" t="s">
        <v>86</v>
      </c>
      <c r="I4" s="11" t="s">
        <v>87</v>
      </c>
      <c r="J4" s="11" t="s">
        <v>88</v>
      </c>
    </row>
    <row r="5" spans="2:10" ht="13.5" customHeight="1">
      <c r="B5" s="9" t="s">
        <v>206</v>
      </c>
      <c r="C5" s="10"/>
      <c r="D5" s="10"/>
      <c r="E5" s="10"/>
      <c r="F5" s="10"/>
      <c r="G5" s="10"/>
      <c r="H5" s="10"/>
      <c r="I5" s="10"/>
      <c r="J5" s="10"/>
    </row>
    <row r="6" spans="2:10" ht="13.5" customHeight="1">
      <c r="B6" s="4" t="s">
        <v>207</v>
      </c>
      <c r="C6" s="41" t="s">
        <v>184</v>
      </c>
      <c r="D6" s="30">
        <v>4771</v>
      </c>
      <c r="E6" s="30">
        <v>4570</v>
      </c>
      <c r="F6" s="52">
        <v>5050</v>
      </c>
      <c r="G6" s="52">
        <v>5700</v>
      </c>
      <c r="H6" s="52">
        <v>6200</v>
      </c>
      <c r="I6" s="52">
        <v>6700</v>
      </c>
      <c r="J6" s="52">
        <v>7000</v>
      </c>
    </row>
    <row r="7" spans="2:10" ht="13.5" customHeight="1">
      <c r="B7" s="42" t="s">
        <v>208</v>
      </c>
      <c r="C7" s="41" t="s">
        <v>184</v>
      </c>
      <c r="D7" s="43" t="str">
        <f t="shared" ref="D7:J7" si="0">IFERROR((D6-C6)/C6,"—")</f>
        <v>—</v>
      </c>
      <c r="E7" s="43">
        <f t="shared" si="0"/>
        <v>-4.2129532592747855E-2</v>
      </c>
      <c r="F7" s="43">
        <f t="shared" si="0"/>
        <v>0.10503282275711159</v>
      </c>
      <c r="G7" s="43">
        <f t="shared" si="0"/>
        <v>0.12871287128712872</v>
      </c>
      <c r="H7" s="43">
        <f t="shared" si="0"/>
        <v>8.771929824561403E-2</v>
      </c>
      <c r="I7" s="43">
        <f t="shared" si="0"/>
        <v>8.0645161290322578E-2</v>
      </c>
      <c r="J7" s="43">
        <f t="shared" si="0"/>
        <v>4.4776119402985072E-2</v>
      </c>
    </row>
    <row r="8" spans="2:10" ht="13.5" customHeight="1"/>
    <row r="9" spans="2:10" ht="13.5" customHeight="1">
      <c r="B9" s="9" t="s">
        <v>209</v>
      </c>
      <c r="C9" s="10"/>
      <c r="D9" s="10"/>
      <c r="E9" s="10"/>
      <c r="F9" s="10"/>
      <c r="G9" s="10"/>
      <c r="H9" s="10"/>
      <c r="I9" s="10"/>
      <c r="J9" s="10"/>
    </row>
    <row r="10" spans="2:10" ht="13.5" customHeight="1">
      <c r="B10" s="4" t="s">
        <v>210</v>
      </c>
      <c r="C10" s="41" t="s">
        <v>184</v>
      </c>
      <c r="D10" s="41" t="s">
        <v>184</v>
      </c>
      <c r="E10" s="41" t="s">
        <v>184</v>
      </c>
      <c r="F10" s="33">
        <v>820</v>
      </c>
      <c r="G10" s="33">
        <v>850</v>
      </c>
      <c r="H10" s="33">
        <v>880</v>
      </c>
      <c r="I10" s="33">
        <v>910</v>
      </c>
      <c r="J10" s="33">
        <v>940</v>
      </c>
    </row>
    <row r="11" spans="2:10" ht="13.5" customHeight="1">
      <c r="B11" s="4" t="s">
        <v>211</v>
      </c>
      <c r="C11" s="41" t="s">
        <v>184</v>
      </c>
      <c r="D11" s="41" t="s">
        <v>184</v>
      </c>
      <c r="E11" s="41" t="s">
        <v>184</v>
      </c>
      <c r="F11" s="49">
        <v>0.92</v>
      </c>
      <c r="G11" s="49">
        <v>0.93</v>
      </c>
      <c r="H11" s="49">
        <v>0.93</v>
      </c>
      <c r="I11" s="49">
        <v>0.94</v>
      </c>
      <c r="J11" s="49">
        <v>0.94</v>
      </c>
    </row>
    <row r="12" spans="2:10" ht="13.5" customHeight="1">
      <c r="B12" s="4" t="s">
        <v>212</v>
      </c>
      <c r="C12" s="41" t="s">
        <v>184</v>
      </c>
      <c r="D12" s="41" t="s">
        <v>184</v>
      </c>
      <c r="E12" s="41" t="s">
        <v>184</v>
      </c>
      <c r="F12" s="53">
        <v>0.7</v>
      </c>
      <c r="G12" s="53">
        <v>0.72</v>
      </c>
      <c r="H12" s="53">
        <v>0.74</v>
      </c>
      <c r="I12" s="53">
        <v>0.76</v>
      </c>
      <c r="J12" s="53">
        <v>0.78</v>
      </c>
    </row>
    <row r="13" spans="2:10" ht="13.5" customHeight="1">
      <c r="B13" s="4" t="s">
        <v>213</v>
      </c>
      <c r="C13" s="41" t="s">
        <v>184</v>
      </c>
      <c r="D13" s="41" t="s">
        <v>184</v>
      </c>
      <c r="E13" s="41" t="s">
        <v>184</v>
      </c>
      <c r="F13" s="22">
        <f>F10*F11*F12*12</f>
        <v>6336.9599999999991</v>
      </c>
      <c r="G13" s="22">
        <f>G10*G11*G12*12</f>
        <v>6829.92</v>
      </c>
      <c r="H13" s="22">
        <f>H10*H11*H12*12</f>
        <v>7267.3920000000016</v>
      </c>
      <c r="I13" s="22">
        <f>I10*I11*I12*12</f>
        <v>7801.2480000000005</v>
      </c>
      <c r="J13" s="22">
        <f>J10*J11*J12*12</f>
        <v>8270.4959999999992</v>
      </c>
    </row>
    <row r="14" spans="2:10" ht="13.5" customHeight="1">
      <c r="B14" s="4" t="s">
        <v>214</v>
      </c>
      <c r="C14" s="41" t="s">
        <v>184</v>
      </c>
      <c r="D14" s="41" t="s">
        <v>184</v>
      </c>
      <c r="E14" s="30">
        <v>6058</v>
      </c>
      <c r="F14" s="52">
        <v>7400</v>
      </c>
      <c r="G14" s="52">
        <v>9238</v>
      </c>
      <c r="H14" s="52">
        <v>11000</v>
      </c>
      <c r="I14" s="52">
        <v>13000</v>
      </c>
      <c r="J14" s="52">
        <v>14500</v>
      </c>
    </row>
    <row r="15" spans="2:10" ht="13.5" customHeight="1">
      <c r="B15" s="4" t="s">
        <v>215</v>
      </c>
      <c r="C15" s="41" t="s">
        <v>184</v>
      </c>
      <c r="D15" s="22">
        <v>10546</v>
      </c>
      <c r="E15" s="22">
        <v>12035</v>
      </c>
      <c r="F15" s="22">
        <f>F13+F14</f>
        <v>13736.96</v>
      </c>
      <c r="G15" s="22">
        <f>G13+G14</f>
        <v>16067.92</v>
      </c>
      <c r="H15" s="22">
        <f>H13+H14</f>
        <v>18267.392</v>
      </c>
      <c r="I15" s="22">
        <f>I13+I14</f>
        <v>20801.248</v>
      </c>
      <c r="J15" s="22">
        <f>J13+J14</f>
        <v>22770.495999999999</v>
      </c>
    </row>
    <row r="16" spans="2:10" ht="13.5" customHeight="1">
      <c r="B16" s="42" t="s">
        <v>216</v>
      </c>
      <c r="C16" s="43" t="str">
        <f t="shared" ref="C16:J16" si="1">IFERROR(C14/C15,"—")</f>
        <v>—</v>
      </c>
      <c r="D16" s="43" t="str">
        <f t="shared" si="1"/>
        <v>—</v>
      </c>
      <c r="E16" s="43">
        <f t="shared" si="1"/>
        <v>0.50336518487744075</v>
      </c>
      <c r="F16" s="43">
        <f t="shared" si="1"/>
        <v>0.53869269474468884</v>
      </c>
      <c r="G16" s="43">
        <f t="shared" si="1"/>
        <v>0.57493440345732361</v>
      </c>
      <c r="H16" s="43">
        <f t="shared" si="1"/>
        <v>0.60216587020194234</v>
      </c>
      <c r="I16" s="43">
        <f t="shared" si="1"/>
        <v>0.62496250224986505</v>
      </c>
      <c r="J16" s="43">
        <f t="shared" si="1"/>
        <v>0.63678893951190174</v>
      </c>
    </row>
    <row r="17" spans="2:10" ht="13.5" customHeight="1"/>
    <row r="18" spans="2:10" ht="13.5" customHeight="1">
      <c r="B18" s="9" t="s">
        <v>217</v>
      </c>
      <c r="C18" s="10"/>
      <c r="D18" s="10"/>
      <c r="E18" s="10"/>
      <c r="F18" s="10"/>
      <c r="G18" s="10"/>
      <c r="H18" s="10"/>
      <c r="I18" s="10"/>
      <c r="J18" s="10"/>
    </row>
    <row r="19" spans="2:10" ht="13.5" customHeight="1">
      <c r="B19" s="4" t="s">
        <v>207</v>
      </c>
      <c r="C19" s="41" t="s">
        <v>184</v>
      </c>
      <c r="D19" s="30">
        <v>8680</v>
      </c>
      <c r="E19" s="30">
        <v>7993</v>
      </c>
      <c r="F19" s="52">
        <v>8000</v>
      </c>
      <c r="G19" s="52">
        <v>8100</v>
      </c>
      <c r="H19" s="52">
        <v>8200</v>
      </c>
      <c r="I19" s="52">
        <v>8300</v>
      </c>
      <c r="J19" s="52">
        <v>8400</v>
      </c>
    </row>
    <row r="20" spans="2:10" ht="13.5" customHeight="1">
      <c r="B20" s="42" t="s">
        <v>208</v>
      </c>
      <c r="C20" s="41" t="s">
        <v>184</v>
      </c>
      <c r="D20" s="43" t="str">
        <f t="shared" ref="D20:J20" si="2">IFERROR((D19-C19)/C19,"—")</f>
        <v>—</v>
      </c>
      <c r="E20" s="43">
        <f t="shared" si="2"/>
        <v>-7.9147465437788014E-2</v>
      </c>
      <c r="F20" s="43">
        <f t="shared" si="2"/>
        <v>8.7576629550857002E-4</v>
      </c>
      <c r="G20" s="43">
        <f t="shared" si="2"/>
        <v>1.2500000000000001E-2</v>
      </c>
      <c r="H20" s="43">
        <f t="shared" si="2"/>
        <v>1.2345679012345678E-2</v>
      </c>
      <c r="I20" s="43">
        <f t="shared" si="2"/>
        <v>1.2195121951219513E-2</v>
      </c>
      <c r="J20" s="43">
        <f t="shared" si="2"/>
        <v>1.2048192771084338E-2</v>
      </c>
    </row>
  </sheetData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102"/>
  <sheetViews>
    <sheetView topLeftCell="A77" zoomScale="66" zoomScaleNormal="100" workbookViewId="0">
      <selection activeCell="C82" sqref="C82"/>
    </sheetView>
  </sheetViews>
  <sheetFormatPr defaultColWidth="8.54296875" defaultRowHeight="13"/>
  <cols>
    <col min="1" max="1" width="3" customWidth="1"/>
    <col min="2" max="2" width="38" customWidth="1"/>
    <col min="3" max="14" width="15" customWidth="1"/>
  </cols>
  <sheetData>
    <row r="2" spans="2:8" ht="21.75" customHeight="1">
      <c r="B2" s="130" t="s">
        <v>218</v>
      </c>
      <c r="C2" s="130"/>
      <c r="D2" s="130"/>
      <c r="E2" s="130"/>
      <c r="F2" s="130"/>
      <c r="G2" s="130"/>
      <c r="H2" s="130"/>
    </row>
    <row r="3" spans="2:8" ht="15" customHeight="1">
      <c r="B3" s="129" t="s">
        <v>219</v>
      </c>
      <c r="C3" s="129"/>
      <c r="D3" s="129"/>
      <c r="E3" s="129"/>
      <c r="F3" s="129"/>
      <c r="G3" s="129"/>
      <c r="H3" s="129"/>
    </row>
    <row r="5" spans="2:8" ht="16.5" customHeight="1">
      <c r="B5" s="128" t="s">
        <v>220</v>
      </c>
      <c r="C5" s="128"/>
      <c r="D5" s="128"/>
      <c r="E5" s="128"/>
      <c r="F5" s="128"/>
      <c r="G5" s="128"/>
      <c r="H5" s="128"/>
    </row>
    <row r="6" spans="2:8" ht="30" customHeight="1">
      <c r="B6" s="54" t="s">
        <v>221</v>
      </c>
      <c r="C6" s="54" t="s">
        <v>222</v>
      </c>
      <c r="D6" s="55" t="s">
        <v>223</v>
      </c>
      <c r="E6" s="55" t="s">
        <v>224</v>
      </c>
      <c r="F6" s="55" t="s">
        <v>225</v>
      </c>
      <c r="G6" s="54" t="s">
        <v>226</v>
      </c>
    </row>
    <row r="7" spans="2:8" ht="16.5" customHeight="1">
      <c r="B7" s="56" t="s">
        <v>227</v>
      </c>
      <c r="C7" s="57">
        <v>2330</v>
      </c>
      <c r="D7" s="58">
        <f>C7*'DCF Model'!$C$15/1000000</f>
        <v>33478.607329999999</v>
      </c>
      <c r="E7" s="58">
        <f>D7+'DCF Model'!$C$16</f>
        <v>26181.80733</v>
      </c>
      <c r="F7" s="58">
        <f>E7</f>
        <v>26181.80733</v>
      </c>
      <c r="G7" s="59" t="s">
        <v>228</v>
      </c>
    </row>
    <row r="8" spans="2:8" ht="16.5" customHeight="1">
      <c r="B8" s="56" t="s">
        <v>229</v>
      </c>
      <c r="C8" s="57">
        <v>1990</v>
      </c>
      <c r="D8" s="58">
        <f>C8*'DCF Model'!$C$15/1000000</f>
        <v>28593.316989999999</v>
      </c>
      <c r="E8" s="58">
        <f>D8+'DCF Model'!$C$16</f>
        <v>21296.51699</v>
      </c>
      <c r="F8" s="58">
        <f>E8</f>
        <v>21296.51699</v>
      </c>
      <c r="G8" s="59" t="s">
        <v>230</v>
      </c>
    </row>
    <row r="9" spans="2:8" ht="15" customHeight="1">
      <c r="B9" s="56" t="s">
        <v>231</v>
      </c>
      <c r="C9" s="57">
        <v>1964</v>
      </c>
      <c r="D9" s="58">
        <f>C9*'DCF Model'!$C$15/1000000</f>
        <v>28219.735964</v>
      </c>
      <c r="E9" s="58">
        <f>D9+'DCF Model'!$C$16</f>
        <v>20922.935964</v>
      </c>
      <c r="F9" s="58">
        <f>E9</f>
        <v>20922.935964</v>
      </c>
      <c r="G9" s="60" t="s">
        <v>232</v>
      </c>
    </row>
    <row r="10" spans="2:8" ht="16.5" customHeight="1">
      <c r="B10" s="56" t="s">
        <v>233</v>
      </c>
      <c r="C10" s="57">
        <v>2127</v>
      </c>
      <c r="D10" s="58">
        <f>C10*'DCF Model'!$C$15/1000000</f>
        <v>30561.801627000001</v>
      </c>
      <c r="E10" s="58">
        <f>D10+'DCF Model'!$C$16</f>
        <v>23265.001627000001</v>
      </c>
      <c r="F10" s="58">
        <f>E10</f>
        <v>23265.001627000001</v>
      </c>
      <c r="G10" s="59" t="s">
        <v>234</v>
      </c>
    </row>
    <row r="11" spans="2:8" ht="15" customHeight="1">
      <c r="B11" s="56" t="s">
        <v>235</v>
      </c>
      <c r="C11" s="57">
        <v>2893</v>
      </c>
      <c r="D11" s="58">
        <f>C11*'DCF Model'!$C$15/1000000</f>
        <v>41568.073392999999</v>
      </c>
      <c r="E11" s="58">
        <f>D11+'DCF Model'!$C$16</f>
        <v>34271.273392999996</v>
      </c>
      <c r="F11" s="58">
        <f>E11</f>
        <v>34271.273392999996</v>
      </c>
      <c r="G11" s="59" t="s">
        <v>236</v>
      </c>
    </row>
    <row r="14" spans="2:8" ht="16.5" customHeight="1">
      <c r="B14" s="128" t="s">
        <v>237</v>
      </c>
      <c r="C14" s="128"/>
      <c r="D14" s="128"/>
      <c r="E14" s="128"/>
      <c r="F14" s="128"/>
      <c r="G14" s="128"/>
      <c r="H14" s="128"/>
    </row>
    <row r="15" spans="2:8" ht="15" customHeight="1">
      <c r="B15" s="129" t="s">
        <v>238</v>
      </c>
      <c r="C15" s="129"/>
      <c r="D15" s="129"/>
      <c r="E15" s="129"/>
      <c r="F15" s="129"/>
      <c r="G15" s="129"/>
      <c r="H15" s="129"/>
    </row>
    <row r="17" spans="2:20" ht="15" customHeight="1">
      <c r="B17" s="61" t="s">
        <v>239</v>
      </c>
      <c r="C17" s="62">
        <v>-0.5</v>
      </c>
      <c r="D17" s="62">
        <v>-0.3</v>
      </c>
      <c r="E17" s="62">
        <v>-0.1</v>
      </c>
      <c r="F17" s="62">
        <v>0</v>
      </c>
      <c r="G17" s="62">
        <v>0.1</v>
      </c>
      <c r="H17" s="62">
        <v>0.2</v>
      </c>
      <c r="I17" s="62">
        <v>0.3</v>
      </c>
      <c r="J17" s="62">
        <v>0.4</v>
      </c>
      <c r="K17" s="62">
        <v>0.5</v>
      </c>
      <c r="L17" s="62">
        <v>0.6</v>
      </c>
      <c r="M17" s="62">
        <v>0.7</v>
      </c>
      <c r="N17" s="62">
        <v>0.8</v>
      </c>
      <c r="O17" s="62">
        <v>0.9</v>
      </c>
      <c r="P17" s="62">
        <v>1</v>
      </c>
      <c r="Q17" s="62">
        <v>1.1000000000000001</v>
      </c>
      <c r="R17" s="62">
        <v>1.2</v>
      </c>
      <c r="S17" s="62">
        <v>1.3</v>
      </c>
      <c r="T17" s="62">
        <v>1.5</v>
      </c>
    </row>
    <row r="19" spans="2:20" ht="15" customHeight="1">
      <c r="B19" s="63" t="s">
        <v>240</v>
      </c>
    </row>
    <row r="20" spans="2:20" ht="15" customHeight="1">
      <c r="B20" s="64" t="s">
        <v>241</v>
      </c>
      <c r="C20" s="65">
        <f t="shared" ref="C20:T20" si="0">$D$57*C$17</f>
        <v>-4.4224651338107712E-2</v>
      </c>
      <c r="D20" s="65">
        <f t="shared" si="0"/>
        <v>-2.6534790802864628E-2</v>
      </c>
      <c r="E20" s="65">
        <f t="shared" si="0"/>
        <v>-8.8449302676215421E-3</v>
      </c>
      <c r="F20" s="65">
        <f t="shared" si="0"/>
        <v>0</v>
      </c>
      <c r="G20" s="65">
        <f t="shared" si="0"/>
        <v>8.8449302676215421E-3</v>
      </c>
      <c r="H20" s="65">
        <f t="shared" si="0"/>
        <v>1.7689860535243084E-2</v>
      </c>
      <c r="I20" s="65">
        <f t="shared" si="0"/>
        <v>2.6534790802864628E-2</v>
      </c>
      <c r="J20" s="65">
        <f t="shared" si="0"/>
        <v>3.5379721070486168E-2</v>
      </c>
      <c r="K20" s="65">
        <f t="shared" si="0"/>
        <v>4.4224651338107712E-2</v>
      </c>
      <c r="L20" s="65">
        <f t="shared" si="0"/>
        <v>5.3069581605729256E-2</v>
      </c>
      <c r="M20" s="65">
        <f t="shared" si="0"/>
        <v>6.1914511873350793E-2</v>
      </c>
      <c r="N20" s="65">
        <f t="shared" si="0"/>
        <v>7.0759442140972337E-2</v>
      </c>
      <c r="O20" s="65">
        <f t="shared" si="0"/>
        <v>7.9604372408593888E-2</v>
      </c>
      <c r="P20" s="65">
        <f t="shared" si="0"/>
        <v>8.8449302676215424E-2</v>
      </c>
      <c r="Q20" s="65">
        <f t="shared" si="0"/>
        <v>9.7294232943836975E-2</v>
      </c>
      <c r="R20" s="65">
        <f t="shared" si="0"/>
        <v>0.10613916321145851</v>
      </c>
      <c r="S20" s="65">
        <f t="shared" si="0"/>
        <v>0.11498409347908005</v>
      </c>
      <c r="T20" s="65">
        <f t="shared" si="0"/>
        <v>0.13267395401432314</v>
      </c>
    </row>
    <row r="21" spans="2:20" ht="15" customHeight="1">
      <c r="B21" s="64" t="s">
        <v>242</v>
      </c>
      <c r="C21" s="65">
        <f t="shared" ref="C21:T21" si="1">$E$57*C$17</f>
        <v>-4.2862101649226991E-2</v>
      </c>
      <c r="D21" s="65">
        <f t="shared" si="1"/>
        <v>-2.5717260989536195E-2</v>
      </c>
      <c r="E21" s="65">
        <f t="shared" si="1"/>
        <v>-8.5724203298453983E-3</v>
      </c>
      <c r="F21" s="65">
        <f t="shared" si="1"/>
        <v>0</v>
      </c>
      <c r="G21" s="65">
        <f t="shared" si="1"/>
        <v>8.5724203298453983E-3</v>
      </c>
      <c r="H21" s="65">
        <f t="shared" si="1"/>
        <v>1.7144840659690797E-2</v>
      </c>
      <c r="I21" s="65">
        <f t="shared" si="1"/>
        <v>2.5717260989536195E-2</v>
      </c>
      <c r="J21" s="65">
        <f t="shared" si="1"/>
        <v>3.4289681319381593E-2</v>
      </c>
      <c r="K21" s="65">
        <f t="shared" si="1"/>
        <v>4.2862101649226991E-2</v>
      </c>
      <c r="L21" s="65">
        <f t="shared" si="1"/>
        <v>5.143452197907239E-2</v>
      </c>
      <c r="M21" s="65">
        <f t="shared" si="1"/>
        <v>6.0006942308917781E-2</v>
      </c>
      <c r="N21" s="65">
        <f t="shared" si="1"/>
        <v>6.8579362638763186E-2</v>
      </c>
      <c r="O21" s="65">
        <f t="shared" si="1"/>
        <v>7.7151782968608584E-2</v>
      </c>
      <c r="P21" s="65">
        <f t="shared" si="1"/>
        <v>8.5724203298453983E-2</v>
      </c>
      <c r="Q21" s="65">
        <f t="shared" si="1"/>
        <v>9.4296623628299395E-2</v>
      </c>
      <c r="R21" s="65">
        <f t="shared" si="1"/>
        <v>0.10286904395814478</v>
      </c>
      <c r="S21" s="65">
        <f t="shared" si="1"/>
        <v>0.11144146428799018</v>
      </c>
      <c r="T21" s="65">
        <f t="shared" si="1"/>
        <v>0.12858630494768097</v>
      </c>
    </row>
    <row r="22" spans="2:20" ht="15" customHeight="1">
      <c r="B22" s="64" t="s">
        <v>243</v>
      </c>
      <c r="C22" s="65">
        <f t="shared" ref="C22:T22" si="2">$F$57*C$17</f>
        <v>-3.5462295266639243E-2</v>
      </c>
      <c r="D22" s="65">
        <f t="shared" si="2"/>
        <v>-2.1277377159983544E-2</v>
      </c>
      <c r="E22" s="65">
        <f t="shared" si="2"/>
        <v>-7.0924590533278488E-3</v>
      </c>
      <c r="F22" s="65">
        <f t="shared" si="2"/>
        <v>0</v>
      </c>
      <c r="G22" s="65">
        <f t="shared" si="2"/>
        <v>7.0924590533278488E-3</v>
      </c>
      <c r="H22" s="65">
        <f t="shared" si="2"/>
        <v>1.4184918106655698E-2</v>
      </c>
      <c r="I22" s="65">
        <f t="shared" si="2"/>
        <v>2.1277377159983544E-2</v>
      </c>
      <c r="J22" s="65">
        <f t="shared" si="2"/>
        <v>2.8369836213311395E-2</v>
      </c>
      <c r="K22" s="65">
        <f t="shared" si="2"/>
        <v>3.5462295266639243E-2</v>
      </c>
      <c r="L22" s="65">
        <f t="shared" si="2"/>
        <v>4.2554754319967088E-2</v>
      </c>
      <c r="M22" s="65">
        <f t="shared" si="2"/>
        <v>4.9647213373294939E-2</v>
      </c>
      <c r="N22" s="65">
        <f t="shared" si="2"/>
        <v>5.6739672426622791E-2</v>
      </c>
      <c r="O22" s="65">
        <f t="shared" si="2"/>
        <v>6.3832131479950635E-2</v>
      </c>
      <c r="P22" s="65">
        <f t="shared" si="2"/>
        <v>7.0924590533278487E-2</v>
      </c>
      <c r="Q22" s="65">
        <f t="shared" si="2"/>
        <v>7.8017049586606338E-2</v>
      </c>
      <c r="R22" s="65">
        <f t="shared" si="2"/>
        <v>8.5109508639934175E-2</v>
      </c>
      <c r="S22" s="65">
        <f t="shared" si="2"/>
        <v>9.2201967693262041E-2</v>
      </c>
      <c r="T22" s="65">
        <f t="shared" si="2"/>
        <v>0.10638688579991773</v>
      </c>
    </row>
    <row r="23" spans="2:20" ht="15" customHeight="1">
      <c r="B23" s="64" t="s">
        <v>244</v>
      </c>
      <c r="C23" s="65">
        <f t="shared" ref="C23:T23" si="3">$G$57*C$17</f>
        <v>-2.6296645647891359E-2</v>
      </c>
      <c r="D23" s="65">
        <f t="shared" si="3"/>
        <v>-1.5777987388734815E-2</v>
      </c>
      <c r="E23" s="65">
        <f t="shared" si="3"/>
        <v>-5.2593291295782718E-3</v>
      </c>
      <c r="F23" s="65">
        <f t="shared" si="3"/>
        <v>0</v>
      </c>
      <c r="G23" s="65">
        <f t="shared" si="3"/>
        <v>5.2593291295782718E-3</v>
      </c>
      <c r="H23" s="65">
        <f t="shared" si="3"/>
        <v>1.0518658259156544E-2</v>
      </c>
      <c r="I23" s="65">
        <f t="shared" si="3"/>
        <v>1.5777987388734815E-2</v>
      </c>
      <c r="J23" s="65">
        <f t="shared" si="3"/>
        <v>2.1037316518313087E-2</v>
      </c>
      <c r="K23" s="65">
        <f t="shared" si="3"/>
        <v>2.6296645647891359E-2</v>
      </c>
      <c r="L23" s="65">
        <f t="shared" si="3"/>
        <v>3.1555974777469631E-2</v>
      </c>
      <c r="M23" s="65">
        <f t="shared" si="3"/>
        <v>3.6815303907047903E-2</v>
      </c>
      <c r="N23" s="65">
        <f t="shared" si="3"/>
        <v>4.2074633036626174E-2</v>
      </c>
      <c r="O23" s="65">
        <f t="shared" si="3"/>
        <v>4.7333962166204446E-2</v>
      </c>
      <c r="P23" s="65">
        <f t="shared" si="3"/>
        <v>5.2593291295782718E-2</v>
      </c>
      <c r="Q23" s="65">
        <f t="shared" si="3"/>
        <v>5.7852620425360997E-2</v>
      </c>
      <c r="R23" s="65">
        <f t="shared" si="3"/>
        <v>6.3111949554939262E-2</v>
      </c>
      <c r="S23" s="65">
        <f t="shared" si="3"/>
        <v>6.8371278684517534E-2</v>
      </c>
      <c r="T23" s="65">
        <f t="shared" si="3"/>
        <v>7.8889936943674077E-2</v>
      </c>
    </row>
    <row r="24" spans="2:20" ht="15" customHeight="1">
      <c r="B24" s="64" t="s">
        <v>245</v>
      </c>
      <c r="C24" s="65">
        <f t="shared" ref="C24:T24" si="4">$H$57*C$17</f>
        <v>-2.0435546740407262E-2</v>
      </c>
      <c r="D24" s="65">
        <f t="shared" si="4"/>
        <v>-1.2261328044244357E-2</v>
      </c>
      <c r="E24" s="65">
        <f t="shared" si="4"/>
        <v>-4.0871093480814528E-3</v>
      </c>
      <c r="F24" s="65">
        <f t="shared" si="4"/>
        <v>0</v>
      </c>
      <c r="G24" s="65">
        <f t="shared" si="4"/>
        <v>4.0871093480814528E-3</v>
      </c>
      <c r="H24" s="65">
        <f t="shared" si="4"/>
        <v>8.1742186961629056E-3</v>
      </c>
      <c r="I24" s="65">
        <f t="shared" si="4"/>
        <v>1.2261328044244357E-2</v>
      </c>
      <c r="J24" s="65">
        <f t="shared" si="4"/>
        <v>1.6348437392325811E-2</v>
      </c>
      <c r="K24" s="65">
        <f t="shared" si="4"/>
        <v>2.0435546740407262E-2</v>
      </c>
      <c r="L24" s="65">
        <f t="shared" si="4"/>
        <v>2.4522656088488713E-2</v>
      </c>
      <c r="M24" s="65">
        <f t="shared" si="4"/>
        <v>2.8609765436570164E-2</v>
      </c>
      <c r="N24" s="65">
        <f t="shared" si="4"/>
        <v>3.2696874784651622E-2</v>
      </c>
      <c r="O24" s="65">
        <f t="shared" si="4"/>
        <v>3.6783984132733073E-2</v>
      </c>
      <c r="P24" s="65">
        <f t="shared" si="4"/>
        <v>4.0871093480814524E-2</v>
      </c>
      <c r="Q24" s="65">
        <f t="shared" si="4"/>
        <v>4.4958202828895982E-2</v>
      </c>
      <c r="R24" s="65">
        <f t="shared" si="4"/>
        <v>4.9045312176977426E-2</v>
      </c>
      <c r="S24" s="65">
        <f t="shared" si="4"/>
        <v>5.3132421525058884E-2</v>
      </c>
      <c r="T24" s="65">
        <f t="shared" si="4"/>
        <v>6.1306640221221786E-2</v>
      </c>
    </row>
    <row r="25" spans="2:20" ht="15" customHeight="1">
      <c r="B25" s="64" t="s">
        <v>246</v>
      </c>
      <c r="C25" s="66">
        <f t="shared" ref="C25:T25" si="5">$C$48*(1+C20)</f>
        <v>25356.720000000001</v>
      </c>
      <c r="D25" s="66">
        <f t="shared" si="5"/>
        <v>25826.032000000003</v>
      </c>
      <c r="E25" s="66">
        <f t="shared" si="5"/>
        <v>26295.344000000001</v>
      </c>
      <c r="F25" s="66">
        <f t="shared" si="5"/>
        <v>26530</v>
      </c>
      <c r="G25" s="66">
        <f t="shared" si="5"/>
        <v>26764.655999999995</v>
      </c>
      <c r="H25" s="66">
        <f t="shared" si="5"/>
        <v>26999.312000000002</v>
      </c>
      <c r="I25" s="66">
        <f t="shared" si="5"/>
        <v>27233.967999999997</v>
      </c>
      <c r="J25" s="66">
        <f t="shared" si="5"/>
        <v>27468.624</v>
      </c>
      <c r="K25" s="66">
        <f t="shared" si="5"/>
        <v>27703.279999999999</v>
      </c>
      <c r="L25" s="66">
        <f t="shared" si="5"/>
        <v>27937.935999999994</v>
      </c>
      <c r="M25" s="66">
        <f t="shared" si="5"/>
        <v>28172.591999999997</v>
      </c>
      <c r="N25" s="66">
        <f t="shared" si="5"/>
        <v>28407.247999999996</v>
      </c>
      <c r="O25" s="66">
        <f t="shared" si="5"/>
        <v>28641.903999999999</v>
      </c>
      <c r="P25" s="66">
        <f t="shared" si="5"/>
        <v>28876.559999999994</v>
      </c>
      <c r="Q25" s="66">
        <f t="shared" si="5"/>
        <v>29111.215999999993</v>
      </c>
      <c r="R25" s="66">
        <f t="shared" si="5"/>
        <v>29345.871999999996</v>
      </c>
      <c r="S25" s="66">
        <f t="shared" si="5"/>
        <v>29580.527999999991</v>
      </c>
      <c r="T25" s="66">
        <f t="shared" si="5"/>
        <v>30049.839999999993</v>
      </c>
    </row>
    <row r="26" spans="2:20" ht="15" customHeight="1">
      <c r="B26" s="64" t="s">
        <v>247</v>
      </c>
      <c r="C26" s="66">
        <f t="shared" ref="C26:L29" si="6">C25*(1+C21)</f>
        <v>24269.877689869016</v>
      </c>
      <c r="D26" s="66">
        <f t="shared" si="6"/>
        <v>25161.857194731889</v>
      </c>
      <c r="E26" s="66">
        <f t="shared" si="6"/>
        <v>26069.929258514123</v>
      </c>
      <c r="F26" s="66">
        <f t="shared" si="6"/>
        <v>26530</v>
      </c>
      <c r="G26" s="66">
        <f t="shared" si="6"/>
        <v>26994.093881215715</v>
      </c>
      <c r="H26" s="66">
        <f t="shared" si="6"/>
        <v>27462.210902161278</v>
      </c>
      <c r="I26" s="66">
        <f t="shared" si="6"/>
        <v>27934.351062836675</v>
      </c>
      <c r="J26" s="66">
        <f t="shared" si="6"/>
        <v>28410.514363241917</v>
      </c>
      <c r="K26" s="66">
        <f t="shared" si="6"/>
        <v>28890.700803376996</v>
      </c>
      <c r="L26" s="66">
        <f t="shared" si="6"/>
        <v>29374.910383241913</v>
      </c>
      <c r="M26" s="66">
        <f t="shared" ref="M26:T29" si="7">M25*(1+M21)</f>
        <v>29863.143102836675</v>
      </c>
      <c r="N26" s="66">
        <f t="shared" si="7"/>
        <v>30355.398962161275</v>
      </c>
      <c r="O26" s="66">
        <f t="shared" si="7"/>
        <v>30851.677961215719</v>
      </c>
      <c r="P26" s="66">
        <f t="shared" si="7"/>
        <v>31351.980099999997</v>
      </c>
      <c r="Q26" s="66">
        <f t="shared" si="7"/>
        <v>31856.30537851412</v>
      </c>
      <c r="R26" s="66">
        <f t="shared" si="7"/>
        <v>32364.653796758084</v>
      </c>
      <c r="S26" s="66">
        <f t="shared" si="7"/>
        <v>32877.025354731886</v>
      </c>
      <c r="T26" s="66">
        <f t="shared" si="7"/>
        <v>33913.837889869013</v>
      </c>
    </row>
    <row r="27" spans="2:20" ht="15" customHeight="1">
      <c r="B27" s="64" t="s">
        <v>248</v>
      </c>
      <c r="C27" s="66">
        <f t="shared" si="6"/>
        <v>23409.212121145662</v>
      </c>
      <c r="D27" s="66">
        <f t="shared" si="6"/>
        <v>24626.478869153932</v>
      </c>
      <c r="E27" s="66">
        <f t="shared" si="6"/>
        <v>25885.029352724956</v>
      </c>
      <c r="F27" s="66">
        <f t="shared" si="6"/>
        <v>26530</v>
      </c>
      <c r="G27" s="66">
        <f t="shared" si="6"/>
        <v>27185.548386749928</v>
      </c>
      <c r="H27" s="66">
        <f t="shared" si="6"/>
        <v>27851.760114836146</v>
      </c>
      <c r="I27" s="66">
        <f t="shared" si="6"/>
        <v>28528.720786120037</v>
      </c>
      <c r="J27" s="66">
        <f t="shared" si="6"/>
        <v>29216.51600246302</v>
      </c>
      <c r="K27" s="66">
        <f t="shared" si="6"/>
        <v>29915.231365726482</v>
      </c>
      <c r="L27" s="66">
        <f t="shared" si="6"/>
        <v>30624.952477771825</v>
      </c>
      <c r="M27" s="66">
        <f t="shared" si="7"/>
        <v>31345.764940460453</v>
      </c>
      <c r="N27" s="66">
        <f t="shared" si="7"/>
        <v>32077.754355653749</v>
      </c>
      <c r="O27" s="66">
        <f t="shared" si="7"/>
        <v>32821.006325213137</v>
      </c>
      <c r="P27" s="66">
        <f t="shared" si="7"/>
        <v>33575.606450999992</v>
      </c>
      <c r="Q27" s="66">
        <f t="shared" si="7"/>
        <v>34341.64033487573</v>
      </c>
      <c r="R27" s="66">
        <f t="shared" si="7"/>
        <v>35119.19357870175</v>
      </c>
      <c r="S27" s="66">
        <f t="shared" si="7"/>
        <v>35908.351784339429</v>
      </c>
      <c r="T27" s="66">
        <f t="shared" si="7"/>
        <v>37521.825488495429</v>
      </c>
    </row>
    <row r="28" spans="2:20" ht="15" customHeight="1">
      <c r="B28" s="64" t="s">
        <v>249</v>
      </c>
      <c r="C28" s="66">
        <f t="shared" si="6"/>
        <v>22793.628365099572</v>
      </c>
      <c r="D28" s="66">
        <f t="shared" si="6"/>
        <v>24237.922596127479</v>
      </c>
      <c r="E28" s="66">
        <f t="shared" si="6"/>
        <v>25748.891463830179</v>
      </c>
      <c r="F28" s="66">
        <f t="shared" si="6"/>
        <v>26530</v>
      </c>
      <c r="G28" s="66">
        <f t="shared" si="6"/>
        <v>27328.526133283925</v>
      </c>
      <c r="H28" s="66">
        <f t="shared" si="6"/>
        <v>28144.723261400115</v>
      </c>
      <c r="I28" s="66">
        <f t="shared" si="6"/>
        <v>28978.846582900173</v>
      </c>
      <c r="J28" s="66">
        <f t="shared" si="6"/>
        <v>29831.153097169194</v>
      </c>
      <c r="K28" s="66">
        <f t="shared" si="6"/>
        <v>30701.901604425679</v>
      </c>
      <c r="L28" s="66">
        <f t="shared" si="6"/>
        <v>31591.352705721598</v>
      </c>
      <c r="M28" s="66">
        <f t="shared" si="7"/>
        <v>32499.768802942388</v>
      </c>
      <c r="N28" s="66">
        <f t="shared" si="7"/>
        <v>33427.414098806919</v>
      </c>
      <c r="O28" s="66">
        <f t="shared" si="7"/>
        <v>34374.554596867536</v>
      </c>
      <c r="P28" s="66">
        <f t="shared" si="7"/>
        <v>35341.458101509998</v>
      </c>
      <c r="Q28" s="66">
        <f t="shared" si="7"/>
        <v>36328.394217953566</v>
      </c>
      <c r="R28" s="66">
        <f t="shared" si="7"/>
        <v>37335.63435225092</v>
      </c>
      <c r="S28" s="66">
        <f t="shared" si="7"/>
        <v>38363.451711288195</v>
      </c>
      <c r="T28" s="66">
        <f t="shared" si="7"/>
        <v>40481.919935294376</v>
      </c>
    </row>
    <row r="29" spans="2:20" ht="15" customHeight="1">
      <c r="B29" s="64" t="s">
        <v>250</v>
      </c>
      <c r="C29" s="66">
        <f t="shared" si="6"/>
        <v>22327.828107261106</v>
      </c>
      <c r="D29" s="66">
        <f t="shared" si="6"/>
        <v>23940.733476065358</v>
      </c>
      <c r="E29" s="66">
        <f t="shared" si="6"/>
        <v>25643.652928825624</v>
      </c>
      <c r="F29" s="66">
        <f t="shared" si="6"/>
        <v>26530</v>
      </c>
      <c r="G29" s="66">
        <f t="shared" si="6"/>
        <v>27440.220807912559</v>
      </c>
      <c r="H29" s="66">
        <f t="shared" si="6"/>
        <v>28374.78438448178</v>
      </c>
      <c r="I29" s="66">
        <f t="shared" si="6"/>
        <v>29334.165727196938</v>
      </c>
      <c r="J29" s="66">
        <f t="shared" si="6"/>
        <v>30318.845835919146</v>
      </c>
      <c r="K29" s="66">
        <f t="shared" si="6"/>
        <v>31329.3117496823</v>
      </c>
      <c r="L29" s="66">
        <f t="shared" si="6"/>
        <v>32366.056583494159</v>
      </c>
      <c r="M29" s="66">
        <f t="shared" si="7"/>
        <v>33429.579565137334</v>
      </c>
      <c r="N29" s="66">
        <f t="shared" si="7"/>
        <v>34520.386071970308</v>
      </c>
      <c r="O29" s="66">
        <f t="shared" si="7"/>
        <v>35638.987667728477</v>
      </c>
      <c r="P29" s="66">
        <f t="shared" si="7"/>
        <v>36785.902139325102</v>
      </c>
      <c r="Q29" s="66">
        <f t="shared" si="7"/>
        <v>37961.65353365241</v>
      </c>
      <c r="R29" s="66">
        <f t="shared" si="7"/>
        <v>39166.772194382545</v>
      </c>
      <c r="S29" s="66">
        <f t="shared" si="7"/>
        <v>40401.794798768598</v>
      </c>
      <c r="T29" s="66">
        <f t="shared" si="7"/>
        <v>42963.730436231781</v>
      </c>
    </row>
    <row r="30" spans="2:20" ht="15" customHeight="1">
      <c r="B30" s="64" t="s">
        <v>251</v>
      </c>
      <c r="C30" s="66">
        <f t="shared" ref="C30:T30" si="8">C25*($C$60+($D$58-$C$60)*C$17)</f>
        <v>3559.7862332258305</v>
      </c>
      <c r="D30" s="66">
        <f t="shared" si="8"/>
        <v>3662.0793492774319</v>
      </c>
      <c r="E30" s="66">
        <f t="shared" si="8"/>
        <v>3765.6956528731216</v>
      </c>
      <c r="F30" s="66">
        <f t="shared" si="8"/>
        <v>3817.9999999999995</v>
      </c>
      <c r="G30" s="66">
        <f t="shared" si="8"/>
        <v>3870.6351440128992</v>
      </c>
      <c r="H30" s="66">
        <f t="shared" si="8"/>
        <v>3923.6010849118229</v>
      </c>
      <c r="I30" s="66">
        <f t="shared" si="8"/>
        <v>3976.897822696767</v>
      </c>
      <c r="J30" s="66">
        <f t="shared" si="8"/>
        <v>4030.5253573677342</v>
      </c>
      <c r="K30" s="66">
        <f t="shared" si="8"/>
        <v>4084.4836889247231</v>
      </c>
      <c r="L30" s="66">
        <f t="shared" si="8"/>
        <v>4138.7728173677333</v>
      </c>
      <c r="M30" s="66">
        <f t="shared" si="8"/>
        <v>4193.3927426967675</v>
      </c>
      <c r="N30" s="66">
        <f t="shared" si="8"/>
        <v>4248.3434649118226</v>
      </c>
      <c r="O30" s="66">
        <f t="shared" si="8"/>
        <v>4303.6249840129003</v>
      </c>
      <c r="P30" s="66">
        <f t="shared" si="8"/>
        <v>4359.2372999999998</v>
      </c>
      <c r="Q30" s="66">
        <f t="shared" si="8"/>
        <v>4415.180412873121</v>
      </c>
      <c r="R30" s="66">
        <f t="shared" si="8"/>
        <v>4471.4543226322658</v>
      </c>
      <c r="S30" s="66">
        <f t="shared" si="8"/>
        <v>4528.0590292774314</v>
      </c>
      <c r="T30" s="66">
        <f t="shared" si="8"/>
        <v>4642.2608332258305</v>
      </c>
    </row>
    <row r="31" spans="2:20" ht="15" customHeight="1">
      <c r="B31" s="64" t="s">
        <v>252</v>
      </c>
      <c r="C31" s="66">
        <f t="shared" ref="C31:T31" si="9">C26*($C$60+($E$58-$C$60)*C$17)</f>
        <v>3347.0508631295261</v>
      </c>
      <c r="D31" s="66">
        <f t="shared" si="9"/>
        <v>3530.4809093081958</v>
      </c>
      <c r="E31" s="66">
        <f t="shared" si="9"/>
        <v>3720.4911132389593</v>
      </c>
      <c r="F31" s="66">
        <f t="shared" si="9"/>
        <v>3817.9999999999995</v>
      </c>
      <c r="G31" s="66">
        <f t="shared" si="9"/>
        <v>3917.1973969654118</v>
      </c>
      <c r="H31" s="66">
        <f t="shared" si="9"/>
        <v>4018.097794390646</v>
      </c>
      <c r="I31" s="66">
        <f t="shared" si="9"/>
        <v>4120.7156825311486</v>
      </c>
      <c r="J31" s="66">
        <f t="shared" si="9"/>
        <v>4225.0655516423731</v>
      </c>
      <c r="K31" s="66">
        <f t="shared" si="9"/>
        <v>4331.1618919797666</v>
      </c>
      <c r="L31" s="66">
        <f t="shared" si="9"/>
        <v>4439.0191937987775</v>
      </c>
      <c r="M31" s="66">
        <f t="shared" si="9"/>
        <v>4548.6519473548578</v>
      </c>
      <c r="N31" s="66">
        <f t="shared" si="9"/>
        <v>4660.0746429034543</v>
      </c>
      <c r="O31" s="66">
        <f t="shared" si="9"/>
        <v>4773.301770700019</v>
      </c>
      <c r="P31" s="66">
        <f t="shared" si="9"/>
        <v>4888.3478209999994</v>
      </c>
      <c r="Q31" s="66">
        <f t="shared" si="9"/>
        <v>5005.2272840588457</v>
      </c>
      <c r="R31" s="66">
        <f t="shared" si="9"/>
        <v>5123.9546501320074</v>
      </c>
      <c r="S31" s="66">
        <f t="shared" si="9"/>
        <v>5244.5444094749328</v>
      </c>
      <c r="T31" s="66">
        <f t="shared" si="9"/>
        <v>5491.3690689918758</v>
      </c>
    </row>
    <row r="32" spans="2:20" ht="15" customHeight="1">
      <c r="B32" s="64" t="s">
        <v>253</v>
      </c>
      <c r="C32" s="66">
        <f t="shared" ref="C32:T32" si="10">C27*($C$60+($F$58-$C$60)*C$17)</f>
        <v>3179.9468376582172</v>
      </c>
      <c r="D32" s="66">
        <f t="shared" si="10"/>
        <v>3424.8052095020512</v>
      </c>
      <c r="E32" s="66">
        <f t="shared" si="10"/>
        <v>3683.3977074601512</v>
      </c>
      <c r="F32" s="66">
        <f t="shared" si="10"/>
        <v>3817.9999999999995</v>
      </c>
      <c r="G32" s="66">
        <f t="shared" si="10"/>
        <v>3956.2238249998009</v>
      </c>
      <c r="H32" s="66">
        <f t="shared" si="10"/>
        <v>4098.1330009052772</v>
      </c>
      <c r="I32" s="66">
        <f t="shared" si="10"/>
        <v>4243.7918988670717</v>
      </c>
      <c r="J32" s="66">
        <f t="shared" si="10"/>
        <v>4393.2654427407588</v>
      </c>
      <c r="K32" s="66">
        <f t="shared" si="10"/>
        <v>4546.6191090868297</v>
      </c>
      <c r="L32" s="66">
        <f t="shared" si="10"/>
        <v>4703.9189271707064</v>
      </c>
      <c r="M32" s="66">
        <f t="shared" si="10"/>
        <v>4865.2314789627317</v>
      </c>
      <c r="N32" s="66">
        <f t="shared" si="10"/>
        <v>5030.6238991381724</v>
      </c>
      <c r="O32" s="66">
        <f t="shared" si="10"/>
        <v>5200.1638750772236</v>
      </c>
      <c r="P32" s="66">
        <f t="shared" si="10"/>
        <v>5373.9196468649998</v>
      </c>
      <c r="Q32" s="66">
        <f t="shared" si="10"/>
        <v>5551.9600072915446</v>
      </c>
      <c r="R32" s="66">
        <f t="shared" si="10"/>
        <v>5734.3543018518239</v>
      </c>
      <c r="S32" s="66">
        <f t="shared" si="10"/>
        <v>5921.1724287457255</v>
      </c>
      <c r="T32" s="66">
        <f t="shared" si="10"/>
        <v>6308.3625358585905</v>
      </c>
    </row>
    <row r="33" spans="2:20" ht="15" customHeight="1">
      <c r="B33" s="64" t="s">
        <v>254</v>
      </c>
      <c r="C33" s="66">
        <f t="shared" ref="C33:T33" si="11">C28*($C$60+($G$58-$C$60)*C$17)</f>
        <v>3052.0615746872995</v>
      </c>
      <c r="D33" s="66">
        <f t="shared" si="11"/>
        <v>3342.5278599557582</v>
      </c>
      <c r="E33" s="66">
        <f t="shared" si="11"/>
        <v>3654.0250660823799</v>
      </c>
      <c r="F33" s="66">
        <f t="shared" si="11"/>
        <v>3817.9999999999995</v>
      </c>
      <c r="G33" s="66">
        <f t="shared" si="11"/>
        <v>3987.6448525168948</v>
      </c>
      <c r="H33" s="66">
        <f t="shared" si="11"/>
        <v>4163.1017448013226</v>
      </c>
      <c r="I33" s="66">
        <f t="shared" si="11"/>
        <v>4344.5150977759313</v>
      </c>
      <c r="J33" s="66">
        <f t="shared" si="11"/>
        <v>4532.0316501491152</v>
      </c>
      <c r="K33" s="66">
        <f t="shared" si="11"/>
        <v>4725.8004764463631</v>
      </c>
      <c r="L33" s="66">
        <f t="shared" si="11"/>
        <v>4925.9730050416165</v>
      </c>
      <c r="M33" s="66">
        <f t="shared" si="11"/>
        <v>5132.7030361886264</v>
      </c>
      <c r="N33" s="66">
        <f t="shared" si="11"/>
        <v>5346.1467600522983</v>
      </c>
      <c r="O33" s="66">
        <f t="shared" si="11"/>
        <v>5566.46277474006</v>
      </c>
      <c r="P33" s="66">
        <f t="shared" si="11"/>
        <v>5793.8121043331994</v>
      </c>
      <c r="Q33" s="66">
        <f t="shared" si="11"/>
        <v>6028.3582169182355</v>
      </c>
      <c r="R33" s="66">
        <f t="shared" si="11"/>
        <v>6270.2670426182567</v>
      </c>
      <c r="S33" s="66">
        <f t="shared" si="11"/>
        <v>6519.7069916242872</v>
      </c>
      <c r="T33" s="66">
        <f t="shared" si="11"/>
        <v>7041.8664088462492</v>
      </c>
    </row>
    <row r="34" spans="2:20" ht="15" customHeight="1">
      <c r="B34" s="64" t="s">
        <v>255</v>
      </c>
      <c r="C34" s="66">
        <f t="shared" ref="C34:T34" si="12">C29*($C$60+($H$58-$C$60)*C$17)</f>
        <v>2954.1308747916737</v>
      </c>
      <c r="D34" s="66">
        <f t="shared" si="12"/>
        <v>3278.6666727450888</v>
      </c>
      <c r="E34" s="66">
        <f t="shared" si="12"/>
        <v>3630.9224536066467</v>
      </c>
      <c r="F34" s="66">
        <f t="shared" si="12"/>
        <v>3817.9999999999995</v>
      </c>
      <c r="G34" s="66">
        <f t="shared" si="12"/>
        <v>4012.6832620826222</v>
      </c>
      <c r="H34" s="66">
        <f t="shared" si="12"/>
        <v>4215.2081556191615</v>
      </c>
      <c r="I34" s="66">
        <f t="shared" si="12"/>
        <v>4425.8158510848571</v>
      </c>
      <c r="J34" s="66">
        <f t="shared" si="12"/>
        <v>4644.7528485363</v>
      </c>
      <c r="K34" s="66">
        <f t="shared" si="12"/>
        <v>4872.2710529946971</v>
      </c>
      <c r="L34" s="66">
        <f t="shared" si="12"/>
        <v>5108.6278503416615</v>
      </c>
      <c r="M34" s="66">
        <f t="shared" si="12"/>
        <v>5354.0861837274961</v>
      </c>
      <c r="N34" s="66">
        <f t="shared" si="12"/>
        <v>5608.9146304919968</v>
      </c>
      <c r="O34" s="66">
        <f t="shared" si="12"/>
        <v>5873.3874795977636</v>
      </c>
      <c r="P34" s="66">
        <f t="shared" si="12"/>
        <v>6147.7848095760119</v>
      </c>
      <c r="Q34" s="66">
        <f t="shared" si="12"/>
        <v>6432.3925669849114</v>
      </c>
      <c r="R34" s="66">
        <f t="shared" si="12"/>
        <v>6727.5026453804148</v>
      </c>
      <c r="S34" s="66">
        <f t="shared" si="12"/>
        <v>7033.4129647996106</v>
      </c>
      <c r="T34" s="66">
        <f t="shared" si="12"/>
        <v>7678.8566197507635</v>
      </c>
    </row>
    <row r="35" spans="2:20" ht="15" customHeight="1">
      <c r="B35" s="64" t="s">
        <v>256</v>
      </c>
      <c r="C35" s="66">
        <f>MAX(0,C30*(1-'DCF Model'!$C$6))+$D$61-$D$62-$D$63</f>
        <v>1970.2814951840073</v>
      </c>
      <c r="D35" s="66">
        <f>MAX(0,D30*(1-'DCF Model'!$C$6))+$D$61-$D$62-$D$63</f>
        <v>2041.3752108398703</v>
      </c>
      <c r="E35" s="66">
        <f>MAX(0,E30*(1-'DCF Model'!$C$6))+$D$61-$D$62-$D$63</f>
        <v>2113.3885418388745</v>
      </c>
      <c r="F35" s="66">
        <f>MAX(0,F30*(1-'DCF Model'!$C$6))+$D$61-$D$62-$D$63</f>
        <v>2149.7400630920547</v>
      </c>
      <c r="G35" s="66">
        <f>MAX(0,G30*(1-'DCF Model'!$C$6))+$D$61-$D$62-$D$63</f>
        <v>2186.32148818102</v>
      </c>
      <c r="H35" s="66">
        <f>MAX(0,H30*(1-'DCF Model'!$C$6))+$D$61-$D$62-$D$63</f>
        <v>2223.1328171057721</v>
      </c>
      <c r="I35" s="66">
        <f>MAX(0,I30*(1-'DCF Model'!$C$6))+$D$61-$D$62-$D$63</f>
        <v>2260.1740498663085</v>
      </c>
      <c r="J35" s="66">
        <f>MAX(0,J30*(1-'DCF Model'!$C$6))+$D$61-$D$62-$D$63</f>
        <v>2297.4451864626303</v>
      </c>
      <c r="K35" s="66">
        <f>MAX(0,K30*(1-'DCF Model'!$C$6))+$D$61-$D$62-$D$63</f>
        <v>2334.9462268947377</v>
      </c>
      <c r="L35" s="66">
        <f>MAX(0,L30*(1-'DCF Model'!$C$6))+$D$61-$D$62-$D$63</f>
        <v>2372.6771711626297</v>
      </c>
      <c r="M35" s="66">
        <f>MAX(0,M30*(1-'DCF Model'!$C$6))+$D$61-$D$62-$D$63</f>
        <v>2410.6380192663087</v>
      </c>
      <c r="N35" s="66">
        <f>MAX(0,N30*(1-'DCF Model'!$C$6))+$D$61-$D$62-$D$63</f>
        <v>2448.8287712057718</v>
      </c>
      <c r="O35" s="66">
        <f>MAX(0,O30*(1-'DCF Model'!$C$6))+$D$61-$D$62-$D$63</f>
        <v>2487.2494269810209</v>
      </c>
      <c r="P35" s="66">
        <f>MAX(0,P30*(1-'DCF Model'!$C$6))+$D$61-$D$62-$D$63</f>
        <v>2525.899986592055</v>
      </c>
      <c r="Q35" s="66">
        <f>MAX(0,Q30*(1-'DCF Model'!$C$6))+$D$61-$D$62-$D$63</f>
        <v>2564.7804500388743</v>
      </c>
      <c r="R35" s="66">
        <f>MAX(0,R30*(1-'DCF Model'!$C$6))+$D$61-$D$62-$D$63</f>
        <v>2603.89081732148</v>
      </c>
      <c r="S35" s="66">
        <f>MAX(0,S30*(1-'DCF Model'!$C$6))+$D$61-$D$62-$D$63</f>
        <v>2643.2310884398698</v>
      </c>
      <c r="T35" s="66">
        <f>MAX(0,T30*(1-'DCF Model'!$C$6))+$D$61-$D$62-$D$63</f>
        <v>2722.6013421840075</v>
      </c>
    </row>
    <row r="36" spans="2:20" ht="15" customHeight="1">
      <c r="B36" s="64" t="s">
        <v>257</v>
      </c>
      <c r="C36" s="66">
        <f>MAX(0,C31*(1-'DCF Model'!$C$6))+$E$61-$E$62-$E$63</f>
        <v>1865.282761224023</v>
      </c>
      <c r="D36" s="66">
        <f>MAX(0,D31*(1-'DCF Model'!$C$6))+$E$61-$E$62-$E$63</f>
        <v>1992.7666433181985</v>
      </c>
      <c r="E36" s="66">
        <f>MAX(0,E31*(1-'DCF Model'!$C$6))+$E$61-$E$62-$E$63</f>
        <v>2124.823735050079</v>
      </c>
      <c r="F36" s="66">
        <f>MAX(0,F31*(1-'DCF Model'!$C$6))+$E$61-$E$62-$E$63</f>
        <v>2192.5924113490018</v>
      </c>
      <c r="G36" s="66">
        <f>MAX(0,G31*(1-'DCF Model'!$C$6))+$E$61-$E$62-$E$63</f>
        <v>2261.5346022399635</v>
      </c>
      <c r="H36" s="66">
        <f>MAX(0,H31*(1-'DCF Model'!$C$6))+$E$61-$E$62-$E$63</f>
        <v>2331.6603784505014</v>
      </c>
      <c r="I36" s="66">
        <f>MAX(0,I31*(1-'DCF Model'!$C$6))+$E$61-$E$62-$E$63</f>
        <v>2402.9798107081506</v>
      </c>
      <c r="J36" s="66">
        <f>MAX(0,J31*(1-'DCF Model'!$C$6))+$E$61-$E$62-$E$63</f>
        <v>2475.5029697404516</v>
      </c>
      <c r="K36" s="66">
        <f>MAX(0,K31*(1-'DCF Model'!$C$6))+$E$61-$E$62-$E$63</f>
        <v>2549.23992627494</v>
      </c>
      <c r="L36" s="66">
        <f>MAX(0,L31*(1-'DCF Model'!$C$6))+$E$61-$E$62-$E$63</f>
        <v>2624.2007510391527</v>
      </c>
      <c r="M36" s="66">
        <f>MAX(0,M31*(1-'DCF Model'!$C$6))+$E$61-$E$62-$E$63</f>
        <v>2700.3955147606284</v>
      </c>
      <c r="N36" s="66">
        <f>MAX(0,N31*(1-'DCF Model'!$C$6))+$E$61-$E$62-$E$63</f>
        <v>2777.8342881669032</v>
      </c>
      <c r="O36" s="66">
        <f>MAX(0,O31*(1-'DCF Model'!$C$6))+$E$61-$E$62-$E$63</f>
        <v>2856.5271419855158</v>
      </c>
      <c r="P36" s="66">
        <f>MAX(0,P31*(1-'DCF Model'!$C$6))+$E$61-$E$62-$E$63</f>
        <v>2936.4841469440021</v>
      </c>
      <c r="Q36" s="66">
        <f>MAX(0,Q31*(1-'DCF Model'!$C$6))+$E$61-$E$62-$E$63</f>
        <v>3017.7153737699</v>
      </c>
      <c r="R36" s="66">
        <f>MAX(0,R31*(1-'DCF Model'!$C$6))+$E$61-$E$62-$E$63</f>
        <v>3100.2308931907473</v>
      </c>
      <c r="S36" s="66">
        <f>MAX(0,S31*(1-'DCF Model'!$C$6))+$E$61-$E$62-$E$63</f>
        <v>3184.0407759340806</v>
      </c>
      <c r="T36" s="66">
        <f>MAX(0,T31*(1-'DCF Model'!$C$6))+$E$61-$E$62-$E$63</f>
        <v>3355.5839142983559</v>
      </c>
    </row>
    <row r="37" spans="2:20" ht="15" customHeight="1">
      <c r="B37" s="64" t="s">
        <v>258</v>
      </c>
      <c r="C37" s="66">
        <f>MAX(0,C32*(1-'DCF Model'!$C$6))+$F$61-$F$62-$F$63</f>
        <v>1861.679431416585</v>
      </c>
      <c r="D37" s="66">
        <f>MAX(0,D32*(1-'DCF Model'!$C$6))+$F$61-$F$62-$F$63</f>
        <v>2031.8559998480496</v>
      </c>
      <c r="E37" s="66">
        <f>MAX(0,E32*(1-'DCF Model'!$C$6))+$F$61-$F$62-$F$63</f>
        <v>2211.5777859289292</v>
      </c>
      <c r="F37" s="66">
        <f>MAX(0,F32*(1-'DCF Model'!$C$6))+$F$61-$F$62-$F$63</f>
        <v>2305.1263792441237</v>
      </c>
      <c r="G37" s="66">
        <f>MAX(0,G32*(1-'DCF Model'!$C$6))+$F$61-$F$62-$F$63</f>
        <v>2401.1919376189858</v>
      </c>
      <c r="H37" s="66">
        <f>MAX(0,H32*(1-'DCF Model'!$C$6))+$F$61-$F$62-$F$63</f>
        <v>2499.818814873292</v>
      </c>
      <c r="I37" s="66">
        <f>MAX(0,I32*(1-'DCF Model'!$C$6))+$F$61-$F$62-$F$63</f>
        <v>2601.0517489567392</v>
      </c>
      <c r="J37" s="66">
        <f>MAX(0,J32*(1-'DCF Model'!$C$6))+$F$61-$F$62-$F$63</f>
        <v>2704.9358619489517</v>
      </c>
      <c r="K37" s="66">
        <f>MAX(0,K32*(1-'DCF Model'!$C$6))+$F$61-$F$62-$F$63</f>
        <v>2811.5166600594707</v>
      </c>
      <c r="L37" s="66">
        <f>MAX(0,L32*(1-'DCF Model'!$C$6))+$F$61-$F$62-$F$63</f>
        <v>2920.840033627765</v>
      </c>
      <c r="M37" s="66">
        <f>MAX(0,M32*(1-'DCF Model'!$C$6))+$F$61-$F$62-$F$63</f>
        <v>3032.9522571232228</v>
      </c>
      <c r="N37" s="66">
        <f>MAX(0,N32*(1-'DCF Model'!$C$6))+$F$61-$F$62-$F$63</f>
        <v>3147.899989145154</v>
      </c>
      <c r="O37" s="66">
        <f>MAX(0,O32*(1-'DCF Model'!$C$6))+$F$61-$F$62-$F$63</f>
        <v>3265.7302724227948</v>
      </c>
      <c r="P37" s="66">
        <f>MAX(0,P32*(1-'DCF Model'!$C$6))+$F$61-$F$62-$F$63</f>
        <v>3386.4905338152989</v>
      </c>
      <c r="Q37" s="66">
        <f>MAX(0,Q32*(1-'DCF Model'!$C$6))+$F$61-$F$62-$F$63</f>
        <v>3510.2285843117479</v>
      </c>
      <c r="R37" s="66">
        <f>MAX(0,R32*(1-'DCF Model'!$C$6))+$F$61-$F$62-$F$63</f>
        <v>3636.9926190311417</v>
      </c>
      <c r="S37" s="66">
        <f>MAX(0,S32*(1-'DCF Model'!$C$6))+$F$61-$F$62-$F$63</f>
        <v>3766.8312172224032</v>
      </c>
      <c r="T37" s="66">
        <f>MAX(0,T32*(1-'DCF Model'!$C$6))+$F$61-$F$62-$F$63</f>
        <v>4035.9283416658445</v>
      </c>
    </row>
    <row r="38" spans="2:20" ht="15" customHeight="1">
      <c r="B38" s="64" t="s">
        <v>259</v>
      </c>
      <c r="C38" s="66">
        <f>MAX(0,C33*(1-'DCF Model'!$C$6))+$G$61-$G$62-$G$63</f>
        <v>1860.3207983534135</v>
      </c>
      <c r="D38" s="66">
        <f>MAX(0,D33*(1-'DCF Model'!$C$6))+$G$61-$G$62-$G$63</f>
        <v>2062.194866614992</v>
      </c>
      <c r="E38" s="66">
        <f>MAX(0,E33*(1-'DCF Model'!$C$6))+$G$61-$G$62-$G$63</f>
        <v>2278.6854248729942</v>
      </c>
      <c r="F38" s="66">
        <f>MAX(0,F33*(1-'DCF Model'!$C$6))+$G$61-$G$62-$G$63</f>
        <v>2392.6480039457397</v>
      </c>
      <c r="G38" s="66">
        <f>MAX(0,G33*(1-'DCF Model'!$C$6))+$G$61-$G$62-$G$63</f>
        <v>2510.551176444982</v>
      </c>
      <c r="H38" s="66">
        <f>MAX(0,H33*(1-'DCF Model'!$C$6))+$G$61-$G$62-$G$63</f>
        <v>2632.4937165826595</v>
      </c>
      <c r="I38" s="66">
        <f>MAX(0,I33*(1-'DCF Model'!$C$6))+$G$61-$G$62-$G$63</f>
        <v>2758.5759969000123</v>
      </c>
      <c r="J38" s="66">
        <f>MAX(0,J33*(1-'DCF Model'!$C$6))+$G$61-$G$62-$G$63</f>
        <v>2888.9000007993754</v>
      </c>
      <c r="K38" s="66">
        <f>MAX(0,K33*(1-'DCF Model'!$C$6))+$G$61-$G$62-$G$63</f>
        <v>3023.5693350759625</v>
      </c>
      <c r="L38" s="66">
        <f>MAX(0,L33*(1-'DCF Model'!$C$6))+$G$61-$G$62-$G$63</f>
        <v>3162.6892424496637</v>
      </c>
      <c r="M38" s="66">
        <f>MAX(0,M33*(1-'DCF Model'!$C$6))+$G$61-$G$62-$G$63</f>
        <v>3306.3666140968357</v>
      </c>
      <c r="N38" s="66">
        <f>MAX(0,N33*(1-'DCF Model'!$C$6))+$G$61-$G$62-$G$63</f>
        <v>3454.7100021820875</v>
      </c>
      <c r="O38" s="66">
        <f>MAX(0,O33*(1-'DCF Model'!$C$6))+$G$61-$G$62-$G$63</f>
        <v>3607.8296323900818</v>
      </c>
      <c r="P38" s="66">
        <f>MAX(0,P33*(1-'DCF Model'!$C$6))+$G$61-$G$62-$G$63</f>
        <v>3765.8374164573142</v>
      </c>
      <c r="Q38" s="66">
        <f>MAX(0,Q33*(1-'DCF Model'!$C$6))+$G$61-$G$62-$G$63</f>
        <v>3928.8469647039137</v>
      </c>
      <c r="R38" s="66">
        <f>MAX(0,R33*(1-'DCF Model'!$C$6))+$G$61-$G$62-$G$63</f>
        <v>4096.9735985654288</v>
      </c>
      <c r="S38" s="66">
        <f>MAX(0,S33*(1-'DCF Model'!$C$6))+$G$61-$G$62-$G$63</f>
        <v>4270.3343631246198</v>
      </c>
      <c r="T38" s="66">
        <f>MAX(0,T33*(1-'DCF Model'!$C$6))+$G$61-$G$62-$G$63</f>
        <v>4633.2351580938839</v>
      </c>
    </row>
    <row r="39" spans="2:20" ht="15" customHeight="1">
      <c r="B39" s="64" t="s">
        <v>260</v>
      </c>
      <c r="C39" s="66">
        <f>MAX(0,C34*(1-'DCF Model'!$C$6))+$H$61-$H$62-0</f>
        <v>2215.7470753718194</v>
      </c>
      <c r="D39" s="66">
        <f>MAX(0,D34*(1-'DCF Model'!$C$6))+$H$61-$H$62-0</f>
        <v>2441.2994549494429</v>
      </c>
      <c r="E39" s="66">
        <f>MAX(0,E34*(1-'DCF Model'!$C$6))+$H$61-$H$62-0</f>
        <v>2686.1172226482258</v>
      </c>
      <c r="F39" s="66">
        <f>MAX(0,F34*(1-'DCF Model'!$C$6))+$H$61-$H$62-0</f>
        <v>2816.1361173916057</v>
      </c>
      <c r="G39" s="66">
        <f>MAX(0,G34*(1-'DCF Model'!$C$6))+$H$61-$H$62-0</f>
        <v>2951.4409845390287</v>
      </c>
      <c r="H39" s="66">
        <f>MAX(0,H34*(1-'DCF Model'!$C$6))+$H$61-$H$62-0</f>
        <v>3092.1957855469236</v>
      </c>
      <c r="I39" s="66">
        <f>MAX(0,I34*(1-'DCF Model'!$C$6))+$H$61-$H$62-0</f>
        <v>3238.5681338955819</v>
      </c>
      <c r="J39" s="66">
        <f>MAX(0,J34*(1-'DCF Model'!$C$6))+$H$61-$H$62-0</f>
        <v>3390.7293471243347</v>
      </c>
      <c r="K39" s="66">
        <f>MAX(0,K34*(1-'DCF Model'!$C$6))+$H$61-$H$62-0</f>
        <v>3548.8544992229208</v>
      </c>
      <c r="L39" s="66">
        <f>MAX(0,L34*(1-'DCF Model'!$C$6))+$H$61-$H$62-0</f>
        <v>3713.1224733790609</v>
      </c>
      <c r="M39" s="66">
        <f>MAX(0,M34*(1-'DCF Model'!$C$6))+$H$61-$H$62-0</f>
        <v>3883.716015082216</v>
      </c>
      <c r="N39" s="66">
        <f>MAX(0,N34*(1-'DCF Model'!$C$6))+$H$61-$H$62-0</f>
        <v>4060.8217855835442</v>
      </c>
      <c r="O39" s="66">
        <f>MAX(0,O34*(1-'DCF Model'!$C$6))+$H$61-$H$62-0</f>
        <v>4244.6304157120521</v>
      </c>
      <c r="P39" s="66">
        <f>MAX(0,P34*(1-'DCF Model'!$C$6))+$H$61-$H$62-0</f>
        <v>4435.3365600469342</v>
      </c>
      <c r="Q39" s="66">
        <f>MAX(0,Q34*(1-'DCF Model'!$C$6))+$H$61-$H$62-0</f>
        <v>4633.1389514461189</v>
      </c>
      <c r="R39" s="66">
        <f>MAX(0,R34*(1-'DCF Model'!$C$6))+$H$61-$H$62-0</f>
        <v>4838.2404559309944</v>
      </c>
      <c r="S39" s="66">
        <f>MAX(0,S34*(1-'DCF Model'!$C$6))+$H$61-$H$62-0</f>
        <v>5050.8481279273356</v>
      </c>
      <c r="T39" s="66">
        <f>MAX(0,T34*(1-'DCF Model'!$C$6))+$H$61-$H$62-0</f>
        <v>5499.4314681183869</v>
      </c>
    </row>
    <row r="40" spans="2:20" ht="15" customHeight="1">
      <c r="B40" s="64" t="s">
        <v>261</v>
      </c>
      <c r="C40" s="66">
        <f>C35/(1+'DCF Model'!$C$26)^('DCF Model'!$C$19+0)+C36/(1+'DCF Model'!$C$26)^('DCF Model'!$C$19+1)+C37/(1+'DCF Model'!$C$26)^('DCF Model'!$C$19+2)+C38/(1+'DCF Model'!$C$26)^('DCF Model'!$C$19+3)+C39/(1+'DCF Model'!$C$26)^('DCF Model'!$C$19+4)</f>
        <v>7644.0389870169638</v>
      </c>
      <c r="D40" s="66">
        <f>D35/(1+'DCF Model'!$C$26)^('DCF Model'!$C$19+0)+D36/(1+'DCF Model'!$C$26)^('DCF Model'!$C$19+1)+D37/(1+'DCF Model'!$C$26)^('DCF Model'!$C$19+2)+D38/(1+'DCF Model'!$C$26)^('DCF Model'!$C$19+3)+D39/(1+'DCF Model'!$C$26)^('DCF Model'!$C$19+4)</f>
        <v>8235.752367324958</v>
      </c>
      <c r="E40" s="66">
        <f>E35/(1+'DCF Model'!$C$26)^('DCF Model'!$C$19+0)+E36/(1+'DCF Model'!$C$26)^('DCF Model'!$C$19+1)+E37/(1+'DCF Model'!$C$26)^('DCF Model'!$C$19+2)+E38/(1+'DCF Model'!$C$26)^('DCF Model'!$C$19+3)+E39/(1+'DCF Model'!$C$26)^('DCF Model'!$C$19+4)</f>
        <v>8861.8155660035554</v>
      </c>
      <c r="F40" s="66">
        <f>F35/(1+'DCF Model'!$C$26)^('DCF Model'!$C$19+0)+F36/(1+'DCF Model'!$C$26)^('DCF Model'!$C$19+1)+F37/(1+'DCF Model'!$C$26)^('DCF Model'!$C$19+2)+F38/(1+'DCF Model'!$C$26)^('DCF Model'!$C$19+3)+F39/(1+'DCF Model'!$C$26)^('DCF Model'!$C$19+4)</f>
        <v>9188.2368484426534</v>
      </c>
      <c r="G40" s="66">
        <f>G35/(1+'DCF Model'!$C$26)^('DCF Model'!$C$19+0)+G36/(1+'DCF Model'!$C$26)^('DCF Model'!$C$19+1)+G37/(1+'DCF Model'!$C$26)^('DCF Model'!$C$19+2)+G38/(1+'DCF Model'!$C$26)^('DCF Model'!$C$19+3)+G39/(1+'DCF Model'!$C$26)^('DCF Model'!$C$19+4)</f>
        <v>9523.8629153443235</v>
      </c>
      <c r="H40" s="66">
        <f>H35/(1+'DCF Model'!$C$26)^('DCF Model'!$C$19+0)+H36/(1+'DCF Model'!$C$26)^('DCF Model'!$C$19+1)+H37/(1+'DCF Model'!$C$26)^('DCF Model'!$C$19+2)+H38/(1+'DCF Model'!$C$26)^('DCF Model'!$C$19+3)+H39/(1+'DCF Model'!$C$26)^('DCF Model'!$C$19+4)</f>
        <v>9868.9070394353348</v>
      </c>
      <c r="I40" s="66">
        <f>I35/(1+'DCF Model'!$C$26)^('DCF Model'!$C$19+0)+I36/(1+'DCF Model'!$C$26)^('DCF Model'!$C$19+1)+I37/(1+'DCF Model'!$C$26)^('DCF Model'!$C$19+2)+I38/(1+'DCF Model'!$C$26)^('DCF Model'!$C$19+3)+I39/(1+'DCF Model'!$C$26)^('DCF Model'!$C$19+4)</f>
        <v>10223.586162998216</v>
      </c>
      <c r="J40" s="66">
        <f>J35/(1+'DCF Model'!$C$26)^('DCF Model'!$C$19+0)+J36/(1+'DCF Model'!$C$26)^('DCF Model'!$C$19+1)+J37/(1+'DCF Model'!$C$26)^('DCF Model'!$C$19+2)+J38/(1+'DCF Model'!$C$26)^('DCF Model'!$C$19+3)+J39/(1+'DCF Model'!$C$26)^('DCF Model'!$C$19+4)</f>
        <v>10588.120938805452</v>
      </c>
      <c r="K40" s="66">
        <f>K35/(1+'DCF Model'!$C$26)^('DCF Model'!$C$19+0)+K36/(1+'DCF Model'!$C$26)^('DCF Model'!$C$19+1)+K37/(1+'DCF Model'!$C$26)^('DCF Model'!$C$19+2)+K38/(1+'DCF Model'!$C$26)^('DCF Model'!$C$19+3)+K39/(1+'DCF Model'!$C$26)^('DCF Model'!$C$19+4)</f>
        <v>10962.735771274307</v>
      </c>
      <c r="L40" s="66">
        <f>L35/(1+'DCF Model'!$C$26)^('DCF Model'!$C$19+0)+L36/(1+'DCF Model'!$C$26)^('DCF Model'!$C$19+1)+L37/(1+'DCF Model'!$C$26)^('DCF Model'!$C$19+2)+L38/(1+'DCF Model'!$C$26)^('DCF Model'!$C$19+3)+L39/(1+'DCF Model'!$C$26)^('DCF Model'!$C$19+4)</f>
        <v>11347.658857842434</v>
      </c>
      <c r="M40" s="66">
        <f>M35/(1+'DCF Model'!$C$26)^('DCF Model'!$C$19+0)+M36/(1+'DCF Model'!$C$26)^('DCF Model'!$C$19+1)+M37/(1+'DCF Model'!$C$26)^('DCF Model'!$C$19+2)+M38/(1+'DCF Model'!$C$26)^('DCF Model'!$C$19+3)+M39/(1+'DCF Model'!$C$26)^('DCF Model'!$C$19+4)</f>
        <v>11743.122230564168</v>
      </c>
      <c r="N40" s="66">
        <f>N35/(1+'DCF Model'!$C$26)^('DCF Model'!$C$19+0)+N36/(1+'DCF Model'!$C$26)^('DCF Model'!$C$19+1)+N37/(1+'DCF Model'!$C$26)^('DCF Model'!$C$19+2)+N38/(1+'DCF Model'!$C$26)^('DCF Model'!$C$19+3)+N39/(1+'DCF Model'!$C$26)^('DCF Model'!$C$19+4)</f>
        <v>12149.361797927524</v>
      </c>
      <c r="O40" s="66">
        <f>O35/(1+'DCF Model'!$C$26)^('DCF Model'!$C$19+0)+O36/(1+'DCF Model'!$C$26)^('DCF Model'!$C$19+1)+O37/(1+'DCF Model'!$C$26)^('DCF Model'!$C$19+2)+O38/(1+'DCF Model'!$C$26)^('DCF Model'!$C$19+3)+O39/(1+'DCF Model'!$C$26)^('DCF Model'!$C$19+4)</f>
        <v>12566.61738689194</v>
      </c>
      <c r="P40" s="66">
        <f>P35/(1+'DCF Model'!$C$26)^('DCF Model'!$C$19+0)+P36/(1+'DCF Model'!$C$26)^('DCF Model'!$C$19+1)+P37/(1+'DCF Model'!$C$26)^('DCF Model'!$C$19+2)+P38/(1+'DCF Model'!$C$26)^('DCF Model'!$C$19+3)+P39/(1+'DCF Model'!$C$26)^('DCF Model'!$C$19+4)</f>
        <v>12995.132785146689</v>
      </c>
      <c r="Q40" s="66">
        <f>Q35/(1+'DCF Model'!$C$26)^('DCF Model'!$C$19+0)+Q36/(1+'DCF Model'!$C$26)^('DCF Model'!$C$19+1)+Q37/(1+'DCF Model'!$C$26)^('DCF Model'!$C$19+2)+Q38/(1+'DCF Model'!$C$26)^('DCF Model'!$C$19+3)+Q39/(1+'DCF Model'!$C$26)^('DCF Model'!$C$19+4)</f>
        <v>13435.155783590049</v>
      </c>
      <c r="R40" s="66">
        <f>R35/(1+'DCF Model'!$C$26)^('DCF Model'!$C$19+0)+R36/(1+'DCF Model'!$C$26)^('DCF Model'!$C$19+1)+R37/(1+'DCF Model'!$C$26)^('DCF Model'!$C$19+2)+R38/(1+'DCF Model'!$C$26)^('DCF Model'!$C$19+3)+R39/(1+'DCF Model'!$C$26)^('DCF Model'!$C$19+4)</f>
        <v>13886.938219029165</v>
      </c>
      <c r="S40" s="66">
        <f>S35/(1+'DCF Model'!$C$26)^('DCF Model'!$C$19+0)+S36/(1+'DCF Model'!$C$26)^('DCF Model'!$C$19+1)+S37/(1+'DCF Model'!$C$26)^('DCF Model'!$C$19+2)+S38/(1+'DCF Model'!$C$26)^('DCF Model'!$C$19+3)+S39/(1+'DCF Model'!$C$26)^('DCF Model'!$C$19+4)</f>
        <v>14350.736017100617</v>
      </c>
      <c r="T40" s="66">
        <f>T35/(1+'DCF Model'!$C$26)^('DCF Model'!$C$19+0)+T36/(1+'DCF Model'!$C$26)^('DCF Model'!$C$19+1)+T37/(1+'DCF Model'!$C$26)^('DCF Model'!$C$19+2)+T38/(1+'DCF Model'!$C$26)^('DCF Model'!$C$19+3)+T39/(1+'DCF Model'!$C$26)^('DCF Model'!$C$19+4)</f>
        <v>15315.422106902513</v>
      </c>
    </row>
    <row r="41" spans="2:20" ht="15" customHeight="1">
      <c r="B41" s="64" t="s">
        <v>104</v>
      </c>
      <c r="C41" s="66">
        <f>C39*(1+'DCF Model'!$C$13)/('DCF Model'!$C$26-'DCF Model'!$C$13)</f>
        <v>22782.883234669916</v>
      </c>
      <c r="D41" s="66">
        <f>D39*(1+'DCF Model'!$C$13)/('DCF Model'!$C$26-'DCF Model'!$C$13)</f>
        <v>25102.071008552739</v>
      </c>
      <c r="E41" s="66">
        <f>E39*(1+'DCF Model'!$C$13)/('DCF Model'!$C$26-'DCF Model'!$C$13)</f>
        <v>27619.350474810388</v>
      </c>
      <c r="F41" s="66">
        <f>F39*(1+'DCF Model'!$C$13)/('DCF Model'!$C$26-'DCF Model'!$C$13)</f>
        <v>28956.238303824979</v>
      </c>
      <c r="G41" s="66">
        <f>G39*(1+'DCF Model'!$C$13)/('DCF Model'!$C$26-'DCF Model'!$C$13)</f>
        <v>30347.477865219851</v>
      </c>
      <c r="H41" s="66">
        <f>H39*(1+'DCF Model'!$C$13)/('DCF Model'!$C$26-'DCF Model'!$C$13)</f>
        <v>31794.755053002646</v>
      </c>
      <c r="I41" s="66">
        <f>I39*(1+'DCF Model'!$C$13)/('DCF Model'!$C$26-'DCF Model'!$C$13)</f>
        <v>33299.793312232803</v>
      </c>
      <c r="J41" s="66">
        <f>J39*(1+'DCF Model'!$C$13)/('DCF Model'!$C$26-'DCF Model'!$C$13)</f>
        <v>34864.354174060703</v>
      </c>
      <c r="K41" s="66">
        <f>K39*(1+'DCF Model'!$C$13)/('DCF Model'!$C$26-'DCF Model'!$C$13)</f>
        <v>36490.237794429224</v>
      </c>
      <c r="L41" s="66">
        <f>L39*(1+'DCF Model'!$C$13)/('DCF Model'!$C$26-'DCF Model'!$C$13)</f>
        <v>38179.283496437922</v>
      </c>
      <c r="M41" s="66">
        <f>M39*(1+'DCF Model'!$C$13)/('DCF Model'!$C$26-'DCF Model'!$C$13)</f>
        <v>39933.370316369561</v>
      </c>
      <c r="N41" s="66">
        <f>N39*(1+'DCF Model'!$C$13)/('DCF Model'!$C$26-'DCF Model'!$C$13)</f>
        <v>41754.417553379186</v>
      </c>
      <c r="O41" s="66">
        <f>O39*(1+'DCF Model'!$C$13)/('DCF Model'!$C$26-'DCF Model'!$C$13)</f>
        <v>43644.385322845701</v>
      </c>
      <c r="P41" s="66">
        <f>P39*(1+'DCF Model'!$C$13)/('DCF Model'!$C$26-'DCF Model'!$C$13)</f>
        <v>45605.275113385818</v>
      </c>
      <c r="Q41" s="66">
        <f>Q39*(1+'DCF Model'!$C$13)/('DCF Model'!$C$26-'DCF Model'!$C$13)</f>
        <v>47639.130347530656</v>
      </c>
      <c r="R41" s="66">
        <f>R39*(1+'DCF Model'!$C$13)/('DCF Model'!$C$26-'DCF Model'!$C$13)</f>
        <v>49748.036946064662</v>
      </c>
      <c r="S41" s="66">
        <f>S39*(1+'DCF Model'!$C$13)/('DCF Model'!$C$26-'DCF Model'!$C$13)</f>
        <v>51934.123896027042</v>
      </c>
      <c r="T41" s="66">
        <f>T39*(1+'DCF Model'!$C$13)/('DCF Model'!$C$26-'DCF Model'!$C$13)</f>
        <v>56546.573563314058</v>
      </c>
    </row>
    <row r="42" spans="2:20" ht="15" customHeight="1">
      <c r="B42" s="64" t="s">
        <v>105</v>
      </c>
      <c r="C42" s="66">
        <f>C41/(1+'DCF Model'!$C$26)^('DCF Model'!$C$19+4)</f>
        <v>14117.277546126556</v>
      </c>
      <c r="D42" s="66">
        <f>D41/(1+'DCF Model'!$C$26)^('DCF Model'!$C$19+4)</f>
        <v>15554.348400954274</v>
      </c>
      <c r="E42" s="66">
        <f>E41/(1+'DCF Model'!$C$26)^('DCF Model'!$C$19+4)</f>
        <v>17114.165590037956</v>
      </c>
      <c r="F42" s="66">
        <f>F41/(1+'DCF Model'!$C$26)^('DCF Model'!$C$19+4)</f>
        <v>17942.560149929181</v>
      </c>
      <c r="G42" s="66">
        <f>G41/(1+'DCF Model'!$C$26)^('DCF Model'!$C$19+4)</f>
        <v>18804.63343622311</v>
      </c>
      <c r="H42" s="66">
        <f>H41/(1+'DCF Model'!$C$26)^('DCF Model'!$C$19+4)</f>
        <v>19701.430103074097</v>
      </c>
      <c r="I42" s="66">
        <f>I41/(1+'DCF Model'!$C$26)^('DCF Model'!$C$19+4)</f>
        <v>20634.018072921503</v>
      </c>
      <c r="J42" s="66">
        <f>J41/(1+'DCF Model'!$C$26)^('DCF Model'!$C$19+4)</f>
        <v>21603.488868023502</v>
      </c>
      <c r="K42" s="66">
        <f>K41/(1+'DCF Model'!$C$26)^('DCF Model'!$C$19+4)</f>
        <v>22610.957944260288</v>
      </c>
      <c r="L42" s="66">
        <f>L41/(1+'DCF Model'!$C$26)^('DCF Model'!$C$19+4)</f>
        <v>23657.565027206805</v>
      </c>
      <c r="M42" s="66">
        <f>M41/(1+'DCF Model'!$C$26)^('DCF Model'!$C$19+4)</f>
        <v>24744.474450474812</v>
      </c>
      <c r="N42" s="66">
        <f>N41/(1+'DCF Model'!$C$26)^('DCF Model'!$C$19+4)</f>
        <v>25872.875496324454</v>
      </c>
      <c r="O42" s="66">
        <f>O41/(1+'DCF Model'!$C$26)^('DCF Model'!$C$19+4)</f>
        <v>27043.982738545241</v>
      </c>
      <c r="P42" s="66">
        <f>P41/(1+'DCF Model'!$C$26)^('DCF Model'!$C$19+4)</f>
        <v>28259.036387606437</v>
      </c>
      <c r="Q42" s="66">
        <f>Q41/(1+'DCF Model'!$C$26)^('DCF Model'!$C$19+4)</f>
        <v>29519.302638076948</v>
      </c>
      <c r="R42" s="66">
        <f>R41/(1+'DCF Model'!$C$26)^('DCF Model'!$C$19+4)</f>
        <v>30826.074018314572</v>
      </c>
      <c r="S42" s="66">
        <f>S41/(1+'DCF Model'!$C$26)^('DCF Model'!$C$19+4)</f>
        <v>32180.6697424247</v>
      </c>
      <c r="T42" s="66">
        <f>T41/(1+'DCF Model'!$C$26)^('DCF Model'!$C$19+4)</f>
        <v>35038.74663506051</v>
      </c>
    </row>
    <row r="43" spans="2:20" ht="15" customHeight="1">
      <c r="B43" s="64" t="s">
        <v>106</v>
      </c>
      <c r="C43" s="67">
        <f t="shared" ref="C43:T43" si="13">C40+C42</f>
        <v>21761.316533143519</v>
      </c>
      <c r="D43" s="67">
        <f t="shared" si="13"/>
        <v>23790.100768279233</v>
      </c>
      <c r="E43" s="67">
        <f t="shared" si="13"/>
        <v>25975.981156041511</v>
      </c>
      <c r="F43" s="67">
        <f t="shared" si="13"/>
        <v>27130.796998371836</v>
      </c>
      <c r="G43" s="67">
        <f t="shared" si="13"/>
        <v>28328.496351567432</v>
      </c>
      <c r="H43" s="67">
        <f t="shared" si="13"/>
        <v>29570.33714250943</v>
      </c>
      <c r="I43" s="67">
        <f t="shared" si="13"/>
        <v>30857.604235919716</v>
      </c>
      <c r="J43" s="67">
        <f t="shared" si="13"/>
        <v>32191.609806828954</v>
      </c>
      <c r="K43" s="67">
        <f t="shared" si="13"/>
        <v>33573.693715534595</v>
      </c>
      <c r="L43" s="67">
        <f t="shared" si="13"/>
        <v>35005.223885049243</v>
      </c>
      <c r="M43" s="67">
        <f t="shared" si="13"/>
        <v>36487.59668103898</v>
      </c>
      <c r="N43" s="67">
        <f t="shared" si="13"/>
        <v>38022.23729425198</v>
      </c>
      <c r="O43" s="67">
        <f t="shared" si="13"/>
        <v>39610.60012543718</v>
      </c>
      <c r="P43" s="67">
        <f t="shared" si="13"/>
        <v>41254.169172753129</v>
      </c>
      <c r="Q43" s="67">
        <f t="shared" si="13"/>
        <v>42954.458421666997</v>
      </c>
      <c r="R43" s="67">
        <f t="shared" si="13"/>
        <v>44713.012237343733</v>
      </c>
      <c r="S43" s="67">
        <f t="shared" si="13"/>
        <v>46531.405759525318</v>
      </c>
      <c r="T43" s="67">
        <f t="shared" si="13"/>
        <v>50354.168741963025</v>
      </c>
    </row>
    <row r="44" spans="2:20" ht="15" customHeight="1">
      <c r="B44" s="64" t="s">
        <v>107</v>
      </c>
      <c r="C44" s="66">
        <f>C43-'DCF Model'!$C$16</f>
        <v>29058.116533143519</v>
      </c>
      <c r="D44" s="66">
        <f>D43-'DCF Model'!$C$16</f>
        <v>31086.900768279233</v>
      </c>
      <c r="E44" s="66">
        <f>E43-'DCF Model'!$C$16</f>
        <v>33272.781156041514</v>
      </c>
      <c r="F44" s="66">
        <f>F43-'DCF Model'!$C$16</f>
        <v>34427.596998371839</v>
      </c>
      <c r="G44" s="66">
        <f>G43-'DCF Model'!$C$16</f>
        <v>35625.296351567435</v>
      </c>
      <c r="H44" s="66">
        <f>H43-'DCF Model'!$C$16</f>
        <v>36867.137142509433</v>
      </c>
      <c r="I44" s="66">
        <f>I43-'DCF Model'!$C$16</f>
        <v>38154.404235919719</v>
      </c>
      <c r="J44" s="66">
        <f>J43-'DCF Model'!$C$16</f>
        <v>39488.409806828953</v>
      </c>
      <c r="K44" s="66">
        <f>K43-'DCF Model'!$C$16</f>
        <v>40870.493715534598</v>
      </c>
      <c r="L44" s="66">
        <f>L43-'DCF Model'!$C$16</f>
        <v>42302.023885049246</v>
      </c>
      <c r="M44" s="66">
        <f>M43-'DCF Model'!$C$16</f>
        <v>43784.396681038983</v>
      </c>
      <c r="N44" s="66">
        <f>N43-'DCF Model'!$C$16</f>
        <v>45319.037294251983</v>
      </c>
      <c r="O44" s="66">
        <f>O43-'DCF Model'!$C$16</f>
        <v>46907.400125437183</v>
      </c>
      <c r="P44" s="66">
        <f>P43-'DCF Model'!$C$16</f>
        <v>48550.969172753132</v>
      </c>
      <c r="Q44" s="66">
        <f>Q43-'DCF Model'!$C$16</f>
        <v>50251.258421667</v>
      </c>
      <c r="R44" s="66">
        <f>R43-'DCF Model'!$C$16</f>
        <v>52009.812237343736</v>
      </c>
      <c r="S44" s="66">
        <f>S43-'DCF Model'!$C$16</f>
        <v>53828.205759525321</v>
      </c>
      <c r="T44" s="66">
        <f>T43-'DCF Model'!$C$16</f>
        <v>57650.968741963028</v>
      </c>
    </row>
    <row r="45" spans="2:20" ht="19.5" customHeight="1">
      <c r="B45" s="64" t="s">
        <v>262</v>
      </c>
      <c r="C45" s="68">
        <f>ROUND(C44*1000000/'DCF Model'!$C$15,0)</f>
        <v>2022</v>
      </c>
      <c r="D45" s="68">
        <f>ROUND(D44*1000000/'DCF Model'!$C$15,0)</f>
        <v>2164</v>
      </c>
      <c r="E45" s="68">
        <f>ROUND(E44*1000000/'DCF Model'!$C$15,0)</f>
        <v>2316</v>
      </c>
      <c r="F45" s="68">
        <f>ROUND(F44*1000000/'DCF Model'!$C$15,0)</f>
        <v>2396</v>
      </c>
      <c r="G45" s="68">
        <f>ROUND(G44*1000000/'DCF Model'!$C$15,0)</f>
        <v>2479</v>
      </c>
      <c r="H45" s="68">
        <f>ROUND(H44*1000000/'DCF Model'!$C$15,0)</f>
        <v>2566</v>
      </c>
      <c r="I45" s="68">
        <f>ROUND(I44*1000000/'DCF Model'!$C$15,0)</f>
        <v>2655</v>
      </c>
      <c r="J45" s="68">
        <f>ROUND(J44*1000000/'DCF Model'!$C$15,0)</f>
        <v>2748</v>
      </c>
      <c r="K45" s="68">
        <f>ROUND(K44*1000000/'DCF Model'!$C$15,0)</f>
        <v>2844</v>
      </c>
      <c r="L45" s="68">
        <f>ROUND(L44*1000000/'DCF Model'!$C$15,0)</f>
        <v>2944</v>
      </c>
      <c r="M45" s="68">
        <f>ROUND(M44*1000000/'DCF Model'!$C$15,0)</f>
        <v>3047</v>
      </c>
      <c r="N45" s="68">
        <f>ROUND(N44*1000000/'DCF Model'!$C$15,0)</f>
        <v>3154</v>
      </c>
      <c r="O45" s="68">
        <f>ROUND(O44*1000000/'DCF Model'!$C$15,0)</f>
        <v>3265</v>
      </c>
      <c r="P45" s="68">
        <f>ROUND(P44*1000000/'DCF Model'!$C$15,0)</f>
        <v>3379</v>
      </c>
      <c r="Q45" s="68">
        <f>ROUND(Q44*1000000/'DCF Model'!$C$15,0)</f>
        <v>3497</v>
      </c>
      <c r="R45" s="68">
        <f>ROUND(R44*1000000/'DCF Model'!$C$15,0)</f>
        <v>3620</v>
      </c>
      <c r="S45" s="68">
        <f>ROUND(S44*1000000/'DCF Model'!$C$15,0)</f>
        <v>3746</v>
      </c>
      <c r="T45" s="68">
        <f>ROUND(T44*1000000/'DCF Model'!$C$15,0)</f>
        <v>4012</v>
      </c>
    </row>
    <row r="47" spans="2:20" ht="15" customHeight="1">
      <c r="B47" s="69" t="s">
        <v>263</v>
      </c>
    </row>
    <row r="48" spans="2:20" ht="15" customHeight="1">
      <c r="B48" t="s">
        <v>264</v>
      </c>
      <c r="C48" s="70">
        <f>'Segment Analysis'!E6+'Segment Analysis'!E11+'Segment Analysis'!E16</f>
        <v>26530</v>
      </c>
    </row>
    <row r="49" spans="2:8" ht="15" customHeight="1">
      <c r="B49" t="s">
        <v>265</v>
      </c>
      <c r="C49" s="70">
        <f>'Segment Analysis'!E6*(1+'Segment Analysis'!F34)+'Segment Analysis'!E11*(1+'Segment Analysis'!F48)+'Segment Analysis'!E16*(1+'Segment Analysis'!F62)</f>
        <v>28876.559999999998</v>
      </c>
    </row>
    <row r="50" spans="2:8" ht="15" customHeight="1">
      <c r="B50" t="s">
        <v>266</v>
      </c>
      <c r="C50" s="71">
        <f>C49/C48-1</f>
        <v>8.8449302676215424E-2</v>
      </c>
    </row>
    <row r="51" spans="2:8" ht="15" customHeight="1">
      <c r="B51" s="72" t="s">
        <v>267</v>
      </c>
    </row>
    <row r="52" spans="2:8" ht="15" customHeight="1">
      <c r="C52" t="s">
        <v>268</v>
      </c>
      <c r="D52" s="71">
        <f>('Segment Analysis'!E6*(1+'Segment Analysis'!F34)+'Segment Analysis'!E11*(1+'Segment Analysis'!F48)+'Segment Analysis'!E16*(1+'Segment Analysis'!F62))/('Segment Analysis'!E6+'Segment Analysis'!E11+'Segment Analysis'!E16)-1</f>
        <v>8.8449302676215424E-2</v>
      </c>
    </row>
    <row r="53" spans="2:8" ht="16.5" customHeight="1">
      <c r="B53" s="5" t="s">
        <v>269</v>
      </c>
      <c r="C53" s="70">
        <f>'Segment Analysis'!E6</f>
        <v>5084</v>
      </c>
      <c r="D53" s="70">
        <f>C53*(1+'Segment Analysis'!F34)</f>
        <v>5846.5999999999995</v>
      </c>
      <c r="E53" s="70">
        <f>D53*(1+'Segment Analysis'!G34)</f>
        <v>6723.5899999999992</v>
      </c>
      <c r="F53" s="70">
        <f>E53*(1+'Segment Analysis'!H34)</f>
        <v>7530.4207999999999</v>
      </c>
      <c r="G53" s="70">
        <f>F53*(1+'Segment Analysis'!I34)</f>
        <v>8132.854464</v>
      </c>
      <c r="H53" s="70">
        <f>G53*(1+'Segment Analysis'!J34)</f>
        <v>8539.4971872000006</v>
      </c>
    </row>
    <row r="54" spans="2:8" ht="16.5" customHeight="1">
      <c r="B54" s="5" t="s">
        <v>270</v>
      </c>
      <c r="C54" s="70">
        <f>'Segment Analysis'!E11</f>
        <v>13695</v>
      </c>
      <c r="D54" s="70">
        <f>C54*(1+'Segment Analysis'!F48)</f>
        <v>15201.45</v>
      </c>
      <c r="E54" s="70">
        <f>D54*(1+'Segment Analysis'!G48)</f>
        <v>16721.595000000001</v>
      </c>
      <c r="F54" s="70">
        <f>E54*(1+'Segment Analysis'!H48)</f>
        <v>18059.322600000003</v>
      </c>
      <c r="G54" s="70">
        <f>F54*(1+'Segment Analysis'!I48)</f>
        <v>19142.881956000005</v>
      </c>
      <c r="H54" s="70">
        <f>G54*(1+'Segment Analysis'!J48)</f>
        <v>20100.026053800008</v>
      </c>
    </row>
    <row r="55" spans="2:8" ht="16.5" customHeight="1">
      <c r="B55" s="5" t="s">
        <v>271</v>
      </c>
      <c r="C55" s="70">
        <f>'Segment Analysis'!E16</f>
        <v>7751</v>
      </c>
      <c r="D55" s="70">
        <f>C55*(1+'Segment Analysis'!F62)</f>
        <v>7828.51</v>
      </c>
      <c r="E55" s="70">
        <f>D55*(1+'Segment Analysis'!G62)</f>
        <v>7906.7951000000003</v>
      </c>
      <c r="F55" s="70">
        <f>E55*(1+'Segment Analysis'!H62)</f>
        <v>7985.8630510000003</v>
      </c>
      <c r="G55" s="70">
        <f>F55*(1+'Segment Analysis'!I62)</f>
        <v>8065.7216815100001</v>
      </c>
      <c r="H55" s="70">
        <f>G55*(1+'Segment Analysis'!J62)</f>
        <v>8146.3788983250997</v>
      </c>
    </row>
    <row r="56" spans="2:8" ht="16.5" customHeight="1">
      <c r="B56" s="5" t="s">
        <v>272</v>
      </c>
      <c r="C56" s="73">
        <f t="shared" ref="C56:H56" si="14">C53+C54+C55</f>
        <v>26530</v>
      </c>
      <c r="D56" s="73">
        <f t="shared" si="14"/>
        <v>28876.559999999998</v>
      </c>
      <c r="E56" s="73">
        <f t="shared" si="14"/>
        <v>31351.980100000001</v>
      </c>
      <c r="F56" s="73">
        <f t="shared" si="14"/>
        <v>33575.606451</v>
      </c>
      <c r="G56" s="73">
        <f t="shared" si="14"/>
        <v>35341.458101510005</v>
      </c>
      <c r="H56" s="73">
        <f t="shared" si="14"/>
        <v>36785.90213932511</v>
      </c>
    </row>
    <row r="57" spans="2:8" ht="16.5" customHeight="1">
      <c r="B57" s="5" t="s">
        <v>273</v>
      </c>
      <c r="D57" s="74">
        <f>D56/C56-1</f>
        <v>8.8449302676215424E-2</v>
      </c>
      <c r="E57" s="74">
        <f>E56/D56-1</f>
        <v>8.5724203298453983E-2</v>
      </c>
      <c r="F57" s="74">
        <f>F56/E56-1</f>
        <v>7.0924590533278487E-2</v>
      </c>
      <c r="G57" s="74">
        <f>G56/F56-1</f>
        <v>5.2593291295782718E-2</v>
      </c>
      <c r="H57" s="74">
        <f>H56/G56-1</f>
        <v>4.0871093480814524E-2</v>
      </c>
    </row>
    <row r="58" spans="2:8" ht="16.5" customHeight="1">
      <c r="B58" s="5" t="s">
        <v>274</v>
      </c>
      <c r="D58" s="74">
        <f>(D53*'Segment Analysis'!F41+D54*'Segment Analysis'!F55+D55*'Segment Analysis'!F69)/D56</f>
        <v>0.15096110132231819</v>
      </c>
      <c r="E58" s="74">
        <f>(E53*'Segment Analysis'!G41+E54*'Segment Analysis'!G55+E55*'Segment Analysis'!G69)/E56</f>
        <v>0.15591831218979371</v>
      </c>
      <c r="F58" s="74">
        <f>(F53*'Segment Analysis'!H41+F54*'Segment Analysis'!H55+F55*'Segment Analysis'!H69)/F56</f>
        <v>0.16005428389529347</v>
      </c>
      <c r="G58" s="74">
        <f>(G53*'Segment Analysis'!I41+G54*'Segment Analysis'!I55+G55*'Segment Analysis'!I69)/G56</f>
        <v>0.16393811731513289</v>
      </c>
      <c r="H58" s="74">
        <f>(H53*'Segment Analysis'!J41+H54*'Segment Analysis'!J55+H55*'Segment Analysis'!J69)/H56</f>
        <v>0.16712339380155822</v>
      </c>
    </row>
    <row r="59" spans="2:8" ht="16.5" customHeight="1">
      <c r="B59" t="s">
        <v>275</v>
      </c>
      <c r="C59" s="70">
        <f>'Segment Analysis'!E7+'Segment Analysis'!E12+'Segment Analysis'!E17</f>
        <v>3818</v>
      </c>
    </row>
    <row r="60" spans="2:8" ht="16.5" customHeight="1">
      <c r="B60" t="s">
        <v>276</v>
      </c>
      <c r="C60" s="71">
        <f>C59/C48</f>
        <v>0.1439125518281191</v>
      </c>
    </row>
    <row r="61" spans="2:8" ht="16.5" customHeight="1">
      <c r="B61" t="s">
        <v>277</v>
      </c>
      <c r="D61" s="70">
        <v>210</v>
      </c>
      <c r="E61" s="70">
        <v>210</v>
      </c>
      <c r="F61" s="70">
        <v>210</v>
      </c>
      <c r="G61" s="70">
        <v>215</v>
      </c>
      <c r="H61" s="70">
        <f>H56*'DCF Model'!$C$18</f>
        <v>315.9059061974877</v>
      </c>
    </row>
    <row r="62" spans="2:8" ht="16.5" customHeight="1">
      <c r="B62" t="s">
        <v>278</v>
      </c>
      <c r="D62" s="70">
        <v>100</v>
      </c>
      <c r="E62" s="70">
        <v>100</v>
      </c>
      <c r="F62" s="70">
        <v>105</v>
      </c>
      <c r="G62" s="70">
        <v>105</v>
      </c>
      <c r="H62" s="70">
        <f>H56*'DCF Model'!$C$5</f>
        <v>153.27978880588182</v>
      </c>
    </row>
    <row r="63" spans="2:8" ht="16.5" customHeight="1">
      <c r="B63" t="s">
        <v>279</v>
      </c>
      <c r="C63" s="70">
        <v>1026.8724277260301</v>
      </c>
      <c r="D63" s="70">
        <v>613.76993690794495</v>
      </c>
      <c r="E63" s="70">
        <v>570.91758865099803</v>
      </c>
      <c r="F63" s="70">
        <v>453.383620755876</v>
      </c>
      <c r="G63" s="70">
        <v>370.86199605425998</v>
      </c>
    </row>
    <row r="66" spans="2:8" ht="16.5" customHeight="1">
      <c r="B66" s="128" t="s">
        <v>280</v>
      </c>
      <c r="C66" s="128"/>
      <c r="D66" s="128"/>
      <c r="E66" s="128"/>
      <c r="F66" s="128"/>
      <c r="G66" s="128"/>
      <c r="H66" s="128"/>
    </row>
    <row r="67" spans="2:8" ht="15" customHeight="1">
      <c r="B67" s="129" t="s">
        <v>281</v>
      </c>
      <c r="C67" s="129"/>
      <c r="D67" s="129"/>
      <c r="E67" s="129"/>
      <c r="F67" s="129"/>
      <c r="G67" s="129"/>
      <c r="H67" s="129"/>
    </row>
    <row r="69" spans="2:8" ht="24.75" customHeight="1">
      <c r="B69" s="54" t="s">
        <v>221</v>
      </c>
      <c r="C69" s="54" t="s">
        <v>222</v>
      </c>
      <c r="D69" s="55" t="s">
        <v>282</v>
      </c>
      <c r="E69" s="54" t="s">
        <v>283</v>
      </c>
      <c r="F69" s="54" t="s">
        <v>284</v>
      </c>
    </row>
    <row r="70" spans="2:8" ht="15" customHeight="1">
      <c r="B70" s="56" t="s">
        <v>285</v>
      </c>
      <c r="C70" s="58">
        <f>C7</f>
        <v>2330</v>
      </c>
      <c r="D70" s="75">
        <f>FORECAST(C70,$C$17:$T$17,$C$45:$T$45)</f>
        <v>-6.594619159919235E-2</v>
      </c>
      <c r="E70" s="64" t="str">
        <f>IF(D70&lt;-0.3,"Deep Pessimism",IF(D70&lt;0,"Pessimistic",IF(D70&lt;0.5,"Neutral",IF(D70&lt;1,"Mild Optimism","Bullish"))))</f>
        <v>Pessimistic</v>
      </c>
      <c r="F70" s="64" t="str">
        <f>IF(D70&lt;-0.3,"Base成長率の半分以下で評価",IF(D70&lt;0,"Baseより保守的、低成長織込み",IF(D70&lt;0.5,"Base成長率の0-50%を織込み",IF(D70&lt;1,"Base成長率の50-100%を織込み","Base以上の成長を期待"))))</f>
        <v>Baseより保守的、低成長織込み</v>
      </c>
    </row>
    <row r="71" spans="2:8" ht="15" customHeight="1">
      <c r="B71" s="56" t="s">
        <v>9</v>
      </c>
      <c r="C71" s="58">
        <f>C8</f>
        <v>1990</v>
      </c>
      <c r="D71" s="75">
        <f>FORECAST(C71,$C$17:$T$17,$C$45:$T$45)</f>
        <v>-0.4051060498168082</v>
      </c>
      <c r="E71" s="64" t="str">
        <f>IF(D71&lt;-0.3,"Deep Pessimism",IF(D71&lt;0,"Pessimistic",IF(D71&lt;0.5,"Neutral",IF(D71&lt;1,"Mild Optimism","Bullish"))))</f>
        <v>Deep Pessimism</v>
      </c>
      <c r="F71" s="64" t="str">
        <f>IF(D71&lt;-0.3,"Base成長率の半分以下で評価",IF(D71&lt;0,"Baseより保守的、低成長織込み",IF(D71&lt;0.5,"Base成長率の0-50%を織込み",IF(D71&lt;1,"Base成長率の50-100%を織込み","Base以上の成長を期待"))))</f>
        <v>Base成長率の半分以下で評価</v>
      </c>
    </row>
    <row r="72" spans="2:8" ht="15" customHeight="1">
      <c r="B72" s="56" t="s">
        <v>231</v>
      </c>
      <c r="C72" s="58">
        <f>C9</f>
        <v>1964</v>
      </c>
      <c r="D72" s="75">
        <f>FORECAST(C72,$C$17:$T$17,$C$45:$T$45)</f>
        <v>-0.43104180368050815</v>
      </c>
      <c r="E72" s="64" t="str">
        <f>IF(D72&lt;-0.3,"Deep Pessimism",IF(D72&lt;0,"Pessimistic",IF(D72&lt;0.5,"Neutral",IF(D72&lt;1,"Mild Optimism","Bullish"))))</f>
        <v>Deep Pessimism</v>
      </c>
      <c r="F72" s="64" t="str">
        <f>IF(D72&lt;-0.3,"Base成長率の半分以下で評価",IF(D72&lt;0,"Baseより保守的、低成長織込み",IF(D72&lt;0.5,"Base成長率の0-50%を織込み",IF(D72&lt;1,"Base成長率の50-100%を織込み","Base以上の成長を期待"))))</f>
        <v>Base成長率の半分以下で評価</v>
      </c>
    </row>
    <row r="73" spans="2:8" ht="15" customHeight="1">
      <c r="B73" s="56" t="s">
        <v>286</v>
      </c>
      <c r="C73" s="58">
        <f>C10</f>
        <v>2127</v>
      </c>
      <c r="D73" s="75">
        <f>FORECAST(C73,$C$17:$T$17,$C$45:$T$45)</f>
        <v>-0.26844457753500439</v>
      </c>
      <c r="E73" s="64" t="str">
        <f>IF(D73&lt;-0.3,"Deep Pessimism",IF(D73&lt;0,"Pessimistic",IF(D73&lt;0.5,"Neutral",IF(D73&lt;1,"Mild Optimism","Bullish"))))</f>
        <v>Pessimistic</v>
      </c>
      <c r="F73" s="64" t="str">
        <f>IF(D73&lt;-0.3,"Base成長率の半分以下で評価",IF(D73&lt;0,"Baseより保守的、低成長織込み",IF(D73&lt;0.5,"Base成長率の0-50%を織込み",IF(D73&lt;1,"Base成長率の50-100%を織込み","Base以上の成長を期待"))))</f>
        <v>Baseより保守的、低成長織込み</v>
      </c>
    </row>
    <row r="74" spans="2:8" ht="15" customHeight="1">
      <c r="B74" s="56" t="s">
        <v>235</v>
      </c>
      <c r="C74" s="58">
        <f>C11</f>
        <v>2893</v>
      </c>
      <c r="D74" s="75">
        <f>FORECAST(C74,$C$17:$T$17,$C$45:$T$45)</f>
        <v>0.49566263244938868</v>
      </c>
      <c r="E74" s="64" t="str">
        <f>IF(D74&lt;-0.3,"Deep Pessimism",IF(D74&lt;0,"Pessimistic",IF(D74&lt;0.5,"Neutral",IF(D74&lt;1,"Mild Optimism","Bullish"))))</f>
        <v>Neutral</v>
      </c>
      <c r="F74" s="64" t="str">
        <f>IF(D74&lt;-0.3,"Base成長率の半分以下で評価",IF(D74&lt;0,"Baseより保守的、低成長織込み",IF(D74&lt;0.5,"Base成長率の0-50%を織込み",IF(D74&lt;1,"Base成長率の50-100%を織込み","Base以上の成長を期待"))))</f>
        <v>Base成長率の0-50%を織込み</v>
      </c>
    </row>
    <row r="77" spans="2:8" ht="16.5" customHeight="1">
      <c r="B77" s="128" t="s">
        <v>287</v>
      </c>
      <c r="C77" s="128"/>
      <c r="D77" s="128"/>
      <c r="E77" s="128"/>
      <c r="F77" s="128"/>
      <c r="G77" s="128"/>
      <c r="H77" s="128"/>
    </row>
    <row r="78" spans="2:8" ht="15" customHeight="1">
      <c r="B78" s="129" t="s">
        <v>288</v>
      </c>
      <c r="C78" s="129"/>
      <c r="D78" s="129"/>
      <c r="E78" s="129"/>
      <c r="F78" s="129"/>
      <c r="G78" s="129"/>
      <c r="H78" s="129"/>
    </row>
    <row r="80" spans="2:8" ht="15" customHeight="1">
      <c r="B80" s="63" t="s">
        <v>289</v>
      </c>
      <c r="C80" s="76" t="s">
        <v>282</v>
      </c>
      <c r="D80" s="76" t="s">
        <v>290</v>
      </c>
      <c r="E80" s="76" t="s">
        <v>291</v>
      </c>
      <c r="F80" s="76" t="s">
        <v>292</v>
      </c>
      <c r="G80" s="76" t="s">
        <v>293</v>
      </c>
    </row>
    <row r="81" spans="2:8" ht="16.5" customHeight="1">
      <c r="B81" s="77" t="s">
        <v>294</v>
      </c>
      <c r="C81" s="78">
        <f>D71</f>
        <v>-0.4051060498168082</v>
      </c>
      <c r="D81" s="79">
        <f t="shared" ref="D81:D86" si="15">((1+$D$57*C81)*(1+$E$57*C81)*(1+$F$57*C81)*(1+$G$57*C81)*(1+$H$57*C81))^(1/5)-1</f>
        <v>-2.745962390129475E-2</v>
      </c>
      <c r="E81" s="79">
        <f t="shared" ref="E81:E86" si="16">$C$60+((AVERAGE($D$58:$H$58)-$C$60)*C81)</f>
        <v>0.13755785987867775</v>
      </c>
      <c r="F81" s="56" t="s">
        <v>295</v>
      </c>
      <c r="G81" s="80" t="s">
        <v>296</v>
      </c>
    </row>
    <row r="82" spans="2:8" ht="15" customHeight="1">
      <c r="B82" s="56" t="s">
        <v>82</v>
      </c>
      <c r="C82" s="81">
        <v>1</v>
      </c>
      <c r="D82" s="79">
        <f t="shared" si="15"/>
        <v>6.7551492954693426E-2</v>
      </c>
      <c r="E82" s="79">
        <f t="shared" si="16"/>
        <v>0.15959904170481928</v>
      </c>
      <c r="F82" s="82">
        <f>C82-$C$81</f>
        <v>1.4051060498168082</v>
      </c>
      <c r="G82" s="83" t="str">
        <f>IF(F82&gt;0.5,"BULLISH (Buy候補)",IF(F82&gt;0.2,"Mildly Bullish",IF(F82&gt;-0.2,"Aligned",IF(F82&gt;-0.5,"Mildly Bearish","BEARISH (Sell候補)"))))</f>
        <v>BULLISH (Buy候補)</v>
      </c>
    </row>
    <row r="83" spans="2:8" ht="15" customHeight="1">
      <c r="B83" s="56" t="s">
        <v>131</v>
      </c>
      <c r="C83" s="81">
        <v>1.5</v>
      </c>
      <c r="D83" s="79">
        <f t="shared" si="15"/>
        <v>0.10121709999743245</v>
      </c>
      <c r="E83" s="79">
        <f t="shared" si="16"/>
        <v>0.16744228664316937</v>
      </c>
      <c r="F83" s="82">
        <f>C83-$C$81</f>
        <v>1.9051060498168082</v>
      </c>
      <c r="G83" s="83" t="str">
        <f>IF(F83&gt;0.5,"BULLISH (Buy候補)",IF(F83&gt;0.2,"Mildly Bullish",IF(F83&gt;-0.2,"Aligned",IF(F83&gt;-0.5,"Mildly Bearish","BEARISH (Sell候補)"))))</f>
        <v>BULLISH (Buy候補)</v>
      </c>
    </row>
    <row r="84" spans="2:8" ht="15" customHeight="1">
      <c r="B84" s="56" t="s">
        <v>132</v>
      </c>
      <c r="C84" s="81">
        <v>0.75</v>
      </c>
      <c r="D84" s="79">
        <f t="shared" si="15"/>
        <v>5.0692418125350303E-2</v>
      </c>
      <c r="E84" s="79">
        <f t="shared" si="16"/>
        <v>0.15567741923564424</v>
      </c>
      <c r="F84" s="82">
        <f>C84-$C$81</f>
        <v>1.1551060498168082</v>
      </c>
      <c r="G84" s="83" t="str">
        <f>IF(F84&gt;0.5,"BULLISH (Buy候補)",IF(F84&gt;0.2,"Mildly Bullish",IF(F84&gt;-0.2,"Aligned",IF(F84&gt;-0.5,"Mildly Bearish","BEARISH (Sell候補)"))))</f>
        <v>BULLISH (Buy候補)</v>
      </c>
    </row>
    <row r="85" spans="2:8" ht="15" customHeight="1">
      <c r="B85" s="56" t="s">
        <v>133</v>
      </c>
      <c r="C85" s="81">
        <v>0.4</v>
      </c>
      <c r="D85" s="79">
        <f t="shared" si="15"/>
        <v>2.7058267690695637E-2</v>
      </c>
      <c r="E85" s="79">
        <f t="shared" si="16"/>
        <v>0.15018714777879918</v>
      </c>
      <c r="F85" s="82">
        <f>C85-$C$81</f>
        <v>0.80510604981680822</v>
      </c>
      <c r="G85" s="83" t="str">
        <f>IF(F85&gt;0.5,"BULLISH (Buy候補)",IF(F85&gt;0.2,"Mildly Bullish",IF(F85&gt;-0.2,"Aligned",IF(F85&gt;-0.5,"Mildly Bearish","BEARISH (Sell候補)"))))</f>
        <v>BULLISH (Buy候補)</v>
      </c>
    </row>
    <row r="86" spans="2:8" ht="15" customHeight="1">
      <c r="B86" s="56" t="s">
        <v>134</v>
      </c>
      <c r="C86" s="81">
        <v>0.15</v>
      </c>
      <c r="D86" s="79">
        <f t="shared" si="15"/>
        <v>1.0153055369723107E-2</v>
      </c>
      <c r="E86" s="79">
        <f t="shared" si="16"/>
        <v>0.14626552530962414</v>
      </c>
      <c r="F86" s="82">
        <f>C86-$C$81</f>
        <v>0.55510604981680822</v>
      </c>
      <c r="G86" s="83" t="str">
        <f>IF(F86&gt;0.5,"BULLISH (Buy候補)",IF(F86&gt;0.2,"Mildly Bullish",IF(F86&gt;-0.2,"Aligned",IF(F86&gt;-0.5,"Mildly Bearish","BEARISH (Sell候補)"))))</f>
        <v>BULLISH (Buy候補)</v>
      </c>
    </row>
    <row r="89" spans="2:8" ht="16.5" customHeight="1">
      <c r="B89" s="128" t="s">
        <v>297</v>
      </c>
      <c r="C89" s="128"/>
      <c r="D89" s="128"/>
      <c r="E89" s="128"/>
      <c r="F89" s="128"/>
      <c r="G89" s="128"/>
      <c r="H89" s="128"/>
    </row>
    <row r="91" spans="2:8" ht="16.5" customHeight="1">
      <c r="B91" s="84" t="s">
        <v>298</v>
      </c>
      <c r="C91" s="85">
        <f>D71</f>
        <v>-0.4051060498168082</v>
      </c>
      <c r="D91" s="125" t="str">
        <f>IF(C91&lt;-0.3,"Deep Pessimism (Base成長率を半分以下で評価)",IF(C91&lt;0,"Pessimistic (Base以下を織込み)",IF(C91&lt;0.5,"Mildly Pessimistic",IF(C91&lt;1,"Aligned with Base","Bullish"))))</f>
        <v>Deep Pessimism (Base成長率を半分以下で評価)</v>
      </c>
      <c r="E91" s="125"/>
      <c r="F91" s="125"/>
      <c r="G91" s="125"/>
      <c r="H91" s="125"/>
    </row>
    <row r="92" spans="2:8" ht="16.5" customHeight="1">
      <c r="B92" s="84" t="s">
        <v>299</v>
      </c>
      <c r="C92" s="86">
        <v>1</v>
      </c>
      <c r="D92" s="126" t="s">
        <v>300</v>
      </c>
      <c r="E92" s="126"/>
      <c r="F92" s="126"/>
      <c r="G92" s="126"/>
      <c r="H92" s="126"/>
    </row>
    <row r="93" spans="2:8" ht="16.5" customHeight="1">
      <c r="B93" s="84" t="s">
        <v>301</v>
      </c>
      <c r="C93" s="87">
        <f>C92-C91</f>
        <v>1.4051060498168082</v>
      </c>
      <c r="D93" s="125" t="str">
        <f>IF(C93&gt;1,"+1.0以上 = 大きなアップサイドサプライズ余地",IF(C93&gt;0.5,"+0.5〜1.0 = 顕著なアップサイドサプライズ余地",IF(C93&gt;0.2,"+0.2〜0.5 = 中程度のアップサイド余地",IF(C93&gt;-0.2,"市場とほぼ整合","自分の見方が市場以下 = 警戒"))))</f>
        <v>+1.0以上 = 大きなアップサイドサプライズ余地</v>
      </c>
      <c r="E93" s="125"/>
      <c r="F93" s="125"/>
      <c r="G93" s="125"/>
      <c r="H93" s="125"/>
    </row>
    <row r="94" spans="2:8" ht="18.75" customHeight="1">
      <c r="B94" s="84" t="s">
        <v>302</v>
      </c>
      <c r="C94" s="127" t="str">
        <f>IF(C93&gt;0.5,"BUY (アップサイドサプライズ期待)",IF(C93&gt;0.2,"BUY/HOLD",IF(C93&gt;-0.2,"HOLD",IF(C93&gt;-0.5,"HOLD/SELL","SELL (失望リスク)"))))</f>
        <v>BUY (アップサイドサプライズ期待)</v>
      </c>
      <c r="D94" s="127"/>
      <c r="E94" s="127"/>
      <c r="F94" s="127"/>
      <c r="G94" s="127"/>
      <c r="H94" s="127"/>
    </row>
    <row r="97" spans="2:8" ht="15" customHeight="1">
      <c r="B97" s="88" t="s">
        <v>303</v>
      </c>
    </row>
    <row r="98" spans="2:8" ht="15" customHeight="1">
      <c r="B98" s="123" t="s">
        <v>304</v>
      </c>
      <c r="C98" s="123"/>
      <c r="D98" s="123"/>
      <c r="E98" s="123"/>
      <c r="F98" s="123"/>
      <c r="G98" s="123"/>
      <c r="H98" s="123"/>
    </row>
    <row r="99" spans="2:8" ht="15" customHeight="1">
      <c r="B99" s="123" t="s">
        <v>305</v>
      </c>
      <c r="C99" s="123"/>
      <c r="D99" s="123"/>
      <c r="E99" s="123"/>
      <c r="F99" s="123"/>
      <c r="G99" s="123"/>
      <c r="H99" s="123"/>
    </row>
    <row r="100" spans="2:8" ht="15" customHeight="1">
      <c r="B100" s="124" t="s">
        <v>306</v>
      </c>
      <c r="C100" s="124"/>
      <c r="D100" s="124"/>
      <c r="E100" s="124"/>
      <c r="F100" s="124"/>
      <c r="G100" s="124"/>
      <c r="H100" s="124"/>
    </row>
    <row r="101" spans="2:8" ht="15" customHeight="1">
      <c r="B101" s="123" t="s">
        <v>307</v>
      </c>
      <c r="C101" s="123"/>
      <c r="D101" s="123"/>
      <c r="E101" s="123"/>
      <c r="F101" s="123"/>
      <c r="G101" s="123"/>
      <c r="H101" s="123"/>
    </row>
    <row r="102" spans="2:8" ht="15" customHeight="1">
      <c r="B102" s="124" t="s">
        <v>308</v>
      </c>
      <c r="C102" s="124"/>
      <c r="D102" s="124"/>
      <c r="E102" s="124"/>
      <c r="F102" s="124"/>
      <c r="G102" s="124"/>
      <c r="H102" s="124"/>
    </row>
  </sheetData>
  <mergeCells count="19">
    <mergeCell ref="B2:H2"/>
    <mergeCell ref="B3:H3"/>
    <mergeCell ref="B5:H5"/>
    <mergeCell ref="B14:H14"/>
    <mergeCell ref="B15:H15"/>
    <mergeCell ref="B66:H66"/>
    <mergeCell ref="B67:H67"/>
    <mergeCell ref="B77:H77"/>
    <mergeCell ref="B78:H78"/>
    <mergeCell ref="B89:H89"/>
    <mergeCell ref="B99:H99"/>
    <mergeCell ref="B100:H100"/>
    <mergeCell ref="B101:H101"/>
    <mergeCell ref="B102:H102"/>
    <mergeCell ref="D91:H91"/>
    <mergeCell ref="D92:H92"/>
    <mergeCell ref="D93:H93"/>
    <mergeCell ref="C94:H94"/>
    <mergeCell ref="B98:H98"/>
  </mergeCells>
  <phoneticPr fontId="53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67"/>
  <sheetViews>
    <sheetView topLeftCell="A14" zoomScale="57" zoomScaleNormal="100" workbookViewId="0">
      <selection activeCell="G21" sqref="G21"/>
    </sheetView>
  </sheetViews>
  <sheetFormatPr defaultColWidth="8.54296875" defaultRowHeight="13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21.75" customHeight="1">
      <c r="B2" s="130" t="s">
        <v>309</v>
      </c>
      <c r="C2" s="130"/>
      <c r="D2" s="130"/>
      <c r="E2" s="130"/>
      <c r="F2" s="130"/>
      <c r="G2" s="130"/>
    </row>
    <row r="3" spans="2:7" ht="14">
      <c r="B3" s="137" t="s">
        <v>310</v>
      </c>
      <c r="C3" s="137"/>
      <c r="D3" s="137"/>
      <c r="E3" s="137"/>
      <c r="F3" s="137"/>
      <c r="G3" s="137"/>
    </row>
    <row r="5" spans="2:7" ht="14.5">
      <c r="B5" s="134" t="s">
        <v>311</v>
      </c>
      <c r="C5" s="134"/>
      <c r="D5" s="134"/>
      <c r="E5" s="134"/>
      <c r="F5" s="134"/>
      <c r="G5" s="134"/>
    </row>
    <row r="6" spans="2:7" ht="21.75" customHeight="1">
      <c r="B6" s="89" t="s">
        <v>312</v>
      </c>
      <c r="C6" s="89" t="s">
        <v>313</v>
      </c>
      <c r="D6" s="89" t="s">
        <v>314</v>
      </c>
      <c r="E6" s="89" t="s">
        <v>315</v>
      </c>
      <c r="F6" s="89" t="s">
        <v>316</v>
      </c>
      <c r="G6" s="89" t="s">
        <v>317</v>
      </c>
    </row>
    <row r="7" spans="2:7" ht="15">
      <c r="B7" s="90" t="s">
        <v>318</v>
      </c>
      <c r="C7" s="91">
        <f>1-'Implied Growth Analysis'!C91</f>
        <v>1.4051060498168082</v>
      </c>
      <c r="D7" s="92">
        <f>IF(C7&gt;=1,2,IF(C7&gt;=0.5,1,IF(C7&gt;=-0.2,0,IF(C7&gt;=-0.5,-1,-2))))</f>
        <v>2</v>
      </c>
      <c r="E7" s="93">
        <v>0.4</v>
      </c>
      <c r="F7" s="94">
        <f>D7*E7</f>
        <v>0.8</v>
      </c>
      <c r="G7" s="95" t="str">
        <f>IF(D7=2,"市場大幅悲観 = 強気",IF(D7=1,"市場やや悲観 = 買い候補",IF(D7=0,"市場と認識一致",IF(D7=-1,"市場やや楽観 = 警戒","市場大幅楽観 = 失望リスク"))))</f>
        <v>市場大幅悲観 = 強気</v>
      </c>
    </row>
    <row r="8" spans="2:7" ht="15">
      <c r="B8" s="90" t="s">
        <v>319</v>
      </c>
      <c r="C8" s="96">
        <f>C26</f>
        <v>-2.0366598778004397E-3</v>
      </c>
      <c r="D8" s="92">
        <f>IF(C8&lt;=-0.2,2,IF(C8&lt;=-0.1,1,IF(C8&lt;=0.1,0,IF(C8&lt;=0.2,-1,-2))))</f>
        <v>0</v>
      </c>
      <c r="E8" s="93">
        <v>0.25</v>
      </c>
      <c r="F8" s="94">
        <f>D8*E8</f>
        <v>0</v>
      </c>
      <c r="G8" s="95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ht="15">
      <c r="B9" s="90" t="s">
        <v>320</v>
      </c>
      <c r="C9" s="97">
        <f>C36</f>
        <v>9.8039215686274517</v>
      </c>
      <c r="D9" s="92">
        <f>D36</f>
        <v>-2</v>
      </c>
      <c r="E9" s="93">
        <v>0.2</v>
      </c>
      <c r="F9" s="94">
        <f>D9*E9</f>
        <v>-0.4</v>
      </c>
      <c r="G9" s="95" t="str">
        <f>IF(D9=2,"踏み上げ余地大",IF(D9=1,"需給良好",IF(D9=0,"ニュートラル",IF(D9=-1,"戻り売り圧力","需給最悪"))))</f>
        <v>需給最悪</v>
      </c>
    </row>
    <row r="10" spans="2:7" ht="15">
      <c r="B10" s="90" t="s">
        <v>321</v>
      </c>
      <c r="C10" s="98">
        <f>C49</f>
        <v>6.5287912264813674E-4</v>
      </c>
      <c r="D10" s="92">
        <f>D49</f>
        <v>0</v>
      </c>
      <c r="E10" s="93">
        <v>0.15</v>
      </c>
      <c r="F10" s="94">
        <f>D10*E10</f>
        <v>0</v>
      </c>
      <c r="G10" s="95" t="str">
        <f>IF(D10=2,"上方修正余地大",IF(D10=1,"上方修正の可能性",IF(D10=0,"認識一致",IF(D10=-1,"自分が悲観的、要確認","下方修正リスク"))))</f>
        <v>認識一致</v>
      </c>
    </row>
    <row r="12" spans="2:7" ht="27.75" customHeight="1">
      <c r="B12" s="99" t="s">
        <v>322</v>
      </c>
      <c r="C12" s="100"/>
      <c r="D12" s="100"/>
      <c r="E12" s="101">
        <f>SUM(E7:E10)</f>
        <v>1</v>
      </c>
      <c r="F12" s="102">
        <f>SUM(F7:F10)</f>
        <v>0.4</v>
      </c>
      <c r="G12" s="103" t="str">
        <f>IF(F12&gt;=1,"STRONG BUY",IF(F12&gt;=0.5,"BUY",IF(F12&gt;=-0.5,"HOLD",IF(F12&gt;=-1,"CAUTION","AVOID"))))</f>
        <v>HOLD</v>
      </c>
    </row>
    <row r="14" spans="2:7" ht="14">
      <c r="B14" s="138" t="s">
        <v>323</v>
      </c>
      <c r="C14" s="138"/>
      <c r="D14" s="138"/>
      <c r="E14" s="138"/>
      <c r="F14" s="138"/>
      <c r="G14" s="138"/>
    </row>
    <row r="17" spans="2:7" ht="14.5">
      <c r="B17" s="134" t="s">
        <v>324</v>
      </c>
      <c r="C17" s="134"/>
      <c r="D17" s="134"/>
      <c r="E17" s="134"/>
      <c r="F17" s="134"/>
      <c r="G17" s="134"/>
    </row>
    <row r="19" spans="2:7" ht="14">
      <c r="B19" s="104" t="s">
        <v>325</v>
      </c>
      <c r="C19" s="104" t="s">
        <v>326</v>
      </c>
      <c r="D19" s="104" t="s">
        <v>327</v>
      </c>
    </row>
    <row r="20" spans="2:7" ht="14">
      <c r="B20" s="105" t="s">
        <v>328</v>
      </c>
      <c r="C20" s="57">
        <v>1960</v>
      </c>
      <c r="D20" s="105" t="s">
        <v>329</v>
      </c>
    </row>
    <row r="21" spans="2:7" ht="14">
      <c r="B21" s="56" t="s">
        <v>330</v>
      </c>
      <c r="C21" s="57">
        <v>1964</v>
      </c>
      <c r="D21" s="56" t="s">
        <v>331</v>
      </c>
    </row>
    <row r="22" spans="2:7" ht="14">
      <c r="B22" s="56" t="s">
        <v>332</v>
      </c>
      <c r="C22" s="57">
        <v>2330</v>
      </c>
      <c r="D22" s="56" t="s">
        <v>333</v>
      </c>
    </row>
    <row r="23" spans="2:7" ht="14">
      <c r="B23" s="105" t="s">
        <v>334</v>
      </c>
      <c r="C23" s="57">
        <v>2330</v>
      </c>
      <c r="D23" s="56" t="s">
        <v>335</v>
      </c>
    </row>
    <row r="24" spans="2:7" ht="14">
      <c r="B24" s="105" t="s">
        <v>336</v>
      </c>
      <c r="C24" s="57">
        <v>1960</v>
      </c>
      <c r="D24" s="105" t="s">
        <v>337</v>
      </c>
    </row>
    <row r="26" spans="2:7" ht="14">
      <c r="B26" s="106" t="s">
        <v>338</v>
      </c>
      <c r="C26" s="107">
        <f>C20/C21-1</f>
        <v>-2.0366598778004397E-3</v>
      </c>
      <c r="D26" s="108" t="str">
        <f>IF(C26&lt;=-0.2,"過剰悲観",IF(C26&lt;=-0.1,"悲観織込み",IF(C26&lt;=0.1,"ニュートラル",IF(C26&lt;=0.2,"やや過熱","過熱"))))</f>
        <v>ニュートラル</v>
      </c>
    </row>
    <row r="27" spans="2:7" ht="13.5">
      <c r="B27" s="109" t="s">
        <v>339</v>
      </c>
      <c r="C27" s="110">
        <f>C20/C22-1</f>
        <v>-0.15879828326180256</v>
      </c>
    </row>
    <row r="28" spans="2:7" ht="13.5">
      <c r="B28" s="111" t="s">
        <v>340</v>
      </c>
      <c r="C28" s="110">
        <f>C20/C23-1</f>
        <v>-0.15879828326180256</v>
      </c>
    </row>
    <row r="31" spans="2:7" ht="14.5">
      <c r="B31" s="134" t="s">
        <v>341</v>
      </c>
      <c r="C31" s="134"/>
      <c r="D31" s="134"/>
      <c r="E31" s="134"/>
      <c r="F31" s="134"/>
      <c r="G31" s="134"/>
    </row>
    <row r="32" spans="2:7" ht="14">
      <c r="B32" s="104" t="s">
        <v>325</v>
      </c>
      <c r="C32" s="104" t="s">
        <v>326</v>
      </c>
      <c r="D32" s="104" t="s">
        <v>327</v>
      </c>
    </row>
    <row r="33" spans="2:7" ht="14">
      <c r="B33" s="105" t="s">
        <v>342</v>
      </c>
      <c r="C33" s="57">
        <v>50000</v>
      </c>
      <c r="D33" s="105" t="s">
        <v>343</v>
      </c>
    </row>
    <row r="34" spans="2:7" ht="14">
      <c r="B34" s="105" t="s">
        <v>344</v>
      </c>
      <c r="C34" s="57">
        <v>5100</v>
      </c>
      <c r="D34" s="105" t="s">
        <v>345</v>
      </c>
    </row>
    <row r="35" spans="2:7" ht="14">
      <c r="B35" s="105" t="s">
        <v>346</v>
      </c>
      <c r="C35" s="57">
        <v>169300</v>
      </c>
      <c r="D35" s="105" t="s">
        <v>347</v>
      </c>
    </row>
    <row r="36" spans="2:7" ht="15">
      <c r="B36" s="90" t="s">
        <v>348</v>
      </c>
      <c r="C36" s="75">
        <f>IF(C34=0,999,C33/C34)</f>
        <v>9.8039215686274517</v>
      </c>
      <c r="D36" s="112">
        <f>IF(AND(C36&lt;=1,C34/C35&gt;=0.5),2,IF(AND(C36&lt;=3,C34/C35&gt;=0.3),1,IF(AND(C36&lt;=10,C34/C35&gt;=0.1),0,IF(AND(C36&lt;=20,C34/C35&gt;=0.05),-1,-2))))</f>
        <v>-2</v>
      </c>
    </row>
    <row r="37" spans="2:7" ht="13.5">
      <c r="B37" s="111" t="s">
        <v>349</v>
      </c>
      <c r="C37" s="113">
        <f>C34/C35</f>
        <v>3.0124040165386886E-2</v>
      </c>
    </row>
    <row r="38" spans="2:7" ht="14">
      <c r="B38" s="111" t="s">
        <v>317</v>
      </c>
      <c r="C38" s="135" t="str">
        <f>IF(D36=2,"踏み上げ余地大",IF(D36=1,"需給良好",IF(D36=0,"ニュートラル",IF(D36=-1,"戻り売り圧力","需給最悪 (売残枯渇)"))))</f>
        <v>需給最悪 (売残枯渇)</v>
      </c>
      <c r="D38" s="135"/>
    </row>
    <row r="41" spans="2:7" ht="14.5">
      <c r="B41" s="134" t="s">
        <v>350</v>
      </c>
      <c r="C41" s="134"/>
      <c r="D41" s="134"/>
      <c r="E41" s="134"/>
      <c r="F41" s="134"/>
      <c r="G41" s="134"/>
    </row>
    <row r="43" spans="2:7" ht="14">
      <c r="B43" s="89" t="s">
        <v>351</v>
      </c>
      <c r="C43" s="89" t="s">
        <v>352</v>
      </c>
      <c r="D43" s="89" t="s">
        <v>353</v>
      </c>
      <c r="E43" s="89" t="s">
        <v>354</v>
      </c>
      <c r="F43" s="89" t="s">
        <v>314</v>
      </c>
    </row>
    <row r="44" spans="2:7" ht="14">
      <c r="B44" s="90" t="s">
        <v>355</v>
      </c>
      <c r="C44" s="114">
        <v>0.1</v>
      </c>
      <c r="D44" s="98">
        <f>'DCF Model'!D39/'DCF Model'!C39-1</f>
        <v>0.1085815549468423</v>
      </c>
      <c r="E44" s="115">
        <f>D44-C44</f>
        <v>8.5815549468422903E-3</v>
      </c>
      <c r="F44" s="116">
        <f>IF(E44&gt;=0.1,2,IF(E44&gt;=0.05,1,IF(E44&gt;=-0.05,0,IF(E44&gt;=-0.1,-1,-2))))</f>
        <v>0</v>
      </c>
    </row>
    <row r="45" spans="2:7" ht="14">
      <c r="B45" s="90" t="s">
        <v>356</v>
      </c>
      <c r="C45" s="114">
        <v>9.2999999999999999E-2</v>
      </c>
      <c r="D45" s="98">
        <f>'DCF Model'!D33/'DCF Model'!C33-1</f>
        <v>8.5724203298453983E-2</v>
      </c>
      <c r="E45" s="115">
        <f>D45-C45</f>
        <v>-7.2757967015460168E-3</v>
      </c>
      <c r="F45" s="116">
        <f>IF(E45&gt;=0.1,2,IF(E45&gt;=0.05,1,IF(E45&gt;=-0.05,0,IF(E45&gt;=-0.1,-1,-2))))</f>
        <v>0</v>
      </c>
    </row>
    <row r="47" spans="2:7" ht="14">
      <c r="B47" s="117" t="s">
        <v>357</v>
      </c>
    </row>
    <row r="48" spans="2:7" ht="14">
      <c r="B48" s="95" t="s">
        <v>358</v>
      </c>
      <c r="C48" s="115">
        <f>AVERAGE(E44:E45)</f>
        <v>6.5287912264813674E-4</v>
      </c>
      <c r="D48" s="56"/>
    </row>
    <row r="49" spans="2:7" ht="15">
      <c r="B49" s="90" t="s">
        <v>359</v>
      </c>
      <c r="C49" s="118">
        <f>AVERAGE(E44:E45)</f>
        <v>6.5287912264813674E-4</v>
      </c>
      <c r="D49" s="112">
        <f>ROUND(AVERAGE(F44:F45),0)</f>
        <v>0</v>
      </c>
    </row>
    <row r="50" spans="2:7" ht="14">
      <c r="B50" s="136" t="s">
        <v>360</v>
      </c>
      <c r="C50" s="136"/>
      <c r="D50" s="136"/>
      <c r="E50" s="136"/>
      <c r="F50" s="136"/>
      <c r="G50" s="136"/>
    </row>
    <row r="53" spans="2:7" ht="14.5">
      <c r="B53" s="134" t="s">
        <v>361</v>
      </c>
      <c r="C53" s="134"/>
      <c r="D53" s="134"/>
      <c r="E53" s="134"/>
      <c r="F53" s="134"/>
      <c r="G53" s="134"/>
    </row>
    <row r="55" spans="2:7" ht="13.5">
      <c r="B55" s="119" t="s">
        <v>362</v>
      </c>
      <c r="C55" s="132" t="s">
        <v>363</v>
      </c>
      <c r="D55" s="132"/>
      <c r="E55" s="132"/>
      <c r="F55" s="132"/>
      <c r="G55" s="132"/>
    </row>
    <row r="56" spans="2:7" ht="13.5">
      <c r="B56" s="119" t="s">
        <v>364</v>
      </c>
      <c r="C56" s="133" t="s">
        <v>365</v>
      </c>
      <c r="D56" s="133"/>
      <c r="E56" s="133"/>
      <c r="F56" s="133"/>
      <c r="G56" s="133"/>
    </row>
    <row r="57" spans="2:7" ht="13.5">
      <c r="B57" s="119" t="s">
        <v>366</v>
      </c>
      <c r="C57" s="133" t="s">
        <v>367</v>
      </c>
      <c r="D57" s="133"/>
      <c r="E57" s="133"/>
      <c r="F57" s="133"/>
      <c r="G57" s="133"/>
    </row>
    <row r="58" spans="2:7" ht="13.5">
      <c r="B58" s="119" t="s">
        <v>368</v>
      </c>
      <c r="C58" s="133" t="s">
        <v>369</v>
      </c>
      <c r="D58" s="133"/>
      <c r="E58" s="133"/>
      <c r="F58" s="133"/>
      <c r="G58" s="133"/>
    </row>
    <row r="59" spans="2:7" ht="13.5">
      <c r="B59" s="119" t="s">
        <v>370</v>
      </c>
      <c r="C59" s="132" t="s">
        <v>371</v>
      </c>
      <c r="D59" s="132"/>
      <c r="E59" s="132"/>
      <c r="F59" s="132"/>
      <c r="G59" s="132"/>
    </row>
    <row r="62" spans="2:7" ht="13.5">
      <c r="B62" s="120" t="s">
        <v>303</v>
      </c>
    </row>
    <row r="63" spans="2:7" ht="13.5">
      <c r="B63" s="123" t="s">
        <v>372</v>
      </c>
      <c r="C63" s="123"/>
      <c r="D63" s="123"/>
      <c r="E63" s="123"/>
      <c r="F63" s="123"/>
      <c r="G63" s="123"/>
    </row>
    <row r="64" spans="2:7" ht="13.5">
      <c r="B64" s="131" t="s">
        <v>373</v>
      </c>
      <c r="C64" s="131"/>
      <c r="D64" s="131"/>
      <c r="E64" s="131"/>
      <c r="F64" s="131"/>
      <c r="G64" s="131"/>
    </row>
    <row r="65" spans="2:7" ht="13.5">
      <c r="B65" s="131" t="s">
        <v>374</v>
      </c>
      <c r="C65" s="131"/>
      <c r="D65" s="131"/>
      <c r="E65" s="131"/>
      <c r="F65" s="131"/>
      <c r="G65" s="131"/>
    </row>
    <row r="66" spans="2:7" ht="13.5">
      <c r="B66" s="131" t="s">
        <v>375</v>
      </c>
      <c r="C66" s="131"/>
      <c r="D66" s="131"/>
      <c r="E66" s="131"/>
      <c r="F66" s="131"/>
      <c r="G66" s="131"/>
    </row>
    <row r="67" spans="2:7" ht="13.5">
      <c r="B67" s="131" t="s">
        <v>376</v>
      </c>
      <c r="C67" s="131"/>
      <c r="D67" s="131"/>
      <c r="E67" s="131"/>
      <c r="F67" s="131"/>
      <c r="G67" s="131"/>
    </row>
  </sheetData>
  <mergeCells count="20">
    <mergeCell ref="B2:G2"/>
    <mergeCell ref="B3:G3"/>
    <mergeCell ref="B5:G5"/>
    <mergeCell ref="B14:G14"/>
    <mergeCell ref="B17:G17"/>
    <mergeCell ref="B31:G31"/>
    <mergeCell ref="C38:D38"/>
    <mergeCell ref="B41:G41"/>
    <mergeCell ref="B50:G50"/>
    <mergeCell ref="B53:G53"/>
    <mergeCell ref="C55:G55"/>
    <mergeCell ref="C56:G56"/>
    <mergeCell ref="C57:G57"/>
    <mergeCell ref="C58:G58"/>
    <mergeCell ref="C59:G59"/>
    <mergeCell ref="B63:G63"/>
    <mergeCell ref="B64:G64"/>
    <mergeCell ref="B65:G65"/>
    <mergeCell ref="B66:G66"/>
    <mergeCell ref="B67:G67"/>
  </mergeCells>
  <phoneticPr fontId="5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  <vt:lpstr>Implied Growth Analysis</vt:lpstr>
      <vt:lpstr>Market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良亮 佐藤</cp:lastModifiedBy>
  <cp:revision>0</cp:revision>
  <dcterms:created xsi:type="dcterms:W3CDTF">2026-04-10T05:20:12Z</dcterms:created>
  <dcterms:modified xsi:type="dcterms:W3CDTF">2026-05-09T01:44:17Z</dcterms:modified>
  <dc:language>en-US</dc:language>
</cp:coreProperties>
</file>