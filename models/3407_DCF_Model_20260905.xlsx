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73B53FA-C33D-46F7-9A69-118C7C9898F3}"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6" i="6" s="1"/>
  <c r="N6" i="6"/>
  <c r="M6" i="6"/>
  <c r="G16" i="6" s="1"/>
  <c r="L6" i="6"/>
  <c r="F15" i="6" s="1"/>
  <c r="K6" i="6"/>
  <c r="J6" i="6"/>
  <c r="O5" i="6"/>
  <c r="N5" i="6"/>
  <c r="D5" i="6"/>
  <c r="L5" i="6" s="1"/>
  <c r="C18" i="5"/>
  <c r="C16" i="5"/>
  <c r="C14" i="5"/>
  <c r="C7" i="5"/>
  <c r="C6" i="5"/>
  <c r="C5" i="5"/>
  <c r="C13" i="4"/>
  <c r="C12" i="4"/>
  <c r="C9" i="4"/>
  <c r="C7" i="4"/>
  <c r="C6" i="4"/>
  <c r="C8" i="4" s="1"/>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D9" i="2"/>
  <c r="F8" i="2"/>
  <c r="F9" i="2" s="1"/>
  <c r="E8" i="2"/>
  <c r="E9" i="2" s="1"/>
  <c r="D8" i="2"/>
  <c r="C8" i="2"/>
  <c r="C9" i="2" s="1"/>
  <c r="B24" i="1" l="1"/>
  <c r="E5" i="6"/>
  <c r="J5" i="6" s="1"/>
  <c r="M5" i="6"/>
  <c r="G15" i="6"/>
  <c r="F30" i="3"/>
  <c r="B29" i="1"/>
  <c r="D32" i="3"/>
  <c r="H15" i="6"/>
  <c r="C32" i="3"/>
  <c r="C26" i="3"/>
  <c r="C10" i="4"/>
  <c r="D17" i="6"/>
  <c r="E30" i="3"/>
  <c r="I17" i="6"/>
  <c r="E15" i="6"/>
  <c r="C3" i="7"/>
  <c r="G36" i="4"/>
  <c r="C11" i="4"/>
  <c r="G46" i="3"/>
  <c r="B31" i="1"/>
  <c r="E36" i="4"/>
  <c r="D36" i="4"/>
  <c r="D46" i="3"/>
  <c r="C46" i="3"/>
  <c r="B25" i="1"/>
  <c r="H36" i="4"/>
  <c r="F36" i="4"/>
  <c r="F46" i="3"/>
  <c r="E46" i="3"/>
  <c r="C71" i="4"/>
  <c r="C70" i="4"/>
  <c r="C24" i="4"/>
  <c r="C25" i="4" s="1"/>
  <c r="F5" i="5"/>
  <c r="H6" i="5"/>
  <c r="C31" i="3"/>
  <c r="F32" i="3"/>
  <c r="H5" i="5"/>
  <c r="D7" i="5"/>
  <c r="K5" i="6"/>
  <c r="I15" i="6"/>
  <c r="E17" i="6"/>
  <c r="I6" i="7"/>
  <c r="D31" i="3"/>
  <c r="G32" i="3"/>
  <c r="E7" i="5"/>
  <c r="D16" i="6"/>
  <c r="F17" i="6"/>
  <c r="C17" i="7"/>
  <c r="E16" i="6"/>
  <c r="G17" i="6"/>
  <c r="C6" i="7"/>
  <c r="D17" i="7"/>
  <c r="E31" i="3"/>
  <c r="F7" i="5"/>
  <c r="C30" i="3"/>
  <c r="C33" i="3" s="1"/>
  <c r="F31" i="3"/>
  <c r="E6" i="5"/>
  <c r="G7" i="5"/>
  <c r="D15" i="6"/>
  <c r="F16" i="6"/>
  <c r="C28" i="6" s="1"/>
  <c r="C19" i="1" s="1"/>
  <c r="D19" i="1" s="1"/>
  <c r="H17" i="6"/>
  <c r="D6" i="7"/>
  <c r="E17" i="7"/>
  <c r="D6" i="5"/>
  <c r="D30" i="3"/>
  <c r="G31" i="3"/>
  <c r="D5" i="5"/>
  <c r="F6" i="5"/>
  <c r="H7" i="5"/>
  <c r="E6" i="7"/>
  <c r="F17" i="7"/>
  <c r="E5" i="5"/>
  <c r="G6" i="5"/>
  <c r="H16" i="6"/>
  <c r="F6" i="7"/>
  <c r="G17" i="7"/>
  <c r="G6" i="7"/>
  <c r="H17" i="7"/>
  <c r="G30" i="3"/>
  <c r="E32" i="3"/>
  <c r="C29" i="4" l="1"/>
  <c r="C27" i="4"/>
  <c r="C26" i="4"/>
  <c r="C27" i="6"/>
  <c r="C18" i="1" s="1"/>
  <c r="D18" i="1" s="1"/>
  <c r="C74" i="4"/>
  <c r="D45" i="4"/>
  <c r="D43" i="4"/>
  <c r="D46" i="4"/>
  <c r="D44" i="4"/>
  <c r="D40" i="4"/>
  <c r="D38" i="4"/>
  <c r="D41" i="4"/>
  <c r="D39" i="4"/>
  <c r="E39" i="4"/>
  <c r="E46" i="4"/>
  <c r="E40" i="4"/>
  <c r="E44" i="4"/>
  <c r="E38" i="4"/>
  <c r="E41" i="4"/>
  <c r="E45" i="4"/>
  <c r="E43" i="4"/>
  <c r="F43" i="4"/>
  <c r="F40" i="4"/>
  <c r="F50" i="4" s="1"/>
  <c r="F55" i="4" s="1"/>
  <c r="F44" i="4"/>
  <c r="F38" i="4"/>
  <c r="F41" i="4"/>
  <c r="F45" i="4"/>
  <c r="F39" i="4"/>
  <c r="F46" i="4"/>
  <c r="H40" i="4"/>
  <c r="H50" i="4" s="1"/>
  <c r="H55" i="4" s="1"/>
  <c r="H38" i="4"/>
  <c r="H41" i="4"/>
  <c r="H39" i="4"/>
  <c r="H45" i="4"/>
  <c r="H43" i="4"/>
  <c r="H46" i="4"/>
  <c r="H44" i="4"/>
  <c r="G46" i="4"/>
  <c r="G44" i="4"/>
  <c r="G38" i="4"/>
  <c r="G45" i="4"/>
  <c r="G41" i="4"/>
  <c r="G39" i="4"/>
  <c r="G43" i="4"/>
  <c r="G40" i="4"/>
  <c r="C42" i="3"/>
  <c r="C34" i="3"/>
  <c r="D10" i="5" s="1"/>
  <c r="D9" i="5"/>
  <c r="D12" i="5" s="1"/>
  <c r="C43" i="3"/>
  <c r="D33" i="3"/>
  <c r="C37" i="3"/>
  <c r="B13" i="7"/>
  <c r="B12" i="7"/>
  <c r="B11" i="7"/>
  <c r="B10" i="7"/>
  <c r="B9" i="7"/>
  <c r="B8" i="7"/>
  <c r="B7" i="7"/>
  <c r="B24" i="7"/>
  <c r="B23" i="7"/>
  <c r="B22" i="7"/>
  <c r="B21" i="7"/>
  <c r="B20" i="7"/>
  <c r="B19" i="7"/>
  <c r="B18" i="7"/>
  <c r="E49" i="4" l="1"/>
  <c r="E54" i="4" s="1"/>
  <c r="G50" i="4"/>
  <c r="G55" i="4" s="1"/>
  <c r="F49" i="4"/>
  <c r="D51" i="4"/>
  <c r="D56" i="4" s="1"/>
  <c r="D49" i="4"/>
  <c r="D54" i="4" s="1"/>
  <c r="G49" i="4"/>
  <c r="G54" i="4" s="1"/>
  <c r="C35" i="3"/>
  <c r="C38" i="3" s="1"/>
  <c r="F54" i="4"/>
  <c r="B78" i="4" s="1"/>
  <c r="C60" i="4"/>
  <c r="D37" i="3"/>
  <c r="E33" i="3"/>
  <c r="D42" i="3"/>
  <c r="D34" i="3"/>
  <c r="E10" i="5" s="1"/>
  <c r="E9" i="5"/>
  <c r="E12" i="5" s="1"/>
  <c r="D43" i="3"/>
  <c r="G51" i="4"/>
  <c r="G56" i="4" s="1"/>
  <c r="H49" i="4"/>
  <c r="H54" i="4" s="1"/>
  <c r="F51" i="4"/>
  <c r="F56" i="4" s="1"/>
  <c r="E48" i="4"/>
  <c r="E53" i="4" s="1"/>
  <c r="D50" i="4"/>
  <c r="D55" i="4" s="1"/>
  <c r="D48" i="4"/>
  <c r="D53" i="4" s="1"/>
  <c r="G48" i="4"/>
  <c r="G53" i="4" s="1"/>
  <c r="H51" i="4"/>
  <c r="H56" i="4" s="1"/>
  <c r="F48" i="4"/>
  <c r="F53" i="4" s="1"/>
  <c r="E51" i="4"/>
  <c r="E56" i="4" s="1"/>
  <c r="D15" i="5"/>
  <c r="D16" i="5" s="1"/>
  <c r="D13" i="5"/>
  <c r="D14" i="5" s="1"/>
  <c r="H48" i="4"/>
  <c r="H53" i="4" s="1"/>
  <c r="E50" i="4"/>
  <c r="E55" i="4" s="1"/>
  <c r="C39" i="3" l="1"/>
  <c r="C36" i="3"/>
  <c r="D18" i="5"/>
  <c r="D19" i="5" s="1"/>
  <c r="C44" i="3" s="1"/>
  <c r="E13" i="5"/>
  <c r="E14" i="5" s="1"/>
  <c r="E15" i="5"/>
  <c r="E16" i="5" s="1"/>
  <c r="F9" i="5"/>
  <c r="F12" i="5" s="1"/>
  <c r="E42" i="3"/>
  <c r="E34" i="3"/>
  <c r="F10" i="5" s="1"/>
  <c r="E37" i="3"/>
  <c r="E43" i="3"/>
  <c r="F33" i="3"/>
  <c r="C40" i="3"/>
  <c r="C41" i="3" s="1"/>
  <c r="C45" i="3" s="1"/>
  <c r="D35" i="3"/>
  <c r="C64" i="4"/>
  <c r="D64" i="4" s="1"/>
  <c r="C63" i="4"/>
  <c r="D63" i="4" s="1"/>
  <c r="C67" i="4"/>
  <c r="D67" i="4" s="1"/>
  <c r="C66" i="4"/>
  <c r="D66" i="4" s="1"/>
  <c r="C65" i="4"/>
  <c r="D65" i="4" s="1"/>
  <c r="E18" i="5" l="1"/>
  <c r="E19" i="5" s="1"/>
  <c r="D44" i="3" s="1"/>
  <c r="C47" i="3"/>
  <c r="D38" i="3"/>
  <c r="D36" i="3"/>
  <c r="D39" i="3"/>
  <c r="F43" i="3"/>
  <c r="F42" i="3"/>
  <c r="F34" i="3"/>
  <c r="G10" i="5" s="1"/>
  <c r="F37" i="3"/>
  <c r="G9" i="5"/>
  <c r="G12" i="5" s="1"/>
  <c r="G33" i="3"/>
  <c r="E35" i="3"/>
  <c r="F15" i="5"/>
  <c r="F16" i="5" s="1"/>
  <c r="F13" i="5"/>
  <c r="F14" i="5" s="1"/>
  <c r="G37" i="3" l="1"/>
  <c r="G42" i="3"/>
  <c r="G34" i="3"/>
  <c r="H10" i="5" s="1"/>
  <c r="C16" i="4"/>
  <c r="C28" i="4" s="1"/>
  <c r="H9" i="5"/>
  <c r="H12" i="5" s="1"/>
  <c r="G43" i="3"/>
  <c r="E36" i="3"/>
  <c r="E39" i="3"/>
  <c r="E38" i="3"/>
  <c r="D40" i="3"/>
  <c r="D41" i="3" s="1"/>
  <c r="D45" i="3" s="1"/>
  <c r="G13" i="5"/>
  <c r="G14" i="5" s="1"/>
  <c r="G15" i="5"/>
  <c r="G16" i="5" s="1"/>
  <c r="F18" i="5"/>
  <c r="F19" i="5" s="1"/>
  <c r="E44" i="3" s="1"/>
  <c r="F35" i="3"/>
  <c r="G18" i="5" l="1"/>
  <c r="G19" i="5" s="1"/>
  <c r="F44" i="3" s="1"/>
  <c r="D47" i="3"/>
  <c r="G35" i="3"/>
  <c r="H15" i="5"/>
  <c r="H16" i="5" s="1"/>
  <c r="H13" i="5"/>
  <c r="H14" i="5" s="1"/>
  <c r="H18" i="5" s="1"/>
  <c r="H19" i="5" s="1"/>
  <c r="G44" i="3" s="1"/>
  <c r="F36" i="3"/>
  <c r="F39" i="3"/>
  <c r="F38" i="3"/>
  <c r="C72" i="4"/>
  <c r="C73" i="4"/>
  <c r="E40" i="3"/>
  <c r="E41" i="3" s="1"/>
  <c r="E45" i="3" s="1"/>
  <c r="E47" i="3" l="1"/>
  <c r="F40" i="3"/>
  <c r="F41" i="3"/>
  <c r="F45" i="3" s="1"/>
  <c r="F47" i="3" s="1"/>
  <c r="G38" i="3"/>
  <c r="G39" i="3"/>
  <c r="G36" i="3"/>
  <c r="C59" i="3" l="1"/>
  <c r="C60" i="3" s="1"/>
  <c r="C61" i="3" s="1"/>
  <c r="G40" i="3"/>
  <c r="G41" i="3" s="1"/>
  <c r="G45" i="3" s="1"/>
  <c r="G47" i="3" l="1"/>
  <c r="C50" i="3" s="1"/>
  <c r="C51" i="3"/>
  <c r="C52" i="3" s="1"/>
  <c r="G20" i="7"/>
  <c r="I13" i="7"/>
  <c r="H10" i="7"/>
  <c r="D10" i="7"/>
  <c r="G12" i="7"/>
  <c r="D18" i="7"/>
  <c r="H9" i="7"/>
  <c r="H20" i="7"/>
  <c r="C22" i="7"/>
  <c r="H19" i="7"/>
  <c r="F10" i="7"/>
  <c r="F18" i="7"/>
  <c r="E12" i="7"/>
  <c r="E11" i="7"/>
  <c r="H12" i="7"/>
  <c r="G11" i="7"/>
  <c r="G9" i="7"/>
  <c r="D19" i="7"/>
  <c r="I23" i="7"/>
  <c r="H13" i="7"/>
  <c r="D8" i="7"/>
  <c r="D12" i="7"/>
  <c r="F9" i="7"/>
  <c r="D22" i="7"/>
  <c r="I11" i="7"/>
  <c r="G8" i="7"/>
  <c r="H8" i="7"/>
  <c r="F12" i="7"/>
  <c r="H24" i="7"/>
  <c r="I8" i="7"/>
  <c r="E8" i="7"/>
  <c r="C21" i="7"/>
  <c r="F21" i="7"/>
  <c r="F11" i="7"/>
  <c r="I9" i="7"/>
  <c r="I24" i="7"/>
  <c r="E9" i="7"/>
  <c r="G7" i="7"/>
  <c r="D23" i="7"/>
  <c r="D9" i="7"/>
  <c r="I22" i="7"/>
  <c r="C7" i="7"/>
  <c r="H23" i="7"/>
  <c r="D24" i="7"/>
  <c r="F24" i="7"/>
  <c r="G19" i="7"/>
  <c r="E22" i="7"/>
  <c r="C24" i="7"/>
  <c r="H18" i="7"/>
  <c r="H22" i="7"/>
  <c r="G23" i="7"/>
  <c r="F8" i="7"/>
  <c r="C13" i="7"/>
  <c r="D7" i="7"/>
  <c r="E19" i="7"/>
  <c r="E23" i="7"/>
  <c r="E7" i="7"/>
  <c r="D13" i="7"/>
  <c r="I18" i="7"/>
  <c r="G13" i="7"/>
  <c r="I19" i="7"/>
  <c r="C10" i="7"/>
  <c r="H7" i="7"/>
  <c r="E24" i="7"/>
  <c r="E18" i="7"/>
  <c r="H11" i="7"/>
  <c r="G24" i="7"/>
  <c r="G22" i="7"/>
  <c r="F23" i="7"/>
  <c r="C9" i="7"/>
  <c r="C12" i="7"/>
  <c r="C23" i="7"/>
  <c r="D21" i="7"/>
  <c r="I20" i="7"/>
  <c r="F13" i="7"/>
  <c r="H21" i="7"/>
  <c r="I7" i="7"/>
  <c r="F20" i="7"/>
  <c r="G21" i="7"/>
  <c r="G10" i="7"/>
  <c r="C11" i="7"/>
  <c r="C8" i="7"/>
  <c r="D11" i="7"/>
  <c r="I10" i="7"/>
  <c r="E20" i="7"/>
  <c r="I12" i="7"/>
  <c r="F22" i="7"/>
  <c r="C19" i="7"/>
  <c r="G18" i="7"/>
  <c r="E13" i="7"/>
  <c r="C18" i="7"/>
  <c r="E10" i="7"/>
  <c r="F19" i="7"/>
  <c r="C20" i="7"/>
  <c r="I21" i="7"/>
  <c r="E21" i="7"/>
  <c r="F7" i="7"/>
  <c r="D20" i="7"/>
  <c r="C58" i="3" l="1"/>
  <c r="C62" i="3" s="1"/>
  <c r="C53" i="3"/>
  <c r="C17" i="4" l="1"/>
  <c r="C54" i="3"/>
  <c r="C55" i="3" s="1"/>
  <c r="C16" i="1"/>
  <c r="C63" i="3"/>
  <c r="C64" i="3" s="1"/>
  <c r="C17" i="1" s="1"/>
  <c r="D17" i="1" s="1"/>
  <c r="C21" i="1" l="1"/>
  <c r="D16" i="1"/>
  <c r="C10" i="1"/>
  <c r="C19" i="4"/>
  <c r="C20" i="4" s="1"/>
  <c r="B79" i="4"/>
  <c r="B26" i="1" l="1"/>
  <c r="C12" i="1"/>
  <c r="C11" i="1" s="1"/>
  <c r="B30" i="1"/>
</calcChain>
</file>

<file path=xl/sharedStrings.xml><?xml version="1.0" encoding="utf-8"?>
<sst xmlns="http://schemas.openxmlformats.org/spreadsheetml/2006/main" count="531" uniqueCount="404">
  <si>
    <t>DISCLAIMER: This is a sample analysis for demonstration purposes only. It does not constitute investment advice.</t>
  </si>
  <si>
    <t>旭化成 (3407.T)</t>
  </si>
  <si>
    <t>Equity Research Report</t>
  </si>
  <si>
    <t>Company</t>
  </si>
  <si>
    <t>旭化成</t>
  </si>
  <si>
    <t>Ticker</t>
  </si>
  <si>
    <t>3407.T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</si>
  <si>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</si>
  <si>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</si>
  <si>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</si>
  <si>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</si>
  <si>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</si>
  <si>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</si>
  <si>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</si>
  <si>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</si>
  <si>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</si>
  <si>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</si>
  <si>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</si>
  <si>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</si>
  <si>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</si>
  <si>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</si>
  <si>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</si>
  <si>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</si>
  <si>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</si>
  <si>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</si>
  <si>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旭化成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</si>
  <si>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</si>
  <si>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</si>
  <si>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</si>
  <si>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</si>
  <si>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</si>
  <si>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</si>
  <si>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</si>
  <si>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</si>
  <si>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</si>
  <si>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</si>
  <si>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</si>
  <si>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</si>
  <si>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</si>
  <si>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</si>
  <si>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</si>
  <si>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</si>
  <si>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</si>
  <si>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</si>
  <si>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</si>
  <si>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</si>
  <si>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</si>
  <si>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</si>
  <si>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</si>
  <si>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</si>
  <si>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</si>
  <si>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</si>
  <si>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</si>
  <si>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</si>
  <si>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旭化成</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</si>
  <si>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</si>
  <si>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</si>
  <si>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</si>
  <si>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</si>
  <si>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</si>
  <si>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</si>
  <si>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</si>
  <si>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</si>
  <si>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</si>
  <si>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</si>
  <si>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</si>
  <si>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</si>
  <si>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</si>
  <si>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</si>
  <si>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</si>
  <si>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</si>
  <si>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</si>
  <si>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</si>
  <si>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</si>
  <si>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</si>
  <si>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</si>
  <si>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</si>
  <si>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</si>
  <si>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</si>
  <si>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</si>
  <si>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</si>
  <si>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</si>
  <si>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</si>
  <si>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</si>
  <si>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</si>
  <si>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</si>
  <si>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</si>
  <si>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</si>
  <si>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</si>
  <si>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</si>
  <si>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</si>
  <si>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</si>
  <si>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</si>
  <si>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</si>
  <si>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</si>
  <si>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</si>
  <si>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</si>
  <si>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</si>
  <si>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</si>
  <si>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</si>
  <si>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</si>
  <si>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</si>
  <si>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</si>
  <si>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</si>
  <si>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</si>
  <si>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</si>
  <si>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</si>
  <si>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</si>
  <si>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</si>
  <si>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</si>
  <si>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</si>
  <si>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</si>
  <si>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</si>
  <si>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</si>
  <si>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</si>
  <si>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</si>
  <si>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</si>
  <si>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</si>
  <si>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旭化成 (3407.T)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</si>
  <si>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</si>
  <si>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</si>
  <si>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</si>
  <si>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</si>
  <si>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</si>
  <si>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</si>
  <si>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</si>
  <si>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</si>
  <si>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</si>
  <si>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</si>
  <si>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</si>
  <si>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</si>
  <si>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</si>
  <si>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</si>
  <si>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</si>
  <si>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</si>
  <si>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</si>
  <si>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</si>
  <si>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</si>
  <si>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</si>
  <si>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</si>
  <si>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</si>
  <si>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</si>
  <si>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</si>
  <si>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</si>
  <si>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</si>
  <si>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</si>
  <si>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</si>
  <si>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</si>
  <si>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</si>
  <si>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</si>
  <si>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</si>
  <si>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</si>
  <si>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</si>
  <si>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</si>
  <si>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</si>
  <si>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</si>
  <si>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</si>
  <si>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</si>
  <si>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</si>
  <si>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</si>
  <si>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</si>
  <si>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</si>
  <si>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</si>
  <si>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</si>
  <si>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</si>
  <si>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</si>
  <si>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</si>
  <si>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</si>
  <si>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</si>
  <si>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</si>
  <si>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旭化成</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</si>
  <si>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</si>
  <si>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</si>
  <si>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</si>
  <si>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</si>
  <si>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</si>
  <si>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</si>
  <si>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</si>
  <si>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</si>
  <si>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</si>
  <si>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</si>
  <si>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</si>
  <si>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</si>
  <si>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</si>
  <si>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</si>
  <si>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</si>
  <si>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</si>
  <si>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</si>
  <si>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</si>
  <si>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</si>
  <si>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</si>
  <si>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</si>
  <si>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</si>
  <si>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</si>
  <si>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</si>
  <si>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</si>
  <si>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</si>
  <si>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</si>
  <si>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</si>
  <si>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</si>
  <si>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</si>
  <si>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</si>
  <si>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</si>
  <si>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</si>
  <si>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</si>
  <si>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Asahi Kasei Corporation</t>
  </si>
  <si>
    <t>3407.T</t>
  </si>
  <si>
    <t>Sumitomo Chemical Company, Limited</t>
  </si>
  <si>
    <t>4005.T</t>
  </si>
  <si>
    <t>Mitsui Chemicals, Inc.</t>
  </si>
  <si>
    <t>4183.T</t>
  </si>
  <si>
    <t>Mitsubishi Chemical Group Corporation</t>
  </si>
  <si>
    <t>4188.T</t>
  </si>
  <si>
    <t>Nippon Sanso Holdings Corporation</t>
  </si>
  <si>
    <t>4091.T</t>
  </si>
  <si>
    <t>FUJIFILM Holdings Corporation</t>
  </si>
  <si>
    <t>4901.T</t>
  </si>
  <si>
    <t>Statistics</t>
  </si>
  <si>
    <t>25th Percentile</t>
  </si>
  <si>
    <t>Median (50th)</t>
  </si>
  <si>
    <t>75th Percentile</t>
  </si>
  <si>
    <t>Implied Valuation for 旭化成</t>
  </si>
  <si>
    <t>旭化成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</si>
  <si>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</si>
  <si>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</si>
  <si>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</si>
  <si>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</si>
  <si>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</si>
  <si>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</si>
  <si>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</si>
  <si>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</si>
  <si>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</si>
  <si>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</si>
  <si>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</si>
  <si>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</si>
  <si>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</si>
  <si>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</si>
  <si>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</si>
  <si>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旭化成</t>
  </si>
  <si>
    <t>日付</t>
  </si>
  <si>
    <t>セル</t>
  </si>
  <si>
    <t>変更内容</t>
  </si>
  <si>
    <t>理由</t>
  </si>
  <si>
    <t>元の値</t>
  </si>
  <si>
    <t>状態</t>
  </si>
  <si>
    <t>2026-09-06</t>
  </si>
  <si>
    <t>-</t>
  </si>
  <si>
    <t>Generated by pipeline on 2026-09-06 10:27,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</si>
  <si>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</si>
  <si>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</si>
  <si>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</si>
  <si>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</si>
  <si>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</si>
  <si>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</si>
  <si>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</si>
  <si>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</si>
  <si>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</si>
  <si>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</si>
  <si>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</si>
  <si>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</si>
  <si>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</si>
  <si>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</si>
  <si>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</si>
  <si>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2,160,000百万円。■テンプレートの自動規則(&gt;=1兆円 -&gt; 0.0%、&gt;=1,000億円 -&gt; 1.5%)とは異なる値であり、明示指定で上書きしている。</t>
  </si>
  <si>
    <t>テンプレ自動値</t>
  </si>
  <si>
    <t>DCF Model!C8</t>
  </si>
  <si>
    <t>Beta = 0.65</t>
  </si>
  <si>
    <t>yfinance実測 0.645 はテンプレのクランプ域 [0.6, 1.75] の**内側**のため素通し（クランプ・フォールバック1.0への置換は発動していない）。本バッチで実測betaをそのまま使えた数少ない銘柄。</t>
  </si>
  <si>
    <t>yfinance実測 0.645</t>
  </si>
  <si>
    <t>DCF Model!C6</t>
  </si>
  <si>
    <t>Effective Tax Rate = 25%</t>
  </si>
  <si>
    <t>バッチ共通の既定値(v2 §1-3)。当社の実績税負担率を個別に検証したものではない。</t>
  </si>
  <si>
    <t>テンプレ既定 30%</t>
  </si>
  <si>
    <t>推定</t>
  </si>
  <si>
    <t>DCF Model!C11</t>
  </si>
  <si>
    <t>After-tax Cost of Debt = 0.85%(実績ベース)</t>
  </si>
  <si>
    <t>支払利息 12,449百万円 ÷ 平均有利子負債 ((1,195,045 + 1,011,221)/2 = 1,103,133) = 1.13%(税引前)、× (1 − 25%) = 0.85%(validate チェック17 PASS)。■1.13% は本バッチの化学セクターで最も低い水準。■マージナルコスト注記: 既存借入の平均コストであり新規調達の限界コストではない。■出所は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</si>
  <si>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</si>
  <si>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</si>
  <si>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</si>
  <si>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</si>
  <si>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</si>
  <si>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</si>
  <si>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</si>
  <si>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9.2x</t>
  </si>
  <si>
    <t>Peer 5社の実測EV/EBITDA中央値 9.22x（4005 6.09 / 4183 8.70 / 4188 10.03 / 4091 9.63 / 4901 9.22）。型Bのため §4-4 により Peer中央値が上限だが、本ルールは中央値そのものを採るため上限は binding しない。 自社の現在倍率 6.54x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</si>
  <si>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</si>
  <si>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</si>
  <si>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型B(シクリカル・石化＋住宅＋ヘルスケアの複合)として処理</t>
  </si>
  <si>
    <t>追補1 §B に従い、型判定の前に batch/prescreen.py で EDINET有報XBRL の金融事業専用科目(ForFinancialBusiness / Banking / Deposits / CallLoan / InstallmentReceivable 系)を機械チェックした。検出結果: **CLEAN**（docID S100YGRD。金融事業専用科目は1件も検出されず）。実績OPM 4.68 → 5.05 → 6.98 → **7.52%** と4期**単調上昇**で、直近が観測窓の最高（＝ピーク側）。FY2023/3 は純利益 −91,947（赤字）を計上しており、営業段階では黒字でも減損リスクを抱える構造。</t>
  </si>
  <si>
    <t>Financial Statements / hist_* 系列</t>
  </si>
  <si>
    <t>hist_years を FY2023-FY2026 の4期に置換し P/L 5系列を yfinance連結財務諸表から供給（予防的）</t>
  </si>
  <si>
    <t>【予防的な EDINET 補完・§3-2 / 追補1 §D】本バッチでは EDINET が古い年度の営業利益を 0 で抽出し、Financial Statements の『営業利益YoY成長率』が 0 除算になって validate FAIL 1(#DIV/0!)を起こす事象が多発した(生成19銘柄中8銘柄)。根本原因は scripts/generate_dcf.py:66 の _val(data_dict, key, default=0) が【欠損値を None ではなく 0 に落とす】こと(バッチ中はパイプラインを変更しない方針のため未修正)。当社では発生を待たず予防的に対処し、hist_years を直近4期に置換して hist_revenue / hist_operating_income / hist_net_income / hist_cogs / hist_sga を yfinance連結財務諸表から供給した(配列長は全て4で hist_years と一致、契約遵守)。**結果として #DIV/0! は発生していない**。■hist_sga = 売上 - COGS - 営業利益 で逆算。</t>
  </si>
  <si>
    <t>EDINET自動抽出値</t>
  </si>
  <si>
    <t>Comps Analysis / core_ebitda</t>
  </si>
  <si>
    <t>core_ebitda = 427,544百万円 を明示指定（営業利益 231,200 + D&amp;A 196,344）</t>
  </si>
  <si>
    <t>【core_ebitda の明示指定 — validate では検出されない不整合の是正】Comps Analysis の『自社 Financials』ブロックの EBITDA(および Via EV/EBITDA (Median) 参考株価)は comps CSV の自社行ではなく config の core_ebitda を使う。core_ebitda は EDINET 由来の hist_operating_income[-1] + hist_depreciation[-1] で自動計算されるが、EDINET の減価償却費の抽出は銘柄により信頼できない。当社では EDINET 由来 D&amp;A = 162,598 に対し CF計算書実績(yfinance) = 196,344 と乖離し、Comps の自社EBITDAが 393,798 と表示されて Peer 行(yfinance定義)と定義が食い違っていた。 Peer と同一定義(EBITDA = 営業利益 + CF計算書の減価償却費)に揃えるため core_ebitda = 427,544 を明示指定して再生成した。■この不整合は validate では検出されない(FAIL 0 / WARN 0 のまま)。batch/check_core_ebitda.py を新設し全銘柄を機械照合する運用にした。■Comps は Target 不算入([参考])のため Target Price は変わっていない。参考値は 2,292円 → **2,524円** に是正。</t>
  </si>
  <si>
    <t>EDINET由来の自動計算値 393,798</t>
  </si>
  <si>
    <t>DCF Model!C5 / C18</t>
  </si>
  <si>
    <t>capex_method / da_method とも revenue_pct(capex 6.72% / D&amp;A 6.40%)</t>
  </si>
  <si>
    <t>実績は capex 6.2-7.2% / D&amp;A 6.1-6.5% で既に近接(直近 211,050 / 196,344 = 1.075倍)。ターミナル比率 1.050x でレンジ[0.90,1.15]内(validate チェック9 PASS)。direct 方式で明示パスを置く必要がない。</t>
  </si>
  <si>
    <t>DCF Model シナリオ5本</t>
  </si>
  <si>
    <t>**追補8 §AE の rework wave により Base を再設計**</t>
  </si>
  <si>
    <t>【追補8 §AE の rework wave（第8セッション）】追補7 §Y の単調性判定と、追補8 §AE-2 が確定した方向別の定義に従って **Base を再設計**した。■実績OPM: 0.05% → 0.05% → 0.07% → 0.08%。**判定: 単調増加**。■**適用ルール: 単調増加 → 直近水準の維持** により Base 到達OPM = **7.52%**（旧: 6.10%、差 +1.42pt）。■**平均回帰（§4-4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</si>
  <si>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</si>
  <si>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</si>
  <si>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</si>
  <si>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</si>
  <si>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</si>
  <si>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</si>
  <si>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</si>
  <si>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61 / DIH 128 / DPO 35 日</t>
  </si>
  <si>
    <t>実績4期平均。DPO 35日が短くDSO+DIH 189日に対し大きく不足しており、運転資本の資金拘束が構造的に大きい。</t>
  </si>
  <si>
    <t>Comps Analysis</t>
  </si>
  <si>
    <t>Peer 5社 = 4005 住友化学 / 4183 三井化学 / 4188 三菱ケミカルG / 4091 日本酸素HD / 4901 富士フイルムHD</t>
  </si>
  <si>
    <t>■選定理由: TSE33業種『化学』の大型株。■時価総額バンド: v2 §5 の 0.3〜3倍は 0.648〜6.48兆円で、**採用5社すべてがバンド内**（バンド緩和は不要）。■除外: 3405 クラレ（0.55兆円でバンド外）、4063 信越化学（10.5兆円でバンド外）。海外Peer は v2 §5 により不使用。■年度混在の開示: 4183 三井化学の D&amp;A は FY2025/3 の値。■D&amp;A取得状況: 全6社で減価償却費を取得でき統一。**D&amp;A欠損による除外はゼロ**（validate チェック12 PASS）。</t>
  </si>
  <si>
    <t>Executive Summary!C10 / Target</t>
  </si>
  <si>
    <t>Target Price = 1,673円 = PGM 1,168円 と Exit 2,178円 の2本平均。Comps 2本(EV/EBITDA 2,524円 / PER 2,265円)は [参考・Target不算入]</t>
  </si>
  <si>
    <t>メモ§2 の規約どおり。validate チェック14 PASS(C10 が C16:C17 のみを平均)。EV&lt;net_debt による INVALID 化は発生していない（チェック10・15 とも PASS）。■**Upside +3.8% に対し判定が SELL** なのはテンプレートの判定閾値によるもので、実質的には HOLD 相当。PGM 1,168円 と Exit 2,178円 の開きが大きく（下記 WARN 11）、Target 1,673円 はその中間である。 ■**追補8 §AE の rework 後の値に更新**: Target 2,036円 / BUY / 26.3%（rework 前 1,673円）。</t>
  </si>
  <si>
    <t>全体(納品状態)</t>
  </si>
  <si>
    <t>本ファイルは DRAFT。_FINAL は付けない</t>
  </si>
  <si>
    <t>バッチモードでの機械生成物であり人間の検証を経ていない。FINAL化は手順書v2 §6 に従い検証後に行う。</t>
  </si>
  <si>
    <t>DRAFT</t>
  </si>
  <si>
    <t>全体(未解決)</t>
  </si>
  <si>
    <t>**4期単調上昇を「トレンド」と見るか「サイクルの上昇局面」と見るか**</t>
  </si>
  <si>
    <t>本モデルは型Bとして後者を採り、Base をピークとトラフの中間 6.10% まで引き戻している。ヘルスケア比率の上昇による構造的なマージン改善であれば Base は保守的すぎ、Target は大きく上振れる。セグメント別の利益構成の確認が必要。</t>
  </si>
  <si>
    <t>未解決</t>
  </si>
  <si>
    <t>PGM 1,168円 と Exit 2,178円 の 1.9倍の開き（WARN 11）</t>
  </si>
  <si>
    <t>自社の実測 EV/EBITDA 6.54x が Peer中央値 9.22x を大きく下回ることが原因。Peer中央値が正しければ当社は割安、PGM が正しければ Exit は楽観。Target はその中間で、どちらの世界観を採るかで結論が変わる。</t>
  </si>
  <si>
    <t>FY2023/3 の純損失 −91,947 の内訳が未確認</t>
  </si>
  <si>
    <t>営業利益は黒字（127,716）だったため、減損等が営業段階を越えて効いている。常習的であれば Downside 側の設計を見直すべきである。</t>
  </si>
  <si>
    <t>net_debt のソース間差異（73,677百万円 = 1株55円）</t>
  </si>
  <si>
    <t>EDINET と yfinance で有利子負債・現金の範囲が食い違っている。EDINET を採用したが突合していない。</t>
  </si>
  <si>
    <t>Pipeline Metadata (do not edit — read by scripts/validate_output.py)</t>
  </si>
  <si>
    <t>key</t>
  </si>
  <si>
    <t>value</t>
  </si>
  <si>
    <t>auto_log_entries</t>
  </si>
  <si>
    <t>1</t>
  </si>
  <si>
    <t>capex_pct_basis</t>
  </si>
  <si>
    <t>assumption</t>
  </si>
  <si>
    <t>capex_pct_c5</t>
  </si>
  <si>
    <t>0.0672</t>
  </si>
  <si>
    <t>capex_pct_hist3yr</t>
  </si>
  <si>
    <t>0.060811</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</si>
  <si>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</si>
  <si>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</si>
  <si>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</si>
  <si>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</si>
  <si>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</si>
  <si>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</si>
  <si>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</si>
  <si>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</si>
  <si>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</si>
  <si>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</si>
  <si>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</si>
  <si>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</si>
  <si>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</si>
  <si>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</si>
  <si>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</si>
  <si>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</si>
  <si>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</si>
  <si>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</si>
  <si>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</si>
  <si>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12,449 (expense 12,449 + fees 0) / avg debt 1,103,133 (debt_beginning/debt_ending) = 0.011285 pre-tax -&gt; 0.008500 after-tax</t>
  </si>
  <si>
    <t>cost_of_debt_at_c11</t>
  </si>
  <si>
    <t>0.0085</t>
  </si>
  <si>
    <t>cost_of_debt_avg_debt</t>
  </si>
  <si>
    <t>1103133.0</t>
  </si>
  <si>
    <t>cost_of_debt_basis</t>
  </si>
  <si>
    <t>actual</t>
  </si>
  <si>
    <t>cost_of_debt_interest</t>
  </si>
  <si>
    <t>12449.0</t>
  </si>
  <si>
    <t>cost_of_debt_pretax</t>
  </si>
  <si>
    <t>0.011285130623415308</t>
  </si>
  <si>
    <t>da_pct_basis</t>
  </si>
  <si>
    <t>da_pct_c18</t>
  </si>
  <si>
    <t>0.064</t>
  </si>
  <si>
    <t>da_pct_hist3yr</t>
  </si>
  <si>
    <t>0.052737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</si>
  <si>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</si>
  <si>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</si>
  <si>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</si>
  <si>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</si>
  <si>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</si>
  <si>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</si>
  <si>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</si>
  <si>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</si>
  <si>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</si>
  <si>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10:27:33</t>
  </si>
  <si>
    <t>ltm_revenue_c20</t>
  </si>
  <si>
    <t>3074505.0</t>
  </si>
  <si>
    <t>ltm_revenue_source</t>
  </si>
  <si>
    <t>latest FY (no LTM)</t>
  </si>
  <si>
    <t>narrative_tokens_used</t>
  </si>
  <si>
    <t>pb,per,price,target_price,upside_pct,wacc</t>
  </si>
  <si>
    <t>reverse_dcf_sheet</t>
  </si>
  <si>
    <t>op0=231,200(FY2026) peak=231,200(FY2026) peak_opm=0.0752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</si>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</sst>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1612</v>
      </c>
    </row>
    <row r="10" spans="2:5" ht="14" customHeight="1" x14ac:dyDescent="0.3">
      <c r="B10" s="4" t="s">
        <v>10</v>
      </c>
      <c r="C10" s="5">
        <f>IF(COUNT(C16:C17)=0,"N/A",ROUND(AVERAGE(C16:C17),0))</f>
        <v>2036</v>
      </c>
    </row>
    <row r="11" spans="2:5" ht="14" customHeight="1" x14ac:dyDescent="0.3">
      <c r="B11" s="4" t="s">
        <v>11</v>
      </c>
      <c r="C11" s="6" t="str">
        <f>IF(NOT(ISNUMBER(C12)),"N/A",IF(C12&gt;0.15,"BUY",IF(C12&gt;0.05,"HOLD","SELL")))</f>
        <v>BUY</v>
      </c>
    </row>
    <row r="12" spans="2:5" ht="14" customHeight="1" x14ac:dyDescent="0.3">
      <c r="B12" s="4" t="s">
        <v>12</v>
      </c>
      <c r="C12" s="7">
        <f>IF(ISNUMBER(C10),(C10-C9)/C9,"N/A")</f>
        <v>0.26302729528535979</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1585</v>
      </c>
      <c r="D16" s="7">
        <f>IF(ISNUMBER(C16),(C16-C9)/C9,"N/A")</f>
        <v>-1.6749379652605458E-2</v>
      </c>
    </row>
    <row r="17" spans="2:5" ht="13.5" customHeight="1" x14ac:dyDescent="0.25">
      <c r="B17" t="s">
        <v>18</v>
      </c>
      <c r="C17" s="11">
        <f>IF('DCF Model'!C62&lt;'DCF Model'!C16,"INVALID (EV &lt; net debt)",'DCF Model'!C64)</f>
        <v>2486</v>
      </c>
      <c r="D17" s="7">
        <f>IF(ISNUMBER(C17),(C17-C9)/C9,"N/A")</f>
        <v>0.54218362282878407</v>
      </c>
    </row>
    <row r="18" spans="2:5" ht="13.5" customHeight="1" x14ac:dyDescent="0.25">
      <c r="B18" t="s">
        <v>19</v>
      </c>
      <c r="C18" s="11">
        <f>'Comps Analysis'!C27</f>
        <v>2524</v>
      </c>
      <c r="D18" s="7">
        <f>IF(ISNUMBER(C18),(C18-C9)/C9,"N/A")</f>
        <v>0.56575682382133996</v>
      </c>
    </row>
    <row r="19" spans="2:5" ht="13.5" customHeight="1" x14ac:dyDescent="0.25">
      <c r="B19" t="s">
        <v>20</v>
      </c>
      <c r="C19" s="11">
        <f>'Comps Analysis'!C28</f>
        <v>2265</v>
      </c>
      <c r="D19" s="7">
        <f>IF(ISNUMBER(C19),(C19-C9)/C9,"N/A")</f>
        <v>0.40508684863523575</v>
      </c>
    </row>
    <row r="20" spans="2:5" ht="14" customHeight="1" x14ac:dyDescent="0.3">
      <c r="B20" s="46" t="s">
        <v>21</v>
      </c>
      <c r="C20" s="45"/>
      <c r="D20" s="45"/>
      <c r="E20" s="45"/>
    </row>
    <row r="21" spans="2:5" ht="14" customHeight="1" x14ac:dyDescent="0.3">
      <c r="B21" s="4" t="s">
        <v>22</v>
      </c>
      <c r="C21" s="6" t="str">
        <f>IF(COUNT(C16:C17)=0,"N/A",MIN(C16:C17)&amp;" - "&amp;MAX(C16:C17))</f>
        <v>1585 - 2486</v>
      </c>
    </row>
    <row r="23" spans="2:5" ht="14" customHeight="1" x14ac:dyDescent="0.3">
      <c r="B23" s="8" t="s">
        <v>23</v>
      </c>
      <c r="C23" s="9"/>
      <c r="D23" s="9"/>
    </row>
    <row r="24" spans="2:5" x14ac:dyDescent="0.2">
      <c r="B24" t="str">
        <f>"Asahi Kasei spans petrochemicals, homes and healthcare, and the operating margin has risen in each of the last four years as the healthcare mix has grown; the shares trade at "&amp;TEXT('Comps Analysis'!L5,"0.0""x""")&amp;" earnings and "&amp;TEXT('Comps Analysis'!M5,"0.00""x""")&amp;" book."</f>
        <v>Asahi Kasei spans petrochemicals, homes and healthcare, and the operating margin has risen in each of the last four years as the healthcare mix has grown; the shares trade at 13.6x earnings and 1.03x book.</v>
      </c>
    </row>
    <row r="25" spans="2:5" x14ac:dyDescent="0.2">
      <c r="B25" t="str">
        <f>"The stock is valued below the Japanese chemical peer median on EV/EBITDA despite that margin trajectory, which is where the exit leg of this model finds value against a "&amp;TEXT('DCF Model'!C26,"0.00%")&amp;" cost of capital."</f>
        <v>The stock is valued below the Japanese chemical peer median on EV/EBITDA despite that margin trajectory, which is where the exit leg of this model finds value against a 6.68% cost of capital.</v>
      </c>
    </row>
    <row r="26" spans="2:5" x14ac:dyDescent="0.2">
      <c r="B26" t="str">
        <f>"At "&amp;TEXT(C9,"#,##0")&amp;" the market pays for the current mix; a base case that normalises back to the midpoint of the observed cycle still supports "&amp;TEXT(C10,"#,##0")&amp;", or "&amp;TEXT(C12,"+0.0%;-0.0%")&amp;" from here."</f>
        <v>At 1,612 the market pays for the current mix; a base case that normalises back to the midpoint of the observed cycle still supports 2,036, or +26.3% from here.</v>
      </c>
    </row>
    <row r="28" spans="2:5" ht="14" customHeight="1" x14ac:dyDescent="0.3">
      <c r="B28" s="8" t="s">
        <v>24</v>
      </c>
      <c r="C28" s="9"/>
      <c r="D28" s="9"/>
    </row>
    <row r="29" spans="2:5" x14ac:dyDescent="0.2">
      <c r="B29" t="str">
        <f>"The company reported a net loss three years ago on impairments even while operating income was positive, so the "&amp;TEXT('Comps Analysis'!L5,"0.0""x""")&amp;" the market pays at "&amp;TEXT(C9,"#,##0")&amp;" rests on an earnings base that has not been reliable."</f>
        <v>The company reported a net loss three years ago on impairments even while operating income was positive, so the 13.6x the market pays at 1,612 rests on an earnings base that has not been reliable.</v>
      </c>
    </row>
    <row r="30" spans="2:5" x14ac:dyDescent="0.2">
      <c r="B30" t="str">
        <f>"Petrochemical spreads and the domestic housing cycle both feed the segment mix, and a downturn in either would take margins back toward the trough case rather than the level behind "&amp;TEXT(C10,"#,##0")&amp;"."</f>
        <v>Petrochemical spreads and the domestic housing cycle both feed the segment mix, and a downturn in either would take margins back toward the trough case rather than the level behind 2,036.</v>
      </c>
    </row>
    <row r="31" spans="2:5" x14ac:dyDescent="0.2">
      <c r="B31" t="str">
        <f>"The margin has risen for four straight years; treating that as a trend rather than the upswing of a cycle would overstate the terminal value the "&amp;TEXT('DCF Model'!C26,"0.00%")&amp;" discounting produces."</f>
        <v>The margin has risen for four straight years; treating that as a trend rather than the upswing of a cycle would overstate the terminal value the 6.68% discounting produces.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2726485</v>
      </c>
      <c r="D6" s="5">
        <v>2784878</v>
      </c>
      <c r="E6" s="5">
        <v>3037312</v>
      </c>
      <c r="F6" s="5">
        <v>3074505</v>
      </c>
    </row>
    <row r="7" spans="2:6" ht="14" customHeight="1" x14ac:dyDescent="0.3">
      <c r="B7" s="4" t="s">
        <v>32</v>
      </c>
      <c r="C7" s="5">
        <v>1952709</v>
      </c>
      <c r="D7" s="5">
        <v>1968909</v>
      </c>
      <c r="E7" s="5">
        <v>2079051</v>
      </c>
      <c r="F7" s="5">
        <v>2065913</v>
      </c>
    </row>
    <row r="8" spans="2:6" ht="14" customHeight="1" x14ac:dyDescent="0.3">
      <c r="B8" s="4" t="s">
        <v>33</v>
      </c>
      <c r="C8" s="5">
        <f>C6-C7</f>
        <v>773776</v>
      </c>
      <c r="D8" s="5">
        <f>D6-D7</f>
        <v>815969</v>
      </c>
      <c r="E8" s="5">
        <f>E6-E7</f>
        <v>958261</v>
      </c>
      <c r="F8" s="5">
        <f>F6-F7</f>
        <v>1008592</v>
      </c>
    </row>
    <row r="9" spans="2:6" ht="13.5" customHeight="1" x14ac:dyDescent="0.25">
      <c r="B9" t="s">
        <v>34</v>
      </c>
      <c r="C9" s="7">
        <f>C8/C6</f>
        <v>0.28379983751973697</v>
      </c>
      <c r="D9" s="7">
        <f>D8/D6</f>
        <v>0.29299990879313204</v>
      </c>
      <c r="E9" s="7">
        <f>E8/E6</f>
        <v>0.3154963994479329</v>
      </c>
      <c r="F9" s="7">
        <f>F8/F6</f>
        <v>0.32805020645599858</v>
      </c>
    </row>
    <row r="10" spans="2:6" ht="14" customHeight="1" x14ac:dyDescent="0.3">
      <c r="B10" s="4" t="s">
        <v>35</v>
      </c>
      <c r="C10" s="5">
        <v>646060</v>
      </c>
      <c r="D10" s="5">
        <v>675223</v>
      </c>
      <c r="E10" s="5">
        <v>746341</v>
      </c>
      <c r="F10" s="5">
        <v>777392</v>
      </c>
    </row>
    <row r="11" spans="2:6" ht="14" customHeight="1" x14ac:dyDescent="0.3">
      <c r="B11" s="4" t="s">
        <v>36</v>
      </c>
      <c r="C11" s="5">
        <v>127716</v>
      </c>
      <c r="D11" s="5">
        <v>140746</v>
      </c>
      <c r="E11" s="5">
        <v>211920</v>
      </c>
      <c r="F11" s="5">
        <v>231200</v>
      </c>
    </row>
    <row r="12" spans="2:6" ht="14" customHeight="1" x14ac:dyDescent="0.3">
      <c r="B12" s="4" t="s">
        <v>37</v>
      </c>
      <c r="C12" s="5">
        <v>-91947</v>
      </c>
      <c r="D12" s="5">
        <v>43806</v>
      </c>
      <c r="E12" s="5">
        <v>134997</v>
      </c>
      <c r="F12" s="5">
        <v>158794</v>
      </c>
    </row>
    <row r="13" spans="2:6" ht="13.5" customHeight="1" x14ac:dyDescent="0.25">
      <c r="B13" t="s">
        <v>38</v>
      </c>
      <c r="C13" s="7">
        <f>C11/C6</f>
        <v>4.6842729741773746E-2</v>
      </c>
      <c r="D13" s="7">
        <f>D11/D6</f>
        <v>5.0539377308449415E-2</v>
      </c>
      <c r="E13" s="7">
        <f>E11/E6</f>
        <v>6.9772219646845629E-2</v>
      </c>
      <c r="F13" s="7">
        <f>F11/F6</f>
        <v>7.5199097090425937E-2</v>
      </c>
    </row>
    <row r="14" spans="2:6" ht="13.5" customHeight="1" x14ac:dyDescent="0.25">
      <c r="B14" t="s">
        <v>39</v>
      </c>
      <c r="C14" s="7">
        <f>C12/C6</f>
        <v>-3.372364051150107E-2</v>
      </c>
      <c r="D14" s="7">
        <f>D12/D6</f>
        <v>1.5729952981782327E-2</v>
      </c>
      <c r="E14" s="7">
        <f>E12/E6</f>
        <v>4.4446207699439508E-2</v>
      </c>
      <c r="F14" s="7">
        <f>F12/F6</f>
        <v>5.1648639374468411E-2</v>
      </c>
    </row>
    <row r="15" spans="2:6" ht="13.5" customHeight="1" x14ac:dyDescent="0.25">
      <c r="B15" t="s">
        <v>40</v>
      </c>
      <c r="C15" t="s">
        <v>41</v>
      </c>
      <c r="D15" s="7">
        <f>(D6-C6)/C6</f>
        <v>2.1416952596474949E-2</v>
      </c>
      <c r="E15" s="7">
        <f>(E6-D6)/D6</f>
        <v>9.0644545290673409E-2</v>
      </c>
      <c r="F15" s="7">
        <f>(F6-E6)/E6</f>
        <v>1.2245366956045346E-2</v>
      </c>
    </row>
    <row r="16" spans="2:6" ht="13.5" customHeight="1" x14ac:dyDescent="0.25">
      <c r="B16" t="s">
        <v>42</v>
      </c>
      <c r="C16" t="s">
        <v>41</v>
      </c>
      <c r="D16" s="7">
        <f>(D11-C11)/C11</f>
        <v>0.10202323906166808</v>
      </c>
      <c r="E16" s="7">
        <f>(E11-D11)/D11</f>
        <v>0.50569110312193599</v>
      </c>
      <c r="F16" s="7">
        <f>(F11-E11)/E11</f>
        <v>9.0977727444318604E-2</v>
      </c>
    </row>
    <row r="18" spans="2:6" ht="14" customHeight="1" x14ac:dyDescent="0.3">
      <c r="B18" s="3" t="s">
        <v>43</v>
      </c>
    </row>
    <row r="19" spans="2:6" ht="14" customHeight="1" x14ac:dyDescent="0.3">
      <c r="B19" s="4" t="s">
        <v>44</v>
      </c>
      <c r="C19" s="5">
        <v>90804</v>
      </c>
      <c r="D19" s="5">
        <v>295300</v>
      </c>
      <c r="E19" s="5">
        <v>301489</v>
      </c>
      <c r="F19" s="5">
        <v>303104</v>
      </c>
    </row>
    <row r="20" spans="2:6" ht="14" customHeight="1" x14ac:dyDescent="0.3">
      <c r="B20" s="4" t="s">
        <v>45</v>
      </c>
      <c r="C20" s="5">
        <v>151973</v>
      </c>
      <c r="D20" s="5">
        <v>147705</v>
      </c>
      <c r="E20" s="5">
        <v>201684</v>
      </c>
      <c r="F20" s="5">
        <v>193671</v>
      </c>
    </row>
    <row r="21" spans="2:6" ht="14" customHeight="1" x14ac:dyDescent="0.3">
      <c r="B21" s="4" t="s">
        <v>46</v>
      </c>
      <c r="C21" s="5">
        <f>C19-C20</f>
        <v>-61169</v>
      </c>
      <c r="D21" s="5">
        <f>D19-D20</f>
        <v>147595</v>
      </c>
      <c r="E21" s="5">
        <f>E19-E20</f>
        <v>99805</v>
      </c>
      <c r="F21" s="5">
        <f>F19-F20</f>
        <v>109433</v>
      </c>
    </row>
    <row r="22" spans="2:6" ht="13.5" customHeight="1" x14ac:dyDescent="0.25">
      <c r="B22" t="s">
        <v>47</v>
      </c>
      <c r="C22" s="7">
        <f>C21/C6</f>
        <v>-2.2435113341903585E-2</v>
      </c>
      <c r="D22" s="7">
        <f>D21/D6</f>
        <v>5.2998731003656173E-2</v>
      </c>
      <c r="E22" s="7">
        <f>E21/E6</f>
        <v>3.2859646950988239E-2</v>
      </c>
      <c r="F22" s="7">
        <f>F21/F6</f>
        <v>3.559369719678452E-2</v>
      </c>
    </row>
    <row r="23" spans="2:6" ht="13.5" customHeight="1" x14ac:dyDescent="0.25">
      <c r="B23" t="s">
        <v>48</v>
      </c>
      <c r="C23" s="7">
        <f>C20/C6</f>
        <v>5.573953276838127E-2</v>
      </c>
      <c r="D23" s="7">
        <f>D20/D6</f>
        <v>5.303823004095691E-2</v>
      </c>
      <c r="E23" s="7">
        <f>E20/E6</f>
        <v>6.6402134518943071E-2</v>
      </c>
      <c r="F23" s="7">
        <f>F20/F6</f>
        <v>6.2992579293252082E-2</v>
      </c>
    </row>
    <row r="25" spans="2:6" ht="14" customHeight="1" x14ac:dyDescent="0.3">
      <c r="B25" s="3" t="s">
        <v>49</v>
      </c>
    </row>
    <row r="26" spans="2:6" ht="14" customHeight="1" x14ac:dyDescent="0.3">
      <c r="B26" s="4" t="s">
        <v>50</v>
      </c>
      <c r="C26" s="5">
        <v>247903</v>
      </c>
      <c r="D26" s="5">
        <v>333498</v>
      </c>
      <c r="E26" s="5">
        <v>393467</v>
      </c>
      <c r="F26" s="5">
        <v>377023</v>
      </c>
    </row>
    <row r="27" spans="2:6" ht="14" customHeight="1" x14ac:dyDescent="0.3">
      <c r="B27" s="4" t="s">
        <v>51</v>
      </c>
      <c r="C27" s="5">
        <v>775456</v>
      </c>
      <c r="D27" s="5">
        <v>804017</v>
      </c>
      <c r="E27" s="5">
        <v>1050458</v>
      </c>
      <c r="F27" s="5">
        <v>937544</v>
      </c>
    </row>
    <row r="28" spans="2:6" ht="14" customHeight="1" x14ac:dyDescent="0.3">
      <c r="B28" s="4" t="s">
        <v>52</v>
      </c>
      <c r="C28" s="5">
        <f>C27-C26</f>
        <v>527553</v>
      </c>
      <c r="D28" s="5">
        <f>D27-D26</f>
        <v>470519</v>
      </c>
      <c r="E28" s="5">
        <f>E27-E26</f>
        <v>656991</v>
      </c>
      <c r="F28" s="5">
        <f>F27-F26</f>
        <v>560521</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6.7199999999999996E-2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0.65</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8.5000000000000006E-3</v>
      </c>
    </row>
    <row r="12" spans="2:7" ht="14" customHeight="1" x14ac:dyDescent="0.3">
      <c r="B12" s="4" t="s">
        <v>62</v>
      </c>
      <c r="C12" s="13">
        <v>0.25950000000000001</v>
      </c>
    </row>
    <row r="13" spans="2:7" ht="14" customHeight="1" x14ac:dyDescent="0.3">
      <c r="B13" s="4" t="s">
        <v>63</v>
      </c>
      <c r="C13" s="7">
        <v>0.01</v>
      </c>
    </row>
    <row r="14" spans="2:7" ht="14" customHeight="1" x14ac:dyDescent="0.3">
      <c r="B14" s="4" t="s">
        <v>64</v>
      </c>
      <c r="C14" s="14">
        <v>9.1999999999999993</v>
      </c>
    </row>
    <row r="15" spans="2:7" ht="14" customHeight="1" x14ac:dyDescent="0.3">
      <c r="B15" s="4" t="s">
        <v>65</v>
      </c>
      <c r="C15" s="15">
        <v>1339960331</v>
      </c>
    </row>
    <row r="16" spans="2:7" ht="14" customHeight="1" x14ac:dyDescent="0.3">
      <c r="B16" s="4" t="s">
        <v>66</v>
      </c>
      <c r="C16" s="5">
        <v>560521</v>
      </c>
    </row>
    <row r="17" spans="2:7" ht="14" customHeight="1" x14ac:dyDescent="0.3">
      <c r="B17" s="4" t="s">
        <v>67</v>
      </c>
      <c r="C17" s="5">
        <v>3074505</v>
      </c>
    </row>
    <row r="18" spans="2:7" ht="14" customHeight="1" x14ac:dyDescent="0.3">
      <c r="B18" s="4" t="s">
        <v>68</v>
      </c>
      <c r="C18" s="7">
        <v>6.4000000000000001E-2</v>
      </c>
    </row>
    <row r="19" spans="2:7" ht="14" customHeight="1" x14ac:dyDescent="0.3">
      <c r="B19" s="4" t="s">
        <v>69</v>
      </c>
      <c r="C19" s="12">
        <v>1</v>
      </c>
    </row>
    <row r="20" spans="2:7" ht="14" customHeight="1" x14ac:dyDescent="0.3">
      <c r="B20" s="4" t="s">
        <v>70</v>
      </c>
      <c r="C20" s="5">
        <v>3074505</v>
      </c>
    </row>
    <row r="22" spans="2:7" ht="14" customHeight="1" x14ac:dyDescent="0.3">
      <c r="B22" s="8" t="s">
        <v>71</v>
      </c>
      <c r="C22" s="9"/>
      <c r="D22" s="9"/>
      <c r="E22" s="9"/>
      <c r="F22" s="9"/>
      <c r="G22" s="9"/>
    </row>
    <row r="23" spans="2:7" ht="14" customHeight="1" x14ac:dyDescent="0.3">
      <c r="B23" s="4" t="s">
        <v>72</v>
      </c>
      <c r="C23" s="16">
        <f>C7+C8*C9+C10</f>
        <v>8.1949999999999995E-2</v>
      </c>
    </row>
    <row r="24" spans="2:7" ht="14" customHeight="1" x14ac:dyDescent="0.3">
      <c r="B24" s="4" t="s">
        <v>73</v>
      </c>
      <c r="C24" s="16">
        <f>1/(1+C12)</f>
        <v>0.79396585946804288</v>
      </c>
    </row>
    <row r="25" spans="2:7" ht="14" customHeight="1" x14ac:dyDescent="0.3">
      <c r="B25" s="4" t="s">
        <v>74</v>
      </c>
      <c r="C25" s="16">
        <f>C12/(1+C12)</f>
        <v>0.20603414053195712</v>
      </c>
    </row>
    <row r="26" spans="2:7" ht="14" customHeight="1" x14ac:dyDescent="0.3">
      <c r="B26" s="4" t="s">
        <v>75</v>
      </c>
      <c r="C26" s="16">
        <f>C23*C24+C11*C25</f>
        <v>6.6816792377927745E-2</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0.02</v>
      </c>
      <c r="D30" s="18">
        <f>CHOOSE($D$27,D69,D70,D71,D72,D73)</f>
        <v>2.5000000000000001E-2</v>
      </c>
      <c r="E30" s="18">
        <f>CHOOSE($D$27,E69,E70,E71,E72,E73)</f>
        <v>2.5000000000000001E-2</v>
      </c>
      <c r="F30" s="18">
        <f>CHOOSE($D$27,F69,F70,F71,F72,F73)</f>
        <v>2.5000000000000001E-2</v>
      </c>
      <c r="G30" s="18">
        <f>CHOOSE($D$27,G69,G70,G71,G72,G73)</f>
        <v>2.5000000000000001E-2</v>
      </c>
    </row>
    <row r="31" spans="2:7" ht="14" customHeight="1" x14ac:dyDescent="0.3">
      <c r="B31" s="4" t="s">
        <v>84</v>
      </c>
      <c r="C31" s="18">
        <f>CHOOSE($D$27,C76,C77,C78,C79,C80)</f>
        <v>0.67200000000000004</v>
      </c>
      <c r="D31" s="18">
        <f>CHOOSE($D$27,D76,D77,D78,D79,D80)</f>
        <v>0.67200000000000004</v>
      </c>
      <c r="E31" s="18">
        <f>CHOOSE($D$27,E76,E77,E78,E79,E80)</f>
        <v>0.67200000000000004</v>
      </c>
      <c r="F31" s="18">
        <f>CHOOSE($D$27,F76,F77,F78,F79,F80)</f>
        <v>0.67200000000000004</v>
      </c>
      <c r="G31" s="18">
        <f>CHOOSE($D$27,G76,G77,G78,G79,G80)</f>
        <v>0.67200000000000004</v>
      </c>
    </row>
    <row r="32" spans="2:7" ht="14" customHeight="1" x14ac:dyDescent="0.3">
      <c r="B32" s="4" t="s">
        <v>85</v>
      </c>
      <c r="C32" s="18">
        <f>CHOOSE($D$27,C83,C84,C85,C86,C87)</f>
        <v>0.252801</v>
      </c>
      <c r="D32" s="18">
        <f>CHOOSE($D$27,D83,D84,D85,D86,D87)</f>
        <v>0.252801</v>
      </c>
      <c r="E32" s="18">
        <f>CHOOSE($D$27,E83,E84,E85,E86,E87)</f>
        <v>0.252801</v>
      </c>
      <c r="F32" s="18">
        <f>CHOOSE($D$27,F83,F84,F85,F86,F87)</f>
        <v>0.252801</v>
      </c>
      <c r="G32" s="18">
        <f>CHOOSE($D$27,G83,G84,G85,G86,G87)</f>
        <v>0.252801</v>
      </c>
    </row>
    <row r="33" spans="2:7" ht="14" customHeight="1" x14ac:dyDescent="0.3">
      <c r="B33" s="4" t="s">
        <v>31</v>
      </c>
      <c r="C33" s="5">
        <f>C17*(1+C30)</f>
        <v>3135995.1</v>
      </c>
      <c r="D33" s="5">
        <f>C33*(1+D30)</f>
        <v>3214394.9775</v>
      </c>
      <c r="E33" s="5">
        <f>D33*(1+E30)</f>
        <v>3294754.8519374998</v>
      </c>
      <c r="F33" s="5">
        <f>E33*(1+F30)</f>
        <v>3377123.7232359368</v>
      </c>
      <c r="G33" s="5">
        <f>F33*(1+G30)</f>
        <v>3461551.8163168351</v>
      </c>
    </row>
    <row r="34" spans="2:7" ht="14" customHeight="1" x14ac:dyDescent="0.3">
      <c r="B34" s="4" t="s">
        <v>32</v>
      </c>
      <c r="C34" s="5">
        <f>C33*C31</f>
        <v>2107388.7072000001</v>
      </c>
      <c r="D34" s="5">
        <f>D33*D31</f>
        <v>2160073.4248800003</v>
      </c>
      <c r="E34" s="5">
        <f>E33*E31</f>
        <v>2214075.2605019999</v>
      </c>
      <c r="F34" s="5">
        <f>F33*F31</f>
        <v>2269427.1420145496</v>
      </c>
      <c r="G34" s="5">
        <f>G33*G31</f>
        <v>2326162.8205649136</v>
      </c>
    </row>
    <row r="35" spans="2:7" ht="14" customHeight="1" x14ac:dyDescent="0.3">
      <c r="B35" s="4" t="s">
        <v>33</v>
      </c>
      <c r="C35" s="19">
        <f>C33-C34</f>
        <v>1028606.3928</v>
      </c>
      <c r="D35" s="19">
        <f>D33-D34</f>
        <v>1054321.5526199997</v>
      </c>
      <c r="E35" s="19">
        <f>E33-E34</f>
        <v>1080679.5914355</v>
      </c>
      <c r="F35" s="19">
        <f>F33-F34</f>
        <v>1107696.5812213873</v>
      </c>
      <c r="G35" s="19">
        <f>G33-G34</f>
        <v>1135388.9957519216</v>
      </c>
    </row>
    <row r="36" spans="2:7" ht="14" customHeight="1" x14ac:dyDescent="0.3">
      <c r="B36" s="4" t="s">
        <v>34</v>
      </c>
      <c r="C36" s="7">
        <f>C35/C33</f>
        <v>0.32800000000000001</v>
      </c>
      <c r="D36" s="7">
        <f>D35/D33</f>
        <v>0.3279999999999999</v>
      </c>
      <c r="E36" s="7">
        <f>E35/E33</f>
        <v>0.32800000000000001</v>
      </c>
      <c r="F36" s="7">
        <f>F35/F33</f>
        <v>0.32800000000000001</v>
      </c>
      <c r="G36" s="7">
        <f>G35/G33</f>
        <v>0.3279999999999999</v>
      </c>
    </row>
    <row r="37" spans="2:7" ht="14" customHeight="1" x14ac:dyDescent="0.3">
      <c r="B37" s="4" t="s">
        <v>86</v>
      </c>
      <c r="C37" s="5">
        <f>C33*C32</f>
        <v>792782.69727510004</v>
      </c>
      <c r="D37" s="5">
        <f>D33*D32</f>
        <v>812602.26470697753</v>
      </c>
      <c r="E37" s="5">
        <f>E33*E32</f>
        <v>832917.32132465194</v>
      </c>
      <c r="F37" s="5">
        <f>F33*F32</f>
        <v>853740.25435776811</v>
      </c>
      <c r="G37" s="5">
        <f>G33*G32</f>
        <v>875083.76071671222</v>
      </c>
    </row>
    <row r="38" spans="2:7" ht="14" customHeight="1" x14ac:dyDescent="0.3">
      <c r="B38" s="4" t="s">
        <v>87</v>
      </c>
      <c r="C38" s="7">
        <f>(C35-C37)/C33</f>
        <v>7.5198999999999988E-2</v>
      </c>
      <c r="D38" s="7">
        <f>(D35-D37)/D33</f>
        <v>7.5198999999999905E-2</v>
      </c>
      <c r="E38" s="7">
        <f>(E35-E37)/E33</f>
        <v>7.5198999999999988E-2</v>
      </c>
      <c r="F38" s="7">
        <f>(F35-F37)/F33</f>
        <v>7.5198999999999974E-2</v>
      </c>
      <c r="G38" s="7">
        <f>(G35-G37)/G33</f>
        <v>7.5198999999999905E-2</v>
      </c>
    </row>
    <row r="39" spans="2:7" ht="14" customHeight="1" x14ac:dyDescent="0.3">
      <c r="B39" s="4" t="s">
        <v>88</v>
      </c>
      <c r="C39" s="19">
        <f>C35-C37</f>
        <v>235823.69552489999</v>
      </c>
      <c r="D39" s="19">
        <f>D35-D37</f>
        <v>241719.28791302221</v>
      </c>
      <c r="E39" s="19">
        <f>E35-E37</f>
        <v>247762.27011084801</v>
      </c>
      <c r="F39" s="19">
        <f>F35-F37</f>
        <v>253956.32686361915</v>
      </c>
      <c r="G39" s="19">
        <f>G35-G37</f>
        <v>260305.23503520933</v>
      </c>
    </row>
    <row r="40" spans="2:7" ht="14" customHeight="1" x14ac:dyDescent="0.3">
      <c r="B40" s="4" t="s">
        <v>89</v>
      </c>
      <c r="C40" s="5">
        <f>MAX(0,C39*C6)</f>
        <v>58955.923881224997</v>
      </c>
      <c r="D40" s="5">
        <f>MAX(0,D39*C6)</f>
        <v>60429.821978255553</v>
      </c>
      <c r="E40" s="5">
        <f>MAX(0,E39*C6)</f>
        <v>61940.567527712003</v>
      </c>
      <c r="F40" s="5">
        <f>MAX(0,F39*C6)</f>
        <v>63489.081715904787</v>
      </c>
      <c r="G40" s="5">
        <f>MAX(0,G39*C6)</f>
        <v>65076.308758802334</v>
      </c>
    </row>
    <row r="41" spans="2:7" ht="14" customHeight="1" x14ac:dyDescent="0.3">
      <c r="B41" s="4" t="s">
        <v>90</v>
      </c>
      <c r="C41" s="19">
        <f>C39-C40</f>
        <v>176867.77164367499</v>
      </c>
      <c r="D41" s="19">
        <f>D39-D40</f>
        <v>181289.46593476666</v>
      </c>
      <c r="E41" s="19">
        <f>E39-E40</f>
        <v>185821.70258313601</v>
      </c>
      <c r="F41" s="19">
        <f>F39-F40</f>
        <v>190467.24514771436</v>
      </c>
      <c r="G41" s="19">
        <f>G39-G40</f>
        <v>195228.926276407</v>
      </c>
    </row>
    <row r="42" spans="2:7" ht="14" customHeight="1" x14ac:dyDescent="0.3">
      <c r="B42" s="4" t="s">
        <v>91</v>
      </c>
      <c r="C42" s="5">
        <f>C33*C18</f>
        <v>200703.68640000001</v>
      </c>
      <c r="D42" s="5">
        <f>D33*C18</f>
        <v>205721.27856000001</v>
      </c>
      <c r="E42" s="5">
        <f>E33*C18</f>
        <v>210864.310524</v>
      </c>
      <c r="F42" s="5">
        <f>F33*C18</f>
        <v>216135.91828709995</v>
      </c>
      <c r="G42" s="5">
        <f>G33*C18</f>
        <v>221539.31624427746</v>
      </c>
    </row>
    <row r="43" spans="2:7" ht="14" customHeight="1" x14ac:dyDescent="0.3">
      <c r="B43" s="4" t="s">
        <v>92</v>
      </c>
      <c r="C43" s="5">
        <f>C33*C5</f>
        <v>210738.87072000001</v>
      </c>
      <c r="D43" s="5">
        <f>D33*C5</f>
        <v>216007.34248799999</v>
      </c>
      <c r="E43" s="5">
        <f>E33*C5</f>
        <v>221407.52605019999</v>
      </c>
      <c r="F43" s="5">
        <f>F33*C5</f>
        <v>226942.71420145495</v>
      </c>
      <c r="G43" s="5">
        <f>G33*C5</f>
        <v>232616.2820564913</v>
      </c>
    </row>
    <row r="44" spans="2:7" ht="14" customHeight="1" x14ac:dyDescent="0.3">
      <c r="B44" s="4" t="s">
        <v>93</v>
      </c>
      <c r="C44" s="5">
        <f>'NWC Schedule'!D19</f>
        <v>-51481.093507945072</v>
      </c>
      <c r="D44" s="5">
        <f>'NWC Schedule'!E19</f>
        <v>26526.222662301268</v>
      </c>
      <c r="E44" s="5">
        <f>'NWC Schedule'!F19</f>
        <v>27189.378228858812</v>
      </c>
      <c r="F44" s="5">
        <f>'NWC Schedule'!G19</f>
        <v>27869.112684580032</v>
      </c>
      <c r="G44" s="5">
        <f>'NWC Schedule'!H19</f>
        <v>28565.84050169494</v>
      </c>
    </row>
    <row r="45" spans="2:7" ht="14" customHeight="1" x14ac:dyDescent="0.3">
      <c r="B45" s="4" t="s">
        <v>94</v>
      </c>
      <c r="C45" s="20">
        <f>C41+C42-C43-C44</f>
        <v>218313.68083162006</v>
      </c>
      <c r="D45" s="20">
        <f>D41+D42-D43-D44</f>
        <v>144477.17934446543</v>
      </c>
      <c r="E45" s="20">
        <f>E41+E42-E43-E44</f>
        <v>148089.10882807721</v>
      </c>
      <c r="F45" s="20">
        <f>F41+F42-F43-F44</f>
        <v>151791.33654877933</v>
      </c>
      <c r="G45" s="20">
        <f>G41+G42-G43-G44</f>
        <v>155586.11996249825</v>
      </c>
    </row>
    <row r="46" spans="2:7" ht="14" customHeight="1" x14ac:dyDescent="0.3">
      <c r="B46" s="4" t="s">
        <v>95</v>
      </c>
      <c r="C46" s="21">
        <f>1/(1+C26)^(C19+0)</f>
        <v>0.93736807214199025</v>
      </c>
      <c r="D46" s="21">
        <f>1/(1+C26)^(C19+1)</f>
        <v>0.87865890267119151</v>
      </c>
      <c r="E46" s="21">
        <f>1/(1+C26)^(C19+2)</f>
        <v>0.82362680166729152</v>
      </c>
      <c r="F46" s="21">
        <f>1/(1+C26)^(C19+3)</f>
        <v>0.77204146724334222</v>
      </c>
      <c r="G46" s="21">
        <f>1/(1+C26)^(C19+4)</f>
        <v>0.72368702176356525</v>
      </c>
    </row>
    <row r="47" spans="2:7" ht="14" customHeight="1" x14ac:dyDescent="0.3">
      <c r="B47" s="4" t="s">
        <v>96</v>
      </c>
      <c r="C47" s="19">
        <f>C45*C46</f>
        <v>204640.27412335746</v>
      </c>
      <c r="D47" s="19">
        <f>D45*D46</f>
        <v>126946.15986383693</v>
      </c>
      <c r="E47" s="19">
        <f>E45*E46</f>
        <v>121970.1590658287</v>
      </c>
      <c r="F47" s="19">
        <f>F45*F46</f>
        <v>117189.20618394755</v>
      </c>
      <c r="G47" s="19">
        <f>G45*G46</f>
        <v>112595.65578340915</v>
      </c>
    </row>
    <row r="49" spans="2:7" ht="14" customHeight="1" x14ac:dyDescent="0.3">
      <c r="B49" s="22" t="s">
        <v>97</v>
      </c>
      <c r="C49" s="23"/>
      <c r="D49" s="23"/>
      <c r="E49" s="23"/>
      <c r="F49" s="23"/>
      <c r="G49" s="23"/>
    </row>
    <row r="50" spans="2:7" ht="14" customHeight="1" x14ac:dyDescent="0.3">
      <c r="B50" s="4" t="s">
        <v>98</v>
      </c>
      <c r="C50" s="5">
        <f>SUM(C47:G47)</f>
        <v>683341.45502037974</v>
      </c>
    </row>
    <row r="51" spans="2:7" ht="14" customHeight="1" x14ac:dyDescent="0.3">
      <c r="B51" s="4" t="s">
        <v>99</v>
      </c>
      <c r="C51" s="5">
        <f>G45*(1+C13)/(C26-C13)</f>
        <v>2765766.5029180693</v>
      </c>
    </row>
    <row r="52" spans="2:7" ht="14" customHeight="1" x14ac:dyDescent="0.3">
      <c r="B52" s="4" t="s">
        <v>100</v>
      </c>
      <c r="C52" s="5">
        <f>C51*G46</f>
        <v>2001549.3233902087</v>
      </c>
    </row>
    <row r="53" spans="2:7" ht="14" customHeight="1" x14ac:dyDescent="0.3">
      <c r="B53" s="4" t="s">
        <v>101</v>
      </c>
      <c r="C53" s="5">
        <f>C50+C52</f>
        <v>2684890.7784105884</v>
      </c>
    </row>
    <row r="54" spans="2:7" ht="14" customHeight="1" x14ac:dyDescent="0.3">
      <c r="B54" s="4" t="s">
        <v>102</v>
      </c>
      <c r="C54" s="5">
        <f>C53-C16</f>
        <v>2124369.7784105884</v>
      </c>
    </row>
    <row r="55" spans="2:7" ht="14" customHeight="1" x14ac:dyDescent="0.3">
      <c r="B55" s="4" t="s">
        <v>103</v>
      </c>
      <c r="C55" s="24">
        <f>ROUND(C54*1000000/C15,0)</f>
        <v>1585</v>
      </c>
    </row>
    <row r="57" spans="2:7" ht="14" customHeight="1" x14ac:dyDescent="0.3">
      <c r="B57" s="22" t="s">
        <v>104</v>
      </c>
      <c r="C57" s="23"/>
      <c r="D57" s="23"/>
      <c r="E57" s="23"/>
      <c r="F57" s="23"/>
      <c r="G57" s="23"/>
    </row>
    <row r="58" spans="2:7" ht="14" customHeight="1" x14ac:dyDescent="0.3">
      <c r="B58" s="4" t="s">
        <v>98</v>
      </c>
      <c r="C58" s="5">
        <f>C50</f>
        <v>683341.45502037974</v>
      </c>
    </row>
    <row r="59" spans="2:7" ht="14" customHeight="1" x14ac:dyDescent="0.3">
      <c r="B59" s="4" t="s">
        <v>105</v>
      </c>
      <c r="C59" s="5">
        <f>G39+G42</f>
        <v>481844.5512794868</v>
      </c>
    </row>
    <row r="60" spans="2:7" ht="14" customHeight="1" x14ac:dyDescent="0.3">
      <c r="B60" s="4" t="s">
        <v>106</v>
      </c>
      <c r="C60" s="5">
        <f>C59*C14</f>
        <v>4432969.8717712779</v>
      </c>
    </row>
    <row r="61" spans="2:7" ht="14" customHeight="1" x14ac:dyDescent="0.3">
      <c r="B61" s="4" t="s">
        <v>100</v>
      </c>
      <c r="C61" s="5">
        <f>C60*G46</f>
        <v>3208082.76406977</v>
      </c>
    </row>
    <row r="62" spans="2:7" ht="14" customHeight="1" x14ac:dyDescent="0.3">
      <c r="B62" s="4" t="s">
        <v>101</v>
      </c>
      <c r="C62" s="5">
        <f>C58+C61</f>
        <v>3891424.2190901497</v>
      </c>
    </row>
    <row r="63" spans="2:7" ht="14" customHeight="1" x14ac:dyDescent="0.3">
      <c r="B63" s="4" t="s">
        <v>102</v>
      </c>
      <c r="C63" s="5">
        <f>C62-C16</f>
        <v>3330903.2190901497</v>
      </c>
    </row>
    <row r="64" spans="2:7" ht="14" customHeight="1" x14ac:dyDescent="0.3">
      <c r="B64" s="4" t="s">
        <v>107</v>
      </c>
      <c r="C64" s="24">
        <f>ROUND(C63*1000000/C15,0)</f>
        <v>2486</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0.02</v>
      </c>
      <c r="D69" s="26">
        <v>2.5000000000000001E-2</v>
      </c>
      <c r="E69" s="26">
        <v>2.5000000000000001E-2</v>
      </c>
      <c r="F69" s="26">
        <v>2.5000000000000001E-2</v>
      </c>
      <c r="G69" s="26">
        <v>2.5000000000000001E-2</v>
      </c>
    </row>
    <row r="70" spans="2:7" ht="14" customHeight="1" x14ac:dyDescent="0.3">
      <c r="B70" s="4" t="s">
        <v>114</v>
      </c>
      <c r="C70" s="26">
        <v>3.5000000000000003E-2</v>
      </c>
      <c r="D70" s="26">
        <v>3.5000000000000003E-2</v>
      </c>
      <c r="E70" s="26">
        <v>0.03</v>
      </c>
      <c r="F70" s="26">
        <v>0.03</v>
      </c>
      <c r="G70" s="26">
        <v>0.03</v>
      </c>
    </row>
    <row r="71" spans="2:7" ht="14" customHeight="1" x14ac:dyDescent="0.3">
      <c r="B71" s="4" t="s">
        <v>115</v>
      </c>
      <c r="C71" s="26">
        <v>0.02</v>
      </c>
      <c r="D71" s="26">
        <v>2.5000000000000001E-2</v>
      </c>
      <c r="E71" s="26">
        <v>2.5000000000000001E-2</v>
      </c>
      <c r="F71" s="26">
        <v>2.5000000000000001E-2</v>
      </c>
      <c r="G71" s="26">
        <v>2.5000000000000001E-2</v>
      </c>
    </row>
    <row r="72" spans="2:7" ht="14" customHeight="1" x14ac:dyDescent="0.3">
      <c r="B72" s="4" t="s">
        <v>116</v>
      </c>
      <c r="C72" s="26">
        <v>0</v>
      </c>
      <c r="D72" s="26">
        <v>5.0000000000000001E-3</v>
      </c>
      <c r="E72" s="26">
        <v>5.0000000000000001E-3</v>
      </c>
      <c r="F72" s="26">
        <v>5.0000000000000001E-3</v>
      </c>
      <c r="G72" s="26">
        <v>5.0000000000000001E-3</v>
      </c>
    </row>
    <row r="73" spans="2:7" ht="14" customHeight="1" x14ac:dyDescent="0.3">
      <c r="B73" s="4" t="s">
        <v>117</v>
      </c>
      <c r="C73" s="26">
        <v>-0.1</v>
      </c>
      <c r="D73" s="26">
        <v>-0.02</v>
      </c>
      <c r="E73" s="26">
        <v>5.0000000000000001E-3</v>
      </c>
      <c r="F73" s="26">
        <v>0.01</v>
      </c>
      <c r="G73" s="26">
        <v>1.4999999999999999E-2</v>
      </c>
    </row>
    <row r="75" spans="2:7" ht="14" customHeight="1" x14ac:dyDescent="0.3">
      <c r="B75" s="3" t="s">
        <v>84</v>
      </c>
    </row>
    <row r="76" spans="2:7" ht="14" customHeight="1" x14ac:dyDescent="0.3">
      <c r="B76" s="4" t="s">
        <v>77</v>
      </c>
      <c r="C76" s="26">
        <v>0.67200000000000004</v>
      </c>
      <c r="D76" s="26">
        <v>0.67200000000000004</v>
      </c>
      <c r="E76" s="26">
        <v>0.67200000000000004</v>
      </c>
      <c r="F76" s="26">
        <v>0.67200000000000004</v>
      </c>
      <c r="G76" s="26">
        <v>0.67200000000000004</v>
      </c>
    </row>
    <row r="77" spans="2:7" ht="14" customHeight="1" x14ac:dyDescent="0.3">
      <c r="B77" s="4" t="s">
        <v>114</v>
      </c>
      <c r="C77" s="26">
        <v>0.66600000000000004</v>
      </c>
      <c r="D77" s="26">
        <v>0.66600000000000004</v>
      </c>
      <c r="E77" s="26">
        <v>0.66600000000000004</v>
      </c>
      <c r="F77" s="26">
        <v>0.66600000000000004</v>
      </c>
      <c r="G77" s="26">
        <v>0.66600000000000004</v>
      </c>
    </row>
    <row r="78" spans="2:7" ht="14" customHeight="1" x14ac:dyDescent="0.3">
      <c r="B78" s="4" t="s">
        <v>115</v>
      </c>
      <c r="C78" s="26">
        <v>0.67200000000000004</v>
      </c>
      <c r="D78" s="26">
        <v>0.67200000000000004</v>
      </c>
      <c r="E78" s="26">
        <v>0.67200000000000004</v>
      </c>
      <c r="F78" s="26">
        <v>0.67200000000000004</v>
      </c>
      <c r="G78" s="26">
        <v>0.67200000000000004</v>
      </c>
    </row>
    <row r="79" spans="2:7" ht="14" customHeight="1" x14ac:dyDescent="0.3">
      <c r="B79" s="4" t="s">
        <v>116</v>
      </c>
      <c r="C79" s="26">
        <v>0.67800000000000005</v>
      </c>
      <c r="D79" s="26">
        <v>0.67800000000000005</v>
      </c>
      <c r="E79" s="26">
        <v>0.67800000000000005</v>
      </c>
      <c r="F79" s="26">
        <v>0.67800000000000005</v>
      </c>
      <c r="G79" s="26">
        <v>0.67800000000000005</v>
      </c>
    </row>
    <row r="80" spans="2:7" ht="14" customHeight="1" x14ac:dyDescent="0.3">
      <c r="B80" s="4" t="s">
        <v>117</v>
      </c>
      <c r="C80" s="26">
        <v>0.69</v>
      </c>
      <c r="D80" s="26">
        <v>0.69</v>
      </c>
      <c r="E80" s="26">
        <v>0.69</v>
      </c>
      <c r="F80" s="26">
        <v>0.69</v>
      </c>
      <c r="G80" s="26">
        <v>0.69</v>
      </c>
    </row>
    <row r="82" spans="2:7" ht="14" customHeight="1" x14ac:dyDescent="0.3">
      <c r="B82" s="3" t="s">
        <v>85</v>
      </c>
    </row>
    <row r="83" spans="2:7" ht="14" customHeight="1" x14ac:dyDescent="0.3">
      <c r="B83" s="4" t="s">
        <v>77</v>
      </c>
      <c r="C83" s="26">
        <v>0.252801</v>
      </c>
      <c r="D83" s="26">
        <v>0.252801</v>
      </c>
      <c r="E83" s="26">
        <v>0.252801</v>
      </c>
      <c r="F83" s="26">
        <v>0.252801</v>
      </c>
      <c r="G83" s="26">
        <v>0.252801</v>
      </c>
    </row>
    <row r="84" spans="2:7" ht="14" customHeight="1" x14ac:dyDescent="0.3">
      <c r="B84" s="4" t="s">
        <v>114</v>
      </c>
      <c r="C84" s="26">
        <v>0.25600000000000001</v>
      </c>
      <c r="D84" s="26">
        <v>0.253</v>
      </c>
      <c r="E84" s="26">
        <v>0.251</v>
      </c>
      <c r="F84" s="26">
        <v>0.2495</v>
      </c>
      <c r="G84" s="26">
        <v>0.24879999999999999</v>
      </c>
    </row>
    <row r="85" spans="2:7" ht="14" customHeight="1" x14ac:dyDescent="0.3">
      <c r="B85" s="4" t="s">
        <v>115</v>
      </c>
      <c r="C85" s="26">
        <v>0.252801</v>
      </c>
      <c r="D85" s="26">
        <v>0.252801</v>
      </c>
      <c r="E85" s="26">
        <v>0.252801</v>
      </c>
      <c r="F85" s="26">
        <v>0.252801</v>
      </c>
      <c r="G85" s="26">
        <v>0.252801</v>
      </c>
    </row>
    <row r="86" spans="2:7" ht="14" customHeight="1" x14ac:dyDescent="0.3">
      <c r="B86" s="4" t="s">
        <v>116</v>
      </c>
      <c r="C86" s="26">
        <v>0.25700000000000001</v>
      </c>
      <c r="D86" s="26">
        <v>0.26400000000000001</v>
      </c>
      <c r="E86" s="26">
        <v>0.26900000000000002</v>
      </c>
      <c r="F86" s="26">
        <v>0.27200000000000002</v>
      </c>
      <c r="G86" s="26">
        <v>0.27239999999999998</v>
      </c>
    </row>
    <row r="87" spans="2:7" ht="14" customHeight="1" x14ac:dyDescent="0.3">
      <c r="B87" s="4" t="s">
        <v>117</v>
      </c>
      <c r="C87" s="26">
        <v>0.27</v>
      </c>
      <c r="D87" s="26">
        <v>0.27500000000000002</v>
      </c>
      <c r="E87" s="26">
        <v>0.27400000000000002</v>
      </c>
      <c r="F87" s="26">
        <v>0.27200000000000002</v>
      </c>
      <c r="G87" s="26">
        <v>0.27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1612</v>
      </c>
    </row>
    <row r="7" spans="2:9" ht="14" customHeight="1" x14ac:dyDescent="0.3">
      <c r="B7" s="4" t="s">
        <v>65</v>
      </c>
      <c r="C7" s="15">
        <f>'DCF Model'!C15</f>
        <v>1339960331</v>
      </c>
    </row>
    <row r="8" spans="2:9" ht="14" customHeight="1" x14ac:dyDescent="0.3">
      <c r="B8" s="4" t="s">
        <v>122</v>
      </c>
      <c r="C8" s="5">
        <f>C6*C7/1000000</f>
        <v>2160016.053572</v>
      </c>
    </row>
    <row r="9" spans="2:9" ht="14" customHeight="1" x14ac:dyDescent="0.3">
      <c r="B9" s="4" t="s">
        <v>66</v>
      </c>
      <c r="C9" s="5">
        <f>'DCF Model'!C16</f>
        <v>560521</v>
      </c>
    </row>
    <row r="10" spans="2:9" ht="14" customHeight="1" x14ac:dyDescent="0.3">
      <c r="B10" s="4" t="s">
        <v>123</v>
      </c>
      <c r="C10" s="5">
        <f>C8+C9</f>
        <v>2720537.053572</v>
      </c>
    </row>
    <row r="11" spans="2:9" ht="14" customHeight="1" x14ac:dyDescent="0.3">
      <c r="B11" s="4" t="s">
        <v>124</v>
      </c>
      <c r="C11" s="16">
        <f>'DCF Model'!C26</f>
        <v>6.6816792377927745E-2</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231200</v>
      </c>
    </row>
    <row r="15" spans="2:9" ht="14" customHeight="1" x14ac:dyDescent="0.3">
      <c r="B15" s="4" t="s">
        <v>128</v>
      </c>
      <c r="C15" s="27">
        <v>231200</v>
      </c>
    </row>
    <row r="16" spans="2:9" ht="14" customHeight="1" x14ac:dyDescent="0.3">
      <c r="B16" s="4" t="s">
        <v>129</v>
      </c>
      <c r="C16" s="5">
        <f>'DCF Model'!G33</f>
        <v>3461551.8163168351</v>
      </c>
    </row>
    <row r="17" spans="2:9" ht="14" customHeight="1" x14ac:dyDescent="0.3">
      <c r="B17" s="4" t="s">
        <v>130</v>
      </c>
      <c r="C17" s="5">
        <f>'DCF Model'!C53</f>
        <v>2684890.7784105884</v>
      </c>
    </row>
    <row r="18" spans="2:9" ht="14" customHeight="1" x14ac:dyDescent="0.3">
      <c r="B18" s="4" t="s">
        <v>131</v>
      </c>
      <c r="C18" s="26">
        <v>7.5199097090425937E-2</v>
      </c>
    </row>
    <row r="19" spans="2:9" ht="14" customHeight="1" x14ac:dyDescent="0.3">
      <c r="B19" s="4" t="s">
        <v>132</v>
      </c>
      <c r="C19" s="5">
        <f>C10-C17</f>
        <v>35646.275161411613</v>
      </c>
    </row>
    <row r="20" spans="2:9" ht="14" customHeight="1" x14ac:dyDescent="0.3">
      <c r="B20" s="4" t="s">
        <v>133</v>
      </c>
      <c r="C20" s="15">
        <f>IFERROR(ROUND(C19*1000000/C7,0),"N/A")</f>
        <v>27</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154572.1889292596</v>
      </c>
    </row>
    <row r="25" spans="2:9" ht="14" customHeight="1" x14ac:dyDescent="0.3">
      <c r="B25" s="4" t="s">
        <v>137</v>
      </c>
      <c r="C25" s="5">
        <f>IFERROR(C24/(1-C13),"N/A")</f>
        <v>206096.25190567947</v>
      </c>
    </row>
    <row r="26" spans="2:9" ht="13.5" customHeight="1" x14ac:dyDescent="0.25">
      <c r="B26" s="6" t="s">
        <v>138</v>
      </c>
      <c r="C26" s="14">
        <f>IFERROR(C25/C15,"N/A")</f>
        <v>0.89141977467854439</v>
      </c>
    </row>
    <row r="27" spans="2:9" ht="13.5" customHeight="1" x14ac:dyDescent="0.25">
      <c r="B27" s="6" t="s">
        <v>139</v>
      </c>
      <c r="C27" s="14">
        <f>IFERROR(C25/C14,"N/A")</f>
        <v>0.89141977467854439</v>
      </c>
    </row>
    <row r="28" spans="2:9" ht="13.5" customHeight="1" x14ac:dyDescent="0.25">
      <c r="B28" s="6" t="s">
        <v>140</v>
      </c>
      <c r="C28" s="7">
        <f>IFERROR(C25/C16,"N/A")</f>
        <v>5.9538687514136442E-2</v>
      </c>
    </row>
    <row r="29" spans="2:9" ht="13.5" customHeight="1" x14ac:dyDescent="0.25">
      <c r="B29" s="6" t="s">
        <v>141</v>
      </c>
      <c r="C29" s="5">
        <f>IFERROR(C25/C18,"N/A")</f>
        <v>2740674.5543480581</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4.6816792377927741E-2</v>
      </c>
      <c r="E36" s="29">
        <f>'DCF Model'!C26-0.01</f>
        <v>5.6816792377927743E-2</v>
      </c>
      <c r="F36" s="29">
        <f>'DCF Model'!C26</f>
        <v>6.6816792377927745E-2</v>
      </c>
      <c r="G36" s="29">
        <f>'DCF Model'!C26+0.01</f>
        <v>7.681679237792774E-2</v>
      </c>
      <c r="H36" s="29">
        <f>'DCF Model'!C26+0.02</f>
        <v>8.6816792377927748E-2</v>
      </c>
    </row>
    <row r="37" spans="2:9" ht="14" customHeight="1" x14ac:dyDescent="0.3">
      <c r="B37" s="3" t="s">
        <v>147</v>
      </c>
    </row>
    <row r="38" spans="2:9" ht="14" customHeight="1" x14ac:dyDescent="0.3">
      <c r="B38" s="4" t="s">
        <v>148</v>
      </c>
      <c r="C38" s="30">
        <v>3</v>
      </c>
      <c r="D38" s="13">
        <f t="shared" ref="D38:H41" si="0">IFERROR((1-(1+D$36)^(-$C38))/D$36-(1+D$36)/(D$36^2*$C38)*(1-($C38+1)/(1+D$36)^$C38+$C38/(1+D$36)^($C38+1)),"N/A")</f>
        <v>0.94103604271800267</v>
      </c>
      <c r="E38" s="13">
        <f t="shared" si="0"/>
        <v>0.92928052886264045</v>
      </c>
      <c r="F38" s="13">
        <f t="shared" si="0"/>
        <v>0.91779834898509938</v>
      </c>
      <c r="G38" s="13">
        <f t="shared" si="0"/>
        <v>0.9065804265726165</v>
      </c>
      <c r="H38" s="13">
        <f t="shared" si="0"/>
        <v>0.89561807246507552</v>
      </c>
    </row>
    <row r="39" spans="2:9" ht="14" customHeight="1" x14ac:dyDescent="0.3">
      <c r="B39" s="4" t="s">
        <v>149</v>
      </c>
      <c r="C39" s="30">
        <v>5</v>
      </c>
      <c r="D39" s="13">
        <f t="shared" si="0"/>
        <v>1.8270018794704024</v>
      </c>
      <c r="E39" s="13">
        <f t="shared" si="0"/>
        <v>1.7934375336360757</v>
      </c>
      <c r="F39" s="13">
        <f t="shared" si="0"/>
        <v>1.7609488134318911</v>
      </c>
      <c r="G39" s="13">
        <f t="shared" si="0"/>
        <v>1.7294887347263255</v>
      </c>
      <c r="H39" s="13">
        <f t="shared" si="0"/>
        <v>1.6990128599449492</v>
      </c>
    </row>
    <row r="40" spans="2:9" ht="14" customHeight="1" x14ac:dyDescent="0.3">
      <c r="B40" s="4" t="s">
        <v>150</v>
      </c>
      <c r="C40" s="30">
        <v>7</v>
      </c>
      <c r="D40" s="13">
        <f t="shared" si="0"/>
        <v>2.6615176118327439</v>
      </c>
      <c r="E40" s="13">
        <f t="shared" si="0"/>
        <v>2.5975959280406147</v>
      </c>
      <c r="F40" s="13">
        <f t="shared" si="0"/>
        <v>2.5362671009369859</v>
      </c>
      <c r="G40" s="13">
        <f t="shared" si="0"/>
        <v>2.4773914614241761</v>
      </c>
      <c r="H40" s="13">
        <f t="shared" si="0"/>
        <v>2.4208384798547811</v>
      </c>
    </row>
    <row r="41" spans="2:9" ht="14" customHeight="1" x14ac:dyDescent="0.3">
      <c r="B41" s="4" t="s">
        <v>151</v>
      </c>
      <c r="C41" s="30">
        <v>10</v>
      </c>
      <c r="D41" s="13">
        <f t="shared" si="0"/>
        <v>3.8241216209816651</v>
      </c>
      <c r="E41" s="13">
        <f t="shared" si="0"/>
        <v>3.701498475320069</v>
      </c>
      <c r="F41" s="13">
        <f t="shared" si="0"/>
        <v>3.585353440594937</v>
      </c>
      <c r="G41" s="13">
        <f t="shared" si="0"/>
        <v>3.4752419986276872</v>
      </c>
      <c r="H41" s="13">
        <f t="shared" si="0"/>
        <v>3.3707559758630481</v>
      </c>
    </row>
    <row r="42" spans="2:9" ht="14" customHeight="1" x14ac:dyDescent="0.3">
      <c r="B42" s="3" t="s">
        <v>152</v>
      </c>
    </row>
    <row r="43" spans="2:9" ht="14" customHeight="1" x14ac:dyDescent="0.3">
      <c r="B43" s="4" t="s">
        <v>148</v>
      </c>
      <c r="C43" s="30">
        <v>3</v>
      </c>
      <c r="D43" s="13">
        <f t="shared" ref="D43:H46" si="1">IFERROR((1+D$36)/(D$36^2*$C43)*(1-($C43+1)/(1+D$36)^$C43+$C43/(1+D$36)^($C43+1))+(1+$C$12)/((D$36-$C$12)*(1+D$36)^$C43),"N/A")</f>
        <v>25.71315149751107</v>
      </c>
      <c r="E43" s="13">
        <f t="shared" si="1"/>
        <v>20.037212737960466</v>
      </c>
      <c r="F43" s="13">
        <f t="shared" si="1"/>
        <v>16.363003490741679</v>
      </c>
      <c r="G43" s="13">
        <f t="shared" si="1"/>
        <v>13.791659088685543</v>
      </c>
      <c r="H43" s="13">
        <f t="shared" si="1"/>
        <v>11.892375414876547</v>
      </c>
    </row>
    <row r="44" spans="2:9" ht="14" customHeight="1" x14ac:dyDescent="0.3">
      <c r="B44" s="4" t="s">
        <v>149</v>
      </c>
      <c r="C44" s="30">
        <v>5</v>
      </c>
      <c r="D44" s="13">
        <f t="shared" si="1"/>
        <v>24.364218379070152</v>
      </c>
      <c r="E44" s="13">
        <f t="shared" si="1"/>
        <v>18.820851044890574</v>
      </c>
      <c r="F44" s="13">
        <f t="shared" si="1"/>
        <v>15.239008543153929</v>
      </c>
      <c r="G44" s="13">
        <f t="shared" si="1"/>
        <v>12.737573428109446</v>
      </c>
      <c r="H44" s="13">
        <f t="shared" si="1"/>
        <v>10.894264109706617</v>
      </c>
    </row>
    <row r="45" spans="2:9" ht="14" customHeight="1" x14ac:dyDescent="0.3">
      <c r="B45" s="4" t="s">
        <v>150</v>
      </c>
      <c r="C45" s="30">
        <v>7</v>
      </c>
      <c r="D45" s="13">
        <f t="shared" si="1"/>
        <v>23.107219938204626</v>
      </c>
      <c r="E45" s="13">
        <f t="shared" si="1"/>
        <v>17.701340554519646</v>
      </c>
      <c r="F45" s="13">
        <f t="shared" si="1"/>
        <v>14.21692375027094</v>
      </c>
      <c r="G45" s="13">
        <f t="shared" si="1"/>
        <v>11.790299857773231</v>
      </c>
      <c r="H45" s="13">
        <f t="shared" si="1"/>
        <v>10.007588048565935</v>
      </c>
    </row>
    <row r="46" spans="2:9" ht="14" customHeight="1" x14ac:dyDescent="0.3">
      <c r="B46" s="4" t="s">
        <v>151</v>
      </c>
      <c r="C46" s="30">
        <v>10</v>
      </c>
      <c r="D46" s="13">
        <f t="shared" si="1"/>
        <v>21.379141641899366</v>
      </c>
      <c r="E46" s="13">
        <f t="shared" si="1"/>
        <v>16.185184907860442</v>
      </c>
      <c r="F46" s="13">
        <f t="shared" si="1"/>
        <v>12.852677334387646</v>
      </c>
      <c r="G46" s="13">
        <f t="shared" si="1"/>
        <v>10.543624531346474</v>
      </c>
      <c r="H46" s="13">
        <f t="shared" si="1"/>
        <v>8.8565681950066626</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132609.77384859472</v>
      </c>
      <c r="E48" s="5">
        <f t="shared" si="2"/>
        <v>170309.76935020104</v>
      </c>
      <c r="F48" s="5">
        <f t="shared" si="2"/>
        <v>208713.99078677618</v>
      </c>
      <c r="G48" s="5">
        <f t="shared" si="2"/>
        <v>247815.09762493364</v>
      </c>
      <c r="H48" s="5">
        <f t="shared" si="2"/>
        <v>287605.77432356315</v>
      </c>
    </row>
    <row r="49" spans="2:9" ht="14" customHeight="1" x14ac:dyDescent="0.3">
      <c r="B49" s="4" t="s">
        <v>149</v>
      </c>
      <c r="C49" s="30">
        <v>5</v>
      </c>
      <c r="D49" s="5">
        <f t="shared" si="2"/>
        <v>131544.54018174662</v>
      </c>
      <c r="E49" s="5">
        <f t="shared" si="2"/>
        <v>170701.10021361249</v>
      </c>
      <c r="F49" s="5">
        <f t="shared" si="2"/>
        <v>211316.33093527163</v>
      </c>
      <c r="G49" s="5">
        <f t="shared" si="2"/>
        <v>253386.16973188383</v>
      </c>
      <c r="H49" s="5">
        <f t="shared" si="2"/>
        <v>296905.87012616819</v>
      </c>
    </row>
    <row r="50" spans="2:9" ht="14" customHeight="1" x14ac:dyDescent="0.3">
      <c r="B50" s="4" t="s">
        <v>150</v>
      </c>
      <c r="C50" s="30">
        <v>7</v>
      </c>
      <c r="D50" s="5">
        <f t="shared" si="2"/>
        <v>130350.5949350607</v>
      </c>
      <c r="E50" s="5">
        <f t="shared" si="2"/>
        <v>170993.74763230456</v>
      </c>
      <c r="F50" s="5">
        <f t="shared" si="2"/>
        <v>213899.84484522644</v>
      </c>
      <c r="G50" s="5">
        <f t="shared" si="2"/>
        <v>259078.2142152946</v>
      </c>
      <c r="H50" s="5">
        <f t="shared" si="2"/>
        <v>306535.88723540306</v>
      </c>
    </row>
    <row r="51" spans="2:9" ht="14" customHeight="1" x14ac:dyDescent="0.3">
      <c r="B51" s="4" t="s">
        <v>151</v>
      </c>
      <c r="C51" s="30">
        <v>10</v>
      </c>
      <c r="D51" s="5">
        <f t="shared" si="2"/>
        <v>128314.12342340063</v>
      </c>
      <c r="E51" s="5">
        <f t="shared" si="2"/>
        <v>171242.7943443486</v>
      </c>
      <c r="F51" s="5">
        <f t="shared" si="2"/>
        <v>217732.7688094319</v>
      </c>
      <c r="G51" s="5">
        <f t="shared" si="2"/>
        <v>267830.7426082681</v>
      </c>
      <c r="H51" s="5">
        <f t="shared" si="2"/>
        <v>321576.47225956025</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0.57357168619634391</v>
      </c>
      <c r="E53" s="14">
        <f t="shared" si="3"/>
        <v>0.73663395047664804</v>
      </c>
      <c r="F53" s="14">
        <f t="shared" si="3"/>
        <v>0.90274217468328799</v>
      </c>
      <c r="G53" s="14">
        <f t="shared" si="3"/>
        <v>1.0718646091043842</v>
      </c>
      <c r="H53" s="14">
        <f t="shared" si="3"/>
        <v>1.2439696121261381</v>
      </c>
    </row>
    <row r="54" spans="2:9" ht="14" customHeight="1" x14ac:dyDescent="0.3">
      <c r="B54" s="4" t="s">
        <v>149</v>
      </c>
      <c r="C54" s="30">
        <v>5</v>
      </c>
      <c r="D54" s="14">
        <f t="shared" si="3"/>
        <v>0.56896427414250272</v>
      </c>
      <c r="E54" s="14">
        <f t="shared" si="3"/>
        <v>0.73832655801735503</v>
      </c>
      <c r="F54" s="14">
        <f t="shared" si="3"/>
        <v>0.91399797117332016</v>
      </c>
      <c r="G54" s="14">
        <f t="shared" si="3"/>
        <v>1.0959609417469023</v>
      </c>
      <c r="H54" s="14">
        <f t="shared" si="3"/>
        <v>1.2841949399920769</v>
      </c>
    </row>
    <row r="55" spans="2:9" ht="14" customHeight="1" x14ac:dyDescent="0.3">
      <c r="B55" s="4" t="s">
        <v>150</v>
      </c>
      <c r="C55" s="30">
        <v>7</v>
      </c>
      <c r="D55" s="14">
        <f t="shared" si="3"/>
        <v>0.56380015110320369</v>
      </c>
      <c r="E55" s="14">
        <f t="shared" si="3"/>
        <v>0.73959233404976021</v>
      </c>
      <c r="F55" s="14">
        <f t="shared" si="3"/>
        <v>0.9251723392959621</v>
      </c>
      <c r="G55" s="14">
        <f t="shared" si="3"/>
        <v>1.1205805113118279</v>
      </c>
      <c r="H55" s="14">
        <f t="shared" si="3"/>
        <v>1.325847263128906</v>
      </c>
    </row>
    <row r="56" spans="2:9" ht="14" customHeight="1" x14ac:dyDescent="0.3">
      <c r="B56" s="4" t="s">
        <v>151</v>
      </c>
      <c r="C56" s="30">
        <v>10</v>
      </c>
      <c r="D56" s="14">
        <f t="shared" si="3"/>
        <v>0.5549918833192069</v>
      </c>
      <c r="E56" s="14">
        <f t="shared" si="3"/>
        <v>0.74066952571085032</v>
      </c>
      <c r="F56" s="14">
        <f t="shared" si="3"/>
        <v>0.94175073014460164</v>
      </c>
      <c r="G56" s="14">
        <f t="shared" si="3"/>
        <v>1.1584374680288412</v>
      </c>
      <c r="H56" s="14">
        <f t="shared" si="3"/>
        <v>1.3909016966243954</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211316.33093527163</v>
      </c>
    </row>
    <row r="62" spans="2:9" ht="14" customHeight="1" x14ac:dyDescent="0.3">
      <c r="B62" s="28" t="s">
        <v>158</v>
      </c>
      <c r="C62" s="28" t="s">
        <v>159</v>
      </c>
      <c r="D62" s="28" t="s">
        <v>160</v>
      </c>
    </row>
    <row r="63" spans="2:9" ht="14" customHeight="1" x14ac:dyDescent="0.3">
      <c r="B63" s="31">
        <v>3.7600000000000001E-2</v>
      </c>
      <c r="C63" s="5">
        <f>IFERROR($C$60/B63,"N/A")</f>
        <v>5620115.1844487134</v>
      </c>
      <c r="D63" s="14">
        <f>IFERROR(C63/'DCF Model'!C17,"N/A")</f>
        <v>1.8279739940083732</v>
      </c>
    </row>
    <row r="64" spans="2:9" ht="14" customHeight="1" x14ac:dyDescent="0.3">
      <c r="B64" s="31">
        <v>5.6399999999999999E-2</v>
      </c>
      <c r="C64" s="5">
        <f>IFERROR($C$60/B64,"N/A")</f>
        <v>3746743.4562991424</v>
      </c>
      <c r="D64" s="14">
        <f>IFERROR(C64/'DCF Model'!C17,"N/A")</f>
        <v>1.2186493293389156</v>
      </c>
    </row>
    <row r="65" spans="2:9" ht="14" customHeight="1" x14ac:dyDescent="0.3">
      <c r="B65" s="4" t="s">
        <v>161</v>
      </c>
      <c r="C65" s="5">
        <f>IFERROR($C$60/$C$18,"N/A")</f>
        <v>2810091.332362229</v>
      </c>
      <c r="D65" s="14">
        <f>IFERROR(C65/'DCF Model'!C17,"N/A")</f>
        <v>0.91399797117332027</v>
      </c>
    </row>
    <row r="66" spans="2:9" ht="14" customHeight="1" x14ac:dyDescent="0.3">
      <c r="B66" s="31">
        <v>9.4E-2</v>
      </c>
      <c r="C66" s="5">
        <f>IFERROR($C$60/B66,"N/A")</f>
        <v>2248046.0737794857</v>
      </c>
      <c r="D66" s="14">
        <f>IFERROR(C66/'DCF Model'!C17,"N/A")</f>
        <v>0.73118959760334934</v>
      </c>
    </row>
    <row r="67" spans="2:9" ht="14" customHeight="1" x14ac:dyDescent="0.3">
      <c r="B67" s="31">
        <v>0.1128</v>
      </c>
      <c r="C67" s="5">
        <f>IFERROR($C$60/B67,"N/A")</f>
        <v>1873371.7281495712</v>
      </c>
      <c r="D67" s="14">
        <f>IFERROR(C67/'DCF Model'!C17,"N/A")</f>
        <v>0.60932466466945778</v>
      </c>
    </row>
    <row r="69" spans="2:9" ht="14" customHeight="1" x14ac:dyDescent="0.3">
      <c r="B69" s="8" t="s">
        <v>162</v>
      </c>
      <c r="C69" s="9"/>
      <c r="D69" s="9"/>
      <c r="E69" s="9"/>
      <c r="F69" s="9"/>
      <c r="G69" s="9"/>
      <c r="H69" s="9"/>
      <c r="I69" s="9"/>
    </row>
    <row r="70" spans="2:9" ht="13.5" customHeight="1" x14ac:dyDescent="0.25">
      <c r="B70" s="6" t="s">
        <v>163</v>
      </c>
      <c r="C70" s="14">
        <f>IFERROR(C10/'Comps Analysis'!G5,"N/A")</f>
        <v>6.3631744418632934</v>
      </c>
    </row>
    <row r="71" spans="2:9" ht="13.5" customHeight="1" x14ac:dyDescent="0.25">
      <c r="B71" s="6" t="s">
        <v>164</v>
      </c>
      <c r="C71" s="14">
        <f>IFERROR(C10/'Comps Analysis'!F5,"N/A")</f>
        <v>0.8848699395746632</v>
      </c>
    </row>
    <row r="72" spans="2:9" ht="14" customHeight="1" x14ac:dyDescent="0.3">
      <c r="B72" s="4" t="s">
        <v>165</v>
      </c>
      <c r="C72" s="14">
        <f>IFERROR(C10/(C25+'DCF Model'!G42),"N/A")</f>
        <v>6.3618119169591667</v>
      </c>
    </row>
    <row r="73" spans="2:9" ht="14" customHeight="1" x14ac:dyDescent="0.3">
      <c r="B73" s="4" t="s">
        <v>166</v>
      </c>
      <c r="C73" s="14">
        <f>IFERROR(C10/(C60+'DCF Model'!G42),"N/A")</f>
        <v>6.2850908179176823</v>
      </c>
    </row>
    <row r="74" spans="2:9" ht="14" customHeight="1" x14ac:dyDescent="0.3">
      <c r="B74" s="4" t="s">
        <v>167</v>
      </c>
      <c r="C74" s="14">
        <f>IFERROR('Comps Analysis'!D16,"N/A")</f>
        <v>9.2210891708653779</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1,612 yen the market is paying for a steady-state operating profit of 211,316 mn JPY - 0.91x the FY2026 cycle peak of 231,200 mn - reached in 5 years and sustained for ever, against 231,200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206,096 mn, or 0.89x the peak. The base case supports an EV of only 2,684,891 mn, leaving 27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60.998292408046176</v>
      </c>
      <c r="D5" s="34">
        <f>CHOOSE('DCF Model'!$D$27,D25,D26,D27,D28,D29)</f>
        <v>61</v>
      </c>
      <c r="E5" s="34">
        <f>CHOOSE('DCF Model'!$D$27,E25,E26,E27,E28,E29)</f>
        <v>61</v>
      </c>
      <c r="F5" s="34">
        <f>CHOOSE('DCF Model'!$D$27,F25,F26,F27,F28,F29)</f>
        <v>61</v>
      </c>
      <c r="G5" s="34">
        <f>CHOOSE('DCF Model'!$D$27,G25,G26,G27,G28,G29)</f>
        <v>61</v>
      </c>
      <c r="H5" s="34">
        <f>CHOOSE('DCF Model'!$D$27,H25,H26,H27,H28,H29)</f>
        <v>61</v>
      </c>
    </row>
    <row r="6" spans="2:8" ht="14" customHeight="1" x14ac:dyDescent="0.3">
      <c r="B6" s="33" t="s">
        <v>174</v>
      </c>
      <c r="C6" s="34">
        <f>C13/C10*365</f>
        <v>140.23321650040444</v>
      </c>
      <c r="D6" s="34">
        <f>CHOOSE('DCF Model'!$D$27,D32,D33,D34,D35,D36)</f>
        <v>128</v>
      </c>
      <c r="E6" s="34">
        <f>CHOOSE('DCF Model'!$D$27,E32,E33,E34,E35,E36)</f>
        <v>128</v>
      </c>
      <c r="F6" s="34">
        <f>CHOOSE('DCF Model'!$D$27,F32,F33,F34,F35,F36)</f>
        <v>128</v>
      </c>
      <c r="G6" s="34">
        <f>CHOOSE('DCF Model'!$D$27,G32,G33,G34,G35,G36)</f>
        <v>128</v>
      </c>
      <c r="H6" s="34">
        <f>CHOOSE('DCF Model'!$D$27,H32,H33,H34,H35,H36)</f>
        <v>128</v>
      </c>
    </row>
    <row r="7" spans="2:8" ht="14" customHeight="1" x14ac:dyDescent="0.3">
      <c r="B7" s="33" t="s">
        <v>175</v>
      </c>
      <c r="C7" s="34">
        <f>C15/C10*365</f>
        <v>34.452433379333982</v>
      </c>
      <c r="D7" s="34">
        <f>CHOOSE('DCF Model'!$D$27,D39,D40,D41,D42,D43)</f>
        <v>35</v>
      </c>
      <c r="E7" s="34">
        <f>CHOOSE('DCF Model'!$D$27,E39,E40,E41,E42,E43)</f>
        <v>35</v>
      </c>
      <c r="F7" s="34">
        <f>CHOOSE('DCF Model'!$D$27,F39,F40,F41,F42,F43)</f>
        <v>35</v>
      </c>
      <c r="G7" s="34">
        <f>CHOOSE('DCF Model'!$D$27,G39,G40,G41,G42,G43)</f>
        <v>35</v>
      </c>
      <c r="H7" s="34">
        <f>CHOOSE('DCF Model'!$D$27,H39,H40,H41,H42,H43)</f>
        <v>35</v>
      </c>
    </row>
    <row r="8" spans="2:8" ht="14" customHeight="1" x14ac:dyDescent="0.3">
      <c r="B8" s="8" t="s">
        <v>176</v>
      </c>
      <c r="C8" s="9"/>
      <c r="D8" s="9"/>
      <c r="E8" s="9"/>
      <c r="F8" s="9"/>
      <c r="G8" s="9"/>
      <c r="H8" s="9"/>
    </row>
    <row r="9" spans="2:8" ht="14" customHeight="1" x14ac:dyDescent="0.3">
      <c r="B9" s="33" t="s">
        <v>31</v>
      </c>
      <c r="C9" s="35">
        <v>3074505</v>
      </c>
      <c r="D9" s="35">
        <f>'DCF Model'!C33</f>
        <v>3135995.1</v>
      </c>
      <c r="E9" s="35">
        <f>'DCF Model'!D33</f>
        <v>3214394.9775</v>
      </c>
      <c r="F9" s="35">
        <f>'DCF Model'!E33</f>
        <v>3294754.8519374998</v>
      </c>
      <c r="G9" s="35">
        <f>'DCF Model'!F33</f>
        <v>3377123.7232359368</v>
      </c>
      <c r="H9" s="35">
        <f>'DCF Model'!G33</f>
        <v>3461551.8163168351</v>
      </c>
    </row>
    <row r="10" spans="2:8" ht="14" customHeight="1" x14ac:dyDescent="0.3">
      <c r="B10" s="33" t="s">
        <v>32</v>
      </c>
      <c r="C10" s="35">
        <v>2065913</v>
      </c>
      <c r="D10" s="35">
        <f>'DCF Model'!C34</f>
        <v>2107388.7072000001</v>
      </c>
      <c r="E10" s="35">
        <f>'DCF Model'!D34</f>
        <v>2160073.4248800003</v>
      </c>
      <c r="F10" s="35">
        <f>'DCF Model'!E34</f>
        <v>2214075.2605019999</v>
      </c>
      <c r="G10" s="35">
        <f>'DCF Model'!F34</f>
        <v>2269427.1420145496</v>
      </c>
      <c r="H10" s="35">
        <f>'DCF Model'!G34</f>
        <v>2326162.8205649136</v>
      </c>
    </row>
    <row r="11" spans="2:8" ht="14" customHeight="1" x14ac:dyDescent="0.3">
      <c r="B11" s="8" t="s">
        <v>177</v>
      </c>
      <c r="C11" s="9"/>
      <c r="D11" s="9"/>
      <c r="E11" s="9"/>
      <c r="F11" s="9"/>
      <c r="G11" s="9"/>
      <c r="H11" s="9"/>
    </row>
    <row r="12" spans="2:8" ht="14" customHeight="1" x14ac:dyDescent="0.3">
      <c r="B12" s="33" t="s">
        <v>178</v>
      </c>
      <c r="C12" s="35">
        <v>513807</v>
      </c>
      <c r="D12" s="35">
        <f t="shared" ref="D12:H13" si="0">D9*D5/365</f>
        <v>524097.81123287667</v>
      </c>
      <c r="E12" s="35">
        <f t="shared" si="0"/>
        <v>537200.25651369861</v>
      </c>
      <c r="F12" s="35">
        <f t="shared" si="0"/>
        <v>550630.26292654104</v>
      </c>
      <c r="G12" s="35">
        <f t="shared" si="0"/>
        <v>564396.01949970447</v>
      </c>
      <c r="H12" s="35">
        <f t="shared" si="0"/>
        <v>578505.91998719715</v>
      </c>
    </row>
    <row r="13" spans="2:8" ht="14" customHeight="1" x14ac:dyDescent="0.3">
      <c r="B13" s="33" t="s">
        <v>179</v>
      </c>
      <c r="C13" s="35">
        <v>793725</v>
      </c>
      <c r="D13" s="35">
        <f t="shared" si="0"/>
        <v>739029.46444273973</v>
      </c>
      <c r="E13" s="35">
        <f t="shared" si="0"/>
        <v>757505.20105380833</v>
      </c>
      <c r="F13" s="35">
        <f t="shared" si="0"/>
        <v>776442.83108015335</v>
      </c>
      <c r="G13" s="35">
        <f t="shared" si="0"/>
        <v>795853.90185715712</v>
      </c>
      <c r="H13" s="35">
        <f t="shared" si="0"/>
        <v>815750.24940358615</v>
      </c>
    </row>
    <row r="14" spans="2:8" ht="14" customHeight="1" x14ac:dyDescent="0.3">
      <c r="B14" s="33" t="s">
        <v>180</v>
      </c>
      <c r="C14" s="35">
        <f t="shared" ref="C14:H14" si="1">C12+C13</f>
        <v>1307532</v>
      </c>
      <c r="D14" s="35">
        <f t="shared" si="1"/>
        <v>1263127.2756756165</v>
      </c>
      <c r="E14" s="35">
        <f t="shared" si="1"/>
        <v>1294705.4575675069</v>
      </c>
      <c r="F14" s="35">
        <f t="shared" si="1"/>
        <v>1327073.0940066944</v>
      </c>
      <c r="G14" s="35">
        <f t="shared" si="1"/>
        <v>1360249.9213568615</v>
      </c>
      <c r="H14" s="35">
        <f t="shared" si="1"/>
        <v>1394256.1693907832</v>
      </c>
    </row>
    <row r="15" spans="2:8" ht="14" customHeight="1" x14ac:dyDescent="0.3">
      <c r="B15" s="33" t="s">
        <v>181</v>
      </c>
      <c r="C15" s="35">
        <v>195002</v>
      </c>
      <c r="D15" s="35">
        <f>D10*D7/365</f>
        <v>202078.36918356165</v>
      </c>
      <c r="E15" s="35">
        <f>E10*E7/365</f>
        <v>207130.32841315068</v>
      </c>
      <c r="F15" s="35">
        <f>F10*F7/365</f>
        <v>212308.58662347944</v>
      </c>
      <c r="G15" s="35">
        <f>G10*G7/365</f>
        <v>217616.30128906638</v>
      </c>
      <c r="H15" s="35">
        <f>H10*H7/365</f>
        <v>223056.70882129311</v>
      </c>
    </row>
    <row r="16" spans="2:8" ht="14" customHeight="1" x14ac:dyDescent="0.3">
      <c r="B16" s="33" t="s">
        <v>182</v>
      </c>
      <c r="C16" s="35">
        <f t="shared" ref="C16:H16" si="2">C15</f>
        <v>195002</v>
      </c>
      <c r="D16" s="35">
        <f t="shared" si="2"/>
        <v>202078.36918356165</v>
      </c>
      <c r="E16" s="35">
        <f t="shared" si="2"/>
        <v>207130.32841315068</v>
      </c>
      <c r="F16" s="35">
        <f t="shared" si="2"/>
        <v>212308.58662347944</v>
      </c>
      <c r="G16" s="35">
        <f t="shared" si="2"/>
        <v>217616.30128906638</v>
      </c>
      <c r="H16" s="35">
        <f t="shared" si="2"/>
        <v>223056.70882129311</v>
      </c>
    </row>
    <row r="17" spans="2:8" ht="14" customHeight="1" x14ac:dyDescent="0.3">
      <c r="B17" s="22" t="s">
        <v>183</v>
      </c>
      <c r="C17" s="23"/>
      <c r="D17" s="23"/>
      <c r="E17" s="23"/>
      <c r="F17" s="23"/>
      <c r="G17" s="23"/>
      <c r="H17" s="23"/>
    </row>
    <row r="18" spans="2:8" ht="14" customHeight="1" x14ac:dyDescent="0.3">
      <c r="B18" s="33" t="s">
        <v>184</v>
      </c>
      <c r="C18" s="20">
        <f t="shared" ref="C18:H18" si="3">C14-C16</f>
        <v>1112530</v>
      </c>
      <c r="D18" s="20">
        <f t="shared" si="3"/>
        <v>1061048.9064920549</v>
      </c>
      <c r="E18" s="20">
        <f t="shared" si="3"/>
        <v>1087575.1291543562</v>
      </c>
      <c r="F18" s="20">
        <f t="shared" si="3"/>
        <v>1114764.507383215</v>
      </c>
      <c r="G18" s="20">
        <f t="shared" si="3"/>
        <v>1142633.620067795</v>
      </c>
      <c r="H18" s="20">
        <f t="shared" si="3"/>
        <v>1171199.46056949</v>
      </c>
    </row>
    <row r="19" spans="2:8" ht="14" customHeight="1" x14ac:dyDescent="0.3">
      <c r="B19" s="33" t="s">
        <v>93</v>
      </c>
      <c r="C19" s="36" t="s">
        <v>41</v>
      </c>
      <c r="D19" s="24">
        <f>D18-C18</f>
        <v>-51481.093507945072</v>
      </c>
      <c r="E19" s="24">
        <f>E18-D18</f>
        <v>26526.222662301268</v>
      </c>
      <c r="F19" s="24">
        <f>F18-E18</f>
        <v>27189.378228858812</v>
      </c>
      <c r="G19" s="24">
        <f>G18-F18</f>
        <v>27869.112684580032</v>
      </c>
      <c r="H19" s="24">
        <f>H18-G18</f>
        <v>28565.84050169494</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61</v>
      </c>
      <c r="E25" s="30">
        <v>61</v>
      </c>
      <c r="F25" s="30">
        <v>61</v>
      </c>
      <c r="G25" s="30">
        <v>61</v>
      </c>
      <c r="H25" s="30">
        <v>61</v>
      </c>
    </row>
    <row r="26" spans="2:8" ht="14" customHeight="1" x14ac:dyDescent="0.3">
      <c r="B26" s="4" t="s">
        <v>114</v>
      </c>
      <c r="D26" s="30">
        <v>58</v>
      </c>
      <c r="E26" s="30">
        <v>58</v>
      </c>
      <c r="F26" s="30">
        <v>58</v>
      </c>
      <c r="G26" s="30">
        <v>58</v>
      </c>
      <c r="H26" s="30">
        <v>58</v>
      </c>
    </row>
    <row r="27" spans="2:8" ht="14" customHeight="1" x14ac:dyDescent="0.3">
      <c r="B27" s="4" t="s">
        <v>115</v>
      </c>
      <c r="D27" s="30">
        <v>61</v>
      </c>
      <c r="E27" s="30">
        <v>61</v>
      </c>
      <c r="F27" s="30">
        <v>61</v>
      </c>
      <c r="G27" s="30">
        <v>61</v>
      </c>
      <c r="H27" s="30">
        <v>61</v>
      </c>
    </row>
    <row r="28" spans="2:8" ht="14" customHeight="1" x14ac:dyDescent="0.3">
      <c r="B28" s="4" t="s">
        <v>116</v>
      </c>
      <c r="D28" s="30">
        <v>64</v>
      </c>
      <c r="E28" s="30">
        <v>64</v>
      </c>
      <c r="F28" s="30">
        <v>64</v>
      </c>
      <c r="G28" s="30">
        <v>64</v>
      </c>
      <c r="H28" s="30">
        <v>64</v>
      </c>
    </row>
    <row r="29" spans="2:8" ht="14" customHeight="1" x14ac:dyDescent="0.3">
      <c r="B29" s="4" t="s">
        <v>117</v>
      </c>
      <c r="D29" s="30">
        <v>67</v>
      </c>
      <c r="E29" s="30">
        <v>67</v>
      </c>
      <c r="F29" s="30">
        <v>67</v>
      </c>
      <c r="G29" s="30">
        <v>67</v>
      </c>
      <c r="H29" s="30">
        <v>67</v>
      </c>
    </row>
    <row r="31" spans="2:8" ht="14" customHeight="1" x14ac:dyDescent="0.3">
      <c r="B31" s="3" t="s">
        <v>187</v>
      </c>
    </row>
    <row r="32" spans="2:8" ht="14" customHeight="1" x14ac:dyDescent="0.3">
      <c r="B32" s="4" t="s">
        <v>77</v>
      </c>
      <c r="D32" s="30">
        <v>128</v>
      </c>
      <c r="E32" s="30">
        <v>128</v>
      </c>
      <c r="F32" s="30">
        <v>128</v>
      </c>
      <c r="G32" s="30">
        <v>128</v>
      </c>
      <c r="H32" s="30">
        <v>128</v>
      </c>
    </row>
    <row r="33" spans="2:8" ht="14" customHeight="1" x14ac:dyDescent="0.3">
      <c r="B33" s="4" t="s">
        <v>114</v>
      </c>
      <c r="D33" s="30">
        <v>122</v>
      </c>
      <c r="E33" s="30">
        <v>122</v>
      </c>
      <c r="F33" s="30">
        <v>122</v>
      </c>
      <c r="G33" s="30">
        <v>122</v>
      </c>
      <c r="H33" s="30">
        <v>122</v>
      </c>
    </row>
    <row r="34" spans="2:8" ht="14" customHeight="1" x14ac:dyDescent="0.3">
      <c r="B34" s="4" t="s">
        <v>115</v>
      </c>
      <c r="D34" s="30">
        <v>128</v>
      </c>
      <c r="E34" s="30">
        <v>128</v>
      </c>
      <c r="F34" s="30">
        <v>128</v>
      </c>
      <c r="G34" s="30">
        <v>128</v>
      </c>
      <c r="H34" s="30">
        <v>128</v>
      </c>
    </row>
    <row r="35" spans="2:8" ht="14" customHeight="1" x14ac:dyDescent="0.3">
      <c r="B35" s="4" t="s">
        <v>116</v>
      </c>
      <c r="D35" s="30">
        <v>135</v>
      </c>
      <c r="E35" s="30">
        <v>135</v>
      </c>
      <c r="F35" s="30">
        <v>135</v>
      </c>
      <c r="G35" s="30">
        <v>135</v>
      </c>
      <c r="H35" s="30">
        <v>135</v>
      </c>
    </row>
    <row r="36" spans="2:8" ht="14" customHeight="1" x14ac:dyDescent="0.3">
      <c r="B36" s="4" t="s">
        <v>117</v>
      </c>
      <c r="D36" s="30">
        <v>143</v>
      </c>
      <c r="E36" s="30">
        <v>143</v>
      </c>
      <c r="F36" s="30">
        <v>143</v>
      </c>
      <c r="G36" s="30">
        <v>143</v>
      </c>
      <c r="H36" s="30">
        <v>143</v>
      </c>
    </row>
    <row r="38" spans="2:8" ht="14" customHeight="1" x14ac:dyDescent="0.3">
      <c r="B38" s="3" t="s">
        <v>188</v>
      </c>
    </row>
    <row r="39" spans="2:8" ht="14" customHeight="1" x14ac:dyDescent="0.3">
      <c r="B39" s="4" t="s">
        <v>77</v>
      </c>
      <c r="D39" s="30">
        <v>35</v>
      </c>
      <c r="E39" s="30">
        <v>35</v>
      </c>
      <c r="F39" s="30">
        <v>35</v>
      </c>
      <c r="G39" s="30">
        <v>35</v>
      </c>
      <c r="H39" s="30">
        <v>35</v>
      </c>
    </row>
    <row r="40" spans="2:8" ht="14" customHeight="1" x14ac:dyDescent="0.3">
      <c r="B40" s="4" t="s">
        <v>114</v>
      </c>
      <c r="D40" s="30">
        <v>36</v>
      </c>
      <c r="E40" s="30">
        <v>36</v>
      </c>
      <c r="F40" s="30">
        <v>36</v>
      </c>
      <c r="G40" s="30">
        <v>36</v>
      </c>
      <c r="H40" s="30">
        <v>36</v>
      </c>
    </row>
    <row r="41" spans="2:8" ht="14" customHeight="1" x14ac:dyDescent="0.3">
      <c r="B41" s="4" t="s">
        <v>115</v>
      </c>
      <c r="D41" s="30">
        <v>35</v>
      </c>
      <c r="E41" s="30">
        <v>35</v>
      </c>
      <c r="F41" s="30">
        <v>35</v>
      </c>
      <c r="G41" s="30">
        <v>35</v>
      </c>
      <c r="H41" s="30">
        <v>35</v>
      </c>
    </row>
    <row r="42" spans="2:8" ht="14" customHeight="1" x14ac:dyDescent="0.3">
      <c r="B42" s="4" t="s">
        <v>116</v>
      </c>
      <c r="D42" s="30">
        <v>33</v>
      </c>
      <c r="E42" s="30">
        <v>33</v>
      </c>
      <c r="F42" s="30">
        <v>33</v>
      </c>
      <c r="G42" s="30">
        <v>33</v>
      </c>
      <c r="H42" s="30">
        <v>33</v>
      </c>
    </row>
    <row r="43" spans="2:8" ht="14" customHeight="1" x14ac:dyDescent="0.3">
      <c r="B43" s="4" t="s">
        <v>117</v>
      </c>
      <c r="D43" s="30">
        <v>32</v>
      </c>
      <c r="E43" s="30">
        <v>32</v>
      </c>
      <c r="F43" s="30">
        <v>32</v>
      </c>
      <c r="G43" s="30">
        <v>32</v>
      </c>
      <c r="H43" s="30">
        <v>32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2160016.053572</v>
      </c>
      <c r="E5" s="37">
        <f>D5+C24</f>
        <v>2720537.053572</v>
      </c>
      <c r="F5" s="37">
        <v>3074505</v>
      </c>
      <c r="G5" s="37">
        <v>427544</v>
      </c>
      <c r="H5" s="37">
        <v>231200</v>
      </c>
      <c r="I5" s="37">
        <v>158794</v>
      </c>
      <c r="J5" s="38">
        <f t="shared" ref="J5:J10" si="0">IFERROR(E5/G5,"")</f>
        <v>6.3631744418632934</v>
      </c>
      <c r="K5" s="38">
        <f t="shared" ref="K5:K10" si="1">IFERROR(E5/F5,"")</f>
        <v>0.8848699395746632</v>
      </c>
      <c r="L5" s="38">
        <f t="shared" ref="L5:L10" si="2">IFERROR(D5/I5,"")</f>
        <v>13.602630159653387</v>
      </c>
      <c r="M5" s="38">
        <f t="shared" ref="M5:M10" si="3">IFERROR(D5/P5,"")</f>
        <v>1.0342630875549867</v>
      </c>
      <c r="N5" s="39">
        <f t="shared" ref="N5:N10" si="4">IFERROR(H5/F5,"")</f>
        <v>7.5199097090425937E-2</v>
      </c>
      <c r="O5" s="39">
        <f t="shared" ref="O5:O10" si="5">IFERROR(I5/P5,"")</f>
        <v>7.6034051901425884E-2</v>
      </c>
      <c r="P5" s="37">
        <v>2088459</v>
      </c>
    </row>
    <row r="6" spans="2:17" ht="14" customHeight="1" x14ac:dyDescent="0.3">
      <c r="B6" s="4" t="s">
        <v>207</v>
      </c>
      <c r="C6" t="s">
        <v>208</v>
      </c>
      <c r="D6" s="37">
        <v>982369</v>
      </c>
      <c r="E6" s="37">
        <v>1925235</v>
      </c>
      <c r="F6" s="37">
        <v>2328515</v>
      </c>
      <c r="G6" s="37">
        <v>316084</v>
      </c>
      <c r="H6" s="37">
        <v>195015</v>
      </c>
      <c r="I6" s="37">
        <v>60947</v>
      </c>
      <c r="J6" s="38">
        <f t="shared" si="0"/>
        <v>6.090896723655737</v>
      </c>
      <c r="K6" s="38">
        <f t="shared" si="1"/>
        <v>0.82680807295636916</v>
      </c>
      <c r="L6" s="38">
        <f t="shared" si="2"/>
        <v>16.11841436001772</v>
      </c>
      <c r="M6" s="38">
        <f t="shared" si="3"/>
        <v>0.9739501746899798</v>
      </c>
      <c r="N6" s="39">
        <f t="shared" si="4"/>
        <v>8.3750802550123141E-2</v>
      </c>
      <c r="O6" s="39">
        <f t="shared" si="5"/>
        <v>6.0424688988384406E-2</v>
      </c>
      <c r="P6" s="37">
        <v>1008644</v>
      </c>
    </row>
    <row r="7" spans="2:17" ht="14" customHeight="1" x14ac:dyDescent="0.3">
      <c r="B7" s="4" t="s">
        <v>209</v>
      </c>
      <c r="C7" t="s">
        <v>210</v>
      </c>
      <c r="D7" s="37">
        <v>804059</v>
      </c>
      <c r="E7" s="37">
        <v>1361137</v>
      </c>
      <c r="F7" s="37">
        <v>1668754</v>
      </c>
      <c r="G7" s="37">
        <v>156370</v>
      </c>
      <c r="H7" s="37">
        <v>56602</v>
      </c>
      <c r="I7" s="37">
        <v>34378</v>
      </c>
      <c r="J7" s="38">
        <f t="shared" si="0"/>
        <v>8.7045916735946793</v>
      </c>
      <c r="K7" s="38">
        <f t="shared" si="1"/>
        <v>0.81566066658117375</v>
      </c>
      <c r="L7" s="38">
        <f t="shared" si="2"/>
        <v>23.388766071324685</v>
      </c>
      <c r="M7" s="38">
        <f t="shared" si="3"/>
        <v>0.92984144128725021</v>
      </c>
      <c r="N7" s="39">
        <f t="shared" si="4"/>
        <v>3.3918720194828E-2</v>
      </c>
      <c r="O7" s="39">
        <f t="shared" si="5"/>
        <v>3.9755899838908697E-2</v>
      </c>
      <c r="P7" s="37">
        <v>864727</v>
      </c>
    </row>
    <row r="8" spans="2:17" ht="14" customHeight="1" x14ac:dyDescent="0.3">
      <c r="B8" s="4" t="s">
        <v>211</v>
      </c>
      <c r="C8" t="s">
        <v>212</v>
      </c>
      <c r="D8" s="37">
        <v>1681376</v>
      </c>
      <c r="E8" s="37">
        <v>3044793</v>
      </c>
      <c r="F8" s="37">
        <v>3703988</v>
      </c>
      <c r="G8" s="37">
        <v>303490</v>
      </c>
      <c r="H8" s="37">
        <v>32333</v>
      </c>
      <c r="I8" s="37">
        <v>11829</v>
      </c>
      <c r="J8" s="38">
        <f t="shared" si="0"/>
        <v>10.032597449668852</v>
      </c>
      <c r="K8" s="38">
        <f t="shared" si="1"/>
        <v>0.8220310108996034</v>
      </c>
      <c r="L8" s="38">
        <f t="shared" si="2"/>
        <v>142.14016400371966</v>
      </c>
      <c r="M8" s="38">
        <f t="shared" si="3"/>
        <v>0.95441894787631087</v>
      </c>
      <c r="N8" s="39">
        <f t="shared" si="4"/>
        <v>8.7292399435419336E-3</v>
      </c>
      <c r="O8" s="39">
        <f t="shared" si="5"/>
        <v>6.7146323811145643E-3</v>
      </c>
      <c r="P8" s="37">
        <v>1761675</v>
      </c>
    </row>
    <row r="9" spans="2:17" ht="14" customHeight="1" x14ac:dyDescent="0.3">
      <c r="B9" s="4" t="s">
        <v>213</v>
      </c>
      <c r="C9" t="s">
        <v>214</v>
      </c>
      <c r="D9" s="37">
        <v>2368140</v>
      </c>
      <c r="E9" s="37">
        <v>3084852</v>
      </c>
      <c r="F9" s="37">
        <v>1359611</v>
      </c>
      <c r="G9" s="37">
        <v>320233</v>
      </c>
      <c r="H9" s="37">
        <v>193329</v>
      </c>
      <c r="I9" s="37">
        <v>123891</v>
      </c>
      <c r="J9" s="38">
        <f t="shared" si="0"/>
        <v>9.6331483638475728</v>
      </c>
      <c r="K9" s="38">
        <f t="shared" si="1"/>
        <v>2.2689225079820625</v>
      </c>
      <c r="L9" s="38">
        <f t="shared" si="2"/>
        <v>19.11470566869264</v>
      </c>
      <c r="M9" s="38">
        <f t="shared" si="3"/>
        <v>1.9453126732749719</v>
      </c>
      <c r="N9" s="39">
        <f t="shared" si="4"/>
        <v>0.14219434823637056</v>
      </c>
      <c r="O9" s="39">
        <f t="shared" si="5"/>
        <v>0.10177047488945314</v>
      </c>
      <c r="P9" s="37">
        <v>1217357</v>
      </c>
    </row>
    <row r="10" spans="2:17" ht="14" customHeight="1" x14ac:dyDescent="0.3">
      <c r="B10" s="4" t="s">
        <v>215</v>
      </c>
      <c r="C10" t="s">
        <v>216</v>
      </c>
      <c r="D10" s="37">
        <v>3962306</v>
      </c>
      <c r="E10" s="37">
        <v>4818766</v>
      </c>
      <c r="F10" s="37">
        <v>3356969</v>
      </c>
      <c r="G10" s="37">
        <v>522581</v>
      </c>
      <c r="H10" s="37">
        <v>350210</v>
      </c>
      <c r="I10" s="37">
        <v>276415</v>
      </c>
      <c r="J10" s="38">
        <f t="shared" si="0"/>
        <v>9.2210891708653779</v>
      </c>
      <c r="K10" s="38">
        <f t="shared" si="1"/>
        <v>1.4354514444428887</v>
      </c>
      <c r="L10" s="38">
        <f t="shared" si="2"/>
        <v>14.334627281442758</v>
      </c>
      <c r="M10" s="38">
        <f t="shared" si="3"/>
        <v>1.0319714549882149</v>
      </c>
      <c r="N10" s="39">
        <f t="shared" si="4"/>
        <v>0.10432327495428168</v>
      </c>
      <c r="O10" s="39">
        <f t="shared" si="5"/>
        <v>7.1991509421677022E-2</v>
      </c>
      <c r="P10" s="37">
        <v>3839550</v>
      </c>
    </row>
    <row r="14" spans="2:17" ht="14" customHeight="1" x14ac:dyDescent="0.3">
      <c r="B14" s="3" t="s">
        <v>217</v>
      </c>
    </row>
    <row r="15" spans="2:17" ht="14" customHeight="1" x14ac:dyDescent="0.3">
      <c r="B15" s="4" t="s">
        <v>218</v>
      </c>
      <c r="D15" s="38">
        <f t="shared" ref="D15:I15" si="6">PERCENTILE(J6:J10,0.25)</f>
        <v>8.7045916735946793</v>
      </c>
      <c r="E15" s="38">
        <f t="shared" si="6"/>
        <v>0.8220310108996034</v>
      </c>
      <c r="F15" s="38">
        <f t="shared" si="6"/>
        <v>16.11841436001772</v>
      </c>
      <c r="G15" s="38">
        <f t="shared" si="6"/>
        <v>0.95441894787631087</v>
      </c>
      <c r="H15" s="39">
        <f t="shared" si="6"/>
        <v>3.3918720194828E-2</v>
      </c>
      <c r="I15" s="39">
        <f t="shared" si="6"/>
        <v>3.9755899838908697E-2</v>
      </c>
    </row>
    <row r="16" spans="2:17" ht="14" customHeight="1" x14ac:dyDescent="0.3">
      <c r="B16" s="4" t="s">
        <v>219</v>
      </c>
      <c r="D16" s="38">
        <f t="shared" ref="D16:I16" si="7">MEDIAN(J6:J10)</f>
        <v>9.2210891708653779</v>
      </c>
      <c r="E16" s="38">
        <f t="shared" si="7"/>
        <v>0.82680807295636916</v>
      </c>
      <c r="F16" s="38">
        <f t="shared" si="7"/>
        <v>19.11470566869264</v>
      </c>
      <c r="G16" s="38">
        <f t="shared" si="7"/>
        <v>0.9739501746899798</v>
      </c>
      <c r="H16" s="39">
        <f t="shared" si="7"/>
        <v>8.3750802550123141E-2</v>
      </c>
      <c r="I16" s="39">
        <f t="shared" si="7"/>
        <v>6.0424688988384406E-2</v>
      </c>
    </row>
    <row r="17" spans="2:9" ht="14" customHeight="1" x14ac:dyDescent="0.3">
      <c r="B17" s="4" t="s">
        <v>220</v>
      </c>
      <c r="D17" s="38">
        <f t="shared" ref="D17:I17" si="8">PERCENTILE(J6:J10,0.75)</f>
        <v>9.6331483638475728</v>
      </c>
      <c r="E17" s="38">
        <f t="shared" si="8"/>
        <v>1.4354514444428887</v>
      </c>
      <c r="F17" s="38">
        <f t="shared" si="8"/>
        <v>23.388766071324685</v>
      </c>
      <c r="G17" s="38">
        <f t="shared" si="8"/>
        <v>1.0319714549882149</v>
      </c>
      <c r="H17" s="39">
        <f t="shared" si="8"/>
        <v>0.10432327495428168</v>
      </c>
      <c r="I17" s="39">
        <f t="shared" si="8"/>
        <v>7.1991509421677022E-2</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427544</v>
      </c>
    </row>
    <row r="22" spans="2:9" ht="14" customHeight="1" x14ac:dyDescent="0.3">
      <c r="B22" s="4" t="s">
        <v>224</v>
      </c>
      <c r="C22" s="5">
        <v>158793</v>
      </c>
    </row>
    <row r="23" spans="2:9" ht="14" customHeight="1" x14ac:dyDescent="0.3">
      <c r="B23" s="4" t="s">
        <v>225</v>
      </c>
      <c r="C23" s="15">
        <v>1339960331</v>
      </c>
    </row>
    <row r="24" spans="2:9" ht="14" customHeight="1" x14ac:dyDescent="0.3">
      <c r="B24" s="4" t="s">
        <v>66</v>
      </c>
      <c r="C24" s="5">
        <v>560521</v>
      </c>
    </row>
    <row r="26" spans="2:9" ht="14" customHeight="1" x14ac:dyDescent="0.3">
      <c r="B26" s="3" t="s">
        <v>226</v>
      </c>
    </row>
    <row r="27" spans="2:9" ht="14" customHeight="1" x14ac:dyDescent="0.3">
      <c r="B27" s="4" t="s">
        <v>227</v>
      </c>
      <c r="C27" s="24">
        <f>ROUND((C21*D16-C24)*1000000/C23,0)</f>
        <v>2524</v>
      </c>
    </row>
    <row r="28" spans="2:9" ht="14" customHeight="1" x14ac:dyDescent="0.3">
      <c r="B28" s="4" t="s">
        <v>228</v>
      </c>
      <c r="C28" s="24">
        <f>ROUND(C22*F16*1000000/C23,0)</f>
        <v>2265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6.6816792377927745E-2</v>
      </c>
      <c r="E3" s="4" t="s">
        <v>231</v>
      </c>
      <c r="F3" s="16">
        <f>'DCF Model'!C13</f>
        <v>0.01</v>
      </c>
      <c r="H3" s="4" t="s">
        <v>232</v>
      </c>
      <c r="I3" s="14">
        <f>'DCF Model'!C14</f>
        <v>9.1999999999999993</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5.1816792377927745E-2</v>
      </c>
      <c r="C7" s="37">
        <f>IFERROR(ROUND(('DCF Model'!C45/(1+$B7)^('DCF Model'!C19+0)+'DCF Model'!D45/(1+$B7)^('DCF Model'!C19+1)+'DCF Model'!E45/(1+$B7)^('DCF Model'!C19+2)+'DCF Model'!F45/(1+$B7)^('DCF Model'!C19+3)+'DCF Model'!G45/(1+$B7)^('DCF Model'!C19+4)+'DCF Model'!G45*(1+C$6)/($B7-C$6)/(1+$B7)^('DCF Model'!C19+4)-'DCF Model'!C16)*1000000/'DCF Model'!C15,0),"")</f>
        <v>1945</v>
      </c>
      <c r="D7" s="37">
        <f>IFERROR(ROUND(('DCF Model'!C45/(1+$B7)^('DCF Model'!C19+0)+'DCF Model'!D45/(1+$B7)^('DCF Model'!C19+1)+'DCF Model'!E45/(1+$B7)^('DCF Model'!C19+2)+'DCF Model'!F45/(1+$B7)^('DCF Model'!C19+3)+'DCF Model'!G45/(1+$B7)^('DCF Model'!C19+4)+'DCF Model'!G45*(1+D$6)/($B7-D$6)/(1+$B7)^('DCF Model'!C19+4)-'DCF Model'!C16)*1000000/'DCF Model'!C15,0),"")</f>
        <v>2048</v>
      </c>
      <c r="E7" s="37">
        <f>IFERROR(ROUND(('DCF Model'!C45/(1+$B7)^('DCF Model'!C19+0)+'DCF Model'!D45/(1+$B7)^('DCF Model'!C19+1)+'DCF Model'!E45/(1+$B7)^('DCF Model'!C19+2)+'DCF Model'!F45/(1+$B7)^('DCF Model'!C19+3)+'DCF Model'!G45/(1+$B7)^('DCF Model'!C19+4)+'DCF Model'!G45*(1+E$6)/($B7-E$6)/(1+$B7)^('DCF Model'!C19+4)-'DCF Model'!C16)*1000000/'DCF Model'!C15,0),"")</f>
        <v>2162</v>
      </c>
      <c r="F7" s="37">
        <f>IFERROR(ROUND(('DCF Model'!C45/(1+$B7)^('DCF Model'!C19+0)+'DCF Model'!D45/(1+$B7)^('DCF Model'!C19+1)+'DCF Model'!E45/(1+$B7)^('DCF Model'!C19+2)+'DCF Model'!F45/(1+$B7)^('DCF Model'!C19+3)+'DCF Model'!G45/(1+$B7)^('DCF Model'!C19+4)+'DCF Model'!G45*(1+F$6)/($B7-F$6)/(1+$B7)^('DCF Model'!C19+4)-'DCF Model'!C16)*1000000/'DCF Model'!C15,0),"")</f>
        <v>2290</v>
      </c>
      <c r="G7" s="37">
        <f>IFERROR(ROUND(('DCF Model'!C45/(1+$B7)^('DCF Model'!C19+0)+'DCF Model'!D45/(1+$B7)^('DCF Model'!C19+1)+'DCF Model'!E45/(1+$B7)^('DCF Model'!C19+2)+'DCF Model'!F45/(1+$B7)^('DCF Model'!C19+3)+'DCF Model'!G45/(1+$B7)^('DCF Model'!C19+4)+'DCF Model'!G45*(1+G$6)/($B7-G$6)/(1+$B7)^('DCF Model'!C19+4)-'DCF Model'!C16)*1000000/'DCF Model'!C15,0),"")</f>
        <v>2434</v>
      </c>
      <c r="H7" s="37">
        <f>IFERROR(ROUND(('DCF Model'!C45/(1+$B7)^('DCF Model'!C19+0)+'DCF Model'!D45/(1+$B7)^('DCF Model'!C19+1)+'DCF Model'!E45/(1+$B7)^('DCF Model'!C19+2)+'DCF Model'!F45/(1+$B7)^('DCF Model'!C19+3)+'DCF Model'!G45/(1+$B7)^('DCF Model'!C19+4)+'DCF Model'!G45*(1+H$6)/($B7-H$6)/(1+$B7)^('DCF Model'!C19+4)-'DCF Model'!C16)*1000000/'DCF Model'!C15,0),"")</f>
        <v>2598</v>
      </c>
      <c r="I7" s="37">
        <f>IFERROR(ROUND(('DCF Model'!C45/(1+$B7)^('DCF Model'!C19+0)+'DCF Model'!D45/(1+$B7)^('DCF Model'!C19+1)+'DCF Model'!E45/(1+$B7)^('DCF Model'!C19+2)+'DCF Model'!F45/(1+$B7)^('DCF Model'!C19+3)+'DCF Model'!G45/(1+$B7)^('DCF Model'!C19+4)+'DCF Model'!G45*(1+I$6)/($B7-I$6)/(1+$B7)^('DCF Model'!C19+4)-'DCF Model'!C16)*1000000/'DCF Model'!C15,0),"")</f>
        <v>2786</v>
      </c>
    </row>
    <row r="8" spans="2:9" ht="13.5" customHeight="1" x14ac:dyDescent="0.25">
      <c r="B8" s="39">
        <f>$C$3-0.01</f>
        <v>5.6816792377927743E-2</v>
      </c>
      <c r="C8" s="37">
        <f>IFERROR(ROUND(('DCF Model'!C45/(1+$B8)^('DCF Model'!C19+0)+'DCF Model'!D45/(1+$B8)^('DCF Model'!C19+1)+'DCF Model'!E45/(1+$B8)^('DCF Model'!C19+2)+'DCF Model'!F45/(1+$B8)^('DCF Model'!C19+3)+'DCF Model'!G45/(1+$B8)^('DCF Model'!C19+4)+'DCF Model'!G45*(1+C$6)/($B8-C$6)/(1+$B8)^('DCF Model'!C19+4)-'DCF Model'!C16)*1000000/'DCF Model'!C15,0),"")</f>
        <v>1731</v>
      </c>
      <c r="D8" s="37">
        <f>IFERROR(ROUND(('DCF Model'!C45/(1+$B8)^('DCF Model'!C19+0)+'DCF Model'!D45/(1+$B8)^('DCF Model'!C19+1)+'DCF Model'!E45/(1+$B8)^('DCF Model'!C19+2)+'DCF Model'!F45/(1+$B8)^('DCF Model'!C19+3)+'DCF Model'!G45/(1+$B8)^('DCF Model'!C19+4)+'DCF Model'!G45*(1+D$6)/($B8-D$6)/(1+$B8)^('DCF Model'!C19+4)-'DCF Model'!C16)*1000000/'DCF Model'!C15,0),"")</f>
        <v>1813</v>
      </c>
      <c r="E8" s="37">
        <f>IFERROR(ROUND(('DCF Model'!C45/(1+$B8)^('DCF Model'!C19+0)+'DCF Model'!D45/(1+$B8)^('DCF Model'!C19+1)+'DCF Model'!E45/(1+$B8)^('DCF Model'!C19+2)+'DCF Model'!F45/(1+$B8)^('DCF Model'!C19+3)+'DCF Model'!G45/(1+$B8)^('DCF Model'!C19+4)+'DCF Model'!G45*(1+E$6)/($B8-E$6)/(1+$B8)^('DCF Model'!C19+4)-'DCF Model'!C16)*1000000/'DCF Model'!C15,0),"")</f>
        <v>1904</v>
      </c>
      <c r="F8" s="37">
        <f>IFERROR(ROUND(('DCF Model'!C45/(1+$B8)^('DCF Model'!C19+0)+'DCF Model'!D45/(1+$B8)^('DCF Model'!C19+1)+'DCF Model'!E45/(1+$B8)^('DCF Model'!C19+2)+'DCF Model'!F45/(1+$B8)^('DCF Model'!C19+3)+'DCF Model'!G45/(1+$B8)^('DCF Model'!C19+4)+'DCF Model'!G45*(1+F$6)/($B8-F$6)/(1+$B8)^('DCF Model'!C19+4)-'DCF Model'!C16)*1000000/'DCF Model'!C15,0),"")</f>
        <v>2005</v>
      </c>
      <c r="G8" s="37">
        <f>IFERROR(ROUND(('DCF Model'!C45/(1+$B8)^('DCF Model'!C19+0)+'DCF Model'!D45/(1+$B8)^('DCF Model'!C19+1)+'DCF Model'!E45/(1+$B8)^('DCF Model'!C19+2)+'DCF Model'!F45/(1+$B8)^('DCF Model'!C19+3)+'DCF Model'!G45/(1+$B8)^('DCF Model'!C19+4)+'DCF Model'!G45*(1+G$6)/($B8-G$6)/(1+$B8)^('DCF Model'!C19+4)-'DCF Model'!C16)*1000000/'DCF Model'!C15,0),"")</f>
        <v>2117</v>
      </c>
      <c r="H8" s="37">
        <f>IFERROR(ROUND(('DCF Model'!C45/(1+$B8)^('DCF Model'!C19+0)+'DCF Model'!D45/(1+$B8)^('DCF Model'!C19+1)+'DCF Model'!E45/(1+$B8)^('DCF Model'!C19+2)+'DCF Model'!F45/(1+$B8)^('DCF Model'!C19+3)+'DCF Model'!G45/(1+$B8)^('DCF Model'!C19+4)+'DCF Model'!G45*(1+H$6)/($B8-H$6)/(1+$B8)^('DCF Model'!C19+4)-'DCF Model'!C16)*1000000/'DCF Model'!C15,0),"")</f>
        <v>2243</v>
      </c>
      <c r="I8" s="37">
        <f>IFERROR(ROUND(('DCF Model'!C45/(1+$B8)^('DCF Model'!C19+0)+'DCF Model'!D45/(1+$B8)^('DCF Model'!C19+1)+'DCF Model'!E45/(1+$B8)^('DCF Model'!C19+2)+'DCF Model'!F45/(1+$B8)^('DCF Model'!C19+3)+'DCF Model'!G45/(1+$B8)^('DCF Model'!C19+4)+'DCF Model'!G45*(1+I$6)/($B8-I$6)/(1+$B8)^('DCF Model'!C19+4)-'DCF Model'!C16)*1000000/'DCF Model'!C15,0),"")</f>
        <v>2384</v>
      </c>
    </row>
    <row r="9" spans="2:9" ht="13.5" customHeight="1" x14ac:dyDescent="0.25">
      <c r="B9" s="39">
        <f>$C$3-0.005</f>
        <v>6.1816792377927747E-2</v>
      </c>
      <c r="C9" s="37">
        <f>IFERROR(ROUND(('DCF Model'!C45/(1+$B9)^('DCF Model'!C19+0)+'DCF Model'!D45/(1+$B9)^('DCF Model'!C19+1)+'DCF Model'!E45/(1+$B9)^('DCF Model'!C19+2)+'DCF Model'!F45/(1+$B9)^('DCF Model'!C19+3)+'DCF Model'!G45/(1+$B9)^('DCF Model'!C19+4)+'DCF Model'!G45*(1+C$6)/($B9-C$6)/(1+$B9)^('DCF Model'!C19+4)-'DCF Model'!C16)*1000000/'DCF Model'!C15,0),"")</f>
        <v>1552</v>
      </c>
      <c r="D9" s="37">
        <f>IFERROR(ROUND(('DCF Model'!C45/(1+$B9)^('DCF Model'!C19+0)+'DCF Model'!D45/(1+$B9)^('DCF Model'!C19+1)+'DCF Model'!E45/(1+$B9)^('DCF Model'!C19+2)+'DCF Model'!F45/(1+$B9)^('DCF Model'!C19+3)+'DCF Model'!G45/(1+$B9)^('DCF Model'!C19+4)+'DCF Model'!G45*(1+D$6)/($B9-D$6)/(1+$B9)^('DCF Model'!C19+4)-'DCF Model'!C16)*1000000/'DCF Model'!C15,0),"")</f>
        <v>1620</v>
      </c>
      <c r="E9" s="37">
        <f>IFERROR(ROUND(('DCF Model'!C45/(1+$B9)^('DCF Model'!C19+0)+'DCF Model'!D45/(1+$B9)^('DCF Model'!C19+1)+'DCF Model'!E45/(1+$B9)^('DCF Model'!C19+2)+'DCF Model'!F45/(1+$B9)^('DCF Model'!C19+3)+'DCF Model'!G45/(1+$B9)^('DCF Model'!C19+4)+'DCF Model'!G45*(1+E$6)/($B9-E$6)/(1+$B9)^('DCF Model'!C19+4)-'DCF Model'!C16)*1000000/'DCF Model'!C15,0),"")</f>
        <v>1694</v>
      </c>
      <c r="F9" s="37">
        <f>IFERROR(ROUND(('DCF Model'!C45/(1+$B9)^('DCF Model'!C19+0)+'DCF Model'!D45/(1+$B9)^('DCF Model'!C19+1)+'DCF Model'!E45/(1+$B9)^('DCF Model'!C19+2)+'DCF Model'!F45/(1+$B9)^('DCF Model'!C19+3)+'DCF Model'!G45/(1+$B9)^('DCF Model'!C19+4)+'DCF Model'!G45*(1+F$6)/($B9-F$6)/(1+$B9)^('DCF Model'!C19+4)-'DCF Model'!C16)*1000000/'DCF Model'!C15,0),"")</f>
        <v>1775</v>
      </c>
      <c r="G9" s="37">
        <f>IFERROR(ROUND(('DCF Model'!C45/(1+$B9)^('DCF Model'!C19+0)+'DCF Model'!D45/(1+$B9)^('DCF Model'!C19+1)+'DCF Model'!E45/(1+$B9)^('DCF Model'!C19+2)+'DCF Model'!F45/(1+$B9)^('DCF Model'!C19+3)+'DCF Model'!G45/(1+$B9)^('DCF Model'!C19+4)+'DCF Model'!G45*(1+G$6)/($B9-G$6)/(1+$B9)^('DCF Model'!C19+4)-'DCF Model'!C16)*1000000/'DCF Model'!C15,0),"")</f>
        <v>1864</v>
      </c>
      <c r="H9" s="37">
        <f>IFERROR(ROUND(('DCF Model'!C45/(1+$B9)^('DCF Model'!C19+0)+'DCF Model'!D45/(1+$B9)^('DCF Model'!C19+1)+'DCF Model'!E45/(1+$B9)^('DCF Model'!C19+2)+'DCF Model'!F45/(1+$B9)^('DCF Model'!C19+3)+'DCF Model'!G45/(1+$B9)^('DCF Model'!C19+4)+'DCF Model'!G45*(1+H$6)/($B9-H$6)/(1+$B9)^('DCF Model'!C19+4)-'DCF Model'!C16)*1000000/'DCF Model'!C15,0),"")</f>
        <v>1963</v>
      </c>
      <c r="I9" s="37">
        <f>IFERROR(ROUND(('DCF Model'!C45/(1+$B9)^('DCF Model'!C19+0)+'DCF Model'!D45/(1+$B9)^('DCF Model'!C19+1)+'DCF Model'!E45/(1+$B9)^('DCF Model'!C19+2)+'DCF Model'!F45/(1+$B9)^('DCF Model'!C19+3)+'DCF Model'!G45/(1+$B9)^('DCF Model'!C19+4)+'DCF Model'!G45*(1+I$6)/($B9-I$6)/(1+$B9)^('DCF Model'!C19+4)-'DCF Model'!C16)*1000000/'DCF Model'!C15,0),"")</f>
        <v>2073</v>
      </c>
    </row>
    <row r="10" spans="2:9" ht="13.5" customHeight="1" x14ac:dyDescent="0.25">
      <c r="B10" s="39">
        <f>$C$3</f>
        <v>6.6816792377927745E-2</v>
      </c>
      <c r="C10" s="37">
        <f>IFERROR(ROUND(('DCF Model'!C45/(1+$B10)^('DCF Model'!C19+0)+'DCF Model'!D45/(1+$B10)^('DCF Model'!C19+1)+'DCF Model'!E45/(1+$B10)^('DCF Model'!C19+2)+'DCF Model'!F45/(1+$B10)^('DCF Model'!C19+3)+'DCF Model'!G45/(1+$B10)^('DCF Model'!C19+4)+'DCF Model'!G45*(1+C$6)/($B10-C$6)/(1+$B10)^('DCF Model'!C19+4)-'DCF Model'!C16)*1000000/'DCF Model'!C15,0),"")</f>
        <v>1401</v>
      </c>
      <c r="D10" s="37">
        <f>IFERROR(ROUND(('DCF Model'!C45/(1+$B10)^('DCF Model'!C19+0)+'DCF Model'!D45/(1+$B10)^('DCF Model'!C19+1)+'DCF Model'!E45/(1+$B10)^('DCF Model'!C19+2)+'DCF Model'!F45/(1+$B10)^('DCF Model'!C19+3)+'DCF Model'!G45/(1+$B10)^('DCF Model'!C19+4)+'DCF Model'!G45*(1+D$6)/($B10-D$6)/(1+$B10)^('DCF Model'!C19+4)-'DCF Model'!C16)*1000000/'DCF Model'!C15,0),"")</f>
        <v>1458</v>
      </c>
      <c r="E10" s="37">
        <f>IFERROR(ROUND(('DCF Model'!C45/(1+$B10)^('DCF Model'!C19+0)+'DCF Model'!D45/(1+$B10)^('DCF Model'!C19+1)+'DCF Model'!E45/(1+$B10)^('DCF Model'!C19+2)+'DCF Model'!F45/(1+$B10)^('DCF Model'!C19+3)+'DCF Model'!G45/(1+$B10)^('DCF Model'!C19+4)+'DCF Model'!G45*(1+E$6)/($B10-E$6)/(1+$B10)^('DCF Model'!C19+4)-'DCF Model'!C16)*1000000/'DCF Model'!C15,0),"")</f>
        <v>1519</v>
      </c>
      <c r="F10" s="37">
        <f>IFERROR(ROUND(('DCF Model'!C45/(1+$B10)^('DCF Model'!C19+0)+'DCF Model'!D45/(1+$B10)^('DCF Model'!C19+1)+'DCF Model'!E45/(1+$B10)^('DCF Model'!C19+2)+'DCF Model'!F45/(1+$B10)^('DCF Model'!C19+3)+'DCF Model'!G45/(1+$B10)^('DCF Model'!C19+4)+'DCF Model'!G45*(1+F$6)/($B10-F$6)/(1+$B10)^('DCF Model'!C19+4)-'DCF Model'!C16)*1000000/'DCF Model'!C15,0),"")</f>
        <v>1585</v>
      </c>
      <c r="G10" s="37">
        <f>IFERROR(ROUND(('DCF Model'!C45/(1+$B10)^('DCF Model'!C19+0)+'DCF Model'!D45/(1+$B10)^('DCF Model'!C19+1)+'DCF Model'!E45/(1+$B10)^('DCF Model'!C19+2)+'DCF Model'!F45/(1+$B10)^('DCF Model'!C19+3)+'DCF Model'!G45/(1+$B10)^('DCF Model'!C19+4)+'DCF Model'!G45*(1+G$6)/($B10-G$6)/(1+$B10)^('DCF Model'!C19+4)-'DCF Model'!C16)*1000000/'DCF Model'!C15,0),"")</f>
        <v>1658</v>
      </c>
      <c r="H10" s="37">
        <f>IFERROR(ROUND(('DCF Model'!C45/(1+$B10)^('DCF Model'!C19+0)+'DCF Model'!D45/(1+$B10)^('DCF Model'!C19+1)+'DCF Model'!E45/(1+$B10)^('DCF Model'!C19+2)+'DCF Model'!F45/(1+$B10)^('DCF Model'!C19+3)+'DCF Model'!G45/(1+$B10)^('DCF Model'!C19+4)+'DCF Model'!G45*(1+H$6)/($B10-H$6)/(1+$B10)^('DCF Model'!C19+4)-'DCF Model'!C16)*1000000/'DCF Model'!C15,0),"")</f>
        <v>1738</v>
      </c>
      <c r="I10" s="37">
        <f>IFERROR(ROUND(('DCF Model'!C45/(1+$B10)^('DCF Model'!C19+0)+'DCF Model'!D45/(1+$B10)^('DCF Model'!C19+1)+'DCF Model'!E45/(1+$B10)^('DCF Model'!C19+2)+'DCF Model'!F45/(1+$B10)^('DCF Model'!C19+3)+'DCF Model'!G45/(1+$B10)^('DCF Model'!C19+4)+'DCF Model'!G45*(1+I$6)/($B10-I$6)/(1+$B10)^('DCF Model'!C19+4)-'DCF Model'!C16)*1000000/'DCF Model'!C15,0),"")</f>
        <v>1825</v>
      </c>
    </row>
    <row r="11" spans="2:9" ht="13.5" customHeight="1" x14ac:dyDescent="0.25">
      <c r="B11" s="39">
        <f>$C$3+0.005</f>
        <v>7.1816792377927749E-2</v>
      </c>
      <c r="C11" s="37">
        <f>IFERROR(ROUND(('DCF Model'!C45/(1+$B11)^('DCF Model'!C19+0)+'DCF Model'!D45/(1+$B11)^('DCF Model'!C19+1)+'DCF Model'!E45/(1+$B11)^('DCF Model'!C19+2)+'DCF Model'!F45/(1+$B11)^('DCF Model'!C19+3)+'DCF Model'!G45/(1+$B11)^('DCF Model'!C19+4)+'DCF Model'!G45*(1+C$6)/($B11-C$6)/(1+$B11)^('DCF Model'!C19+4)-'DCF Model'!C16)*1000000/'DCF Model'!C15,0),"")</f>
        <v>1272</v>
      </c>
      <c r="D11" s="37">
        <f>IFERROR(ROUND(('DCF Model'!C45/(1+$B11)^('DCF Model'!C19+0)+'DCF Model'!D45/(1+$B11)^('DCF Model'!C19+1)+'DCF Model'!E45/(1+$B11)^('DCF Model'!C19+2)+'DCF Model'!F45/(1+$B11)^('DCF Model'!C19+3)+'DCF Model'!G45/(1+$B11)^('DCF Model'!C19+4)+'DCF Model'!G45*(1+D$6)/($B11-D$6)/(1+$B11)^('DCF Model'!C19+4)-'DCF Model'!C16)*1000000/'DCF Model'!C15,0),"")</f>
        <v>1320</v>
      </c>
      <c r="E11" s="37">
        <f>IFERROR(ROUND(('DCF Model'!C45/(1+$B11)^('DCF Model'!C19+0)+'DCF Model'!D45/(1+$B11)^('DCF Model'!C19+1)+'DCF Model'!E45/(1+$B11)^('DCF Model'!C19+2)+'DCF Model'!F45/(1+$B11)^('DCF Model'!C19+3)+'DCF Model'!G45/(1+$B11)^('DCF Model'!C19+4)+'DCF Model'!G45*(1+E$6)/($B11-E$6)/(1+$B11)^('DCF Model'!C19+4)-'DCF Model'!C16)*1000000/'DCF Model'!C15,0),"")</f>
        <v>1371</v>
      </c>
      <c r="F11" s="37">
        <f>IFERROR(ROUND(('DCF Model'!C45/(1+$B11)^('DCF Model'!C19+0)+'DCF Model'!D45/(1+$B11)^('DCF Model'!C19+1)+'DCF Model'!E45/(1+$B11)^('DCF Model'!C19+2)+'DCF Model'!F45/(1+$B11)^('DCF Model'!C19+3)+'DCF Model'!G45/(1+$B11)^('DCF Model'!C19+4)+'DCF Model'!G45*(1+F$6)/($B11-F$6)/(1+$B11)^('DCF Model'!C19+4)-'DCF Model'!C16)*1000000/'DCF Model'!C15,0),"")</f>
        <v>1426</v>
      </c>
      <c r="G11" s="37">
        <f>IFERROR(ROUND(('DCF Model'!C45/(1+$B11)^('DCF Model'!C19+0)+'DCF Model'!D45/(1+$B11)^('DCF Model'!C19+1)+'DCF Model'!E45/(1+$B11)^('DCF Model'!C19+2)+'DCF Model'!F45/(1+$B11)^('DCF Model'!C19+3)+'DCF Model'!G45/(1+$B11)^('DCF Model'!C19+4)+'DCF Model'!G45*(1+G$6)/($B11-G$6)/(1+$B11)^('DCF Model'!C19+4)-'DCF Model'!C16)*1000000/'DCF Model'!C15,0),"")</f>
        <v>1486</v>
      </c>
      <c r="H11" s="37">
        <f>IFERROR(ROUND(('DCF Model'!C45/(1+$B11)^('DCF Model'!C19+0)+'DCF Model'!D45/(1+$B11)^('DCF Model'!C19+1)+'DCF Model'!E45/(1+$B11)^('DCF Model'!C19+2)+'DCF Model'!F45/(1+$B11)^('DCF Model'!C19+3)+'DCF Model'!G45/(1+$B11)^('DCF Model'!C19+4)+'DCF Model'!G45*(1+H$6)/($B11-H$6)/(1+$B11)^('DCF Model'!C19+4)-'DCF Model'!C16)*1000000/'DCF Model'!C15,0),"")</f>
        <v>1552</v>
      </c>
      <c r="I11" s="37">
        <f>IFERROR(ROUND(('DCF Model'!C45/(1+$B11)^('DCF Model'!C19+0)+'DCF Model'!D45/(1+$B11)^('DCF Model'!C19+1)+'DCF Model'!E45/(1+$B11)^('DCF Model'!C19+2)+'DCF Model'!F45/(1+$B11)^('DCF Model'!C19+3)+'DCF Model'!G45/(1+$B11)^('DCF Model'!C19+4)+'DCF Model'!G45*(1+I$6)/($B11-I$6)/(1+$B11)^('DCF Model'!C19+4)-'DCF Model'!C16)*1000000/'DCF Model'!C15,0),"")</f>
        <v>1623</v>
      </c>
    </row>
    <row r="12" spans="2:9" ht="13.5" customHeight="1" x14ac:dyDescent="0.25">
      <c r="B12" s="39">
        <f>$C$3+0.01</f>
        <v>7.681679237792774E-2</v>
      </c>
      <c r="C12" s="37">
        <f>IFERROR(ROUND(('DCF Model'!C45/(1+$B12)^('DCF Model'!C19+0)+'DCF Model'!D45/(1+$B12)^('DCF Model'!C19+1)+'DCF Model'!E45/(1+$B12)^('DCF Model'!C19+2)+'DCF Model'!F45/(1+$B12)^('DCF Model'!C19+3)+'DCF Model'!G45/(1+$B12)^('DCF Model'!C19+4)+'DCF Model'!G45*(1+C$6)/($B12-C$6)/(1+$B12)^('DCF Model'!C19+4)-'DCF Model'!C16)*1000000/'DCF Model'!C15,0),"")</f>
        <v>1161</v>
      </c>
      <c r="D12" s="37">
        <f>IFERROR(ROUND(('DCF Model'!C45/(1+$B12)^('DCF Model'!C19+0)+'DCF Model'!D45/(1+$B12)^('DCF Model'!C19+1)+'DCF Model'!E45/(1+$B12)^('DCF Model'!C19+2)+'DCF Model'!F45/(1+$B12)^('DCF Model'!C19+3)+'DCF Model'!G45/(1+$B12)^('DCF Model'!C19+4)+'DCF Model'!G45*(1+D$6)/($B12-D$6)/(1+$B12)^('DCF Model'!C19+4)-'DCF Model'!C16)*1000000/'DCF Model'!C15,0),"")</f>
        <v>1201</v>
      </c>
      <c r="E12" s="37">
        <f>IFERROR(ROUND(('DCF Model'!C45/(1+$B12)^('DCF Model'!C19+0)+'DCF Model'!D45/(1+$B12)^('DCF Model'!C19+1)+'DCF Model'!E45/(1+$B12)^('DCF Model'!C19+2)+'DCF Model'!F45/(1+$B12)^('DCF Model'!C19+3)+'DCF Model'!G45/(1+$B12)^('DCF Model'!C19+4)+'DCF Model'!G45*(1+E$6)/($B12-E$6)/(1+$B12)^('DCF Model'!C19+4)-'DCF Model'!C16)*1000000/'DCF Model'!C15,0),"")</f>
        <v>1245</v>
      </c>
      <c r="F12" s="37">
        <f>IFERROR(ROUND(('DCF Model'!C45/(1+$B12)^('DCF Model'!C19+0)+'DCF Model'!D45/(1+$B12)^('DCF Model'!C19+1)+'DCF Model'!E45/(1+$B12)^('DCF Model'!C19+2)+'DCF Model'!F45/(1+$B12)^('DCF Model'!C19+3)+'DCF Model'!G45/(1+$B12)^('DCF Model'!C19+4)+'DCF Model'!G45*(1+F$6)/($B12-F$6)/(1+$B12)^('DCF Model'!C19+4)-'DCF Model'!C16)*1000000/'DCF Model'!C15,0),"")</f>
        <v>1291</v>
      </c>
      <c r="G12" s="37">
        <f>IFERROR(ROUND(('DCF Model'!C45/(1+$B12)^('DCF Model'!C19+0)+'DCF Model'!D45/(1+$B12)^('DCF Model'!C19+1)+'DCF Model'!E45/(1+$B12)^('DCF Model'!C19+2)+'DCF Model'!F45/(1+$B12)^('DCF Model'!C19+3)+'DCF Model'!G45/(1+$B12)^('DCF Model'!C19+4)+'DCF Model'!G45*(1+G$6)/($B12-G$6)/(1+$B12)^('DCF Model'!C19+4)-'DCF Model'!C16)*1000000/'DCF Model'!C15,0),"")</f>
        <v>1341</v>
      </c>
      <c r="H12" s="37">
        <f>IFERROR(ROUND(('DCF Model'!C45/(1+$B12)^('DCF Model'!C19+0)+'DCF Model'!D45/(1+$B12)^('DCF Model'!C19+1)+'DCF Model'!E45/(1+$B12)^('DCF Model'!C19+2)+'DCF Model'!F45/(1+$B12)^('DCF Model'!C19+3)+'DCF Model'!G45/(1+$B12)^('DCF Model'!C19+4)+'DCF Model'!G45*(1+H$6)/($B12-H$6)/(1+$B12)^('DCF Model'!C19+4)-'DCF Model'!C16)*1000000/'DCF Model'!C15,0),"")</f>
        <v>1396</v>
      </c>
      <c r="I12" s="37">
        <f>IFERROR(ROUND(('DCF Model'!C45/(1+$B12)^('DCF Model'!C19+0)+'DCF Model'!D45/(1+$B12)^('DCF Model'!C19+1)+'DCF Model'!E45/(1+$B12)^('DCF Model'!C19+2)+'DCF Model'!F45/(1+$B12)^('DCF Model'!C19+3)+'DCF Model'!G45/(1+$B12)^('DCF Model'!C19+4)+'DCF Model'!G45*(1+I$6)/($B12-I$6)/(1+$B12)^('DCF Model'!C19+4)-'DCF Model'!C16)*1000000/'DCF Model'!C15,0),"")</f>
        <v>1455</v>
      </c>
    </row>
    <row r="13" spans="2:9" ht="13.5" customHeight="1" x14ac:dyDescent="0.25">
      <c r="B13" s="39">
        <f>$C$3+0.015</f>
        <v>8.1816792377927744E-2</v>
      </c>
      <c r="C13" s="37">
        <f>IFERROR(ROUND(('DCF Model'!C45/(1+$B13)^('DCF Model'!C19+0)+'DCF Model'!D45/(1+$B13)^('DCF Model'!C19+1)+'DCF Model'!E45/(1+$B13)^('DCF Model'!C19+2)+'DCF Model'!F45/(1+$B13)^('DCF Model'!C19+3)+'DCF Model'!G45/(1+$B13)^('DCF Model'!C19+4)+'DCF Model'!G45*(1+C$6)/($B13-C$6)/(1+$B13)^('DCF Model'!C19+4)-'DCF Model'!C16)*1000000/'DCF Model'!C15,0),"")</f>
        <v>1063</v>
      </c>
      <c r="D13" s="37">
        <f>IFERROR(ROUND(('DCF Model'!C45/(1+$B13)^('DCF Model'!C19+0)+'DCF Model'!D45/(1+$B13)^('DCF Model'!C19+1)+'DCF Model'!E45/(1+$B13)^('DCF Model'!C19+2)+'DCF Model'!F45/(1+$B13)^('DCF Model'!C19+3)+'DCF Model'!G45/(1+$B13)^('DCF Model'!C19+4)+'DCF Model'!G45*(1+D$6)/($B13-D$6)/(1+$B13)^('DCF Model'!C19+4)-'DCF Model'!C16)*1000000/'DCF Model'!C15,0),"")</f>
        <v>1098</v>
      </c>
      <c r="E13" s="37">
        <f>IFERROR(ROUND(('DCF Model'!C45/(1+$B13)^('DCF Model'!C19+0)+'DCF Model'!D45/(1+$B13)^('DCF Model'!C19+1)+'DCF Model'!E45/(1+$B13)^('DCF Model'!C19+2)+'DCF Model'!F45/(1+$B13)^('DCF Model'!C19+3)+'DCF Model'!G45/(1+$B13)^('DCF Model'!C19+4)+'DCF Model'!G45*(1+E$6)/($B13-E$6)/(1+$B13)^('DCF Model'!C19+4)-'DCF Model'!C16)*1000000/'DCF Model'!C15,0),"")</f>
        <v>1135</v>
      </c>
      <c r="F13" s="37">
        <f>IFERROR(ROUND(('DCF Model'!C45/(1+$B13)^('DCF Model'!C19+0)+'DCF Model'!D45/(1+$B13)^('DCF Model'!C19+1)+'DCF Model'!E45/(1+$B13)^('DCF Model'!C19+2)+'DCF Model'!F45/(1+$B13)^('DCF Model'!C19+3)+'DCF Model'!G45/(1+$B13)^('DCF Model'!C19+4)+'DCF Model'!G45*(1+F$6)/($B13-F$6)/(1+$B13)^('DCF Model'!C19+4)-'DCF Model'!C16)*1000000/'DCF Model'!C15,0),"")</f>
        <v>1175</v>
      </c>
      <c r="G13" s="37">
        <f>IFERROR(ROUND(('DCF Model'!C45/(1+$B13)^('DCF Model'!C19+0)+'DCF Model'!D45/(1+$B13)^('DCF Model'!C19+1)+'DCF Model'!E45/(1+$B13)^('DCF Model'!C19+2)+'DCF Model'!F45/(1+$B13)^('DCF Model'!C19+3)+'DCF Model'!G45/(1+$B13)^('DCF Model'!C19+4)+'DCF Model'!G45*(1+G$6)/($B13-G$6)/(1+$B13)^('DCF Model'!C19+4)-'DCF Model'!C16)*1000000/'DCF Model'!C15,0),"")</f>
        <v>1217</v>
      </c>
      <c r="H13" s="37">
        <f>IFERROR(ROUND(('DCF Model'!C45/(1+$B13)^('DCF Model'!C19+0)+'DCF Model'!D45/(1+$B13)^('DCF Model'!C19+1)+'DCF Model'!E45/(1+$B13)^('DCF Model'!C19+2)+'DCF Model'!F45/(1+$B13)^('DCF Model'!C19+3)+'DCF Model'!G45/(1+$B13)^('DCF Model'!C19+4)+'DCF Model'!G45*(1+H$6)/($B13-H$6)/(1+$B13)^('DCF Model'!C19+4)-'DCF Model'!C16)*1000000/'DCF Model'!C15,0),"")</f>
        <v>1263</v>
      </c>
      <c r="I13" s="37">
        <f>IFERROR(ROUND(('DCF Model'!C45/(1+$B13)^('DCF Model'!C19+0)+'DCF Model'!D45/(1+$B13)^('DCF Model'!C19+1)+'DCF Model'!E45/(1+$B13)^('DCF Model'!C19+2)+'DCF Model'!F45/(1+$B13)^('DCF Model'!C19+3)+'DCF Model'!G45/(1+$B13)^('DCF Model'!C19+4)+'DCF Model'!G45*(1+I$6)/($B13-I$6)/(1+$B13)^('DCF Model'!C19+4)-'DCF Model'!C16)*1000000/'DCF Model'!C15,0),"")</f>
        <v>1312</v>
      </c>
    </row>
    <row r="16" spans="2:9" ht="14" customHeight="1" x14ac:dyDescent="0.3">
      <c r="B16" s="3" t="s">
        <v>235</v>
      </c>
    </row>
    <row r="17" spans="2:9" ht="14" customHeight="1" x14ac:dyDescent="0.3">
      <c r="B17" s="40" t="s">
        <v>236</v>
      </c>
      <c r="C17" s="42">
        <f>$I$3-3</f>
        <v>6.1999999999999993</v>
      </c>
      <c r="D17" s="42">
        <f>$I$3-2</f>
        <v>7.1999999999999993</v>
      </c>
      <c r="E17" s="42">
        <f>$I$3-1</f>
        <v>8.1999999999999993</v>
      </c>
      <c r="F17" s="42">
        <f>$I$3</f>
        <v>9.1999999999999993</v>
      </c>
      <c r="G17" s="42">
        <f>$I$3+1</f>
        <v>10.199999999999999</v>
      </c>
      <c r="H17" s="42">
        <f>$I$3+2</f>
        <v>11.2</v>
      </c>
      <c r="I17" s="42">
        <f>$I$3+3</f>
        <v>12.2</v>
      </c>
    </row>
    <row r="18" spans="2:9" ht="13.5" customHeight="1" x14ac:dyDescent="0.25">
      <c r="B18" s="39">
        <f>$C$3-0.015</f>
        <v>5.1816792377927745E-2</v>
      </c>
      <c r="C18" s="37">
        <f>IFERROR(ROUND(('DCF Model'!C45/(1+$B18)^('DCF Model'!C19+0)+'DCF Model'!D45/(1+$B18)^('DCF Model'!C19+1)+'DCF Model'!E45/(1+$B18)^('DCF Model'!C19+2)+'DCF Model'!F45/(1+$B18)^('DCF Model'!C19+3)+'DCF Model'!G45/(1+$B18)^('DCF Model'!C19+4)+('DCF Model'!G39+'DCF Model'!G42)*C$17/(1+$B18)^('DCF Model'!C19+4)-'DCF Model'!C16)*1000000/'DCF Model'!C15,0),"")</f>
        <v>1844</v>
      </c>
      <c r="D18" s="37">
        <f>IFERROR(ROUND(('DCF Model'!C45/(1+$B18)^('DCF Model'!C19+0)+'DCF Model'!D45/(1+$B18)^('DCF Model'!C19+1)+'DCF Model'!E45/(1+$B18)^('DCF Model'!C19+2)+'DCF Model'!F45/(1+$B18)^('DCF Model'!C19+3)+'DCF Model'!G45/(1+$B18)^('DCF Model'!C19+4)+('DCF Model'!G39+'DCF Model'!G42)*D$17/(1+$B18)^('DCF Model'!C19+4)-'DCF Model'!C16)*1000000/'DCF Model'!C15,0),"")</f>
        <v>2123</v>
      </c>
      <c r="E18" s="37">
        <f>IFERROR(ROUND(('DCF Model'!C45/(1+$B18)^('DCF Model'!C19+0)+'DCF Model'!D45/(1+$B18)^('DCF Model'!C19+1)+'DCF Model'!E45/(1+$B18)^('DCF Model'!C19+2)+'DCF Model'!F45/(1+$B18)^('DCF Model'!C19+3)+'DCF Model'!G45/(1+$B18)^('DCF Model'!C19+4)+('DCF Model'!G39+'DCF Model'!G42)*E$17/(1+$B18)^('DCF Model'!C19+4)-'DCF Model'!C16)*1000000/'DCF Model'!C15,0),"")</f>
        <v>2402</v>
      </c>
      <c r="F18" s="37">
        <f>IFERROR(ROUND(('DCF Model'!C45/(1+$B18)^('DCF Model'!C19+0)+'DCF Model'!D45/(1+$B18)^('DCF Model'!C19+1)+'DCF Model'!E45/(1+$B18)^('DCF Model'!C19+2)+'DCF Model'!F45/(1+$B18)^('DCF Model'!C19+3)+'DCF Model'!G45/(1+$B18)^('DCF Model'!C19+4)+('DCF Model'!G39+'DCF Model'!G42)*F$17/(1+$B18)^('DCF Model'!C19+4)-'DCF Model'!C16)*1000000/'DCF Model'!C15,0),"")</f>
        <v>2682</v>
      </c>
      <c r="G18" s="37">
        <f>IFERROR(ROUND(('DCF Model'!C45/(1+$B18)^('DCF Model'!C19+0)+'DCF Model'!D45/(1+$B18)^('DCF Model'!C19+1)+'DCF Model'!E45/(1+$B18)^('DCF Model'!C19+2)+'DCF Model'!F45/(1+$B18)^('DCF Model'!C19+3)+'DCF Model'!G45/(1+$B18)^('DCF Model'!C19+4)+('DCF Model'!G39+'DCF Model'!G42)*G$17/(1+$B18)^('DCF Model'!C19+4)-'DCF Model'!C16)*1000000/'DCF Model'!C15,0),"")</f>
        <v>2961</v>
      </c>
      <c r="H18" s="37">
        <f>IFERROR(ROUND(('DCF Model'!C45/(1+$B18)^('DCF Model'!C19+0)+'DCF Model'!D45/(1+$B18)^('DCF Model'!C19+1)+'DCF Model'!E45/(1+$B18)^('DCF Model'!C19+2)+'DCF Model'!F45/(1+$B18)^('DCF Model'!C19+3)+'DCF Model'!G45/(1+$B18)^('DCF Model'!C19+4)+('DCF Model'!G39+'DCF Model'!G42)*H$17/(1+$B18)^('DCF Model'!C19+4)-'DCF Model'!C16)*1000000/'DCF Model'!C15,0),"")</f>
        <v>3240</v>
      </c>
      <c r="I18" s="37">
        <f>IFERROR(ROUND(('DCF Model'!C45/(1+$B18)^('DCF Model'!C19+0)+'DCF Model'!D45/(1+$B18)^('DCF Model'!C19+1)+'DCF Model'!E45/(1+$B18)^('DCF Model'!C19+2)+'DCF Model'!F45/(1+$B18)^('DCF Model'!C19+3)+'DCF Model'!G45/(1+$B18)^('DCF Model'!C19+4)+('DCF Model'!G39+'DCF Model'!G42)*I$17/(1+$B18)^('DCF Model'!C19+4)-'DCF Model'!C16)*1000000/'DCF Model'!C15,0),"")</f>
        <v>3520</v>
      </c>
    </row>
    <row r="19" spans="2:9" ht="13.5" customHeight="1" x14ac:dyDescent="0.25">
      <c r="B19" s="39">
        <f>$C$3-0.01</f>
        <v>5.6816792377927743E-2</v>
      </c>
      <c r="C19" s="37">
        <f>IFERROR(ROUND(('DCF Model'!C45/(1+$B19)^('DCF Model'!C19+0)+'DCF Model'!D45/(1+$B19)^('DCF Model'!C19+1)+'DCF Model'!E45/(1+$B19)^('DCF Model'!C19+2)+'DCF Model'!F45/(1+$B19)^('DCF Model'!C19+3)+'DCF Model'!G45/(1+$B19)^('DCF Model'!C19+4)+('DCF Model'!G39+'DCF Model'!G42)*C$17/(1+$B19)^('DCF Model'!C19+4)-'DCF Model'!C16)*1000000/'DCF Model'!C15,0),"")</f>
        <v>1796</v>
      </c>
      <c r="D19" s="37">
        <f>IFERROR(ROUND(('DCF Model'!C45/(1+$B19)^('DCF Model'!C19+0)+'DCF Model'!D45/(1+$B19)^('DCF Model'!C19+1)+'DCF Model'!E45/(1+$B19)^('DCF Model'!C19+2)+'DCF Model'!F45/(1+$B19)^('DCF Model'!C19+3)+'DCF Model'!G45/(1+$B19)^('DCF Model'!C19+4)+('DCF Model'!G39+'DCF Model'!G42)*D$17/(1+$B19)^('DCF Model'!C19+4)-'DCF Model'!C16)*1000000/'DCF Model'!C15,0),"")</f>
        <v>2069</v>
      </c>
      <c r="E19" s="37">
        <f>IFERROR(ROUND(('DCF Model'!C45/(1+$B19)^('DCF Model'!C19+0)+'DCF Model'!D45/(1+$B19)^('DCF Model'!C19+1)+'DCF Model'!E45/(1+$B19)^('DCF Model'!C19+2)+'DCF Model'!F45/(1+$B19)^('DCF Model'!C19+3)+'DCF Model'!G45/(1+$B19)^('DCF Model'!C19+4)+('DCF Model'!G39+'DCF Model'!G42)*E$17/(1+$B19)^('DCF Model'!C19+4)-'DCF Model'!C16)*1000000/'DCF Model'!C15,0),"")</f>
        <v>2342</v>
      </c>
      <c r="F19" s="37">
        <f>IFERROR(ROUND(('DCF Model'!C45/(1+$B19)^('DCF Model'!C19+0)+'DCF Model'!D45/(1+$B19)^('DCF Model'!C19+1)+'DCF Model'!E45/(1+$B19)^('DCF Model'!C19+2)+'DCF Model'!F45/(1+$B19)^('DCF Model'!C19+3)+'DCF Model'!G45/(1+$B19)^('DCF Model'!C19+4)+('DCF Model'!G39+'DCF Model'!G42)*F$17/(1+$B19)^('DCF Model'!C19+4)-'DCF Model'!C16)*1000000/'DCF Model'!C15,0),"")</f>
        <v>2615</v>
      </c>
      <c r="G19" s="37">
        <f>IFERROR(ROUND(('DCF Model'!C45/(1+$B19)^('DCF Model'!C19+0)+'DCF Model'!D45/(1+$B19)^('DCF Model'!C19+1)+'DCF Model'!E45/(1+$B19)^('DCF Model'!C19+2)+'DCF Model'!F45/(1+$B19)^('DCF Model'!C19+3)+'DCF Model'!G45/(1+$B19)^('DCF Model'!C19+4)+('DCF Model'!G39+'DCF Model'!G42)*G$17/(1+$B19)^('DCF Model'!C19+4)-'DCF Model'!C16)*1000000/'DCF Model'!C15,0),"")</f>
        <v>2887</v>
      </c>
      <c r="H19" s="37">
        <f>IFERROR(ROUND(('DCF Model'!C45/(1+$B19)^('DCF Model'!C19+0)+'DCF Model'!D45/(1+$B19)^('DCF Model'!C19+1)+'DCF Model'!E45/(1+$B19)^('DCF Model'!C19+2)+'DCF Model'!F45/(1+$B19)^('DCF Model'!C19+3)+'DCF Model'!G45/(1+$B19)^('DCF Model'!C19+4)+('DCF Model'!G39+'DCF Model'!G42)*H$17/(1+$B19)^('DCF Model'!C19+4)-'DCF Model'!C16)*1000000/'DCF Model'!C15,0),"")</f>
        <v>3160</v>
      </c>
      <c r="I19" s="37">
        <f>IFERROR(ROUND(('DCF Model'!C45/(1+$B19)^('DCF Model'!C19+0)+'DCF Model'!D45/(1+$B19)^('DCF Model'!C19+1)+'DCF Model'!E45/(1+$B19)^('DCF Model'!C19+2)+'DCF Model'!F45/(1+$B19)^('DCF Model'!C19+3)+'DCF Model'!G45/(1+$B19)^('DCF Model'!C19+4)+('DCF Model'!G39+'DCF Model'!G42)*I$17/(1+$B19)^('DCF Model'!C19+4)-'DCF Model'!C16)*1000000/'DCF Model'!C15,0),"")</f>
        <v>3433</v>
      </c>
    </row>
    <row r="20" spans="2:9" ht="13.5" customHeight="1" x14ac:dyDescent="0.25">
      <c r="B20" s="39">
        <f>$C$3-0.005</f>
        <v>6.1816792377927747E-2</v>
      </c>
      <c r="C20" s="37">
        <f>IFERROR(ROUND(('DCF Model'!C45/(1+$B20)^('DCF Model'!C19+0)+'DCF Model'!D45/(1+$B20)^('DCF Model'!C19+1)+'DCF Model'!E45/(1+$B20)^('DCF Model'!C19+2)+'DCF Model'!F45/(1+$B20)^('DCF Model'!C19+3)+'DCF Model'!G45/(1+$B20)^('DCF Model'!C19+4)+('DCF Model'!G39+'DCF Model'!G42)*C$17/(1+$B20)^('DCF Model'!C19+4)-'DCF Model'!C16)*1000000/'DCF Model'!C15,0),"")</f>
        <v>1750</v>
      </c>
      <c r="D20" s="37">
        <f>IFERROR(ROUND(('DCF Model'!C45/(1+$B20)^('DCF Model'!C19+0)+'DCF Model'!D45/(1+$B20)^('DCF Model'!C19+1)+'DCF Model'!E45/(1+$B20)^('DCF Model'!C19+2)+'DCF Model'!F45/(1+$B20)^('DCF Model'!C19+3)+'DCF Model'!G45/(1+$B20)^('DCF Model'!C19+4)+('DCF Model'!G39+'DCF Model'!G42)*D$17/(1+$B20)^('DCF Model'!C19+4)-'DCF Model'!C16)*1000000/'DCF Model'!C15,0),"")</f>
        <v>2016</v>
      </c>
      <c r="E20" s="37">
        <f>IFERROR(ROUND(('DCF Model'!C45/(1+$B20)^('DCF Model'!C19+0)+'DCF Model'!D45/(1+$B20)^('DCF Model'!C19+1)+'DCF Model'!E45/(1+$B20)^('DCF Model'!C19+2)+'DCF Model'!F45/(1+$B20)^('DCF Model'!C19+3)+'DCF Model'!G45/(1+$B20)^('DCF Model'!C19+4)+('DCF Model'!G39+'DCF Model'!G42)*E$17/(1+$B20)^('DCF Model'!C19+4)-'DCF Model'!C16)*1000000/'DCF Model'!C15,0),"")</f>
        <v>2283</v>
      </c>
      <c r="F20" s="37">
        <f>IFERROR(ROUND(('DCF Model'!C45/(1+$B20)^('DCF Model'!C19+0)+'DCF Model'!D45/(1+$B20)^('DCF Model'!C19+1)+'DCF Model'!E45/(1+$B20)^('DCF Model'!C19+2)+'DCF Model'!F45/(1+$B20)^('DCF Model'!C19+3)+'DCF Model'!G45/(1+$B20)^('DCF Model'!C19+4)+('DCF Model'!G39+'DCF Model'!G42)*F$17/(1+$B20)^('DCF Model'!C19+4)-'DCF Model'!C16)*1000000/'DCF Model'!C15,0),"")</f>
        <v>2549</v>
      </c>
      <c r="G20" s="37">
        <f>IFERROR(ROUND(('DCF Model'!C45/(1+$B20)^('DCF Model'!C19+0)+'DCF Model'!D45/(1+$B20)^('DCF Model'!C19+1)+'DCF Model'!E45/(1+$B20)^('DCF Model'!C19+2)+'DCF Model'!F45/(1+$B20)^('DCF Model'!C19+3)+'DCF Model'!G45/(1+$B20)^('DCF Model'!C19+4)+('DCF Model'!G39+'DCF Model'!G42)*G$17/(1+$B20)^('DCF Model'!C19+4)-'DCF Model'!C16)*1000000/'DCF Model'!C15,0),"")</f>
        <v>2816</v>
      </c>
      <c r="H20" s="37">
        <f>IFERROR(ROUND(('DCF Model'!C45/(1+$B20)^('DCF Model'!C19+0)+'DCF Model'!D45/(1+$B20)^('DCF Model'!C19+1)+'DCF Model'!E45/(1+$B20)^('DCF Model'!C19+2)+'DCF Model'!F45/(1+$B20)^('DCF Model'!C19+3)+'DCF Model'!G45/(1+$B20)^('DCF Model'!C19+4)+('DCF Model'!G39+'DCF Model'!G42)*H$17/(1+$B20)^('DCF Model'!C19+4)-'DCF Model'!C16)*1000000/'DCF Model'!C15,0),"")</f>
        <v>3082</v>
      </c>
      <c r="I20" s="37">
        <f>IFERROR(ROUND(('DCF Model'!C45/(1+$B20)^('DCF Model'!C19+0)+'DCF Model'!D45/(1+$B20)^('DCF Model'!C19+1)+'DCF Model'!E45/(1+$B20)^('DCF Model'!C19+2)+'DCF Model'!F45/(1+$B20)^('DCF Model'!C19+3)+'DCF Model'!G45/(1+$B20)^('DCF Model'!C19+4)+('DCF Model'!G39+'DCF Model'!G42)*I$17/(1+$B20)^('DCF Model'!C19+4)-'DCF Model'!C16)*1000000/'DCF Model'!C15,0),"")</f>
        <v>3349</v>
      </c>
    </row>
    <row r="21" spans="2:9" ht="13.5" customHeight="1" x14ac:dyDescent="0.25">
      <c r="B21" s="39">
        <f>$C$3</f>
        <v>6.6816792377927745E-2</v>
      </c>
      <c r="C21" s="37">
        <f>IFERROR(ROUND(('DCF Model'!C45/(1+$B21)^('DCF Model'!C19+0)+'DCF Model'!D45/(1+$B21)^('DCF Model'!C19+1)+'DCF Model'!E45/(1+$B21)^('DCF Model'!C19+2)+'DCF Model'!F45/(1+$B21)^('DCF Model'!C19+3)+'DCF Model'!G45/(1+$B21)^('DCF Model'!C19+4)+('DCF Model'!G39+'DCF Model'!G42)*C$17/(1+$B21)^('DCF Model'!C19+4)-'DCF Model'!C16)*1000000/'DCF Model'!C15,0),"")</f>
        <v>1705</v>
      </c>
      <c r="D21" s="37">
        <f>IFERROR(ROUND(('DCF Model'!C45/(1+$B21)^('DCF Model'!C19+0)+'DCF Model'!D45/(1+$B21)^('DCF Model'!C19+1)+'DCF Model'!E45/(1+$B21)^('DCF Model'!C19+2)+'DCF Model'!F45/(1+$B21)^('DCF Model'!C19+3)+'DCF Model'!G45/(1+$B21)^('DCF Model'!C19+4)+('DCF Model'!G39+'DCF Model'!G42)*D$17/(1+$B21)^('DCF Model'!C19+4)-'DCF Model'!C16)*1000000/'DCF Model'!C15,0),"")</f>
        <v>1965</v>
      </c>
      <c r="E21" s="37">
        <f>IFERROR(ROUND(('DCF Model'!C45/(1+$B21)^('DCF Model'!C19+0)+'DCF Model'!D45/(1+$B21)^('DCF Model'!C19+1)+'DCF Model'!E45/(1+$B21)^('DCF Model'!C19+2)+'DCF Model'!F45/(1+$B21)^('DCF Model'!C19+3)+'DCF Model'!G45/(1+$B21)^('DCF Model'!C19+4)+('DCF Model'!G39+'DCF Model'!G42)*E$17/(1+$B21)^('DCF Model'!C19+4)-'DCF Model'!C16)*1000000/'DCF Model'!C15,0),"")</f>
        <v>2226</v>
      </c>
      <c r="F21" s="37">
        <f>IFERROR(ROUND(('DCF Model'!C45/(1+$B21)^('DCF Model'!C19+0)+'DCF Model'!D45/(1+$B21)^('DCF Model'!C19+1)+'DCF Model'!E45/(1+$B21)^('DCF Model'!C19+2)+'DCF Model'!F45/(1+$B21)^('DCF Model'!C19+3)+'DCF Model'!G45/(1+$B21)^('DCF Model'!C19+4)+('DCF Model'!G39+'DCF Model'!G42)*F$17/(1+$B21)^('DCF Model'!C19+4)-'DCF Model'!C16)*1000000/'DCF Model'!C15,0),"")</f>
        <v>2486</v>
      </c>
      <c r="G21" s="37">
        <f>IFERROR(ROUND(('DCF Model'!C45/(1+$B21)^('DCF Model'!C19+0)+'DCF Model'!D45/(1+$B21)^('DCF Model'!C19+1)+'DCF Model'!E45/(1+$B21)^('DCF Model'!C19+2)+'DCF Model'!F45/(1+$B21)^('DCF Model'!C19+3)+'DCF Model'!G45/(1+$B21)^('DCF Model'!C19+4)+('DCF Model'!G39+'DCF Model'!G42)*G$17/(1+$B21)^('DCF Model'!C19+4)-'DCF Model'!C16)*1000000/'DCF Model'!C15,0),"")</f>
        <v>2746</v>
      </c>
      <c r="H21" s="37">
        <f>IFERROR(ROUND(('DCF Model'!C45/(1+$B21)^('DCF Model'!C19+0)+'DCF Model'!D45/(1+$B21)^('DCF Model'!C19+1)+'DCF Model'!E45/(1+$B21)^('DCF Model'!C19+2)+'DCF Model'!F45/(1+$B21)^('DCF Model'!C19+3)+'DCF Model'!G45/(1+$B21)^('DCF Model'!C19+4)+('DCF Model'!G39+'DCF Model'!G42)*H$17/(1+$B21)^('DCF Model'!C19+4)-'DCF Model'!C16)*1000000/'DCF Model'!C15,0),"")</f>
        <v>3006</v>
      </c>
      <c r="I21" s="37">
        <f>IFERROR(ROUND(('DCF Model'!C45/(1+$B21)^('DCF Model'!C19+0)+'DCF Model'!D45/(1+$B21)^('DCF Model'!C19+1)+'DCF Model'!E45/(1+$B21)^('DCF Model'!C19+2)+'DCF Model'!F45/(1+$B21)^('DCF Model'!C19+3)+'DCF Model'!G45/(1+$B21)^('DCF Model'!C19+4)+('DCF Model'!G39+'DCF Model'!G42)*I$17/(1+$B21)^('DCF Model'!C19+4)-'DCF Model'!C16)*1000000/'DCF Model'!C15,0),"")</f>
        <v>3267</v>
      </c>
    </row>
    <row r="22" spans="2:9" ht="13.5" customHeight="1" x14ac:dyDescent="0.25">
      <c r="B22" s="39">
        <f>$C$3+0.005</f>
        <v>7.1816792377927749E-2</v>
      </c>
      <c r="C22" s="37">
        <f>IFERROR(ROUND(('DCF Model'!C45/(1+$B22)^('DCF Model'!C19+0)+'DCF Model'!D45/(1+$B22)^('DCF Model'!C19+1)+'DCF Model'!E45/(1+$B22)^('DCF Model'!C19+2)+'DCF Model'!F45/(1+$B22)^('DCF Model'!C19+3)+'DCF Model'!G45/(1+$B22)^('DCF Model'!C19+4)+('DCF Model'!G39+'DCF Model'!G42)*C$17/(1+$B22)^('DCF Model'!C19+4)-'DCF Model'!C16)*1000000/'DCF Model'!C15,0),"")</f>
        <v>1661</v>
      </c>
      <c r="D22" s="37">
        <f>IFERROR(ROUND(('DCF Model'!C45/(1+$B22)^('DCF Model'!C19+0)+'DCF Model'!D45/(1+$B22)^('DCF Model'!C19+1)+'DCF Model'!E45/(1+$B22)^('DCF Model'!C19+2)+'DCF Model'!F45/(1+$B22)^('DCF Model'!C19+3)+'DCF Model'!G45/(1+$B22)^('DCF Model'!C19+4)+('DCF Model'!G39+'DCF Model'!G42)*D$17/(1+$B22)^('DCF Model'!C19+4)-'DCF Model'!C16)*1000000/'DCF Model'!C15,0),"")</f>
        <v>1916</v>
      </c>
      <c r="E22" s="37">
        <f>IFERROR(ROUND(('DCF Model'!C45/(1+$B22)^('DCF Model'!C19+0)+'DCF Model'!D45/(1+$B22)^('DCF Model'!C19+1)+'DCF Model'!E45/(1+$B22)^('DCF Model'!C19+2)+'DCF Model'!F45/(1+$B22)^('DCF Model'!C19+3)+'DCF Model'!G45/(1+$B22)^('DCF Model'!C19+4)+('DCF Model'!G39+'DCF Model'!G42)*E$17/(1+$B22)^('DCF Model'!C19+4)-'DCF Model'!C16)*1000000/'DCF Model'!C15,0),"")</f>
        <v>2170</v>
      </c>
      <c r="F22" s="37">
        <f>IFERROR(ROUND(('DCF Model'!C45/(1+$B22)^('DCF Model'!C19+0)+'DCF Model'!D45/(1+$B22)^('DCF Model'!C19+1)+'DCF Model'!E45/(1+$B22)^('DCF Model'!C19+2)+'DCF Model'!F45/(1+$B22)^('DCF Model'!C19+3)+'DCF Model'!G45/(1+$B22)^('DCF Model'!C19+4)+('DCF Model'!G39+'DCF Model'!G42)*F$17/(1+$B22)^('DCF Model'!C19+4)-'DCF Model'!C16)*1000000/'DCF Model'!C15,0),"")</f>
        <v>2424</v>
      </c>
      <c r="G22" s="37">
        <f>IFERROR(ROUND(('DCF Model'!C45/(1+$B22)^('DCF Model'!C19+0)+'DCF Model'!D45/(1+$B22)^('DCF Model'!C19+1)+'DCF Model'!E45/(1+$B22)^('DCF Model'!C19+2)+'DCF Model'!F45/(1+$B22)^('DCF Model'!C19+3)+'DCF Model'!G45/(1+$B22)^('DCF Model'!C19+4)+('DCF Model'!G39+'DCF Model'!G42)*G$17/(1+$B22)^('DCF Model'!C19+4)-'DCF Model'!C16)*1000000/'DCF Model'!C15,0),"")</f>
        <v>2678</v>
      </c>
      <c r="H22" s="37">
        <f>IFERROR(ROUND(('DCF Model'!C45/(1+$B22)^('DCF Model'!C19+0)+'DCF Model'!D45/(1+$B22)^('DCF Model'!C19+1)+'DCF Model'!E45/(1+$B22)^('DCF Model'!C19+2)+'DCF Model'!F45/(1+$B22)^('DCF Model'!C19+3)+'DCF Model'!G45/(1+$B22)^('DCF Model'!C19+4)+('DCF Model'!G39+'DCF Model'!G42)*H$17/(1+$B22)^('DCF Model'!C19+4)-'DCF Model'!C16)*1000000/'DCF Model'!C15,0),"")</f>
        <v>2933</v>
      </c>
      <c r="I22" s="37">
        <f>IFERROR(ROUND(('DCF Model'!C45/(1+$B22)^('DCF Model'!C19+0)+'DCF Model'!D45/(1+$B22)^('DCF Model'!C19+1)+'DCF Model'!E45/(1+$B22)^('DCF Model'!C19+2)+'DCF Model'!F45/(1+$B22)^('DCF Model'!C19+3)+'DCF Model'!G45/(1+$B22)^('DCF Model'!C19+4)+('DCF Model'!G39+'DCF Model'!G42)*I$17/(1+$B22)^('DCF Model'!C19+4)-'DCF Model'!C16)*1000000/'DCF Model'!C15,0),"")</f>
        <v>3187</v>
      </c>
    </row>
    <row r="23" spans="2:9" ht="13.5" customHeight="1" x14ac:dyDescent="0.25">
      <c r="B23" s="39">
        <f>$C$3+0.01</f>
        <v>7.681679237792774E-2</v>
      </c>
      <c r="C23" s="37">
        <f>IFERROR(ROUND(('DCF Model'!C45/(1+$B23)^('DCF Model'!C19+0)+'DCF Model'!D45/(1+$B23)^('DCF Model'!C19+1)+'DCF Model'!E45/(1+$B23)^('DCF Model'!C19+2)+'DCF Model'!F45/(1+$B23)^('DCF Model'!C19+3)+'DCF Model'!G45/(1+$B23)^('DCF Model'!C19+4)+('DCF Model'!G39+'DCF Model'!G42)*C$17/(1+$B23)^('DCF Model'!C19+4)-'DCF Model'!C16)*1000000/'DCF Model'!C15,0),"")</f>
        <v>1619</v>
      </c>
      <c r="D23" s="37">
        <f>IFERROR(ROUND(('DCF Model'!C45/(1+$B23)^('DCF Model'!C19+0)+'DCF Model'!D45/(1+$B23)^('DCF Model'!C19+1)+'DCF Model'!E45/(1+$B23)^('DCF Model'!C19+2)+'DCF Model'!F45/(1+$B23)^('DCF Model'!C19+3)+'DCF Model'!G45/(1+$B23)^('DCF Model'!C19+4)+('DCF Model'!G39+'DCF Model'!G42)*D$17/(1+$B23)^('DCF Model'!C19+4)-'DCF Model'!C16)*1000000/'DCF Model'!C15,0),"")</f>
        <v>1867</v>
      </c>
      <c r="E23" s="37">
        <f>IFERROR(ROUND(('DCF Model'!C45/(1+$B23)^('DCF Model'!C19+0)+'DCF Model'!D45/(1+$B23)^('DCF Model'!C19+1)+'DCF Model'!E45/(1+$B23)^('DCF Model'!C19+2)+'DCF Model'!F45/(1+$B23)^('DCF Model'!C19+3)+'DCF Model'!G45/(1+$B23)^('DCF Model'!C19+4)+('DCF Model'!G39+'DCF Model'!G42)*E$17/(1+$B23)^('DCF Model'!C19+4)-'DCF Model'!C16)*1000000/'DCF Model'!C15,0),"")</f>
        <v>2116</v>
      </c>
      <c r="F23" s="37">
        <f>IFERROR(ROUND(('DCF Model'!C45/(1+$B23)^('DCF Model'!C19+0)+'DCF Model'!D45/(1+$B23)^('DCF Model'!C19+1)+'DCF Model'!E45/(1+$B23)^('DCF Model'!C19+2)+'DCF Model'!F45/(1+$B23)^('DCF Model'!C19+3)+'DCF Model'!G45/(1+$B23)^('DCF Model'!C19+4)+('DCF Model'!G39+'DCF Model'!G42)*F$17/(1+$B23)^('DCF Model'!C19+4)-'DCF Model'!C16)*1000000/'DCF Model'!C15,0),"")</f>
        <v>2364</v>
      </c>
      <c r="G23" s="37">
        <f>IFERROR(ROUND(('DCF Model'!C45/(1+$B23)^('DCF Model'!C19+0)+'DCF Model'!D45/(1+$B23)^('DCF Model'!C19+1)+'DCF Model'!E45/(1+$B23)^('DCF Model'!C19+2)+'DCF Model'!F45/(1+$B23)^('DCF Model'!C19+3)+'DCF Model'!G45/(1+$B23)^('DCF Model'!C19+4)+('DCF Model'!G39+'DCF Model'!G42)*G$17/(1+$B23)^('DCF Model'!C19+4)-'DCF Model'!C16)*1000000/'DCF Model'!C15,0),"")</f>
        <v>2612</v>
      </c>
      <c r="H23" s="37">
        <f>IFERROR(ROUND(('DCF Model'!C45/(1+$B23)^('DCF Model'!C19+0)+'DCF Model'!D45/(1+$B23)^('DCF Model'!C19+1)+'DCF Model'!E45/(1+$B23)^('DCF Model'!C19+2)+'DCF Model'!F45/(1+$B23)^('DCF Model'!C19+3)+'DCF Model'!G45/(1+$B23)^('DCF Model'!C19+4)+('DCF Model'!G39+'DCF Model'!G42)*H$17/(1+$B23)^('DCF Model'!C19+4)-'DCF Model'!C16)*1000000/'DCF Model'!C15,0),"")</f>
        <v>2861</v>
      </c>
      <c r="I23" s="37">
        <f>IFERROR(ROUND(('DCF Model'!C45/(1+$B23)^('DCF Model'!C19+0)+'DCF Model'!D45/(1+$B23)^('DCF Model'!C19+1)+'DCF Model'!E45/(1+$B23)^('DCF Model'!C19+2)+'DCF Model'!F45/(1+$B23)^('DCF Model'!C19+3)+'DCF Model'!G45/(1+$B23)^('DCF Model'!C19+4)+('DCF Model'!G39+'DCF Model'!G42)*I$17/(1+$B23)^('DCF Model'!C19+4)-'DCF Model'!C16)*1000000/'DCF Model'!C15,0),"")</f>
        <v>3109</v>
      </c>
    </row>
    <row r="24" spans="2:9" ht="13.5" customHeight="1" x14ac:dyDescent="0.25">
      <c r="B24" s="39">
        <f>$C$3+0.015</f>
        <v>8.1816792377927744E-2</v>
      </c>
      <c r="C24" s="37">
        <f>IFERROR(ROUND(('DCF Model'!C45/(1+$B24)^('DCF Model'!C19+0)+'DCF Model'!D45/(1+$B24)^('DCF Model'!C19+1)+'DCF Model'!E45/(1+$B24)^('DCF Model'!C19+2)+'DCF Model'!F45/(1+$B24)^('DCF Model'!C19+3)+'DCF Model'!G45/(1+$B24)^('DCF Model'!C19+4)+('DCF Model'!G39+'DCF Model'!G42)*C$17/(1+$B24)^('DCF Model'!C19+4)-'DCF Model'!C16)*1000000/'DCF Model'!C15,0),"")</f>
        <v>1577</v>
      </c>
      <c r="D24" s="37">
        <f>IFERROR(ROUND(('DCF Model'!C45/(1+$B24)^('DCF Model'!C19+0)+'DCF Model'!D45/(1+$B24)^('DCF Model'!C19+1)+'DCF Model'!E45/(1+$B24)^('DCF Model'!C19+2)+'DCF Model'!F45/(1+$B24)^('DCF Model'!C19+3)+'DCF Model'!G45/(1+$B24)^('DCF Model'!C19+4)+('DCF Model'!G39+'DCF Model'!G42)*D$17/(1+$B24)^('DCF Model'!C19+4)-'DCF Model'!C16)*1000000/'DCF Model'!C15,0),"")</f>
        <v>1820</v>
      </c>
      <c r="E24" s="37">
        <f>IFERROR(ROUND(('DCF Model'!C45/(1+$B24)^('DCF Model'!C19+0)+'DCF Model'!D45/(1+$B24)^('DCF Model'!C19+1)+'DCF Model'!E45/(1+$B24)^('DCF Model'!C19+2)+'DCF Model'!F45/(1+$B24)^('DCF Model'!C19+3)+'DCF Model'!G45/(1+$B24)^('DCF Model'!C19+4)+('DCF Model'!G39+'DCF Model'!G42)*E$17/(1+$B24)^('DCF Model'!C19+4)-'DCF Model'!C16)*1000000/'DCF Model'!C15,0),"")</f>
        <v>2063</v>
      </c>
      <c r="F24" s="37">
        <f>IFERROR(ROUND(('DCF Model'!C45/(1+$B24)^('DCF Model'!C19+0)+'DCF Model'!D45/(1+$B24)^('DCF Model'!C19+1)+'DCF Model'!E45/(1+$B24)^('DCF Model'!C19+2)+'DCF Model'!F45/(1+$B24)^('DCF Model'!C19+3)+'DCF Model'!G45/(1+$B24)^('DCF Model'!C19+4)+('DCF Model'!G39+'DCF Model'!G42)*F$17/(1+$B24)^('DCF Model'!C19+4)-'DCF Model'!C16)*1000000/'DCF Model'!C15,0),"")</f>
        <v>2306</v>
      </c>
      <c r="G24" s="37">
        <f>IFERROR(ROUND(('DCF Model'!C45/(1+$B24)^('DCF Model'!C19+0)+'DCF Model'!D45/(1+$B24)^('DCF Model'!C19+1)+'DCF Model'!E45/(1+$B24)^('DCF Model'!C19+2)+'DCF Model'!F45/(1+$B24)^('DCF Model'!C19+3)+'DCF Model'!G45/(1+$B24)^('DCF Model'!C19+4)+('DCF Model'!G39+'DCF Model'!G42)*G$17/(1+$B24)^('DCF Model'!C19+4)-'DCF Model'!C16)*1000000/'DCF Model'!C15,0),"")</f>
        <v>2548</v>
      </c>
      <c r="H24" s="37">
        <f>IFERROR(ROUND(('DCF Model'!C45/(1+$B24)^('DCF Model'!C19+0)+'DCF Model'!D45/(1+$B24)^('DCF Model'!C19+1)+'DCF Model'!E45/(1+$B24)^('DCF Model'!C19+2)+'DCF Model'!F45/(1+$B24)^('DCF Model'!C19+3)+'DCF Model'!G45/(1+$B24)^('DCF Model'!C19+4)+('DCF Model'!G39+'DCF Model'!G42)*H$17/(1+$B24)^('DCF Model'!C19+4)-'DCF Model'!C16)*1000000/'DCF Model'!C15,0),"")</f>
        <v>2791</v>
      </c>
      <c r="I24" s="37">
        <f>IFERROR(ROUND(('DCF Model'!C45/(1+$B24)^('DCF Model'!C19+0)+'DCF Model'!D45/(1+$B24)^('DCF Model'!C19+1)+'DCF Model'!E45/(1+$B24)^('DCF Model'!C19+2)+'DCF Model'!F45/(1+$B24)^('DCF Model'!C19+3)+'DCF Model'!G45/(1+$B24)^('DCF Model'!C19+4)+('DCF Model'!G39+'DCF Model'!G42)*I$17/(1+$B24)^('DCF Model'!C19+4)-'DCF Model'!C16)*1000000/'DCF Model'!C15,0),"")</f>
        <v>3034</v>
      </c>
    </row>
    <row r="26" spans="2:9" ht="14" customHeight="1"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3" t="s">
        <v>250</v>
      </c>
      <c r="C6" s="4" t="s">
        <v>251</v>
      </c>
      <c r="D6" s="43" t="s">
        <v>252</v>
      </c>
      <c r="E6" s="43" t="s">
        <v>253</v>
      </c>
      <c r="F6" s="43" t="s">
        <v>254</v>
      </c>
      <c r="G6" s="43" t="s">
        <v>255</v>
      </c>
    </row>
    <row r="7" spans="2:7" ht="30" customHeight="1" x14ac:dyDescent="0.3">
      <c r="B7" s="43" t="s">
        <v>250</v>
      </c>
      <c r="C7" s="4" t="s">
        <v>256</v>
      </c>
      <c r="D7" s="43" t="s">
        <v>257</v>
      </c>
      <c r="E7" s="43" t="s">
        <v>258</v>
      </c>
      <c r="F7" s="43" t="s">
        <v>259</v>
      </c>
      <c r="G7" s="43" t="s">
        <v>260</v>
      </c>
    </row>
    <row r="8" spans="2:7" ht="30" customHeight="1" x14ac:dyDescent="0.3">
      <c r="B8" s="43" t="s">
        <v>250</v>
      </c>
      <c r="C8" s="4" t="s">
        <v>261</v>
      </c>
      <c r="D8" s="43" t="s">
        <v>262</v>
      </c>
      <c r="E8" s="43" t="s">
        <v>263</v>
      </c>
      <c r="F8" s="43" t="s">
        <v>264</v>
      </c>
      <c r="G8" s="43" t="s">
        <v>260</v>
      </c>
    </row>
    <row r="9" spans="2:7" ht="30" customHeight="1" x14ac:dyDescent="0.3">
      <c r="B9" s="43" t="s">
        <v>250</v>
      </c>
      <c r="C9" s="4" t="s">
        <v>265</v>
      </c>
      <c r="D9" s="43" t="s">
        <v>266</v>
      </c>
      <c r="E9" s="43" t="s">
        <v>267</v>
      </c>
      <c r="F9" s="43" t="s">
        <v>268</v>
      </c>
      <c r="G9" s="43" t="s">
        <v>255</v>
      </c>
    </row>
    <row r="10" spans="2:7" ht="30" customHeight="1" x14ac:dyDescent="0.3">
      <c r="B10" s="43" t="s">
        <v>250</v>
      </c>
      <c r="C10" s="4" t="s">
        <v>269</v>
      </c>
      <c r="D10" s="43" t="s">
        <v>270</v>
      </c>
      <c r="E10" s="43" t="s">
        <v>271</v>
      </c>
      <c r="F10" s="43" t="s">
        <v>272</v>
      </c>
      <c r="G10" s="43" t="s">
        <v>273</v>
      </c>
    </row>
    <row r="11" spans="2:7" ht="30" customHeight="1" x14ac:dyDescent="0.3">
      <c r="B11" s="43" t="s">
        <v>250</v>
      </c>
      <c r="C11" s="4" t="s">
        <v>274</v>
      </c>
      <c r="D11" s="43" t="s">
        <v>275</v>
      </c>
      <c r="E11" s="43" t="s">
        <v>276</v>
      </c>
      <c r="F11" s="43" t="s">
        <v>277</v>
      </c>
      <c r="G11" s="43" t="s">
        <v>278</v>
      </c>
    </row>
    <row r="12" spans="2:7" ht="30" customHeight="1" x14ac:dyDescent="0.3">
      <c r="B12" s="43" t="s">
        <v>250</v>
      </c>
      <c r="C12" s="4" t="s">
        <v>279</v>
      </c>
      <c r="D12" s="43" t="s">
        <v>280</v>
      </c>
      <c r="E12" s="43" t="s">
        <v>281</v>
      </c>
      <c r="F12" s="43" t="s">
        <v>282</v>
      </c>
      <c r="G12" s="43" t="s">
        <v>260</v>
      </c>
    </row>
    <row r="13" spans="2:7" ht="30" customHeight="1" x14ac:dyDescent="0.3">
      <c r="B13" s="43" t="s">
        <v>250</v>
      </c>
      <c r="C13" s="4" t="s">
        <v>283</v>
      </c>
      <c r="D13" s="43" t="s">
        <v>284</v>
      </c>
      <c r="E13" s="43" t="s">
        <v>285</v>
      </c>
      <c r="F13" s="43" t="s">
        <v>286</v>
      </c>
      <c r="G13" s="43" t="s">
        <v>260</v>
      </c>
    </row>
    <row r="14" spans="2:7" ht="30" customHeight="1" x14ac:dyDescent="0.3">
      <c r="B14" s="43" t="s">
        <v>250</v>
      </c>
      <c r="C14" s="4" t="s">
        <v>287</v>
      </c>
      <c r="D14" s="43" t="s">
        <v>288</v>
      </c>
      <c r="E14" s="43" t="s">
        <v>289</v>
      </c>
      <c r="F14" s="43" t="s">
        <v>246</v>
      </c>
      <c r="G14" s="43" t="s">
        <v>260</v>
      </c>
    </row>
    <row r="15" spans="2:7" ht="30" customHeight="1" x14ac:dyDescent="0.3">
      <c r="B15" s="43" t="s">
        <v>250</v>
      </c>
      <c r="C15" s="4" t="s">
        <v>290</v>
      </c>
      <c r="D15" s="43" t="s">
        <v>291</v>
      </c>
      <c r="E15" s="43" t="s">
        <v>292</v>
      </c>
      <c r="F15" s="43" t="s">
        <v>293</v>
      </c>
      <c r="G15" s="43" t="s">
        <v>260</v>
      </c>
    </row>
    <row r="16" spans="2:7" ht="30" customHeight="1" x14ac:dyDescent="0.3">
      <c r="B16" s="43" t="s">
        <v>250</v>
      </c>
      <c r="C16" s="4" t="s">
        <v>294</v>
      </c>
      <c r="D16" s="43" t="s">
        <v>295</v>
      </c>
      <c r="E16" s="43" t="s">
        <v>296</v>
      </c>
      <c r="F16" s="43" t="s">
        <v>297</v>
      </c>
      <c r="G16" s="43" t="s">
        <v>260</v>
      </c>
    </row>
    <row r="17" spans="2:7" ht="30" customHeight="1" x14ac:dyDescent="0.3">
      <c r="B17" s="43" t="s">
        <v>250</v>
      </c>
      <c r="C17" s="4" t="s">
        <v>298</v>
      </c>
      <c r="D17" s="43" t="s">
        <v>299</v>
      </c>
      <c r="E17" s="43" t="s">
        <v>300</v>
      </c>
      <c r="F17" s="43" t="s">
        <v>264</v>
      </c>
      <c r="G17" s="43" t="s">
        <v>260</v>
      </c>
    </row>
    <row r="18" spans="2:7" ht="30" customHeight="1" x14ac:dyDescent="0.3">
      <c r="B18" s="43" t="s">
        <v>250</v>
      </c>
      <c r="C18" s="4" t="s">
        <v>301</v>
      </c>
      <c r="D18" s="43" t="s">
        <v>302</v>
      </c>
      <c r="E18" s="43" t="s">
        <v>303</v>
      </c>
      <c r="F18" s="43" t="s">
        <v>304</v>
      </c>
      <c r="G18" s="43" t="s">
        <v>305</v>
      </c>
    </row>
    <row r="19" spans="2:7" ht="30" customHeight="1" x14ac:dyDescent="0.3">
      <c r="B19" s="43" t="s">
        <v>250</v>
      </c>
      <c r="C19" s="4" t="s">
        <v>306</v>
      </c>
      <c r="D19" s="43" t="s">
        <v>307</v>
      </c>
      <c r="E19" s="43" t="s">
        <v>308</v>
      </c>
      <c r="F19" s="43" t="s">
        <v>246</v>
      </c>
      <c r="G19" s="43" t="s">
        <v>309</v>
      </c>
    </row>
    <row r="20" spans="2:7" ht="30" customHeight="1" x14ac:dyDescent="0.3">
      <c r="B20" s="43" t="s">
        <v>250</v>
      </c>
      <c r="C20" s="4" t="s">
        <v>310</v>
      </c>
      <c r="D20" s="43" t="s">
        <v>311</v>
      </c>
      <c r="E20" s="43" t="s">
        <v>312</v>
      </c>
      <c r="F20" s="43" t="s">
        <v>264</v>
      </c>
      <c r="G20" s="43" t="s">
        <v>260</v>
      </c>
    </row>
    <row r="21" spans="2:7" ht="30" customHeight="1" x14ac:dyDescent="0.3">
      <c r="B21" s="43" t="s">
        <v>250</v>
      </c>
      <c r="C21" s="4" t="s">
        <v>313</v>
      </c>
      <c r="D21" s="43" t="s">
        <v>314</v>
      </c>
      <c r="E21" s="43" t="s">
        <v>315</v>
      </c>
      <c r="F21" s="43" t="s">
        <v>246</v>
      </c>
      <c r="G21" s="43" t="s">
        <v>260</v>
      </c>
    </row>
    <row r="22" spans="2:7" ht="30" customHeight="1" x14ac:dyDescent="0.3">
      <c r="B22" s="43" t="s">
        <v>250</v>
      </c>
      <c r="C22" s="4" t="s">
        <v>316</v>
      </c>
      <c r="D22" s="43" t="s">
        <v>317</v>
      </c>
      <c r="E22" s="43" t="s">
        <v>318</v>
      </c>
      <c r="F22" s="43" t="s">
        <v>246</v>
      </c>
      <c r="G22" s="43" t="s">
        <v>255</v>
      </c>
    </row>
    <row r="23" spans="2:7" ht="30" customHeight="1" x14ac:dyDescent="0.3">
      <c r="B23" s="43" t="s">
        <v>250</v>
      </c>
      <c r="C23" s="4" t="s">
        <v>319</v>
      </c>
      <c r="D23" s="43" t="s">
        <v>320</v>
      </c>
      <c r="E23" s="43" t="s">
        <v>321</v>
      </c>
      <c r="F23" s="43" t="s">
        <v>246</v>
      </c>
      <c r="G23" s="43" t="s">
        <v>322</v>
      </c>
    </row>
    <row r="24" spans="2:7" ht="30" customHeight="1" x14ac:dyDescent="0.3">
      <c r="B24" s="43" t="s">
        <v>250</v>
      </c>
      <c r="C24" s="4" t="s">
        <v>323</v>
      </c>
      <c r="D24" s="43" t="s">
        <v>324</v>
      </c>
      <c r="E24" s="43" t="s">
        <v>325</v>
      </c>
      <c r="F24" s="43" t="s">
        <v>246</v>
      </c>
      <c r="G24" s="43" t="s">
        <v>326</v>
      </c>
    </row>
    <row r="25" spans="2:7" ht="30" customHeight="1" x14ac:dyDescent="0.3">
      <c r="B25" s="43" t="s">
        <v>250</v>
      </c>
      <c r="C25" s="4" t="s">
        <v>323</v>
      </c>
      <c r="D25" s="43" t="s">
        <v>327</v>
      </c>
      <c r="E25" s="43" t="s">
        <v>328</v>
      </c>
      <c r="F25" s="43" t="s">
        <v>246</v>
      </c>
      <c r="G25" s="43" t="s">
        <v>326</v>
      </c>
    </row>
    <row r="26" spans="2:7" ht="30" customHeight="1" x14ac:dyDescent="0.3">
      <c r="B26" s="43" t="s">
        <v>250</v>
      </c>
      <c r="C26" s="4" t="s">
        <v>323</v>
      </c>
      <c r="D26" s="43" t="s">
        <v>329</v>
      </c>
      <c r="E26" s="43" t="s">
        <v>330</v>
      </c>
      <c r="F26" s="43" t="s">
        <v>246</v>
      </c>
      <c r="G26" s="43" t="s">
        <v>326</v>
      </c>
    </row>
    <row r="27" spans="2:7" ht="30" customHeight="1" x14ac:dyDescent="0.3">
      <c r="B27" s="43" t="s">
        <v>250</v>
      </c>
      <c r="C27" s="4" t="s">
        <v>323</v>
      </c>
      <c r="D27" s="43" t="s">
        <v>331</v>
      </c>
      <c r="E27" s="43" t="s">
        <v>332</v>
      </c>
      <c r="F27" s="43" t="s">
        <v>246</v>
      </c>
      <c r="G27" s="43" t="s">
        <v>326</v>
      </c>
    </row>
    <row r="28" spans="2:7" ht="14" customHeight="1" x14ac:dyDescent="0.2"/>
    <row r="29" spans="2:7" ht="14" customHeight="1" x14ac:dyDescent="0.3">
      <c r="B29" s="8" t="s">
        <v>333</v>
      </c>
    </row>
    <row r="30" spans="2:7" ht="14" customHeight="1" x14ac:dyDescent="0.3">
      <c r="B30" s="10" t="s">
        <v>334</v>
      </c>
      <c r="C30" s="10" t="s">
        <v>335</v>
      </c>
    </row>
    <row r="31" spans="2:7" ht="14" customHeight="1" x14ac:dyDescent="0.3">
      <c r="B31" s="4" t="s">
        <v>336</v>
      </c>
      <c r="C31" t="s">
        <v>337</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4</v>
      </c>
    </row>
    <row r="36" spans="2:3" ht="14" customHeight="1" x14ac:dyDescent="0.3">
      <c r="B36" s="4" t="s">
        <v>345</v>
      </c>
      <c r="C36" t="s">
        <v>245</v>
      </c>
    </row>
    <row r="37" spans="2:3" ht="14" customHeight="1" x14ac:dyDescent="0.3">
      <c r="B37" s="4" t="s">
        <v>346</v>
      </c>
      <c r="C37" t="s">
        <v>347</v>
      </c>
    </row>
    <row r="38" spans="2:3" ht="14" customHeight="1" x14ac:dyDescent="0.3">
      <c r="B38" s="4" t="s">
        <v>348</v>
      </c>
      <c r="C38" t="s">
        <v>349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351</v>
      </c>
    </row>
    <row r="43" spans="2:3" ht="14" customHeight="1" x14ac:dyDescent="0.3">
      <c r="B43" s="4" t="s">
        <v>357</v>
      </c>
      <c r="C43" t="s">
        <v>347</v>
      </c>
    </row>
    <row r="44" spans="2:3" ht="14" customHeight="1" x14ac:dyDescent="0.3">
      <c r="B44" s="4" t="s">
        <v>358</v>
      </c>
      <c r="C44" t="s">
        <v>359</v>
      </c>
    </row>
    <row r="45" spans="2:3" ht="14" customHeight="1" x14ac:dyDescent="0.3">
      <c r="B45" s="4" t="s">
        <v>360</v>
      </c>
      <c r="C45" t="s">
        <v>361</v>
      </c>
    </row>
    <row r="46" spans="2:3" ht="14" customHeight="1" x14ac:dyDescent="0.3">
      <c r="B46" s="4" t="s">
        <v>362</v>
      </c>
      <c r="C46" t="s">
        <v>363</v>
      </c>
    </row>
    <row r="47" spans="2:3" ht="14" customHeight="1" x14ac:dyDescent="0.3">
      <c r="B47" s="4" t="s">
        <v>364</v>
      </c>
      <c r="C47" t="s">
        <v>365</v>
      </c>
    </row>
    <row r="48" spans="2:3" ht="14" customHeight="1" x14ac:dyDescent="0.3">
      <c r="B48" s="4" t="s">
        <v>366</v>
      </c>
      <c r="C48" t="s">
        <v>367</v>
      </c>
    </row>
    <row r="49" spans="2:3" ht="14" customHeight="1" x14ac:dyDescent="0.3">
      <c r="B49" s="4" t="s">
        <v>368</v>
      </c>
      <c r="C49" t="s">
        <v>369</v>
      </c>
    </row>
    <row r="50" spans="2:3" ht="14" customHeight="1" x14ac:dyDescent="0.3">
      <c r="B50" s="4" t="s">
        <v>370</v>
      </c>
      <c r="C50" t="s">
        <v>371</v>
      </c>
    </row>
    <row r="51" spans="2:3" ht="14" x14ac:dyDescent="0.3">
      <c r="B51" s="4" t="s">
        <v>372</v>
      </c>
      <c r="C51" t="s">
        <v>373</v>
      </c>
    </row>
    <row r="52" spans="2:3" ht="14" x14ac:dyDescent="0.3">
      <c r="B52" s="4" t="s">
        <v>374</v>
      </c>
      <c r="C52" t="s">
        <v>339</v>
      </c>
    </row>
    <row r="53" spans="2:3" ht="14" x14ac:dyDescent="0.3">
      <c r="B53" s="4" t="s">
        <v>375</v>
      </c>
      <c r="C53" t="s">
        <v>376</v>
      </c>
    </row>
    <row r="54" spans="2:3" ht="14" x14ac:dyDescent="0.3">
      <c r="B54" s="4" t="s">
        <v>377</v>
      </c>
      <c r="C54" t="s">
        <v>378</v>
      </c>
    </row>
    <row r="55" spans="2:3" ht="14" x14ac:dyDescent="0.3">
      <c r="B55" s="4" t="s">
        <v>379</v>
      </c>
      <c r="C55" t="s">
        <v>380</v>
      </c>
    </row>
    <row r="56" spans="2:3" ht="14" x14ac:dyDescent="0.3">
      <c r="B56" s="4" t="s">
        <v>381</v>
      </c>
      <c r="C56" t="s">
        <v>382</v>
      </c>
    </row>
    <row r="57" spans="2:3" ht="14" x14ac:dyDescent="0.3">
      <c r="B57" s="4" t="s">
        <v>383</v>
      </c>
      <c r="C57" t="s">
        <v>384</v>
      </c>
    </row>
    <row r="58" spans="2:3" ht="14" x14ac:dyDescent="0.3">
      <c r="B58" s="4" t="s">
        <v>385</v>
      </c>
      <c r="C58" t="s">
        <v>386</v>
      </c>
    </row>
    <row r="59" spans="2:3" ht="14" x14ac:dyDescent="0.3">
      <c r="B59" s="4" t="s">
        <v>387</v>
      </c>
      <c r="C59" t="s">
        <v>388</v>
      </c>
    </row>
    <row r="60" spans="2:3" ht="14" x14ac:dyDescent="0.3">
      <c r="B60" s="4" t="s">
        <v>389</v>
      </c>
      <c r="C60" t="s">
        <v>390</v>
      </c>
    </row>
    <row r="61" spans="2:3" ht="14" x14ac:dyDescent="0.3">
      <c r="B61" s="4" t="s">
        <v>391</v>
      </c>
      <c r="C61" t="s">
        <v>392</v>
      </c>
    </row>
    <row r="62" spans="2:3" ht="14" x14ac:dyDescent="0.3">
      <c r="B62" s="4" t="s">
        <v>393</v>
      </c>
      <c r="C62" t="s">
        <v>394</v>
      </c>
    </row>
    <row r="63" spans="2:3" ht="14" x14ac:dyDescent="0.3">
      <c r="B63" s="4" t="s">
        <v>395</v>
      </c>
      <c r="C63" t="s">
        <v>396</v>
      </c>
    </row>
    <row r="64" spans="2:3" ht="14" x14ac:dyDescent="0.3">
      <c r="B64" s="4" t="s">
        <v>397</v>
      </c>
      <c r="C64" t="s">
        <v>398</v>
      </c>
    </row>
    <row r="65" spans="2:3" ht="14" x14ac:dyDescent="0.3">
      <c r="B65" s="4" t="s">
        <v>399</v>
      </c>
      <c r="C65" t="s">
        <v>400</v>
      </c>
    </row>
    <row r="66" spans="2:3" ht="14" x14ac:dyDescent="0.3">
      <c r="B66" s="4" t="s">
        <v>401</v>
      </c>
      <c r="C66" t="s">
        <v>402</v>
      </c>
    </row>
    <row r="67" spans="2:3" ht="14" x14ac:dyDescent="0.3">
      <c r="B67" s="4" t="s">
        <v>403</v>
      </c>
      <c r="C67"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2026-09-06T01:27:33Z</dcterms:created>
  <dcterms:modified xsi:type="dcterms:W3CDTF">2026-09-06T02:32:48Z</dcterms:modified>
</cp:coreProperties>
</file>