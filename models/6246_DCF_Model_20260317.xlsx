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DCF Model" sheetId="3" state="visible" r:id="rId3"/>
    <sheet xmlns:r="http://schemas.openxmlformats.org/officeDocument/2006/relationships" name="NWC Schedule" sheetId="4" state="visible" r:id="rId4"/>
    <sheet xmlns:r="http://schemas.openxmlformats.org/officeDocument/2006/relationships" name="Comps Analysis" sheetId="5" state="visible" r:id="rId5"/>
    <sheet xmlns:r="http://schemas.openxmlformats.org/officeDocument/2006/relationships" name="Sensitivit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"/>
    <numFmt numFmtId="165" formatCode="0.0%;(0.0%)"/>
    <numFmt numFmtId="166" formatCode="0.000"/>
    <numFmt numFmtId="167" formatCode="0.00&quot;x&quot;"/>
    <numFmt numFmtId="168" formatCode="0.00%;(0.00%)"/>
    <numFmt numFmtId="169" formatCode="0.0000"/>
  </numFmts>
  <fonts count="8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6600"/>
      <sz val="10"/>
    </font>
  </fonts>
  <fills count="6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000080"/>
        <bgColor rgb="0000008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/>
      <bottom style="thin"/>
    </border>
    <border>
      <top style="thin"/>
      <bottom style="double"/>
    </border>
    <border>
      <left style="hair">
        <color rgb="00B0B0B0"/>
      </left>
      <right style="hair">
        <color rgb="00B0B0B0"/>
      </right>
      <top style="hair">
        <color rgb="00B0B0B0"/>
      </top>
      <bottom style="hair">
        <color rgb="00B0B0B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wrapText="1"/>
    </xf>
    <xf numFmtId="164" fontId="7" fillId="0" borderId="0" pivotButton="0" quotePrefix="0" xfId="0"/>
    <xf numFmtId="2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3" fontId="5" fillId="0" borderId="0" pivotButton="0" quotePrefix="0" xfId="0"/>
    <xf numFmtId="168" fontId="5" fillId="0" borderId="0" pivotButton="0" quotePrefix="0" xfId="0"/>
    <xf numFmtId="0" fontId="5" fillId="0" borderId="2" pivotButton="0" quotePrefix="0" xfId="0"/>
    <xf numFmtId="165" fontId="5" fillId="2" borderId="0" pivotButton="0" quotePrefix="0" xfId="0"/>
    <xf numFmtId="164" fontId="5" fillId="0" borderId="3" pivotButton="0" quotePrefix="0" xfId="0"/>
    <xf numFmtId="164" fontId="5" fillId="4" borderId="3" pivotButton="0" quotePrefix="0" xfId="0"/>
    <xf numFmtId="169" fontId="5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4" fontId="5" fillId="0" borderId="4" pivotButton="0" quotePrefix="0" xfId="0"/>
    <xf numFmtId="0" fontId="6" fillId="3" borderId="0" applyAlignment="1" pivotButton="0" quotePrefix="0" xfId="0">
      <alignment horizontal="center"/>
    </xf>
    <xf numFmtId="165" fontId="5" fillId="0" borderId="2" pivotButton="0" quotePrefix="0" xfId="0"/>
    <xf numFmtId="0" fontId="6" fillId="2" borderId="1" applyAlignment="1" pivotButton="0" quotePrefix="0" xfId="0">
      <alignment horizontal="center" wrapText="1"/>
    </xf>
    <xf numFmtId="0" fontId="4" fillId="0" borderId="5" pivotButton="0" quotePrefix="0" xfId="0"/>
    <xf numFmtId="3" fontId="5" fillId="0" borderId="5" pivotButton="0" quotePrefix="0" xfId="0"/>
    <xf numFmtId="164" fontId="5" fillId="0" borderId="5" pivotButton="0" quotePrefix="0" xfId="0"/>
    <xf numFmtId="0" fontId="5" fillId="0" borderId="5" pivotButton="0" quotePrefix="0" xfId="0"/>
    <xf numFmtId="3" fontId="5" fillId="0" borderId="2" pivotButton="0" quotePrefix="0" xfId="0"/>
    <xf numFmtId="164" fontId="5" fillId="0" borderId="6" pivotButton="0" quotePrefix="0" xfId="0"/>
    <xf numFmtId="167" fontId="5" fillId="0" borderId="6" pivotButton="0" quotePrefix="0" xfId="0"/>
    <xf numFmtId="165" fontId="5" fillId="0" borderId="6" pivotButton="0" quotePrefix="0" xfId="0"/>
    <xf numFmtId="0" fontId="6" fillId="3" borderId="6" applyAlignment="1" pivotButton="0" quotePrefix="0" xfId="0">
      <alignment horizontal="center" wrapText="1"/>
    </xf>
    <xf numFmtId="165" fontId="6" fillId="3" borderId="6" applyAlignment="1" pivotButton="0" quotePrefix="0" xfId="0">
      <alignment horizontal="center"/>
    </xf>
    <xf numFmtId="167" fontId="6" fillId="3" borderId="6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B1:E3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</cols>
  <sheetData>
    <row r="1">
      <c r="B1" s="1" t="inlineStr">
        <is>
          <t>DISCLAIMER: This is a sample analysis for demonstration purposes only. It does not constitute investment advice.</t>
        </is>
      </c>
    </row>
    <row r="3">
      <c r="B3" s="2" t="inlineStr">
        <is>
          <t>TechnoSmart Corporation (6246.T)</t>
        </is>
      </c>
    </row>
    <row r="4">
      <c r="B4" s="3" t="inlineStr">
        <is>
          <t>Equity Research Report</t>
        </is>
      </c>
    </row>
    <row r="6">
      <c r="B6" s="4" t="inlineStr">
        <is>
          <t>Company</t>
        </is>
      </c>
      <c r="C6" t="inlineStr">
        <is>
          <t>TechnoSmart Corporation</t>
        </is>
      </c>
    </row>
    <row r="7">
      <c r="B7" s="4" t="inlineStr">
        <is>
          <t>Ticker</t>
        </is>
      </c>
      <c r="C7" t="inlineStr">
        <is>
          <t>6246.T (TSE Standard)</t>
        </is>
      </c>
    </row>
    <row r="8">
      <c r="B8" s="4" t="inlineStr">
        <is>
          <t>Sector</t>
        </is>
      </c>
      <c r="C8" t="inlineStr">
        <is>
          <t>Machinery</t>
        </is>
      </c>
    </row>
    <row r="9">
      <c r="B9" s="4" t="inlineStr">
        <is>
          <t>Current Price</t>
        </is>
      </c>
      <c r="C9" s="5" t="n">
        <v>1966</v>
      </c>
    </row>
    <row r="10">
      <c r="B10" s="4" t="inlineStr">
        <is>
          <t>Target Price (Mid)</t>
        </is>
      </c>
      <c r="C10" s="5">
        <f>ROUND(AVERAGE(C16:C19),0)</f>
        <v/>
      </c>
    </row>
    <row r="11">
      <c r="B11" s="4" t="inlineStr">
        <is>
          <t>Recommendation</t>
        </is>
      </c>
      <c r="C11" s="6">
        <f>IF(C12&gt;0.15,"BUY",IF(C12&gt;0.05,"HOLD","SELL"))</f>
        <v/>
      </c>
    </row>
    <row r="12">
      <c r="B12" s="4" t="inlineStr">
        <is>
          <t>Upside / Downside</t>
        </is>
      </c>
      <c r="C12" s="7">
        <f>(C10-C9)/C9</f>
        <v/>
      </c>
    </row>
    <row r="14">
      <c r="B14" s="8" t="inlineStr">
        <is>
          <t>Valuation Summary</t>
        </is>
      </c>
      <c r="C14" s="9" t="n"/>
      <c r="D14" s="9" t="n"/>
    </row>
    <row r="15">
      <c r="B15" s="10" t="inlineStr">
        <is>
          <t>Methodology</t>
        </is>
      </c>
      <c r="C15" s="10" t="inlineStr">
        <is>
          <t>Implied Value (JPY)</t>
        </is>
      </c>
      <c r="D15" s="10" t="inlineStr">
        <is>
          <t>vs Current Price</t>
        </is>
      </c>
    </row>
    <row r="16">
      <c r="B16" t="inlineStr">
        <is>
          <t>DCF - Perpetuity Growth</t>
        </is>
      </c>
      <c r="C16" s="11">
        <f>'DCF Model'!C55</f>
        <v/>
      </c>
      <c r="D16" s="7">
        <f>(C16-C9)/C9</f>
        <v/>
      </c>
    </row>
    <row r="17">
      <c r="B17" t="inlineStr">
        <is>
          <t>DCF - Exit Multiple</t>
        </is>
      </c>
      <c r="C17" s="11">
        <f>'DCF Model'!C64</f>
        <v/>
      </c>
      <c r="D17" s="7">
        <f>(C17-C9)/C9</f>
        <v/>
      </c>
    </row>
    <row r="18">
      <c r="B18" t="inlineStr">
        <is>
          <t>Comps - EV/EBITDA Median</t>
        </is>
      </c>
      <c r="C18" s="11">
        <f>'Comps Analysis'!C27</f>
        <v/>
      </c>
      <c r="D18" s="7">
        <f>(C18-C9)/C9</f>
        <v/>
      </c>
    </row>
    <row r="19">
      <c r="B19" t="inlineStr">
        <is>
          <t>Comps - PER Median</t>
        </is>
      </c>
      <c r="C19" s="11">
        <f>'Comps Analysis'!C28</f>
        <v/>
      </c>
      <c r="D19" s="7">
        <f>(C19-C9)/C9</f>
        <v/>
      </c>
    </row>
    <row r="21">
      <c r="B21" s="4" t="inlineStr">
        <is>
          <t>Integrated Valuation Range</t>
        </is>
      </c>
      <c r="C21" s="6">
        <f>MIN(C16:C19)&amp;" - "&amp;MAX(C16:C19)</f>
        <v/>
      </c>
    </row>
    <row r="23">
      <c r="B23" s="8" t="inlineStr">
        <is>
          <t>Key Investment Thesis</t>
        </is>
      </c>
      <c r="C23" s="9" t="n"/>
      <c r="D23" s="9" t="n"/>
    </row>
    <row r="24">
      <c r="B24" t="inlineStr">
        <is>
          <t>1. LiB electrode coating equipment with ~20% global market share (duopoly with Hirano Tecseed)</t>
        </is>
      </c>
    </row>
    <row r="25">
      <c r="B25" t="inlineStr">
        <is>
          <t>2. Dual revenue pillars (optical display + battery) provide counter-cyclical stability, sustaining 16% OPM</t>
        </is>
      </c>
    </row>
    <row r="26">
      <c r="B26" t="inlineStr">
        <is>
          <t>3. Structural tailwind: electricity demand acceleration (AI/DC + EV + grid storage) drives battery capex cycle</t>
        </is>
      </c>
    </row>
    <row r="27">
      <c r="B27" t="inlineStr">
        <is>
          <t>4. Effissimo Capital (activist) as major shareholder - catalyst for capital efficiency improvement and enhanced returns</t>
        </is>
      </c>
    </row>
    <row r="28">
      <c r="B28" s="8" t="inlineStr">
        <is>
          <t>Key Risks</t>
        </is>
      </c>
      <c r="C28" s="9" t="n"/>
      <c r="D28" s="9" t="n"/>
    </row>
    <row r="29">
      <c r="B29" t="inlineStr">
        <is>
          <t>1. EV market capex delay directly reduces battery coating equipment orders</t>
        </is>
      </c>
    </row>
    <row r="30">
      <c r="B30" t="inlineStr">
        <is>
          <t>2. Order-driven business model creates significant quarterly earnings volatility</t>
        </is>
      </c>
    </row>
    <row r="31">
      <c r="B31" t="inlineStr">
        <is>
          <t>3. Competitive pressure from Hirano Tecseed (6245) in core LiB coating market</t>
        </is>
      </c>
    </row>
    <row r="32">
      <c r="B32" t="inlineStr">
        <is>
          <t>4. Low daily trading volume (JPY 5-10mn) creates liquidity risk for institutional investors</t>
        </is>
      </c>
    </row>
  </sheetData>
  <mergeCells count="2">
    <mergeCell ref="B3:D3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3366"/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2" t="inlineStr">
        <is>
          <t>TechnoSmart Corporation - Historical Financials (JPY mn)</t>
        </is>
      </c>
    </row>
    <row r="4">
      <c r="C4" s="10" t="inlineStr">
        <is>
          <t>FY2021</t>
        </is>
      </c>
      <c r="D4" s="10" t="inlineStr">
        <is>
          <t>FY2022</t>
        </is>
      </c>
      <c r="E4" s="10" t="inlineStr">
        <is>
          <t>FY2023</t>
        </is>
      </c>
      <c r="F4" s="10" t="inlineStr">
        <is>
          <t>FY2024</t>
        </is>
      </c>
      <c r="G4" s="10" t="inlineStr">
        <is>
          <t>FY2025</t>
        </is>
      </c>
    </row>
    <row r="5">
      <c r="B5" s="3" t="inlineStr">
        <is>
          <t>Income Statement</t>
        </is>
      </c>
    </row>
    <row r="6">
      <c r="B6" s="4" t="inlineStr">
        <is>
          <t>Revenue</t>
        </is>
      </c>
      <c r="C6" s="5" t="n">
        <v>8089.061</v>
      </c>
      <c r="D6" s="5" t="n">
        <v>16939.242</v>
      </c>
      <c r="E6" s="5" t="n">
        <v>19677.406</v>
      </c>
      <c r="F6" s="5" t="n">
        <v>19242.406</v>
      </c>
      <c r="G6" s="5" t="n">
        <v>21578.662</v>
      </c>
    </row>
    <row r="7">
      <c r="B7" s="4" t="inlineStr">
        <is>
          <t>COGS</t>
        </is>
      </c>
      <c r="C7" s="5" t="n">
        <v>6663.504</v>
      </c>
      <c r="D7" s="5" t="n">
        <v>14472.721</v>
      </c>
      <c r="E7" s="5" t="n">
        <v>16502.946</v>
      </c>
      <c r="F7" s="5" t="n">
        <v>15603.552</v>
      </c>
      <c r="G7" s="5" t="n">
        <v>16762.407</v>
      </c>
    </row>
    <row r="8">
      <c r="B8" s="4" t="inlineStr">
        <is>
          <t>Gross Profit</t>
        </is>
      </c>
      <c r="C8" s="5">
        <f>C6-C7</f>
        <v/>
      </c>
      <c r="D8" s="5">
        <f>D6-D7</f>
        <v/>
      </c>
      <c r="E8" s="5">
        <f>E6-E7</f>
        <v/>
      </c>
      <c r="F8" s="5">
        <f>F6-F7</f>
        <v/>
      </c>
      <c r="G8" s="5">
        <f>G6-G7</f>
        <v/>
      </c>
    </row>
    <row r="9">
      <c r="B9" t="inlineStr">
        <is>
          <t>Gross Margin</t>
        </is>
      </c>
      <c r="C9" s="7">
        <f>C8/C6</f>
        <v/>
      </c>
      <c r="D9" s="7">
        <f>D8/D6</f>
        <v/>
      </c>
      <c r="E9" s="7">
        <f>E8/E6</f>
        <v/>
      </c>
      <c r="F9" s="7">
        <f>F8/F6</f>
        <v/>
      </c>
      <c r="G9" s="7">
        <f>G8/G6</f>
        <v/>
      </c>
    </row>
    <row r="10">
      <c r="B10" s="4" t="inlineStr">
        <is>
          <t>SGA</t>
        </is>
      </c>
      <c r="C10" s="5" t="n">
        <v>585.075</v>
      </c>
      <c r="D10" s="5" t="n">
        <v>823.7430000000001</v>
      </c>
      <c r="E10" s="5" t="n">
        <v>941.674</v>
      </c>
      <c r="F10" s="5" t="n">
        <v>1050.605</v>
      </c>
      <c r="G10" s="5" t="n">
        <v>1303.766</v>
      </c>
    </row>
    <row r="11">
      <c r="B11" s="4" t="inlineStr">
        <is>
          <t>Operating Income</t>
        </is>
      </c>
      <c r="C11" s="5" t="n">
        <v>840.481</v>
      </c>
      <c r="D11" s="5" t="n">
        <v>1642.777</v>
      </c>
      <c r="E11" s="5" t="n">
        <v>2232.785</v>
      </c>
      <c r="F11" s="5" t="n">
        <v>2588.248</v>
      </c>
      <c r="G11" s="5" t="n">
        <v>3512.488</v>
      </c>
    </row>
    <row r="12">
      <c r="B12" s="4" t="inlineStr">
        <is>
          <t>Net Income</t>
        </is>
      </c>
      <c r="C12" s="5" t="n">
        <v>579.872</v>
      </c>
      <c r="D12" s="5" t="n">
        <v>1164.22</v>
      </c>
      <c r="E12" s="5" t="n">
        <v>1607.193</v>
      </c>
      <c r="F12" s="5" t="n">
        <v>1804.357</v>
      </c>
      <c r="G12" s="5" t="n">
        <v>2390.888</v>
      </c>
    </row>
    <row r="13">
      <c r="B13" t="inlineStr">
        <is>
          <t>Operating Margin</t>
        </is>
      </c>
      <c r="C13" s="7">
        <f>C11/C6</f>
        <v/>
      </c>
      <c r="D13" s="7">
        <f>D11/D6</f>
        <v/>
      </c>
      <c r="E13" s="7">
        <f>E11/E6</f>
        <v/>
      </c>
      <c r="F13" s="7">
        <f>F11/F6</f>
        <v/>
      </c>
      <c r="G13" s="7">
        <f>G11/G6</f>
        <v/>
      </c>
    </row>
    <row r="14">
      <c r="B14" t="inlineStr">
        <is>
          <t>Net Margin</t>
        </is>
      </c>
      <c r="C14" s="7">
        <f>C12/C6</f>
        <v/>
      </c>
      <c r="D14" s="7">
        <f>D12/D6</f>
        <v/>
      </c>
      <c r="E14" s="7">
        <f>E12/E6</f>
        <v/>
      </c>
      <c r="F14" s="7">
        <f>F12/F6</f>
        <v/>
      </c>
      <c r="G14" s="7">
        <f>G12/G6</f>
        <v/>
      </c>
    </row>
    <row r="15">
      <c r="B15" t="inlineStr">
        <is>
          <t>Revenue Growth (YoY)</t>
        </is>
      </c>
      <c r="C15" t="inlineStr">
        <is>
          <t>n/a</t>
        </is>
      </c>
      <c r="D15" s="7">
        <f>(D6-C6)/C6</f>
        <v/>
      </c>
      <c r="E15" s="7">
        <f>(E6-D6)/D6</f>
        <v/>
      </c>
      <c r="F15" s="7">
        <f>(F6-E6)/E6</f>
        <v/>
      </c>
      <c r="G15" s="7">
        <f>(G6-F6)/F6</f>
        <v/>
      </c>
    </row>
    <row r="16">
      <c r="B16" t="inlineStr">
        <is>
          <t>Operating Income Growth (YoY)</t>
        </is>
      </c>
      <c r="C16" t="inlineStr">
        <is>
          <t>n/a</t>
        </is>
      </c>
      <c r="D16" s="7">
        <f>(D11-C11)/C11</f>
        <v/>
      </c>
      <c r="E16" s="7">
        <f>(E11-D11)/D11</f>
        <v/>
      </c>
      <c r="F16" s="7">
        <f>(F11-E11)/E11</f>
        <v/>
      </c>
      <c r="G16" s="7">
        <f>(G11-F11)/F11</f>
        <v/>
      </c>
    </row>
    <row r="18">
      <c r="B18" s="3" t="inlineStr">
        <is>
          <t>Cash Flow Statement</t>
        </is>
      </c>
    </row>
    <row r="19">
      <c r="B19" s="4" t="inlineStr">
        <is>
          <t>Operating Cash Flow</t>
        </is>
      </c>
      <c r="C19" s="5" t="n">
        <v>5161.102</v>
      </c>
      <c r="D19" s="5" t="n">
        <v>1372.809</v>
      </c>
      <c r="E19" s="5" t="n">
        <v>-459.199</v>
      </c>
      <c r="F19" s="5" t="n">
        <v>1520.839</v>
      </c>
      <c r="G19" s="5" t="n">
        <v>-1532.659</v>
      </c>
    </row>
    <row r="20">
      <c r="B20" s="4" t="inlineStr">
        <is>
          <t>Capex</t>
        </is>
      </c>
      <c r="C20" s="5" t="n">
        <v>431.142</v>
      </c>
      <c r="D20" s="5" t="n">
        <v>741.718</v>
      </c>
      <c r="E20" s="5" t="n">
        <v>22.898</v>
      </c>
      <c r="F20" s="5" t="n">
        <v>282.478</v>
      </c>
      <c r="G20" s="5" t="n">
        <v>906.3339999999999</v>
      </c>
    </row>
    <row r="21">
      <c r="B21" s="4" t="inlineStr">
        <is>
          <t>Free Cash Flow</t>
        </is>
      </c>
      <c r="C21" s="5">
        <f>C19-C20</f>
        <v/>
      </c>
      <c r="D21" s="5">
        <f>D19-D20</f>
        <v/>
      </c>
      <c r="E21" s="5">
        <f>E19-E20</f>
        <v/>
      </c>
      <c r="F21" s="5">
        <f>F19-F20</f>
        <v/>
      </c>
      <c r="G21" s="5">
        <f>G19-G20</f>
        <v/>
      </c>
    </row>
    <row r="22">
      <c r="B22" t="inlineStr">
        <is>
          <t>FCF Margin</t>
        </is>
      </c>
      <c r="C22" s="7">
        <f>C21/C6</f>
        <v/>
      </c>
      <c r="D22" s="7">
        <f>D21/D6</f>
        <v/>
      </c>
      <c r="E22" s="7">
        <f>E21/E6</f>
        <v/>
      </c>
      <c r="F22" s="7">
        <f>F21/F6</f>
        <v/>
      </c>
      <c r="G22" s="7">
        <f>G21/G6</f>
        <v/>
      </c>
    </row>
    <row r="23">
      <c r="B23" t="inlineStr">
        <is>
          <t>Capex / Revenue</t>
        </is>
      </c>
      <c r="C23" s="7">
        <f>C20/C6</f>
        <v/>
      </c>
      <c r="D23" s="7">
        <f>D20/D6</f>
        <v/>
      </c>
      <c r="E23" s="7">
        <f>E20/E6</f>
        <v/>
      </c>
      <c r="F23" s="7">
        <f>F20/F6</f>
        <v/>
      </c>
      <c r="G23" s="7">
        <f>G20/G6</f>
        <v/>
      </c>
    </row>
    <row r="25">
      <c r="B25" s="3" t="inlineStr">
        <is>
          <t>Balance Sheet Highlights</t>
        </is>
      </c>
    </row>
    <row r="26">
      <c r="B26" s="4" t="inlineStr">
        <is>
          <t>Cash &amp; Deposits</t>
        </is>
      </c>
      <c r="C26" s="5" t="n">
        <v>10361.183</v>
      </c>
      <c r="D26" s="5" t="n">
        <v>10538.638</v>
      </c>
      <c r="E26" s="5" t="n">
        <v>9483.050999999999</v>
      </c>
      <c r="F26" s="5" t="n">
        <v>9711.441999999999</v>
      </c>
      <c r="G26" s="5" t="n">
        <v>6896.07</v>
      </c>
    </row>
    <row r="27">
      <c r="B27" s="4" t="inlineStr">
        <is>
          <t>Short-term Debt</t>
        </is>
      </c>
      <c r="C27" s="5" t="n">
        <v>3</v>
      </c>
      <c r="D27" s="5" t="n">
        <v>0</v>
      </c>
      <c r="E27" s="5" t="n">
        <v>0</v>
      </c>
      <c r="F27" s="5" t="n">
        <v>0</v>
      </c>
      <c r="G27" s="5" t="n">
        <v>2000</v>
      </c>
    </row>
    <row r="28">
      <c r="B28" s="4" t="inlineStr">
        <is>
          <t>Net Debt (Cash)</t>
        </is>
      </c>
      <c r="C28" s="5">
        <f>C27-C26</f>
        <v/>
      </c>
      <c r="D28" s="5">
        <f>D27-D26</f>
        <v/>
      </c>
      <c r="E28" s="5">
        <f>E27-E26</f>
        <v/>
      </c>
      <c r="F28" s="5">
        <f>F27-F26</f>
        <v/>
      </c>
      <c r="G28" s="5">
        <f>G27-G26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00"/>
    <outlinePr summaryBelow="1" summaryRight="1"/>
    <pageSetUpPr/>
  </sheetPr>
  <dimension ref="B2:G8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2" t="inlineStr">
        <is>
          <t>DCF Valuation Model - TechnoSmart Corporation</t>
        </is>
      </c>
    </row>
    <row r="4">
      <c r="B4" s="8" t="inlineStr">
        <is>
          <t>Assumptions</t>
        </is>
      </c>
      <c r="C4" s="9" t="n"/>
      <c r="D4" s="9" t="n"/>
      <c r="E4" s="9" t="n"/>
      <c r="F4" s="9" t="n"/>
      <c r="G4" s="9" t="n"/>
    </row>
    <row r="5">
      <c r="B5" s="4" t="inlineStr">
        <is>
          <t>Capex / Revenue</t>
        </is>
      </c>
      <c r="C5" s="7" t="n">
        <v>0.031</v>
      </c>
    </row>
    <row r="6">
      <c r="B6" s="4" t="inlineStr">
        <is>
          <t>Effective Tax Rate</t>
        </is>
      </c>
      <c r="C6" s="7" t="n">
        <v>0.3</v>
      </c>
    </row>
    <row r="7">
      <c r="B7" s="4" t="inlineStr">
        <is>
          <t>Risk-Free Rate</t>
        </is>
      </c>
      <c r="C7" s="7" t="n">
        <v>0.022</v>
      </c>
    </row>
    <row r="8">
      <c r="B8" s="4" t="inlineStr">
        <is>
          <t>Beta</t>
        </is>
      </c>
      <c r="C8" s="12" t="n">
        <v>0.9</v>
      </c>
    </row>
    <row r="9">
      <c r="B9" s="4" t="inlineStr">
        <is>
          <t>Equity Risk Premium</t>
        </is>
      </c>
      <c r="C9" s="7" t="n">
        <v>0.065</v>
      </c>
    </row>
    <row r="10">
      <c r="B10" s="4" t="inlineStr">
        <is>
          <t>Size Premium</t>
        </is>
      </c>
      <c r="C10" s="7" t="n">
        <v>0.04</v>
      </c>
    </row>
    <row r="11">
      <c r="B11" s="4" t="inlineStr">
        <is>
          <t>After-tax Cost of Debt</t>
        </is>
      </c>
      <c r="C11" s="7" t="n">
        <v>0.005</v>
      </c>
    </row>
    <row r="12">
      <c r="B12" s="4" t="inlineStr">
        <is>
          <t>D/E Ratio</t>
        </is>
      </c>
      <c r="C12" s="13" t="n">
        <v>0.0191</v>
      </c>
    </row>
    <row r="13">
      <c r="B13" s="4" t="inlineStr">
        <is>
          <t>Terminal Growth Rate</t>
        </is>
      </c>
      <c r="C13" s="7" t="n">
        <v>0.015</v>
      </c>
    </row>
    <row r="14">
      <c r="B14" s="4" t="inlineStr">
        <is>
          <t>Exit Multiple (EV/EBITDA)</t>
        </is>
      </c>
      <c r="C14" s="14" t="n">
        <v>8</v>
      </c>
    </row>
    <row r="15">
      <c r="B15" s="4" t="inlineStr">
        <is>
          <t>Fully Diluted Shares</t>
        </is>
      </c>
      <c r="C15" s="15" t="n">
        <v>11490655</v>
      </c>
    </row>
    <row r="16">
      <c r="B16" s="4" t="inlineStr">
        <is>
          <t>Net Debt (JPY mn)</t>
        </is>
      </c>
      <c r="C16" s="5" t="n">
        <v>432.4</v>
      </c>
    </row>
    <row r="17">
      <c r="B17" s="4" t="inlineStr">
        <is>
          <t>Base Year Revenue (JPY mn)</t>
        </is>
      </c>
      <c r="C17" s="5" t="n">
        <v>21578.662</v>
      </c>
    </row>
    <row r="18">
      <c r="B18" s="4" t="inlineStr">
        <is>
          <t>D&amp;A / Revenue</t>
        </is>
      </c>
      <c r="C18" s="7" t="n">
        <v>0.0116</v>
      </c>
    </row>
    <row r="19">
      <c r="B19" s="4" t="inlineStr">
        <is>
          <t>Stub Fraction (yr remaining)</t>
        </is>
      </c>
      <c r="C19" s="12" t="n">
        <v>0.5</v>
      </c>
    </row>
    <row r="20">
      <c r="B20" s="4" t="inlineStr">
        <is>
          <t>LTM Revenue (JPY mn)</t>
        </is>
      </c>
      <c r="C20" s="5" t="n">
        <v>26592.9</v>
      </c>
    </row>
    <row r="22">
      <c r="B22" s="8" t="inlineStr">
        <is>
          <t>WACC Calculation</t>
        </is>
      </c>
      <c r="C22" s="9" t="n"/>
      <c r="D22" s="9" t="n"/>
      <c r="E22" s="9" t="n"/>
      <c r="F22" s="9" t="n"/>
      <c r="G22" s="9" t="n"/>
    </row>
    <row r="23">
      <c r="B23" s="4" t="inlineStr">
        <is>
          <t>Cost of Equity (Ke)</t>
        </is>
      </c>
      <c r="C23" s="16">
        <f>C7+C8*C9+C10</f>
        <v/>
      </c>
    </row>
    <row r="24">
      <c r="B24" s="4" t="inlineStr">
        <is>
          <t>Weight of Equity</t>
        </is>
      </c>
      <c r="C24" s="16">
        <f>1/(1+C12)</f>
        <v/>
      </c>
    </row>
    <row r="25">
      <c r="B25" s="4" t="inlineStr">
        <is>
          <t>Weight of Debt</t>
        </is>
      </c>
      <c r="C25" s="16">
        <f>C12/(1+C12)</f>
        <v/>
      </c>
    </row>
    <row r="26">
      <c r="B26" s="4" t="inlineStr">
        <is>
          <t>WACC</t>
        </is>
      </c>
      <c r="C26" s="16">
        <f>C23*C24+C11*C25</f>
        <v/>
      </c>
    </row>
    <row r="27">
      <c r="B27" s="4" t="inlineStr">
        <is>
          <t>Active Scenario</t>
        </is>
      </c>
      <c r="C27" s="17" t="inlineStr">
        <is>
          <t>Base</t>
        </is>
      </c>
      <c r="D27" s="6">
        <f>MATCH(C27,B69:B73,0)</f>
        <v/>
      </c>
    </row>
    <row r="28">
      <c r="B28" s="8" t="inlineStr">
        <is>
          <t>Projected Free Cash Flow</t>
        </is>
      </c>
      <c r="C28" s="9" t="n"/>
      <c r="D28" s="9" t="n"/>
      <c r="E28" s="9" t="n"/>
      <c r="F28" s="9" t="n"/>
      <c r="G28" s="9" t="n"/>
    </row>
    <row r="29">
      <c r="C29" s="10" t="inlineStr">
        <is>
          <t>FY2026(E)</t>
        </is>
      </c>
      <c r="D29" s="10" t="inlineStr">
        <is>
          <t>FY2027(E)</t>
        </is>
      </c>
      <c r="E29" s="10" t="inlineStr">
        <is>
          <t>FY2028(E)</t>
        </is>
      </c>
      <c r="F29" s="10" t="inlineStr">
        <is>
          <t>FY2029(E)</t>
        </is>
      </c>
      <c r="G29" s="10" t="inlineStr">
        <is>
          <t>FY2030(E)</t>
        </is>
      </c>
    </row>
    <row r="30">
      <c r="B30" s="4" t="inlineStr">
        <is>
          <t>Revenue Growth (YoY)</t>
        </is>
      </c>
      <c r="C30" s="18">
        <f>CHOOSE($D$27,C69,C70,C71,C72,C73)</f>
        <v/>
      </c>
      <c r="D30" s="18">
        <f>CHOOSE($D$27,D69,D70,D71,D72,D73)</f>
        <v/>
      </c>
      <c r="E30" s="18">
        <f>CHOOSE($D$27,E69,E70,E71,E72,E73)</f>
        <v/>
      </c>
      <c r="F30" s="18">
        <f>CHOOSE($D$27,F69,F70,F71,F72,F73)</f>
        <v/>
      </c>
      <c r="G30" s="18">
        <f>CHOOSE($D$27,G69,G70,G71,G72,G73)</f>
        <v/>
      </c>
    </row>
    <row r="31">
      <c r="B31" s="4" t="inlineStr">
        <is>
          <t>COGS % of Revenue</t>
        </is>
      </c>
      <c r="C31" s="18">
        <f>CHOOSE($D$27,C76,C77,C78,C79,C80)</f>
        <v/>
      </c>
      <c r="D31" s="18">
        <f>CHOOSE($D$27,D76,D77,D78,D79,D80)</f>
        <v/>
      </c>
      <c r="E31" s="18">
        <f>CHOOSE($D$27,E76,E77,E78,E79,E80)</f>
        <v/>
      </c>
      <c r="F31" s="18">
        <f>CHOOSE($D$27,F76,F77,F78,F79,F80)</f>
        <v/>
      </c>
      <c r="G31" s="18">
        <f>CHOOSE($D$27,G76,G77,G78,G79,G80)</f>
        <v/>
      </c>
    </row>
    <row r="32">
      <c r="B32" s="4" t="inlineStr">
        <is>
          <t>SGA % of Revenue</t>
        </is>
      </c>
      <c r="C32" s="18">
        <f>CHOOSE($D$27,C83,C84,C85,C86,C87)</f>
        <v/>
      </c>
      <c r="D32" s="18">
        <f>CHOOSE($D$27,D83,D84,D85,D86,D87)</f>
        <v/>
      </c>
      <c r="E32" s="18">
        <f>CHOOSE($D$27,E83,E84,E85,E86,E87)</f>
        <v/>
      </c>
      <c r="F32" s="18">
        <f>CHOOSE($D$27,F83,F84,F85,F86,F87)</f>
        <v/>
      </c>
      <c r="G32" s="18">
        <f>CHOOSE($D$27,G83,G84,G85,G86,G87)</f>
        <v/>
      </c>
    </row>
    <row r="33">
      <c r="B33" s="4" t="inlineStr">
        <is>
          <t>Revenue</t>
        </is>
      </c>
      <c r="C33" s="5">
        <f>C17*(1+C30)</f>
        <v/>
      </c>
      <c r="D33" s="5">
        <f>C33*(1+D30)</f>
        <v/>
      </c>
      <c r="E33" s="5">
        <f>D33*(1+E30)</f>
        <v/>
      </c>
      <c r="F33" s="5">
        <f>E33*(1+F30)</f>
        <v/>
      </c>
      <c r="G33" s="5">
        <f>F33*(1+G30)</f>
        <v/>
      </c>
    </row>
    <row r="34">
      <c r="B34" s="4" t="inlineStr">
        <is>
          <t>COGS</t>
        </is>
      </c>
      <c r="C34" s="5">
        <f>C33*C31</f>
        <v/>
      </c>
      <c r="D34" s="5">
        <f>D33*D31</f>
        <v/>
      </c>
      <c r="E34" s="5">
        <f>E33*E31</f>
        <v/>
      </c>
      <c r="F34" s="5">
        <f>F33*F31</f>
        <v/>
      </c>
      <c r="G34" s="5">
        <f>G33*G31</f>
        <v/>
      </c>
    </row>
    <row r="35">
      <c r="B35" s="4" t="inlineStr">
        <is>
          <t>Gross Profit</t>
        </is>
      </c>
      <c r="C35" s="19">
        <f>C33-C34</f>
        <v/>
      </c>
      <c r="D35" s="19">
        <f>D33-D34</f>
        <v/>
      </c>
      <c r="E35" s="19">
        <f>E33-E34</f>
        <v/>
      </c>
      <c r="F35" s="19">
        <f>F33-F34</f>
        <v/>
      </c>
      <c r="G35" s="19">
        <f>G33-G34</f>
        <v/>
      </c>
    </row>
    <row r="36">
      <c r="B36" s="4" t="inlineStr">
        <is>
          <t>Gross Margin</t>
        </is>
      </c>
      <c r="C36" s="7">
        <f>C35/C33</f>
        <v/>
      </c>
      <c r="D36" s="7">
        <f>D35/D33</f>
        <v/>
      </c>
      <c r="E36" s="7">
        <f>E35/E33</f>
        <v/>
      </c>
      <c r="F36" s="7">
        <f>F35/F33</f>
        <v/>
      </c>
      <c r="G36" s="7">
        <f>G35/G33</f>
        <v/>
      </c>
    </row>
    <row r="37">
      <c r="B37" s="4" t="inlineStr">
        <is>
          <t>SGA Expense</t>
        </is>
      </c>
      <c r="C37" s="5">
        <f>C33*C32</f>
        <v/>
      </c>
      <c r="D37" s="5">
        <f>D33*D32</f>
        <v/>
      </c>
      <c r="E37" s="5">
        <f>E33*E32</f>
        <v/>
      </c>
      <c r="F37" s="5">
        <f>F33*F32</f>
        <v/>
      </c>
      <c r="G37" s="5">
        <f>G33*G32</f>
        <v/>
      </c>
    </row>
    <row r="38">
      <c r="B38" s="4" t="inlineStr">
        <is>
          <t>Implied Operating Margin</t>
        </is>
      </c>
      <c r="C38" s="7">
        <f>(C35-C37)/C33</f>
        <v/>
      </c>
      <c r="D38" s="7">
        <f>(D35-D37)/D33</f>
        <v/>
      </c>
      <c r="E38" s="7">
        <f>(E35-E37)/E33</f>
        <v/>
      </c>
      <c r="F38" s="7">
        <f>(F35-F37)/F33</f>
        <v/>
      </c>
      <c r="G38" s="7">
        <f>(G35-G37)/G33</f>
        <v/>
      </c>
    </row>
    <row r="39">
      <c r="B39" s="4" t="inlineStr">
        <is>
          <t>Operating Income (EBIT)</t>
        </is>
      </c>
      <c r="C39" s="19">
        <f>C35-C37</f>
        <v/>
      </c>
      <c r="D39" s="19">
        <f>D35-D37</f>
        <v/>
      </c>
      <c r="E39" s="19">
        <f>E35-E37</f>
        <v/>
      </c>
      <c r="F39" s="19">
        <f>F35-F37</f>
        <v/>
      </c>
      <c r="G39" s="19">
        <f>G35-G37</f>
        <v/>
      </c>
    </row>
    <row r="40">
      <c r="B40" s="4" t="inlineStr">
        <is>
          <t>Less: Tax</t>
        </is>
      </c>
      <c r="C40" s="5">
        <f>MAX(0,C39*C6)</f>
        <v/>
      </c>
      <c r="D40" s="5">
        <f>MAX(0,D39*C6)</f>
        <v/>
      </c>
      <c r="E40" s="5">
        <f>MAX(0,E39*C6)</f>
        <v/>
      </c>
      <c r="F40" s="5">
        <f>MAX(0,F39*C6)</f>
        <v/>
      </c>
      <c r="G40" s="5">
        <f>MAX(0,G39*C6)</f>
        <v/>
      </c>
    </row>
    <row r="41">
      <c r="B41" s="4" t="inlineStr">
        <is>
          <t>NOPAT</t>
        </is>
      </c>
      <c r="C41" s="19">
        <f>C39-C40</f>
        <v/>
      </c>
      <c r="D41" s="19">
        <f>D39-D40</f>
        <v/>
      </c>
      <c r="E41" s="19">
        <f>E39-E40</f>
        <v/>
      </c>
      <c r="F41" s="19">
        <f>F39-F40</f>
        <v/>
      </c>
      <c r="G41" s="19">
        <f>G39-G40</f>
        <v/>
      </c>
    </row>
    <row r="42">
      <c r="B42" s="4" t="inlineStr">
        <is>
          <t>Plus: D&amp;A</t>
        </is>
      </c>
      <c r="C42" s="5">
        <f>C33*C18</f>
        <v/>
      </c>
      <c r="D42" s="5">
        <f>D33*C18</f>
        <v/>
      </c>
      <c r="E42" s="5">
        <f>E33*C18</f>
        <v/>
      </c>
      <c r="F42" s="5">
        <f>F33*C18</f>
        <v/>
      </c>
      <c r="G42" s="5">
        <f>G33*C18</f>
        <v/>
      </c>
    </row>
    <row r="43">
      <c r="B43" s="4" t="inlineStr">
        <is>
          <t>Less: Capex</t>
        </is>
      </c>
      <c r="C43" s="5">
        <f>C33*C5</f>
        <v/>
      </c>
      <c r="D43" s="5">
        <f>D33*C5</f>
        <v/>
      </c>
      <c r="E43" s="5">
        <f>E33*C5</f>
        <v/>
      </c>
      <c r="F43" s="5">
        <f>F33*C5</f>
        <v/>
      </c>
      <c r="G43" s="5">
        <f>G33*C5</f>
        <v/>
      </c>
    </row>
    <row r="44">
      <c r="B44" s="4" t="inlineStr">
        <is>
          <t>Change in NWC</t>
        </is>
      </c>
      <c r="C44" s="5">
        <f>'NWC Schedule'!D19</f>
        <v/>
      </c>
      <c r="D44" s="5">
        <f>'NWC Schedule'!E19</f>
        <v/>
      </c>
      <c r="E44" s="5">
        <f>'NWC Schedule'!F19</f>
        <v/>
      </c>
      <c r="F44" s="5">
        <f>'NWC Schedule'!G19</f>
        <v/>
      </c>
      <c r="G44" s="5">
        <f>'NWC Schedule'!H19</f>
        <v/>
      </c>
    </row>
    <row r="45">
      <c r="B45" s="4" t="inlineStr">
        <is>
          <t>Unlevered Free Cash Flow</t>
        </is>
      </c>
      <c r="C45" s="20">
        <f>C41+C42-C43-C44</f>
        <v/>
      </c>
      <c r="D45" s="20">
        <f>D41+D42-D43-D44</f>
        <v/>
      </c>
      <c r="E45" s="20">
        <f>E41+E42-E43-E44</f>
        <v/>
      </c>
      <c r="F45" s="20">
        <f>F41+F42-F43-F44</f>
        <v/>
      </c>
      <c r="G45" s="20">
        <f>G41+G42-G43-G44</f>
        <v/>
      </c>
    </row>
    <row r="46">
      <c r="B46" s="4" t="inlineStr">
        <is>
          <t>Discount Factor</t>
        </is>
      </c>
      <c r="C46" s="21">
        <f>1/(1+C26)^(C19+0)</f>
        <v/>
      </c>
      <c r="D46" s="21">
        <f>1/(1+C26)^(C19+1)</f>
        <v/>
      </c>
      <c r="E46" s="21">
        <f>1/(1+C26)^(C19+2)</f>
        <v/>
      </c>
      <c r="F46" s="21">
        <f>1/(1+C26)^(C19+3)</f>
        <v/>
      </c>
      <c r="G46" s="21">
        <f>1/(1+C26)^(C19+4)</f>
        <v/>
      </c>
    </row>
    <row r="47">
      <c r="B47" s="4" t="inlineStr">
        <is>
          <t>PV of FCF</t>
        </is>
      </c>
      <c r="C47" s="19">
        <f>C45*C46</f>
        <v/>
      </c>
      <c r="D47" s="19">
        <f>D45*D46</f>
        <v/>
      </c>
      <c r="E47" s="19">
        <f>E45*E46</f>
        <v/>
      </c>
      <c r="F47" s="19">
        <f>F45*F46</f>
        <v/>
      </c>
      <c r="G47" s="19">
        <f>G45*G46</f>
        <v/>
      </c>
    </row>
    <row r="49">
      <c r="B49" s="22" t="inlineStr">
        <is>
          <t>Valuation - Perpetuity Growth Method</t>
        </is>
      </c>
      <c r="C49" s="23" t="n"/>
      <c r="D49" s="23" t="n"/>
      <c r="E49" s="23" t="n"/>
      <c r="F49" s="23" t="n"/>
      <c r="G49" s="23" t="n"/>
    </row>
    <row r="50">
      <c r="B50" s="4" t="inlineStr">
        <is>
          <t>Sum of PV of FCFs</t>
        </is>
      </c>
      <c r="C50" s="5">
        <f>SUM(C47:G47)</f>
        <v/>
      </c>
    </row>
    <row r="51">
      <c r="B51" s="4" t="inlineStr">
        <is>
          <t>Terminal Value (PGM)</t>
        </is>
      </c>
      <c r="C51" s="5">
        <f>G45*(1+C13)/(C26-C13)</f>
        <v/>
      </c>
    </row>
    <row r="52">
      <c r="B52" s="4" t="inlineStr">
        <is>
          <t>PV of Terminal Value</t>
        </is>
      </c>
      <c r="C52" s="5">
        <f>C51*G46</f>
        <v/>
      </c>
    </row>
    <row r="53">
      <c r="B53" s="4" t="inlineStr">
        <is>
          <t>Enterprise Value</t>
        </is>
      </c>
      <c r="C53" s="5">
        <f>C50+C52</f>
        <v/>
      </c>
    </row>
    <row r="54">
      <c r="B54" s="4" t="inlineStr">
        <is>
          <t>Equity Value</t>
        </is>
      </c>
      <c r="C54" s="5">
        <f>C53-C16</f>
        <v/>
      </c>
    </row>
    <row r="55">
      <c r="B55" s="4" t="inlineStr">
        <is>
          <t>Implied Share Price (PGM)</t>
        </is>
      </c>
      <c r="C55" s="24">
        <f>ROUND(C54*1000000/C15,0)</f>
        <v/>
      </c>
    </row>
    <row r="57">
      <c r="B57" s="22" t="inlineStr">
        <is>
          <t>Valuation - Exit Multiple Method</t>
        </is>
      </c>
      <c r="C57" s="23" t="n"/>
      <c r="D57" s="23" t="n"/>
      <c r="E57" s="23" t="n"/>
      <c r="F57" s="23" t="n"/>
      <c r="G57" s="23" t="n"/>
    </row>
    <row r="58">
      <c r="B58" s="4" t="inlineStr">
        <is>
          <t>Sum of PV of FCFs</t>
        </is>
      </c>
      <c r="C58" s="5">
        <f>C50</f>
        <v/>
      </c>
    </row>
    <row r="59">
      <c r="B59" s="4" t="inlineStr">
        <is>
          <t>Year 5 EBITDA</t>
        </is>
      </c>
      <c r="C59" s="5">
        <f>G39+G42</f>
        <v/>
      </c>
    </row>
    <row r="60">
      <c r="B60" s="4" t="inlineStr">
        <is>
          <t>Terminal Value (Exit Multiple)</t>
        </is>
      </c>
      <c r="C60" s="5">
        <f>C59*C14</f>
        <v/>
      </c>
    </row>
    <row r="61">
      <c r="B61" s="4" t="inlineStr">
        <is>
          <t>PV of Terminal Value</t>
        </is>
      </c>
      <c r="C61" s="5">
        <f>C60*G46</f>
        <v/>
      </c>
    </row>
    <row r="62">
      <c r="B62" s="4" t="inlineStr">
        <is>
          <t>Enterprise Value</t>
        </is>
      </c>
      <c r="C62" s="5">
        <f>C58+C61</f>
        <v/>
      </c>
    </row>
    <row r="63">
      <c r="B63" s="4" t="inlineStr">
        <is>
          <t>Equity Value</t>
        </is>
      </c>
      <c r="C63" s="5">
        <f>C62-C16</f>
        <v/>
      </c>
    </row>
    <row r="64">
      <c r="B64" s="4" t="inlineStr">
        <is>
          <t>Implied Share Price (Exit Multiple)</t>
        </is>
      </c>
      <c r="C64" s="24">
        <f>ROUND(C63*1000000/C15,0)</f>
        <v/>
      </c>
    </row>
    <row r="66">
      <c r="B66" s="22" t="inlineStr">
        <is>
          <t>Scenario Input Matrix</t>
        </is>
      </c>
      <c r="C66" s="23" t="n"/>
      <c r="D66" s="23" t="n"/>
      <c r="E66" s="23" t="n"/>
      <c r="F66" s="23" t="n"/>
      <c r="G66" s="23" t="n"/>
    </row>
    <row r="67">
      <c r="C67" s="25" t="inlineStr">
        <is>
          <t>Year 1</t>
        </is>
      </c>
      <c r="D67" s="25" t="inlineStr">
        <is>
          <t>Year 2</t>
        </is>
      </c>
      <c r="E67" s="25" t="inlineStr">
        <is>
          <t>Year 3</t>
        </is>
      </c>
      <c r="F67" s="25" t="inlineStr">
        <is>
          <t>Year 4</t>
        </is>
      </c>
      <c r="G67" s="25" t="inlineStr">
        <is>
          <t>Year 5</t>
        </is>
      </c>
    </row>
    <row r="68">
      <c r="B68" s="3" t="inlineStr">
        <is>
          <t>Revenue Growth (YoY)</t>
        </is>
      </c>
    </row>
    <row r="69">
      <c r="B69" s="4" t="inlineStr">
        <is>
          <t>Base</t>
        </is>
      </c>
      <c r="C69" s="26" t="n">
        <v>0.1</v>
      </c>
      <c r="D69" s="26" t="n">
        <v>0.12</v>
      </c>
      <c r="E69" s="26" t="n">
        <v>0.08</v>
      </c>
      <c r="F69" s="26" t="n">
        <v>0.06</v>
      </c>
      <c r="G69" s="26" t="n">
        <v>0.05</v>
      </c>
    </row>
    <row r="70">
      <c r="B70" s="4" t="inlineStr">
        <is>
          <t>Upside</t>
        </is>
      </c>
      <c r="C70" s="26" t="n">
        <v>0.15</v>
      </c>
      <c r="D70" s="26" t="n">
        <v>0.18</v>
      </c>
      <c r="E70" s="26" t="n">
        <v>0.15</v>
      </c>
      <c r="F70" s="26" t="n">
        <v>0.12</v>
      </c>
      <c r="G70" s="26" t="n">
        <v>0.1</v>
      </c>
    </row>
    <row r="71">
      <c r="B71" s="4" t="inlineStr">
        <is>
          <t>Management</t>
        </is>
      </c>
      <c r="C71" s="26" t="n">
        <v>0.08</v>
      </c>
      <c r="D71" s="26" t="n">
        <v>0.08</v>
      </c>
      <c r="E71" s="26" t="n">
        <v>0.06</v>
      </c>
      <c r="F71" s="26" t="n">
        <v>0.05</v>
      </c>
      <c r="G71" s="26" t="n">
        <v>0.04</v>
      </c>
    </row>
    <row r="72">
      <c r="B72" s="4" t="inlineStr">
        <is>
          <t>Downside 1</t>
        </is>
      </c>
      <c r="C72" s="26" t="n">
        <v>0.03</v>
      </c>
      <c r="D72" s="26" t="n">
        <v>0.02</v>
      </c>
      <c r="E72" s="26" t="n">
        <v>0.02</v>
      </c>
      <c r="F72" s="26" t="n">
        <v>0.02</v>
      </c>
      <c r="G72" s="26" t="n">
        <v>0.02</v>
      </c>
    </row>
    <row r="73">
      <c r="B73" s="4" t="inlineStr">
        <is>
          <t>Downside 2</t>
        </is>
      </c>
      <c r="C73" s="26" t="n">
        <v>-0.05</v>
      </c>
      <c r="D73" s="26" t="n">
        <v>-0.03</v>
      </c>
      <c r="E73" s="26" t="n">
        <v>0</v>
      </c>
      <c r="F73" s="26" t="n">
        <v>0.02</v>
      </c>
      <c r="G73" s="26" t="n">
        <v>0.02</v>
      </c>
    </row>
    <row r="75">
      <c r="B75" s="3" t="inlineStr">
        <is>
          <t>COGS % of Revenue</t>
        </is>
      </c>
    </row>
    <row r="76">
      <c r="B76" s="4" t="inlineStr">
        <is>
          <t>Base</t>
        </is>
      </c>
      <c r="C76" s="26" t="n">
        <v>0.77</v>
      </c>
      <c r="D76" s="26" t="n">
        <v>0.77</v>
      </c>
      <c r="E76" s="26" t="n">
        <v>0.765</v>
      </c>
      <c r="F76" s="26" t="n">
        <v>0.765</v>
      </c>
      <c r="G76" s="26" t="n">
        <v>0.76</v>
      </c>
    </row>
    <row r="77">
      <c r="B77" s="4" t="inlineStr">
        <is>
          <t>Upside</t>
        </is>
      </c>
      <c r="C77" s="26" t="n">
        <v>0.76</v>
      </c>
      <c r="D77" s="26" t="n">
        <v>0.76</v>
      </c>
      <c r="E77" s="26" t="n">
        <v>0.76</v>
      </c>
      <c r="F77" s="26" t="n">
        <v>0.75</v>
      </c>
      <c r="G77" s="26" t="n">
        <v>0.75</v>
      </c>
    </row>
    <row r="78">
      <c r="B78" s="4" t="inlineStr">
        <is>
          <t>Management</t>
        </is>
      </c>
      <c r="C78" s="26" t="n">
        <v>0.77</v>
      </c>
      <c r="D78" s="26" t="n">
        <v>0.77</v>
      </c>
      <c r="E78" s="26" t="n">
        <v>0.77</v>
      </c>
      <c r="F78" s="26" t="n">
        <v>0.77</v>
      </c>
      <c r="G78" s="26" t="n">
        <v>0.77</v>
      </c>
    </row>
    <row r="79">
      <c r="B79" s="4" t="inlineStr">
        <is>
          <t>Downside 1</t>
        </is>
      </c>
      <c r="C79" s="26" t="n">
        <v>0.78</v>
      </c>
      <c r="D79" s="26" t="n">
        <v>0.78</v>
      </c>
      <c r="E79" s="26" t="n">
        <v>0.78</v>
      </c>
      <c r="F79" s="26" t="n">
        <v>0.78</v>
      </c>
      <c r="G79" s="26" t="n">
        <v>0.78</v>
      </c>
    </row>
    <row r="80">
      <c r="B80" s="4" t="inlineStr">
        <is>
          <t>Downside 2</t>
        </is>
      </c>
      <c r="C80" s="26" t="n">
        <v>0.79</v>
      </c>
      <c r="D80" s="26" t="n">
        <v>0.79</v>
      </c>
      <c r="E80" s="26" t="n">
        <v>0.79</v>
      </c>
      <c r="F80" s="26" t="n">
        <v>0.79</v>
      </c>
      <c r="G80" s="26" t="n">
        <v>0.79</v>
      </c>
    </row>
    <row r="82">
      <c r="B82" s="3" t="inlineStr">
        <is>
          <t>SGA % of Revenue</t>
        </is>
      </c>
    </row>
    <row r="83">
      <c r="B83" s="4" t="inlineStr">
        <is>
          <t>Base</t>
        </is>
      </c>
      <c r="C83" s="26" t="n">
        <v>0.06</v>
      </c>
      <c r="D83" s="26" t="n">
        <v>0.06</v>
      </c>
      <c r="E83" s="26" t="n">
        <v>0.06</v>
      </c>
      <c r="F83" s="26" t="n">
        <v>0.06</v>
      </c>
      <c r="G83" s="26" t="n">
        <v>0.06</v>
      </c>
    </row>
    <row r="84">
      <c r="B84" s="4" t="inlineStr">
        <is>
          <t>Upside</t>
        </is>
      </c>
      <c r="C84" s="26" t="n">
        <v>0.05</v>
      </c>
      <c r="D84" s="26" t="n">
        <v>0.05</v>
      </c>
      <c r="E84" s="26" t="n">
        <v>0.05</v>
      </c>
      <c r="F84" s="26" t="n">
        <v>0.05</v>
      </c>
      <c r="G84" s="26" t="n">
        <v>0.05</v>
      </c>
    </row>
    <row r="85">
      <c r="B85" s="4" t="inlineStr">
        <is>
          <t>Management</t>
        </is>
      </c>
      <c r="C85" s="26" t="n">
        <v>0.06</v>
      </c>
      <c r="D85" s="26" t="n">
        <v>0.06</v>
      </c>
      <c r="E85" s="26" t="n">
        <v>0.06</v>
      </c>
      <c r="F85" s="26" t="n">
        <v>0.06</v>
      </c>
      <c r="G85" s="26" t="n">
        <v>0.06</v>
      </c>
    </row>
    <row r="86">
      <c r="B86" s="4" t="inlineStr">
        <is>
          <t>Downside 1</t>
        </is>
      </c>
      <c r="C86" s="26" t="n">
        <v>0.07000000000000001</v>
      </c>
      <c r="D86" s="26" t="n">
        <v>0.07000000000000001</v>
      </c>
      <c r="E86" s="26" t="n">
        <v>0.07000000000000001</v>
      </c>
      <c r="F86" s="26" t="n">
        <v>0.07000000000000001</v>
      </c>
      <c r="G86" s="26" t="n">
        <v>0.07000000000000001</v>
      </c>
    </row>
    <row r="87">
      <c r="B87" s="4" t="inlineStr">
        <is>
          <t>Downside 2</t>
        </is>
      </c>
      <c r="C87" s="26" t="n">
        <v>0.08</v>
      </c>
      <c r="D87" s="26" t="n">
        <v>0.08</v>
      </c>
      <c r="E87" s="26" t="n">
        <v>0.08</v>
      </c>
      <c r="F87" s="26" t="n">
        <v>0.08</v>
      </c>
      <c r="G87" s="26" t="n">
        <v>0.08</v>
      </c>
    </row>
  </sheetData>
  <dataValidations count="1">
    <dataValidation sqref="C27" showDropDown="0" showInputMessage="0" showErrorMessage="0" allowBlank="0" type="list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6600"/>
    <outlinePr summaryBelow="1" summaryRight="1"/>
    <pageSetUpPr/>
  </sheetPr>
  <dimension ref="B2:H4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NWC Schedule - TechnoSmart Corporation</t>
        </is>
      </c>
    </row>
    <row r="4">
      <c r="B4" s="8" t="inlineStr">
        <is>
          <t>Working Capital Drivers (Days)</t>
        </is>
      </c>
      <c r="C4" s="27" t="inlineStr">
        <is>
          <t>Base Year</t>
        </is>
      </c>
      <c r="D4" s="27" t="inlineStr">
        <is>
          <t>FY2026(E)</t>
        </is>
      </c>
      <c r="E4" s="27" t="inlineStr">
        <is>
          <t>FY2027(E)</t>
        </is>
      </c>
      <c r="F4" s="27" t="inlineStr">
        <is>
          <t>FY2028(E)</t>
        </is>
      </c>
      <c r="G4" s="27" t="inlineStr">
        <is>
          <t>FY2029(E)</t>
        </is>
      </c>
      <c r="H4" s="27" t="inlineStr">
        <is>
          <t>FY2030(E)</t>
        </is>
      </c>
    </row>
    <row r="5">
      <c r="B5" s="28" t="inlineStr">
        <is>
          <t>DSO (Days Sales Outstanding)</t>
        </is>
      </c>
      <c r="C5" s="29">
        <f>C12/C9*365</f>
        <v/>
      </c>
      <c r="D5" s="29">
        <f>CHOOSE('DCF Model'!$D$27,D25,D26,D27,D28,D29)</f>
        <v/>
      </c>
      <c r="E5" s="29">
        <f>CHOOSE('DCF Model'!$D$27,E25,E26,E27,E28,E29)</f>
        <v/>
      </c>
      <c r="F5" s="29">
        <f>CHOOSE('DCF Model'!$D$27,F25,F26,F27,F28,F29)</f>
        <v/>
      </c>
      <c r="G5" s="29">
        <f>CHOOSE('DCF Model'!$D$27,G25,G26,G27,G28,G29)</f>
        <v/>
      </c>
      <c r="H5" s="29">
        <f>CHOOSE('DCF Model'!$D$27,H25,H26,H27,H28,H29)</f>
        <v/>
      </c>
    </row>
    <row r="6">
      <c r="B6" s="28" t="inlineStr">
        <is>
          <t>DIH (Days Inventory Held)</t>
        </is>
      </c>
      <c r="C6" s="29">
        <f>C13/C10*365</f>
        <v/>
      </c>
      <c r="D6" s="29">
        <f>CHOOSE('DCF Model'!$D$27,D32,D33,D34,D35,D36)</f>
        <v/>
      </c>
      <c r="E6" s="29">
        <f>CHOOSE('DCF Model'!$D$27,E32,E33,E34,E35,E36)</f>
        <v/>
      </c>
      <c r="F6" s="29">
        <f>CHOOSE('DCF Model'!$D$27,F32,F33,F34,F35,F36)</f>
        <v/>
      </c>
      <c r="G6" s="29">
        <f>CHOOSE('DCF Model'!$D$27,G32,G33,G34,G35,G36)</f>
        <v/>
      </c>
      <c r="H6" s="29">
        <f>CHOOSE('DCF Model'!$D$27,H32,H33,H34,H35,H36)</f>
        <v/>
      </c>
    </row>
    <row r="7">
      <c r="B7" s="28" t="inlineStr">
        <is>
          <t>DPO (Days Payable Outstanding)</t>
        </is>
      </c>
      <c r="C7" s="29">
        <f>C15/C10*365</f>
        <v/>
      </c>
      <c r="D7" s="29">
        <f>CHOOSE('DCF Model'!$D$27,D39,D40,D41,D42,D43)</f>
        <v/>
      </c>
      <c r="E7" s="29">
        <f>CHOOSE('DCF Model'!$D$27,E39,E40,E41,E42,E43)</f>
        <v/>
      </c>
      <c r="F7" s="29">
        <f>CHOOSE('DCF Model'!$D$27,F39,F40,F41,F42,F43)</f>
        <v/>
      </c>
      <c r="G7" s="29">
        <f>CHOOSE('DCF Model'!$D$27,G39,G40,G41,G42,G43)</f>
        <v/>
      </c>
      <c r="H7" s="29">
        <f>CHOOSE('DCF Model'!$D$27,H39,H40,H41,H42,H43)</f>
        <v/>
      </c>
    </row>
    <row r="8">
      <c r="B8" s="8" t="inlineStr">
        <is>
          <t>P&amp;L Reference (JPY mn)</t>
        </is>
      </c>
      <c r="C8" s="9" t="n"/>
      <c r="D8" s="9" t="n"/>
      <c r="E8" s="9" t="n"/>
      <c r="F8" s="9" t="n"/>
      <c r="G8" s="9" t="n"/>
      <c r="H8" s="9" t="n"/>
    </row>
    <row r="9">
      <c r="B9" s="28" t="inlineStr">
        <is>
          <t>Revenue</t>
        </is>
      </c>
      <c r="C9" s="30" t="n">
        <v>21578.662</v>
      </c>
      <c r="D9" s="30">
        <f>'DCF Model'!C33</f>
        <v/>
      </c>
      <c r="E9" s="30">
        <f>'DCF Model'!D33</f>
        <v/>
      </c>
      <c r="F9" s="30">
        <f>'DCF Model'!E33</f>
        <v/>
      </c>
      <c r="G9" s="30">
        <f>'DCF Model'!F33</f>
        <v/>
      </c>
      <c r="H9" s="30">
        <f>'DCF Model'!G33</f>
        <v/>
      </c>
    </row>
    <row r="10">
      <c r="B10" s="28" t="inlineStr">
        <is>
          <t>COGS</t>
        </is>
      </c>
      <c r="C10" s="30" t="n">
        <v>16762.407</v>
      </c>
      <c r="D10" s="30">
        <f>'DCF Model'!C34</f>
        <v/>
      </c>
      <c r="E10" s="30">
        <f>'DCF Model'!D34</f>
        <v/>
      </c>
      <c r="F10" s="30">
        <f>'DCF Model'!E34</f>
        <v/>
      </c>
      <c r="G10" s="30">
        <f>'DCF Model'!F34</f>
        <v/>
      </c>
      <c r="H10" s="30">
        <f>'DCF Model'!G34</f>
        <v/>
      </c>
    </row>
    <row r="11">
      <c r="B11" s="8" t="inlineStr">
        <is>
          <t>Working Capital Items (JPY mn)</t>
        </is>
      </c>
      <c r="C11" s="9" t="n"/>
      <c r="D11" s="9" t="n"/>
      <c r="E11" s="9" t="n"/>
      <c r="F11" s="9" t="n"/>
      <c r="G11" s="9" t="n"/>
      <c r="H11" s="9" t="n"/>
    </row>
    <row r="12">
      <c r="B12" s="28" t="inlineStr">
        <is>
          <t>Accounts Receivable</t>
        </is>
      </c>
      <c r="C12" s="30" t="n">
        <v>4029.723</v>
      </c>
      <c r="D12" s="30">
        <f>D9*D5/365</f>
        <v/>
      </c>
      <c r="E12" s="30">
        <f>E9*E5/365</f>
        <v/>
      </c>
      <c r="F12" s="30">
        <f>F9*F5/365</f>
        <v/>
      </c>
      <c r="G12" s="30">
        <f>G9*G5/365</f>
        <v/>
      </c>
      <c r="H12" s="30">
        <f>H9*H5/365</f>
        <v/>
      </c>
    </row>
    <row r="13">
      <c r="B13" s="28" t="inlineStr">
        <is>
          <t>Inventory</t>
        </is>
      </c>
      <c r="C13" s="30" t="n">
        <v>518.753</v>
      </c>
      <c r="D13" s="30">
        <f>D10*D6/365</f>
        <v/>
      </c>
      <c r="E13" s="30">
        <f>E10*E6/365</f>
        <v/>
      </c>
      <c r="F13" s="30">
        <f>F10*F6/365</f>
        <v/>
      </c>
      <c r="G13" s="30">
        <f>G10*G6/365</f>
        <v/>
      </c>
      <c r="H13" s="30">
        <f>H10*H6/365</f>
        <v/>
      </c>
    </row>
    <row r="14">
      <c r="B14" s="28" t="inlineStr">
        <is>
          <t>Current Assets (AR + Inv)</t>
        </is>
      </c>
      <c r="C14" s="30">
        <f>C12+C13</f>
        <v/>
      </c>
      <c r="D14" s="30">
        <f>D12+D13</f>
        <v/>
      </c>
      <c r="E14" s="30">
        <f>E12+E13</f>
        <v/>
      </c>
      <c r="F14" s="30">
        <f>F12+F13</f>
        <v/>
      </c>
      <c r="G14" s="30">
        <f>G12+G13</f>
        <v/>
      </c>
      <c r="H14" s="30">
        <f>H12+H13</f>
        <v/>
      </c>
    </row>
    <row r="15">
      <c r="B15" s="28" t="inlineStr">
        <is>
          <t>Accounts Payable</t>
        </is>
      </c>
      <c r="C15" s="30" t="n">
        <v>2362.799</v>
      </c>
      <c r="D15" s="30">
        <f>D10*D7/365</f>
        <v/>
      </c>
      <c r="E15" s="30">
        <f>E10*E7/365</f>
        <v/>
      </c>
      <c r="F15" s="30">
        <f>F10*F7/365</f>
        <v/>
      </c>
      <c r="G15" s="30">
        <f>G10*G7/365</f>
        <v/>
      </c>
      <c r="H15" s="30">
        <f>H10*H7/365</f>
        <v/>
      </c>
    </row>
    <row r="16">
      <c r="B16" s="28" t="inlineStr">
        <is>
          <t>Current Liabilities (AP)</t>
        </is>
      </c>
      <c r="C16" s="30">
        <f>C15</f>
        <v/>
      </c>
      <c r="D16" s="30">
        <f>D15</f>
        <v/>
      </c>
      <c r="E16" s="30">
        <f>E15</f>
        <v/>
      </c>
      <c r="F16" s="30">
        <f>F15</f>
        <v/>
      </c>
      <c r="G16" s="30">
        <f>G15</f>
        <v/>
      </c>
      <c r="H16" s="30">
        <f>H15</f>
        <v/>
      </c>
    </row>
    <row r="17">
      <c r="B17" s="22" t="inlineStr">
        <is>
          <t>Net Working Capital (JPY mn)</t>
        </is>
      </c>
      <c r="C17" s="23" t="n"/>
      <c r="D17" s="23" t="n"/>
      <c r="E17" s="23" t="n"/>
      <c r="F17" s="23" t="n"/>
      <c r="G17" s="23" t="n"/>
      <c r="H17" s="23" t="n"/>
    </row>
    <row r="18">
      <c r="B18" s="28" t="inlineStr">
        <is>
          <t>Net Working Capital</t>
        </is>
      </c>
      <c r="C18" s="20">
        <f>C14-C16</f>
        <v/>
      </c>
      <c r="D18" s="20">
        <f>D14-D16</f>
        <v/>
      </c>
      <c r="E18" s="20">
        <f>E14-E16</f>
        <v/>
      </c>
      <c r="F18" s="20">
        <f>F14-F16</f>
        <v/>
      </c>
      <c r="G18" s="20">
        <f>G14-G16</f>
        <v/>
      </c>
      <c r="H18" s="20">
        <f>H14-H16</f>
        <v/>
      </c>
    </row>
    <row r="19">
      <c r="B19" s="28" t="inlineStr">
        <is>
          <t>Change in NWC</t>
        </is>
      </c>
      <c r="C19" s="31" t="inlineStr">
        <is>
          <t>n/a</t>
        </is>
      </c>
      <c r="D19" s="24">
        <f>D18-C18</f>
        <v/>
      </c>
      <c r="E19" s="24">
        <f>E18-D18</f>
        <v/>
      </c>
      <c r="F19" s="24">
        <f>F18-E18</f>
        <v/>
      </c>
      <c r="G19" s="24">
        <f>G18-F18</f>
        <v/>
      </c>
      <c r="H19" s="24">
        <f>H18-G18</f>
        <v/>
      </c>
    </row>
    <row r="22">
      <c r="B22" s="22" t="inlineStr">
        <is>
          <t>Scenario Input Matrix (Working Capital Days)</t>
        </is>
      </c>
      <c r="C22" s="23" t="n"/>
      <c r="D22" s="23" t="n"/>
      <c r="E22" s="23" t="n"/>
      <c r="F22" s="23" t="n"/>
      <c r="G22" s="23" t="n"/>
      <c r="H22" s="23" t="n"/>
    </row>
    <row r="23">
      <c r="D23" s="25" t="inlineStr">
        <is>
          <t>FY2026(E)</t>
        </is>
      </c>
      <c r="E23" s="25" t="inlineStr">
        <is>
          <t>FY2027(E)</t>
        </is>
      </c>
      <c r="F23" s="25" t="inlineStr">
        <is>
          <t>FY2028(E)</t>
        </is>
      </c>
      <c r="G23" s="25" t="inlineStr">
        <is>
          <t>FY2029(E)</t>
        </is>
      </c>
      <c r="H23" s="25" t="inlineStr">
        <is>
          <t>FY2030(E)</t>
        </is>
      </c>
    </row>
    <row r="24">
      <c r="B24" s="3" t="inlineStr">
        <is>
          <t>DSO (Days)</t>
        </is>
      </c>
    </row>
    <row r="25">
      <c r="B25" s="4" t="inlineStr">
        <is>
          <t>Base</t>
        </is>
      </c>
      <c r="D25" s="32" t="n">
        <v>65</v>
      </c>
      <c r="E25" s="32" t="n">
        <v>63</v>
      </c>
      <c r="F25" s="32" t="n">
        <v>62</v>
      </c>
      <c r="G25" s="32" t="n">
        <v>60</v>
      </c>
      <c r="H25" s="32" t="n">
        <v>60</v>
      </c>
    </row>
    <row r="26">
      <c r="B26" s="4" t="inlineStr">
        <is>
          <t>Upside</t>
        </is>
      </c>
      <c r="D26" s="32" t="n">
        <v>60</v>
      </c>
      <c r="E26" s="32" t="n">
        <v>58</v>
      </c>
      <c r="F26" s="32" t="n">
        <v>56</v>
      </c>
      <c r="G26" s="32" t="n">
        <v>55</v>
      </c>
      <c r="H26" s="32" t="n">
        <v>55</v>
      </c>
    </row>
    <row r="27">
      <c r="B27" s="4" t="inlineStr">
        <is>
          <t>Management</t>
        </is>
      </c>
      <c r="D27" s="32" t="n">
        <v>65</v>
      </c>
      <c r="E27" s="32" t="n">
        <v>65</v>
      </c>
      <c r="F27" s="32" t="n">
        <v>63</v>
      </c>
      <c r="G27" s="32" t="n">
        <v>62</v>
      </c>
      <c r="H27" s="32" t="n">
        <v>60</v>
      </c>
    </row>
    <row r="28">
      <c r="B28" s="4" t="inlineStr">
        <is>
          <t>Downside 1</t>
        </is>
      </c>
      <c r="D28" s="32" t="n">
        <v>70</v>
      </c>
      <c r="E28" s="32" t="n">
        <v>72</v>
      </c>
      <c r="F28" s="32" t="n">
        <v>72</v>
      </c>
      <c r="G28" s="32" t="n">
        <v>70</v>
      </c>
      <c r="H28" s="32" t="n">
        <v>70</v>
      </c>
    </row>
    <row r="29">
      <c r="B29" s="4" t="inlineStr">
        <is>
          <t>Downside 2</t>
        </is>
      </c>
      <c r="D29" s="32" t="n">
        <v>75</v>
      </c>
      <c r="E29" s="32" t="n">
        <v>78</v>
      </c>
      <c r="F29" s="32" t="n">
        <v>78</v>
      </c>
      <c r="G29" s="32" t="n">
        <v>75</v>
      </c>
      <c r="H29" s="32" t="n">
        <v>75</v>
      </c>
    </row>
    <row r="31">
      <c r="B31" s="3" t="inlineStr">
        <is>
          <t>DIH (Days)</t>
        </is>
      </c>
    </row>
    <row r="32">
      <c r="B32" s="4" t="inlineStr">
        <is>
          <t>Base</t>
        </is>
      </c>
      <c r="D32" s="32" t="n">
        <v>10</v>
      </c>
      <c r="E32" s="32" t="n">
        <v>10</v>
      </c>
      <c r="F32" s="32" t="n">
        <v>10</v>
      </c>
      <c r="G32" s="32" t="n">
        <v>10</v>
      </c>
      <c r="H32" s="32" t="n">
        <v>10</v>
      </c>
    </row>
    <row r="33">
      <c r="B33" s="4" t="inlineStr">
        <is>
          <t>Upside</t>
        </is>
      </c>
      <c r="D33" s="32" t="n">
        <v>9</v>
      </c>
      <c r="E33" s="32" t="n">
        <v>9</v>
      </c>
      <c r="F33" s="32" t="n">
        <v>9</v>
      </c>
      <c r="G33" s="32" t="n">
        <v>9</v>
      </c>
      <c r="H33" s="32" t="n">
        <v>9</v>
      </c>
    </row>
    <row r="34">
      <c r="B34" s="4" t="inlineStr">
        <is>
          <t>Management</t>
        </is>
      </c>
      <c r="D34" s="32" t="n">
        <v>10</v>
      </c>
      <c r="E34" s="32" t="n">
        <v>10</v>
      </c>
      <c r="F34" s="32" t="n">
        <v>10</v>
      </c>
      <c r="G34" s="32" t="n">
        <v>10</v>
      </c>
      <c r="H34" s="32" t="n">
        <v>10</v>
      </c>
    </row>
    <row r="35">
      <c r="B35" s="4" t="inlineStr">
        <is>
          <t>Downside 1</t>
        </is>
      </c>
      <c r="D35" s="32" t="n">
        <v>12</v>
      </c>
      <c r="E35" s="32" t="n">
        <v>12</v>
      </c>
      <c r="F35" s="32" t="n">
        <v>12</v>
      </c>
      <c r="G35" s="32" t="n">
        <v>12</v>
      </c>
      <c r="H35" s="32" t="n">
        <v>12</v>
      </c>
    </row>
    <row r="36">
      <c r="B36" s="4" t="inlineStr">
        <is>
          <t>Downside 2</t>
        </is>
      </c>
      <c r="D36" s="32" t="n">
        <v>14</v>
      </c>
      <c r="E36" s="32" t="n">
        <v>14</v>
      </c>
      <c r="F36" s="32" t="n">
        <v>14</v>
      </c>
      <c r="G36" s="32" t="n">
        <v>14</v>
      </c>
      <c r="H36" s="32" t="n">
        <v>14</v>
      </c>
    </row>
    <row r="38">
      <c r="B38" s="3" t="inlineStr">
        <is>
          <t>DPO (Days)</t>
        </is>
      </c>
    </row>
    <row r="39">
      <c r="B39" s="4" t="inlineStr">
        <is>
          <t>Base</t>
        </is>
      </c>
      <c r="D39" s="32" t="n">
        <v>40</v>
      </c>
      <c r="E39" s="32" t="n">
        <v>40</v>
      </c>
      <c r="F39" s="32" t="n">
        <v>40</v>
      </c>
      <c r="G39" s="32" t="n">
        <v>40</v>
      </c>
      <c r="H39" s="32" t="n">
        <v>40</v>
      </c>
    </row>
    <row r="40">
      <c r="B40" s="4" t="inlineStr">
        <is>
          <t>Upside</t>
        </is>
      </c>
      <c r="D40" s="32" t="n">
        <v>42</v>
      </c>
      <c r="E40" s="32" t="n">
        <v>43</v>
      </c>
      <c r="F40" s="32" t="n">
        <v>43</v>
      </c>
      <c r="G40" s="32" t="n">
        <v>43</v>
      </c>
      <c r="H40" s="32" t="n">
        <v>43</v>
      </c>
    </row>
    <row r="41">
      <c r="B41" s="4" t="inlineStr">
        <is>
          <t>Management</t>
        </is>
      </c>
      <c r="D41" s="32" t="n">
        <v>40</v>
      </c>
      <c r="E41" s="32" t="n">
        <v>40</v>
      </c>
      <c r="F41" s="32" t="n">
        <v>40</v>
      </c>
      <c r="G41" s="32" t="n">
        <v>40</v>
      </c>
      <c r="H41" s="32" t="n">
        <v>40</v>
      </c>
    </row>
    <row r="42">
      <c r="B42" s="4" t="inlineStr">
        <is>
          <t>Downside 1</t>
        </is>
      </c>
      <c r="D42" s="32" t="n">
        <v>38</v>
      </c>
      <c r="E42" s="32" t="n">
        <v>36</v>
      </c>
      <c r="F42" s="32" t="n">
        <v>36</v>
      </c>
      <c r="G42" s="32" t="n">
        <v>36</v>
      </c>
      <c r="H42" s="32" t="n">
        <v>36</v>
      </c>
    </row>
    <row r="43">
      <c r="B43" s="4" t="inlineStr">
        <is>
          <t>Downside 2</t>
        </is>
      </c>
      <c r="D43" s="32" t="n">
        <v>35</v>
      </c>
      <c r="E43" s="32" t="n">
        <v>33</v>
      </c>
      <c r="F43" s="32" t="n">
        <v>33</v>
      </c>
      <c r="G43" s="32" t="n">
        <v>33</v>
      </c>
      <c r="H43" s="32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600"/>
    <outlinePr summaryBelow="1" summaryRight="1"/>
    <pageSetUpPr/>
  </sheetPr>
  <dimension ref="B2:O28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2" t="inlineStr">
        <is>
          <t>Comparable Company Analysis</t>
        </is>
      </c>
    </row>
    <row r="4">
      <c r="B4" s="10" t="inlineStr">
        <is>
          <t>Company</t>
        </is>
      </c>
      <c r="C4" s="10" t="inlineStr">
        <is>
          <t>Ticker</t>
        </is>
      </c>
      <c r="D4" s="10" t="inlineStr">
        <is>
          <t>Mkt Cap
(JPY mn)</t>
        </is>
      </c>
      <c r="E4" s="10" t="inlineStr">
        <is>
          <t>EV
(JPY mn)</t>
        </is>
      </c>
      <c r="F4" s="10" t="inlineStr">
        <is>
          <t>Revenue
(JPY mn)</t>
        </is>
      </c>
      <c r="G4" s="10" t="inlineStr">
        <is>
          <t>EBITDA
(JPY mn)</t>
        </is>
      </c>
      <c r="H4" s="10" t="inlineStr">
        <is>
          <t>Op Income
(JPY mn)</t>
        </is>
      </c>
      <c r="I4" s="10" t="inlineStr">
        <is>
          <t>Net Income
(JPY mn)</t>
        </is>
      </c>
      <c r="J4" s="10" t="inlineStr">
        <is>
          <t>EV/EBITDA</t>
        </is>
      </c>
      <c r="K4" s="10" t="inlineStr">
        <is>
          <t>EV/Revenue</t>
        </is>
      </c>
      <c r="L4" s="10" t="inlineStr">
        <is>
          <t>PER</t>
        </is>
      </c>
      <c r="M4" s="10" t="inlineStr">
        <is>
          <t>PBR</t>
        </is>
      </c>
      <c r="N4" s="10" t="inlineStr">
        <is>
          <t>Op Margin</t>
        </is>
      </c>
      <c r="O4" s="10" t="inlineStr">
        <is>
          <t>ROE</t>
        </is>
      </c>
    </row>
    <row r="5">
      <c r="B5" s="4" t="inlineStr">
        <is>
          <t>Hirano Techseed</t>
        </is>
      </c>
      <c r="C5" t="inlineStr">
        <is>
          <t>6245.T</t>
        </is>
      </c>
      <c r="D5" s="33" t="n">
        <v>26961.18272</v>
      </c>
      <c r="E5" s="33" t="n">
        <v>33798.18272</v>
      </c>
      <c r="F5" s="33" t="n">
        <v>31000</v>
      </c>
      <c r="G5" s="33" t="n">
        <v>2922</v>
      </c>
      <c r="H5" s="33" t="n">
        <v>2100</v>
      </c>
      <c r="I5" s="33" t="n">
        <v>1600</v>
      </c>
      <c r="J5" s="34">
        <f>E5/G5</f>
        <v/>
      </c>
      <c r="K5" s="34">
        <f>E5/F5</f>
        <v/>
      </c>
      <c r="L5" s="34">
        <f>D5/I5</f>
        <v/>
      </c>
      <c r="M5" s="34" t="n">
        <v>0.7050334123061636</v>
      </c>
      <c r="N5" s="35">
        <f>H5/F5</f>
        <v/>
      </c>
      <c r="O5" s="35" t="n">
        <v>0.04183991004419341</v>
      </c>
    </row>
    <row r="6">
      <c r="B6" s="4" t="inlineStr">
        <is>
          <t>Takatori</t>
        </is>
      </c>
      <c r="C6" t="inlineStr">
        <is>
          <t>6338.T</t>
        </is>
      </c>
      <c r="D6" s="33" t="n">
        <v>8313.140735999999</v>
      </c>
      <c r="E6" s="33" t="n">
        <v>12448.140736</v>
      </c>
      <c r="F6" s="33" t="n">
        <v>7000</v>
      </c>
      <c r="G6" s="33" t="n">
        <v>573</v>
      </c>
      <c r="H6" s="33" t="n">
        <v>430</v>
      </c>
      <c r="I6" s="33" t="n">
        <v>330</v>
      </c>
      <c r="J6" s="34">
        <f>E6/G6</f>
        <v/>
      </c>
      <c r="K6" s="34">
        <f>E6/F6</f>
        <v/>
      </c>
      <c r="L6" s="34">
        <f>D6/I6</f>
        <v/>
      </c>
      <c r="M6" s="34" t="n">
        <v>0.8096952114541736</v>
      </c>
      <c r="N6" s="35">
        <f>H6/F6</f>
        <v/>
      </c>
      <c r="O6" s="35" t="n">
        <v>0.03214181357748125</v>
      </c>
    </row>
    <row r="7">
      <c r="B7" s="4" t="inlineStr">
        <is>
          <t>Stech</t>
        </is>
      </c>
      <c r="C7" t="inlineStr">
        <is>
          <t>6161.T</t>
        </is>
      </c>
      <c r="D7" s="33" t="n">
        <v>10486.194176</v>
      </c>
      <c r="E7" s="33" t="n">
        <v>10521.194176</v>
      </c>
      <c r="F7" s="33" t="n">
        <v>8320</v>
      </c>
      <c r="G7" s="33" t="n">
        <v>1885</v>
      </c>
      <c r="H7" s="33" t="n">
        <v>1698</v>
      </c>
      <c r="I7" s="33" t="n">
        <v>1192</v>
      </c>
      <c r="J7" s="34">
        <f>E7/G7</f>
        <v/>
      </c>
      <c r="K7" s="34">
        <f>E7/F7</f>
        <v/>
      </c>
      <c r="L7" s="34">
        <f>D7/I7</f>
        <v/>
      </c>
      <c r="M7" s="34" t="n">
        <v>0.9919775022230631</v>
      </c>
      <c r="N7" s="35">
        <f>H7/F7</f>
        <v/>
      </c>
      <c r="O7" s="35" t="n">
        <v>0.1127613281619525</v>
      </c>
    </row>
    <row r="8">
      <c r="B8" s="4" t="inlineStr">
        <is>
          <t>Keiwa</t>
        </is>
      </c>
      <c r="C8" t="inlineStr">
        <is>
          <t>4251.T</t>
        </is>
      </c>
      <c r="D8" s="33" t="n">
        <v>24130.504704</v>
      </c>
      <c r="E8" s="33" t="n">
        <v>26201.504704</v>
      </c>
      <c r="F8" s="33" t="n">
        <v>22300</v>
      </c>
      <c r="G8" s="33" t="n">
        <v>6602</v>
      </c>
      <c r="H8" s="33" t="n">
        <v>4500</v>
      </c>
      <c r="I8" s="33" t="n">
        <v>3100</v>
      </c>
      <c r="J8" s="34">
        <f>E8/G8</f>
        <v/>
      </c>
      <c r="K8" s="34">
        <f>E8/F8</f>
        <v/>
      </c>
      <c r="L8" s="34">
        <f>D8/I8</f>
        <v/>
      </c>
      <c r="M8" s="34" t="n">
        <v>1.011167645993966</v>
      </c>
      <c r="N8" s="35">
        <f>H8/F8</f>
        <v/>
      </c>
      <c r="O8" s="35" t="n">
        <v>0.1299027824337915</v>
      </c>
    </row>
    <row r="14">
      <c r="B14" s="3" t="inlineStr">
        <is>
          <t>Statistics</t>
        </is>
      </c>
    </row>
    <row r="15">
      <c r="B15" s="4" t="inlineStr">
        <is>
          <t>25th Percentile</t>
        </is>
      </c>
      <c r="D15" s="34">
        <f>PERCENTILE(J5:J8,0.25)</f>
        <v/>
      </c>
      <c r="E15" s="34">
        <f>PERCENTILE(K5:K8,0.25)</f>
        <v/>
      </c>
      <c r="F15" s="34">
        <f>PERCENTILE(L5:L8,0.25)</f>
        <v/>
      </c>
      <c r="G15" s="34">
        <f>PERCENTILE(M5:M8,0.25)</f>
        <v/>
      </c>
      <c r="H15" s="35">
        <f>PERCENTILE(N5:N8,0.25)</f>
        <v/>
      </c>
      <c r="I15" s="35">
        <f>PERCENTILE(O5:O8,0.25)</f>
        <v/>
      </c>
    </row>
    <row r="16">
      <c r="B16" s="4" t="inlineStr">
        <is>
          <t>Median (50th)</t>
        </is>
      </c>
      <c r="D16" s="34">
        <f>MEDIAN(J5:J8)</f>
        <v/>
      </c>
      <c r="E16" s="34">
        <f>MEDIAN(K5:K8)</f>
        <v/>
      </c>
      <c r="F16" s="34">
        <f>MEDIAN(L5:L8)</f>
        <v/>
      </c>
      <c r="G16" s="34">
        <f>MEDIAN(M5:M8)</f>
        <v/>
      </c>
      <c r="H16" s="35">
        <f>MEDIAN(N5:N8)</f>
        <v/>
      </c>
      <c r="I16" s="35">
        <f>MEDIAN(O5:O8)</f>
        <v/>
      </c>
    </row>
    <row r="17">
      <c r="B17" s="4" t="inlineStr">
        <is>
          <t>75th Percentile</t>
        </is>
      </c>
      <c r="D17" s="34">
        <f>PERCENTILE(J5:J8,0.75)</f>
        <v/>
      </c>
      <c r="E17" s="34">
        <f>PERCENTILE(K5:K8,0.75)</f>
        <v/>
      </c>
      <c r="F17" s="34">
        <f>PERCENTILE(L5:L8,0.75)</f>
        <v/>
      </c>
      <c r="G17" s="34">
        <f>PERCENTILE(M5:M8,0.75)</f>
        <v/>
      </c>
      <c r="H17" s="35">
        <f>PERCENTILE(N5:N8,0.75)</f>
        <v/>
      </c>
      <c r="I17" s="35">
        <f>PERCENTILE(O5:O8,0.75)</f>
        <v/>
      </c>
    </row>
    <row r="19">
      <c r="B19" s="22" t="inlineStr">
        <is>
          <t>Implied Valuation for TechnoSmart Corporation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B20" s="3" t="inlineStr">
        <is>
          <t>TechnoSmart Corporation Financials</t>
        </is>
      </c>
    </row>
    <row r="21">
      <c r="B21" s="4" t="inlineStr">
        <is>
          <t>EBITDA (JPY mn)</t>
        </is>
      </c>
      <c r="C21" s="5" t="n">
        <v>3777.856</v>
      </c>
    </row>
    <row r="22">
      <c r="B22" s="4" t="inlineStr">
        <is>
          <t>Net Income (JPY mn)</t>
        </is>
      </c>
      <c r="C22" s="5" t="n">
        <v>2390.888</v>
      </c>
    </row>
    <row r="23">
      <c r="B23" s="4" t="inlineStr">
        <is>
          <t>Shares Outstanding</t>
        </is>
      </c>
      <c r="C23" s="15" t="n">
        <v>11490655</v>
      </c>
    </row>
    <row r="24">
      <c r="B24" s="4" t="inlineStr">
        <is>
          <t>Net Debt (JPY mn)</t>
        </is>
      </c>
      <c r="C24" s="5" t="n">
        <v>432.4</v>
      </c>
    </row>
    <row r="26">
      <c r="B26" s="3" t="inlineStr">
        <is>
          <t>Implied Share Price (Median Multiples)</t>
        </is>
      </c>
    </row>
    <row r="27">
      <c r="B27" s="4" t="inlineStr">
        <is>
          <t>Via EV/EBITDA (Median)</t>
        </is>
      </c>
      <c r="C27" s="24">
        <f>ROUND((C21*D16-C24)*1000000/C23,0)</f>
        <v/>
      </c>
    </row>
    <row r="28">
      <c r="B28" s="4" t="inlineStr">
        <is>
          <t>Via PER (Median)</t>
        </is>
      </c>
      <c r="C28" s="24">
        <f>ROUND(C22*F16*1000000/C23,0)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6600"/>
    <outlinePr summaryBelow="1" summaryRight="1"/>
    <pageSetUpPr/>
  </sheetPr>
  <dimension ref="B2:I26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" t="inlineStr">
        <is>
          <t>Sensitivity Analysis</t>
        </is>
      </c>
    </row>
    <row r="3">
      <c r="B3" s="4" t="inlineStr">
        <is>
          <t>Current WACC:</t>
        </is>
      </c>
      <c r="C3" s="16">
        <f>'DCF Model'!C26</f>
        <v/>
      </c>
      <c r="E3" s="4" t="inlineStr">
        <is>
          <t>Terminal g:</t>
        </is>
      </c>
      <c r="F3" s="16">
        <f>'DCF Model'!C13</f>
        <v/>
      </c>
      <c r="H3" s="4" t="inlineStr">
        <is>
          <t>Exit Multiple:</t>
        </is>
      </c>
      <c r="I3" s="14">
        <f>'DCF Model'!C14</f>
        <v/>
      </c>
    </row>
    <row r="5">
      <c r="B5" s="3" t="inlineStr">
        <is>
          <t>Table 1: WACC vs Terminal Growth Rate (PGM - Implied Share Price, JPY)</t>
        </is>
      </c>
    </row>
    <row r="6">
      <c r="B6" s="36" t="inlineStr">
        <is>
          <t>WACC \ Terminal g</t>
        </is>
      </c>
      <c r="C6" s="37">
        <f>$F$3-0.0075</f>
        <v/>
      </c>
      <c r="D6" s="37">
        <f>$F$3-0.005</f>
        <v/>
      </c>
      <c r="E6" s="37">
        <f>$F$3-0.0025</f>
        <v/>
      </c>
      <c r="F6" s="37">
        <f>$F$3</f>
        <v/>
      </c>
      <c r="G6" s="37">
        <f>$F$3+0.0025</f>
        <v/>
      </c>
      <c r="H6" s="37">
        <f>$F$3+0.005</f>
        <v/>
      </c>
      <c r="I6" s="37">
        <f>$F$3+0.0075</f>
        <v/>
      </c>
    </row>
    <row r="7">
      <c r="B7" s="35">
        <f>$C$3-0.015</f>
        <v/>
      </c>
      <c r="C7" s="33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/>
      </c>
      <c r="D7" s="33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/>
      </c>
      <c r="E7" s="33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/>
      </c>
      <c r="F7" s="33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/>
      </c>
      <c r="G7" s="33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/>
      </c>
      <c r="H7" s="33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/>
      </c>
      <c r="I7" s="33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/>
      </c>
    </row>
    <row r="8">
      <c r="B8" s="35">
        <f>$C$3-0.01</f>
        <v/>
      </c>
      <c r="C8" s="33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/>
      </c>
      <c r="D8" s="33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/>
      </c>
      <c r="E8" s="33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/>
      </c>
      <c r="F8" s="33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/>
      </c>
      <c r="G8" s="33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/>
      </c>
      <c r="H8" s="33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/>
      </c>
      <c r="I8" s="33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/>
      </c>
    </row>
    <row r="9">
      <c r="B9" s="35">
        <f>$C$3-0.005</f>
        <v/>
      </c>
      <c r="C9" s="33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/>
      </c>
      <c r="D9" s="33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/>
      </c>
      <c r="E9" s="33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/>
      </c>
      <c r="F9" s="33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/>
      </c>
      <c r="G9" s="33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/>
      </c>
      <c r="H9" s="33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/>
      </c>
      <c r="I9" s="33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/>
      </c>
    </row>
    <row r="10">
      <c r="B10" s="35">
        <f>$C$3</f>
        <v/>
      </c>
      <c r="C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/>
      </c>
      <c r="D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/>
      </c>
      <c r="E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/>
      </c>
      <c r="F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/>
      </c>
      <c r="G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/>
      </c>
      <c r="H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/>
      </c>
      <c r="I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/>
      </c>
    </row>
    <row r="11">
      <c r="B11" s="35">
        <f>$C$3+0.005</f>
        <v/>
      </c>
      <c r="C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/>
      </c>
      <c r="D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/>
      </c>
      <c r="E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/>
      </c>
      <c r="F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/>
      </c>
      <c r="G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/>
      </c>
      <c r="H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/>
      </c>
      <c r="I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/>
      </c>
    </row>
    <row r="12">
      <c r="B12" s="35">
        <f>$C$3+0.01</f>
        <v/>
      </c>
      <c r="C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/>
      </c>
      <c r="D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/>
      </c>
      <c r="E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/>
      </c>
      <c r="F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/>
      </c>
      <c r="G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/>
      </c>
      <c r="H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/>
      </c>
      <c r="I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/>
      </c>
    </row>
    <row r="13">
      <c r="B13" s="35">
        <f>$C$3+0.015</f>
        <v/>
      </c>
      <c r="C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/>
      </c>
      <c r="D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/>
      </c>
      <c r="E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/>
      </c>
      <c r="F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/>
      </c>
      <c r="G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/>
      </c>
      <c r="H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/>
      </c>
      <c r="I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/>
      </c>
    </row>
    <row r="16">
      <c r="B16" s="3" t="inlineStr">
        <is>
          <t>Table 2: WACC vs Exit Multiple (Exit Multiple - Implied Share Price, JPY)</t>
        </is>
      </c>
    </row>
    <row r="17">
      <c r="B17" s="36" t="inlineStr">
        <is>
          <t>WACC \ Exit Multiple</t>
        </is>
      </c>
      <c r="C17" s="38">
        <f>$I$3-3.0</f>
        <v/>
      </c>
      <c r="D17" s="38">
        <f>$I$3-2.0</f>
        <v/>
      </c>
      <c r="E17" s="38">
        <f>$I$3-1.0</f>
        <v/>
      </c>
      <c r="F17" s="38">
        <f>$I$3</f>
        <v/>
      </c>
      <c r="G17" s="38">
        <f>$I$3+1.0</f>
        <v/>
      </c>
      <c r="H17" s="38">
        <f>$I$3+2.0</f>
        <v/>
      </c>
      <c r="I17" s="38">
        <f>$I$3+3.0</f>
        <v/>
      </c>
    </row>
    <row r="18">
      <c r="B18" s="35">
        <f>$C$3-0.015</f>
        <v/>
      </c>
      <c r="C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/>
      </c>
      <c r="D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/>
      </c>
      <c r="E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/>
      </c>
      <c r="F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/>
      </c>
      <c r="G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/>
      </c>
      <c r="H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/>
      </c>
      <c r="I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/>
      </c>
    </row>
    <row r="19">
      <c r="B19" s="35">
        <f>$C$3-0.01</f>
        <v/>
      </c>
      <c r="C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/>
      </c>
      <c r="D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/>
      </c>
      <c r="E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/>
      </c>
      <c r="F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/>
      </c>
      <c r="G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/>
      </c>
      <c r="H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/>
      </c>
      <c r="I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/>
      </c>
    </row>
    <row r="20">
      <c r="B20" s="35">
        <f>$C$3-0.005</f>
        <v/>
      </c>
      <c r="C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/>
      </c>
      <c r="D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/>
      </c>
      <c r="E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/>
      </c>
      <c r="F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/>
      </c>
      <c r="G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/>
      </c>
      <c r="H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/>
      </c>
      <c r="I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/>
      </c>
    </row>
    <row r="21">
      <c r="B21" s="35">
        <f>$C$3</f>
        <v/>
      </c>
      <c r="C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/>
      </c>
      <c r="D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/>
      </c>
      <c r="E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/>
      </c>
      <c r="F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/>
      </c>
      <c r="G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/>
      </c>
      <c r="H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/>
      </c>
      <c r="I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/>
      </c>
    </row>
    <row r="22">
      <c r="B22" s="35">
        <f>$C$3+0.005</f>
        <v/>
      </c>
      <c r="C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/>
      </c>
      <c r="D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/>
      </c>
      <c r="E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/>
      </c>
      <c r="F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/>
      </c>
      <c r="G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/>
      </c>
      <c r="H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/>
      </c>
      <c r="I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/>
      </c>
    </row>
    <row r="23">
      <c r="B23" s="35">
        <f>$C$3+0.01</f>
        <v/>
      </c>
      <c r="C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/>
      </c>
      <c r="D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/>
      </c>
      <c r="E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/>
      </c>
      <c r="F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/>
      </c>
      <c r="G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/>
      </c>
      <c r="H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/>
      </c>
      <c r="I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/>
      </c>
    </row>
    <row r="24">
      <c r="B24" s="35">
        <f>$C$3+0.015</f>
        <v/>
      </c>
      <c r="C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/>
      </c>
      <c r="D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/>
      </c>
      <c r="E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/>
      </c>
      <c r="F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/>
      </c>
      <c r="G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/>
      </c>
      <c r="H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/>
      </c>
      <c r="I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/>
      </c>
    </row>
    <row r="26">
      <c r="B26" s="1" t="inlineStr">
        <is>
          <t>All values dynamically linked to DCF Model. Headers auto-center on current WACC / Terminal g / Exit Multiple.</t>
        </is>
      </c>
    </row>
  </sheetData>
  <mergeCells count="1">
    <mergeCell ref="B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2026-03-17T01:47:23Z</dcterms:created>
  <dcterms:modified xmlns:dcterms="http://purl.org/dc/terms/" xmlns:xsi="http://www.w3.org/2001/XMLSchema-instance" xsi:type="dcterms:W3CDTF">2026-03-17T01:47:23Z</dcterms:modified>
</cp:coreProperties>
</file>