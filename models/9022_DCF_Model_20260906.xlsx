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3BB4C489-0402-4F25-AA37-74B11EE021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H15" i="6" s="1"/>
  <c r="M6" i="6"/>
  <c r="L6" i="6"/>
  <c r="K6" i="6"/>
  <c r="E15" i="6" s="1"/>
  <c r="J6" i="6"/>
  <c r="O5" i="6"/>
  <c r="N5" i="6"/>
  <c r="D5" i="6"/>
  <c r="L5" i="6" s="1"/>
  <c r="C16" i="5"/>
  <c r="C14" i="5"/>
  <c r="C18" i="5" s="1"/>
  <c r="C7" i="5"/>
  <c r="C6" i="5"/>
  <c r="C5" i="5"/>
  <c r="C13" i="4"/>
  <c r="C12" i="4"/>
  <c r="C9" i="4"/>
  <c r="C7" i="4"/>
  <c r="C6" i="4"/>
  <c r="D27" i="3"/>
  <c r="E7" i="5" s="1"/>
  <c r="C25" i="3"/>
  <c r="C24" i="3"/>
  <c r="C23" i="3"/>
  <c r="H28" i="2"/>
  <c r="G28" i="2"/>
  <c r="F28" i="2"/>
  <c r="E28" i="2"/>
  <c r="D28" i="2"/>
  <c r="C28" i="2"/>
  <c r="H23" i="2"/>
  <c r="G23" i="2"/>
  <c r="F23" i="2"/>
  <c r="E23" i="2"/>
  <c r="D23" i="2"/>
  <c r="C23" i="2"/>
  <c r="F22" i="2"/>
  <c r="H21" i="2"/>
  <c r="H22" i="2" s="1"/>
  <c r="G21" i="2"/>
  <c r="G22" i="2" s="1"/>
  <c r="F21" i="2"/>
  <c r="E21" i="2"/>
  <c r="E22" i="2" s="1"/>
  <c r="D21" i="2"/>
  <c r="D22" i="2" s="1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D9" i="2"/>
  <c r="C9" i="2"/>
  <c r="H8" i="2"/>
  <c r="H9" i="2" s="1"/>
  <c r="G8" i="2"/>
  <c r="G9" i="2" s="1"/>
  <c r="F8" i="2"/>
  <c r="F9" i="2" s="1"/>
  <c r="E8" i="2"/>
  <c r="E9" i="2" s="1"/>
  <c r="D8" i="2"/>
  <c r="C8" i="2"/>
  <c r="F15" i="6" l="1"/>
  <c r="I16" i="6"/>
  <c r="I17" i="6"/>
  <c r="G15" i="6"/>
  <c r="C26" i="3"/>
  <c r="C11" i="4" s="1"/>
  <c r="D17" i="6"/>
  <c r="B31" i="1"/>
  <c r="B24" i="1"/>
  <c r="C3" i="7"/>
  <c r="H36" i="4"/>
  <c r="G36" i="4"/>
  <c r="G46" i="3"/>
  <c r="F36" i="4"/>
  <c r="F46" i="3"/>
  <c r="E46" i="3"/>
  <c r="E36" i="4"/>
  <c r="D36" i="4"/>
  <c r="D46" i="3"/>
  <c r="B30" i="1"/>
  <c r="C46" i="3"/>
  <c r="E30" i="3"/>
  <c r="C32" i="3"/>
  <c r="D6" i="5"/>
  <c r="F7" i="5"/>
  <c r="M5" i="6"/>
  <c r="I15" i="6"/>
  <c r="E17" i="6"/>
  <c r="I6" i="7"/>
  <c r="F31" i="3"/>
  <c r="F30" i="3"/>
  <c r="D32" i="3"/>
  <c r="E6" i="5"/>
  <c r="G7" i="5"/>
  <c r="D16" i="6"/>
  <c r="F17" i="6"/>
  <c r="C17" i="7"/>
  <c r="C30" i="3"/>
  <c r="C33" i="3" s="1"/>
  <c r="G30" i="3"/>
  <c r="E32" i="3"/>
  <c r="C8" i="4"/>
  <c r="C10" i="4" s="1"/>
  <c r="D5" i="5"/>
  <c r="F6" i="5"/>
  <c r="H7" i="5"/>
  <c r="E16" i="6"/>
  <c r="G17" i="6"/>
  <c r="C6" i="7"/>
  <c r="D17" i="7"/>
  <c r="E5" i="5"/>
  <c r="G6" i="5"/>
  <c r="D15" i="6"/>
  <c r="F16" i="6"/>
  <c r="C28" i="6" s="1"/>
  <c r="C19" i="1" s="1"/>
  <c r="D19" i="1" s="1"/>
  <c r="H17" i="6"/>
  <c r="D6" i="7"/>
  <c r="E17" i="7"/>
  <c r="C31" i="3"/>
  <c r="F32" i="3"/>
  <c r="D31" i="3"/>
  <c r="G32" i="3"/>
  <c r="F5" i="5"/>
  <c r="H6" i="5"/>
  <c r="E5" i="6"/>
  <c r="G16" i="6"/>
  <c r="E6" i="7"/>
  <c r="F17" i="7"/>
  <c r="E31" i="3"/>
  <c r="G5" i="5"/>
  <c r="H16" i="6"/>
  <c r="F6" i="7"/>
  <c r="G17" i="7"/>
  <c r="H5" i="5"/>
  <c r="D7" i="5"/>
  <c r="G6" i="7"/>
  <c r="H17" i="7"/>
  <c r="D30" i="3"/>
  <c r="G31" i="3"/>
  <c r="B25" i="1" l="1"/>
  <c r="D33" i="3"/>
  <c r="D9" i="5"/>
  <c r="D12" i="5" s="1"/>
  <c r="C42" i="3"/>
  <c r="C34" i="3"/>
  <c r="D10" i="5" s="1"/>
  <c r="C37" i="3"/>
  <c r="K5" i="6"/>
  <c r="J5" i="6"/>
  <c r="C27" i="6"/>
  <c r="C18" i="1" s="1"/>
  <c r="D18" i="1" s="1"/>
  <c r="C74" i="4"/>
  <c r="G39" i="4"/>
  <c r="G43" i="4"/>
  <c r="G46" i="4"/>
  <c r="G51" i="4" s="1"/>
  <c r="G56" i="4" s="1"/>
  <c r="G40" i="4"/>
  <c r="G44" i="4"/>
  <c r="G38" i="4"/>
  <c r="G48" i="4" s="1"/>
  <c r="G53" i="4" s="1"/>
  <c r="G41" i="4"/>
  <c r="G45" i="4"/>
  <c r="G50" i="4"/>
  <c r="G55" i="4" s="1"/>
  <c r="C24" i="4"/>
  <c r="C25" i="4" s="1"/>
  <c r="C71" i="4"/>
  <c r="C70" i="4"/>
  <c r="E50" i="4"/>
  <c r="E55" i="4" s="1"/>
  <c r="D38" i="4"/>
  <c r="D45" i="4"/>
  <c r="D39" i="4"/>
  <c r="D43" i="4"/>
  <c r="D46" i="4"/>
  <c r="D41" i="4"/>
  <c r="D40" i="4"/>
  <c r="D44" i="4"/>
  <c r="H43" i="4"/>
  <c r="H40" i="4"/>
  <c r="H50" i="4" s="1"/>
  <c r="H55" i="4" s="1"/>
  <c r="H44" i="4"/>
  <c r="H38" i="4"/>
  <c r="H48" i="4" s="1"/>
  <c r="H53" i="4" s="1"/>
  <c r="H41" i="4"/>
  <c r="H45" i="4"/>
  <c r="H46" i="4"/>
  <c r="H39" i="4"/>
  <c r="H49" i="4" s="1"/>
  <c r="H54" i="4" s="1"/>
  <c r="E41" i="4"/>
  <c r="E51" i="4" s="1"/>
  <c r="E56" i="4" s="1"/>
  <c r="E45" i="4"/>
  <c r="E39" i="4"/>
  <c r="E43" i="4"/>
  <c r="E46" i="4"/>
  <c r="E40" i="4"/>
  <c r="E44" i="4"/>
  <c r="E38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F45" i="4"/>
  <c r="F43" i="4"/>
  <c r="F46" i="4"/>
  <c r="F40" i="4"/>
  <c r="F44" i="4"/>
  <c r="F38" i="4"/>
  <c r="F48" i="4" s="1"/>
  <c r="F53" i="4" s="1"/>
  <c r="F39" i="4"/>
  <c r="F49" i="4" s="1"/>
  <c r="F41" i="4"/>
  <c r="F51" i="4" s="1"/>
  <c r="F56" i="4" s="1"/>
  <c r="E49" i="4" l="1"/>
  <c r="E54" i="4" s="1"/>
  <c r="D49" i="4"/>
  <c r="D54" i="4" s="1"/>
  <c r="D48" i="4"/>
  <c r="D53" i="4" s="1"/>
  <c r="E48" i="4"/>
  <c r="E53" i="4" s="1"/>
  <c r="G49" i="4"/>
  <c r="G54" i="4" s="1"/>
  <c r="F50" i="4"/>
  <c r="F55" i="4" s="1"/>
  <c r="H51" i="4"/>
  <c r="H56" i="4" s="1"/>
  <c r="D50" i="4"/>
  <c r="D55" i="4" s="1"/>
  <c r="D51" i="4"/>
  <c r="D56" i="4" s="1"/>
  <c r="C35" i="3"/>
  <c r="C38" i="3" s="1"/>
  <c r="C60" i="4"/>
  <c r="F54" i="4"/>
  <c r="B78" i="4"/>
  <c r="E33" i="3"/>
  <c r="E9" i="5"/>
  <c r="E12" i="5" s="1"/>
  <c r="D42" i="3"/>
  <c r="D34" i="3"/>
  <c r="E10" i="5" s="1"/>
  <c r="D37" i="3"/>
  <c r="C39" i="3"/>
  <c r="C27" i="4"/>
  <c r="C26" i="4"/>
  <c r="C29" i="4"/>
  <c r="D15" i="5"/>
  <c r="D16" i="5" s="1"/>
  <c r="D13" i="5"/>
  <c r="D14" i="5" s="1"/>
  <c r="D18" i="5" s="1"/>
  <c r="D19" i="5" s="1"/>
  <c r="C44" i="3" s="1"/>
  <c r="C36" i="3" l="1"/>
  <c r="F9" i="5"/>
  <c r="F12" i="5" s="1"/>
  <c r="E42" i="3"/>
  <c r="E34" i="3"/>
  <c r="F10" i="5" s="1"/>
  <c r="E37" i="3"/>
  <c r="F33" i="3"/>
  <c r="E13" i="5"/>
  <c r="E14" i="5" s="1"/>
  <c r="E18" i="5" s="1"/>
  <c r="E19" i="5" s="1"/>
  <c r="D44" i="3" s="1"/>
  <c r="E15" i="5"/>
  <c r="E16" i="5" s="1"/>
  <c r="C40" i="3"/>
  <c r="C41" i="3" s="1"/>
  <c r="C45" i="3" s="1"/>
  <c r="D35" i="3"/>
  <c r="C66" i="4"/>
  <c r="D66" i="4" s="1"/>
  <c r="C65" i="4"/>
  <c r="D65" i="4" s="1"/>
  <c r="C64" i="4"/>
  <c r="D64" i="4" s="1"/>
  <c r="C67" i="4"/>
  <c r="D67" i="4" s="1"/>
  <c r="C63" i="4"/>
  <c r="D63" i="4" s="1"/>
  <c r="C47" i="3" l="1"/>
  <c r="E35" i="3"/>
  <c r="D38" i="3"/>
  <c r="D36" i="3"/>
  <c r="D39" i="3"/>
  <c r="F15" i="5"/>
  <c r="F16" i="5" s="1"/>
  <c r="F13" i="5"/>
  <c r="F14" i="5" s="1"/>
  <c r="G9" i="5"/>
  <c r="G12" i="5" s="1"/>
  <c r="F42" i="3"/>
  <c r="F34" i="3"/>
  <c r="G10" i="5" s="1"/>
  <c r="F37" i="3"/>
  <c r="G33" i="3"/>
  <c r="F35" i="3" l="1"/>
  <c r="F38" i="3" s="1"/>
  <c r="H9" i="5"/>
  <c r="H12" i="5" s="1"/>
  <c r="G37" i="3"/>
  <c r="G34" i="3"/>
  <c r="H10" i="5" s="1"/>
  <c r="G42" i="3"/>
  <c r="C16" i="4"/>
  <c r="C28" i="4" s="1"/>
  <c r="D40" i="3"/>
  <c r="D41" i="3" s="1"/>
  <c r="D45" i="3" s="1"/>
  <c r="G13" i="5"/>
  <c r="G15" i="5"/>
  <c r="G16" i="5" s="1"/>
  <c r="F36" i="3"/>
  <c r="F39" i="3"/>
  <c r="E39" i="3"/>
  <c r="E36" i="3"/>
  <c r="E38" i="3"/>
  <c r="G14" i="5"/>
  <c r="F18" i="5"/>
  <c r="F19" i="5" s="1"/>
  <c r="E44" i="3" s="1"/>
  <c r="G18" i="5" l="1"/>
  <c r="G19" i="5" s="1"/>
  <c r="F44" i="3" s="1"/>
  <c r="D47" i="3"/>
  <c r="C72" i="4"/>
  <c r="C73" i="4"/>
  <c r="G35" i="3"/>
  <c r="E40" i="3"/>
  <c r="E41" i="3" s="1"/>
  <c r="E45" i="3" s="1"/>
  <c r="F40" i="3"/>
  <c r="F41" i="3"/>
  <c r="H13" i="5"/>
  <c r="H14" i="5" s="1"/>
  <c r="H18" i="5" s="1"/>
  <c r="H19" i="5" s="1"/>
  <c r="G44" i="3" s="1"/>
  <c r="H15" i="5"/>
  <c r="H16" i="5" s="1"/>
  <c r="F45" i="3" l="1"/>
  <c r="F47" i="3" s="1"/>
  <c r="E47" i="3"/>
  <c r="G39" i="3"/>
  <c r="G38" i="3"/>
  <c r="G36" i="3"/>
  <c r="G40" i="3" l="1"/>
  <c r="G41" i="3" s="1"/>
  <c r="G45" i="3" s="1"/>
  <c r="C59" i="3"/>
  <c r="C60" i="3" s="1"/>
  <c r="C61" i="3" s="1"/>
  <c r="C51" i="3" l="1"/>
  <c r="C52" i="3" s="1"/>
  <c r="G47" i="3"/>
  <c r="C50" i="3" s="1"/>
  <c r="F24" i="7"/>
  <c r="D12" i="7"/>
  <c r="F20" i="7"/>
  <c r="D10" i="7"/>
  <c r="D20" i="7"/>
  <c r="E18" i="7"/>
  <c r="F23" i="7"/>
  <c r="D7" i="7"/>
  <c r="C12" i="7"/>
  <c r="H19" i="7"/>
  <c r="D18" i="7"/>
  <c r="I18" i="7"/>
  <c r="C11" i="7"/>
  <c r="C19" i="7"/>
  <c r="F12" i="7"/>
  <c r="C10" i="7"/>
  <c r="C8" i="7"/>
  <c r="I19" i="7"/>
  <c r="I10" i="7"/>
  <c r="G10" i="7"/>
  <c r="E13" i="7"/>
  <c r="C22" i="7"/>
  <c r="H22" i="7"/>
  <c r="H8" i="7"/>
  <c r="G8" i="7"/>
  <c r="G21" i="7"/>
  <c r="F13" i="7"/>
  <c r="F7" i="7"/>
  <c r="F19" i="7"/>
  <c r="C7" i="7"/>
  <c r="E23" i="7"/>
  <c r="I24" i="7"/>
  <c r="E9" i="7"/>
  <c r="F18" i="7"/>
  <c r="G22" i="7"/>
  <c r="G13" i="7"/>
  <c r="I9" i="7"/>
  <c r="G18" i="7"/>
  <c r="D8" i="7"/>
  <c r="D13" i="7"/>
  <c r="H10" i="7"/>
  <c r="I11" i="7"/>
  <c r="H24" i="7"/>
  <c r="C24" i="7"/>
  <c r="H11" i="7"/>
  <c r="F21" i="7"/>
  <c r="C23" i="7"/>
  <c r="G9" i="7"/>
  <c r="H13" i="7"/>
  <c r="H9" i="7"/>
  <c r="D19" i="7"/>
  <c r="E19" i="7"/>
  <c r="D21" i="7"/>
  <c r="H20" i="7"/>
  <c r="G19" i="7"/>
  <c r="E7" i="7"/>
  <c r="G7" i="7"/>
  <c r="E24" i="7"/>
  <c r="F10" i="7"/>
  <c r="E12" i="7"/>
  <c r="I8" i="7"/>
  <c r="E8" i="7"/>
  <c r="C18" i="7"/>
  <c r="E20" i="7"/>
  <c r="D24" i="7"/>
  <c r="D9" i="7"/>
  <c r="F8" i="7"/>
  <c r="G11" i="7"/>
  <c r="I13" i="7"/>
  <c r="E21" i="7"/>
  <c r="I22" i="7"/>
  <c r="C9" i="7"/>
  <c r="C21" i="7"/>
  <c r="G24" i="7"/>
  <c r="I7" i="7"/>
  <c r="D22" i="7"/>
  <c r="F22" i="7"/>
  <c r="E22" i="7"/>
  <c r="C20" i="7"/>
  <c r="I12" i="7"/>
  <c r="D11" i="7"/>
  <c r="H12" i="7"/>
  <c r="I20" i="7"/>
  <c r="E10" i="7"/>
  <c r="I23" i="7"/>
  <c r="G12" i="7"/>
  <c r="F11" i="7"/>
  <c r="H21" i="7"/>
  <c r="C13" i="7"/>
  <c r="I21" i="7"/>
  <c r="G20" i="7"/>
  <c r="H23" i="7"/>
  <c r="E11" i="7"/>
  <c r="D23" i="7"/>
  <c r="H7" i="7"/>
  <c r="H18" i="7"/>
  <c r="F9" i="7"/>
  <c r="G23" i="7"/>
  <c r="C53" i="3" l="1"/>
  <c r="C58" i="3"/>
  <c r="C62" i="3" s="1"/>
  <c r="C63" i="3" l="1"/>
  <c r="C64" i="3" s="1"/>
  <c r="C17" i="1" s="1"/>
  <c r="D17" i="1" s="1"/>
  <c r="C54" i="3"/>
  <c r="C55" i="3" s="1"/>
  <c r="C16" i="1" s="1"/>
  <c r="C17" i="4"/>
  <c r="D16" i="1" l="1"/>
  <c r="C21" i="1"/>
  <c r="C10" i="1"/>
  <c r="C19" i="4"/>
  <c r="C20" i="4" s="1"/>
  <c r="B79" i="4"/>
  <c r="C12" i="1" l="1"/>
  <c r="C11" i="1" s="1"/>
  <c r="B29" i="1"/>
  <c r="B26" i="1" l="1"/>
</calcChain>
</file>

<file path=xl/sharedStrings.xml><?xml version="1.0" encoding="utf-8"?>
<sst xmlns="http://schemas.openxmlformats.org/spreadsheetml/2006/main" count="439" uniqueCount="356">
  <si>
    <t>DISCLAIMER: This is a sample analysis for demonstration purposes only. It does not constitute investment advice.</t>
  </si>
  <si>
    <t>東海旅客鉄道 (9022.T)</t>
  </si>
  <si>
    <t>Equity Research Report</t>
  </si>
  <si>
    <t>Company</t>
  </si>
  <si>
    <t>東海旅客鉄道</t>
  </si>
  <si>
    <t>Ticker</t>
  </si>
  <si>
    <t>9022.T (TSE Prime)</t>
  </si>
  <si>
    <t>Sector</t>
  </si>
  <si>
    <t>陸運業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</si>
  <si>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</si>
  <si>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</si>
  <si>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</si>
  <si>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</si>
  <si>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</si>
  <si>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</si>
  <si>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</si>
  <si>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</si>
  <si>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</si>
  <si>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</si>
  <si>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</si>
  <si>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</si>
  <si>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</si>
  <si>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</si>
  <si>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</si>
  <si>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Key Risks</t>
  </si>
  <si>
    <t>東海旅客鉄道 - Historical Financials (JPY mn)</t>
  </si>
  <si>
    <t>FY2021</t>
  </si>
  <si>
    <t>FY2022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</si>
  <si>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</si>
  <si>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</si>
  <si>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</si>
  <si>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</si>
  <si>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</si>
  <si>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</si>
  <si>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</si>
  <si>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</si>
  <si>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</si>
  <si>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</si>
  <si>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</si>
  <si>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</si>
  <si>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</si>
  <si>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</si>
  <si>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</si>
  <si>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</si>
  <si>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</si>
  <si>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</si>
  <si>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</si>
  <si>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</si>
  <si>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</si>
  <si>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</si>
  <si>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</si>
  <si>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</si>
  <si>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</si>
  <si>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</si>
  <si>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</si>
  <si>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6/6, Cash 6/6, Debt 6/6 — blank cells are years with no year-key match in the source data (verify against 決算短信 or set hist_ocf / hist_cash / hist_debt in overrides).</t>
  </si>
  <si>
    <t>DCF Valuation Model - 東海旅客鉄道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</si>
  <si>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</si>
  <si>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</si>
  <si>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</si>
  <si>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</si>
  <si>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</si>
  <si>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</si>
  <si>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</si>
  <si>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</si>
  <si>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</si>
  <si>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</si>
  <si>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</si>
  <si>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</si>
  <si>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</si>
  <si>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</si>
  <si>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</si>
  <si>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</si>
  <si>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</si>
  <si>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</si>
  <si>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</si>
  <si>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</si>
  <si>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</si>
  <si>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</si>
  <si>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</si>
  <si>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</si>
  <si>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</si>
  <si>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</si>
  <si>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</si>
  <si>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</si>
  <si>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</si>
  <si>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</si>
  <si>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</si>
  <si>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</si>
  <si>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</si>
  <si>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</si>
  <si>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</si>
  <si>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</si>
  <si>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</si>
  <si>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</si>
  <si>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</si>
  <si>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</si>
  <si>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</si>
  <si>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</si>
  <si>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</si>
  <si>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</si>
  <si>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</si>
  <si>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</si>
  <si>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</si>
  <si>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</si>
  <si>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</si>
  <si>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</si>
  <si>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</si>
  <si>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</si>
  <si>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</si>
  <si>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</si>
  <si>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</si>
  <si>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</si>
  <si>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</si>
  <si>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</si>
  <si>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</si>
  <si>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</si>
  <si>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</si>
  <si>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</si>
  <si>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</si>
  <si>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</si>
  <si>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東海旅客鉄道 (9022.T)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</si>
  <si>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</si>
  <si>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</si>
  <si>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</si>
  <si>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</si>
  <si>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</si>
  <si>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</si>
  <si>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</si>
  <si>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</si>
  <si>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</si>
  <si>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</si>
  <si>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</si>
  <si>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</si>
  <si>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</si>
  <si>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</si>
  <si>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</si>
  <si>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</si>
  <si>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</si>
  <si>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</si>
  <si>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</si>
  <si>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</si>
  <si>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</si>
  <si>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</si>
  <si>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</si>
  <si>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</si>
  <si>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</si>
  <si>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</si>
  <si>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</si>
  <si>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</si>
  <si>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</si>
  <si>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</si>
  <si>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</si>
  <si>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</si>
  <si>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</si>
  <si>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</si>
  <si>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</si>
  <si>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</si>
  <si>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</si>
  <si>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</si>
  <si>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</si>
  <si>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</si>
  <si>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</si>
  <si>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</si>
  <si>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</si>
  <si>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</si>
  <si>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</si>
  <si>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</si>
  <si>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</si>
  <si>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</si>
  <si>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</si>
  <si>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</si>
  <si>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</si>
  <si>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東海旅客鉄道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</si>
  <si>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</si>
  <si>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</si>
  <si>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</si>
  <si>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</si>
  <si>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</si>
  <si>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</si>
  <si>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</si>
  <si>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</si>
  <si>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</si>
  <si>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</si>
  <si>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</si>
  <si>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</si>
  <si>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</si>
  <si>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</si>
  <si>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</si>
  <si>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</si>
  <si>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</si>
  <si>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</si>
  <si>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</si>
  <si>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</si>
  <si>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</si>
  <si>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</si>
  <si>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</si>
  <si>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</si>
  <si>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</si>
  <si>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</si>
  <si>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</si>
  <si>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</si>
  <si>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</si>
  <si>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</si>
  <si>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</si>
  <si>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</si>
  <si>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</si>
  <si>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</si>
  <si>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Central Japan Railway Company</t>
  </si>
  <si>
    <t>9022.T</t>
  </si>
  <si>
    <t>East Japan Railway Company</t>
  </si>
  <si>
    <t>9020.T</t>
  </si>
  <si>
    <t>West Japan Railway Company</t>
  </si>
  <si>
    <t>9021.T</t>
  </si>
  <si>
    <t>Hankyu Hanshin Holdings, Inc.</t>
  </si>
  <si>
    <t>9042.T</t>
  </si>
  <si>
    <t>Tokyu Corporation</t>
  </si>
  <si>
    <t>9005.T</t>
  </si>
  <si>
    <t>Statistics</t>
  </si>
  <si>
    <t>25th Percentile</t>
  </si>
  <si>
    <t>Median (50th)</t>
  </si>
  <si>
    <t>75th Percentile</t>
  </si>
  <si>
    <t>Implied Valuation for 東海旅客鉄道</t>
  </si>
  <si>
    <t>東海旅客鉄道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</si>
  <si>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</si>
  <si>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</si>
  <si>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</si>
  <si>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</si>
  <si>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</si>
  <si>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</si>
  <si>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</si>
  <si>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</si>
  <si>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</si>
  <si>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</si>
  <si>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</si>
  <si>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</si>
  <si>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</si>
  <si>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</si>
  <si>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</si>
  <si>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東海旅客鉄道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</si>
  <si>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</si>
  <si>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</si>
  <si>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</si>
  <si>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</si>
  <si>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</si>
  <si>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</si>
  <si>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</si>
  <si>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</si>
  <si>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19:31, template rev 63983ab</t>
  </si>
  <si>
    <t>初期生成（手修正なし）</t>
  </si>
  <si>
    <t>generated</t>
  </si>
  <si>
    <t>DCF Model!C11</t>
  </si>
  <si>
    <t>After-tax Cost of Debt = 1.37% (実績ベース)</t>
  </si>
  <si>
    <t>実績Kd = 支払利息78,779 ÷ 平均有利子負債4,308,091(期首4,308,098/期末4,308,084、debt_beginning/debt_ending) = 税引前1.83% × (1−25.0%) = 1.37%。【マージナルコスト注記】これは既存借入の実績平均コストであり、新規調達の限界コストではない。テンプレ既定(税引前2.8%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</si>
  <si>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</si>
  <si>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</si>
  <si>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</si>
  <si>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0.521（採用値）</t>
  </si>
  <si>
    <t>実測β(raw) = 0.285 → Blume調整 0.67×raw + 0.33×1.00 = 0.521 → 採用 0.521。クランプ域 [0.3, 2.0] の内側。置換なし。回帰βは平均回帰するため Blume 調整を既定とする（2026-09-05 バッチで85件中57件が旧下限 0.60 に張り付き、両裾の歪みが実証された）。</t>
  </si>
  <si>
    <t>実測 0.285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</si>
  <si>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</si>
  <si>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</si>
  <si>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</si>
  <si>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</si>
  <si>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</si>
  <si>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</si>
  <si>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</si>
  <si>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0.5208</t>
  </si>
  <si>
    <t>beta_basis</t>
  </si>
  <si>
    <t>Blume: 0.67 x 0.285 + 0.33 x 1.00 = 0.521</t>
  </si>
  <si>
    <t>beta_blume_adjusted</t>
  </si>
  <si>
    <t>beta_clamped</t>
  </si>
  <si>
    <t>no</t>
  </si>
  <si>
    <t>beta_raw</t>
  </si>
  <si>
    <t>0.2848</t>
  </si>
  <si>
    <t>capex_pct_basis</t>
  </si>
  <si>
    <t>explicit_override</t>
  </si>
  <si>
    <t>capex_pct_c5</t>
  </si>
  <si>
    <t>0.107</t>
  </si>
  <si>
    <t>capex_pct_hist3yr</t>
  </si>
  <si>
    <t>0.240572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</si>
  <si>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</si>
  <si>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</si>
  <si>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</si>
  <si>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</si>
  <si>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</si>
  <si>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</si>
  <si>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</si>
  <si>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</si>
  <si>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</si>
  <si>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</si>
  <si>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</si>
  <si>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</si>
  <si>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</si>
  <si>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</si>
  <si>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</si>
  <si>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</si>
  <si>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</si>
  <si>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</si>
  <si>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</si>
  <si>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</si>
  <si>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1036102.0</t>
  </si>
  <si>
    <t>core_net_income</t>
  </si>
  <si>
    <t>552871.0</t>
  </si>
  <si>
    <t>cost_of_debt_actual</t>
  </si>
  <si>
    <t>interest 78,779 (expense 78,779 + fees 0) / avg debt 4,308,091 (debt_beginning/debt_ending) = 0.018286 pre-tax -&gt; 0.013700 after-tax</t>
  </si>
  <si>
    <t>cost_of_debt_at_c11</t>
  </si>
  <si>
    <t>0.0137</t>
  </si>
  <si>
    <t>cost_of_debt_avg_debt</t>
  </si>
  <si>
    <t>4308091.0</t>
  </si>
  <si>
    <t>cost_of_debt_basis</t>
  </si>
  <si>
    <t>actual</t>
  </si>
  <si>
    <t>cost_of_debt_interest</t>
  </si>
  <si>
    <t>78779.0</t>
  </si>
  <si>
    <t>cost_of_debt_pretax</t>
  </si>
  <si>
    <t>0.018286289681438948</t>
  </si>
  <si>
    <t>da_pct_basis</t>
  </si>
  <si>
    <t>da_pct_c18</t>
  </si>
  <si>
    <t>0.098</t>
  </si>
  <si>
    <t>da_pct_hist3yr</t>
  </si>
  <si>
    <t>0.114247</t>
  </si>
  <si>
    <t>fs_year_coverage</t>
  </si>
  <si>
    <t>OCF 6/6, Cash 6/6, Debt 6/6</t>
  </si>
  <si>
    <t>fs_year_map</t>
  </si>
  <si>
    <t>FY2021&lt;-FY2021[ocf+cash+debt]; FY2022&lt;-FY2022[ocf+cash+debt]; 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</si>
  <si>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</si>
  <si>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</si>
  <si>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</si>
  <si>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</si>
  <si>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</si>
  <si>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19:31:00</t>
  </si>
  <si>
    <t>guidance_note</t>
  </si>
  <si>
    <t>TDnet 決算短信 via screener guidance table: FY2027 disclosed 2026-07-31 (net_income=447,000mn, operating_income=702,000mn, revenue=1,993,000mn)</t>
  </si>
  <si>
    <t>guidance_source</t>
  </si>
  <si>
    <t>tdnet_screener_db</t>
  </si>
  <si>
    <t>latest_operating_income</t>
  </si>
  <si>
    <t>830167.0</t>
  </si>
  <si>
    <t>ltm_revenue_c20</t>
  </si>
  <si>
    <t>2006218.0</t>
  </si>
  <si>
    <t>ltm_revenue_source</t>
  </si>
  <si>
    <t>latest FY (no LTM)</t>
  </si>
  <si>
    <t>market_data_source</t>
  </si>
  <si>
    <t>yfinance; from overrides: beta</t>
  </si>
  <si>
    <t>narrative_tokens_used</t>
  </si>
  <si>
    <t>pb,per,price,target_price,upside_pct,wacc</t>
  </si>
  <si>
    <t>net_debt_source</t>
  </si>
  <si>
    <t>EDINET net_debt</t>
  </si>
  <si>
    <t>reverse_dcf_sheet</t>
  </si>
  <si>
    <t>op0=830,167(FY2026) peak=830,167(FY2026) peak_opm=0.4138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</si>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</sst>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3857</v>
      </c>
    </row>
    <row r="10" spans="2:5" ht="14" x14ac:dyDescent="0.3">
      <c r="B10" s="4" t="s">
        <v>10</v>
      </c>
      <c r="C10" s="5">
        <f>IF(COUNT(C16:C17)=0,"N/A",ROUND(AVERAGE(C16:C17),0))</f>
        <v>10979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1.8465128338086596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11256</v>
      </c>
      <c r="D16" s="7">
        <f>IF(ISNUMBER(C16),(C16-C9)/C9,"N/A")</f>
        <v>1.9183303085299455</v>
      </c>
    </row>
    <row r="17" spans="2:5" ht="13.5" x14ac:dyDescent="0.25">
      <c r="B17" t="s">
        <v>18</v>
      </c>
      <c r="C17" s="11">
        <f>IF('DCF Model'!C62&lt;'DCF Model'!C16,"INVALID (EV &lt; net debt)",'DCF Model'!C64)</f>
        <v>10702</v>
      </c>
      <c r="D17" s="7">
        <f>IF(ISNUMBER(C17),(C17-C9)/C9,"N/A")</f>
        <v>1.7746953590873735</v>
      </c>
    </row>
    <row r="18" spans="2:5" ht="13.5" x14ac:dyDescent="0.25">
      <c r="B18" t="s">
        <v>19</v>
      </c>
      <c r="C18" s="11">
        <f>'Comps Analysis'!C27</f>
        <v>10880</v>
      </c>
      <c r="D18" s="7">
        <f>IF(ISNUMBER(C18),(C18-C9)/C9,"N/A")</f>
        <v>1.8208452164894997</v>
      </c>
    </row>
    <row r="19" spans="2:5" ht="13.5" x14ac:dyDescent="0.25">
      <c r="B19" t="s">
        <v>20</v>
      </c>
      <c r="C19" s="11">
        <f>'Comps Analysis'!C28</f>
        <v>7221</v>
      </c>
      <c r="D19" s="7">
        <f>IF(ISNUMBER(C19),(C19-C9)/C9,"N/A")</f>
        <v>0.8721804511278195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10702 - 11256</v>
      </c>
    </row>
    <row r="23" spans="2:5" ht="14" x14ac:dyDescent="0.3">
      <c r="B23" s="8" t="s">
        <v>23</v>
      </c>
      <c r="C23" s="9"/>
      <c r="D23" s="9"/>
    </row>
    <row r="24" spans="2:5" x14ac:dyDescent="0.2">
      <c r="B24" t="str">
        <f>"The Tokaido Shinkansen is a near-monopoly corridor with pricing power, and the post-pandemic recovery has taken the operating margin above its pre-pandemic level; the shares are valued at "&amp;TEXT('Comps Analysis'!L5,"0.0""x""")&amp;" earnings and "&amp;TEXT('Comps Analysis'!M5,"0.00""x""")&amp;" book."</f>
        <v>The Tokaido Shinkansen is a near-monopoly corridor with pricing power, and the post-pandemic recovery has taken the operating margin above its pre-pandemic level; the shares are valued at 6.6x earnings and 0.72x book.</v>
      </c>
    </row>
    <row r="25" spans="2:5" x14ac:dyDescent="0.2">
      <c r="B25" t="str">
        <f>"The stock trades at a materially lower EV/EBITDA than the listed private-railway peer group, so the exit-multiple leg of this model is where the peer discount shows up against a "&amp;TEXT('DCF Model'!C26,"0.00%")&amp;" cost of capital."</f>
        <v>The stock trades at a materially lower EV/EBITDA than the listed private-railway peer group, so the exit-multiple leg of this model is where the peer discount shows up against a 6.14% cost of capital.</v>
      </c>
    </row>
    <row r="26" spans="2:5" x14ac:dyDescent="0.2">
      <c r="B26" t="str">
        <f>"At "&amp;TEXT(C9,"#,##0")&amp;" the market is paying for the current corridor economics while funding the Chuo Shinkansen build; our base case supports "&amp;TEXT(C10,"#,##0")&amp;", or "&amp;TEXT(C12,"+0.0%;-0.0%")&amp;" from here."</f>
        <v>At 3,857 the market is paying for the current corridor economics while funding the Chuo Shinkansen build; our base case supports 10,979, or +184.7% from here.</v>
      </c>
    </row>
    <row r="28" spans="2:5" ht="14" x14ac:dyDescent="0.3">
      <c r="B28" s="8" t="s">
        <v>24</v>
      </c>
      <c r="C28" s="9"/>
      <c r="D28" s="9"/>
    </row>
    <row r="29" spans="2:5" x14ac:dyDescent="0.2">
      <c r="B29" t="str">
        <f>"Chuo Shinkansen construction keeps capital expenditure far above depreciation well past the projection window, so the perpetuity leg behind "&amp;TEXT(C10,"#,##0")&amp;" assumes a steady state the company will not reach for years."</f>
        <v>Chuo Shinkansen construction keeps capital expenditure far above depreciation well past the projection window, so the perpetuity leg behind 10,979 assumes a steady state the company will not reach for years.</v>
      </c>
    </row>
    <row r="30" spans="2:5" x14ac:dyDescent="0.2">
      <c r="B30" t="str">
        <f>"Interest-bearing debt exceeds the equity market value, which makes the "&amp;TEXT('DCF Model'!C26,"0.00%")&amp;" discount rate unusually sensitive to the cost of debt and to any rise in long-dated JGB yields."</f>
        <v>Interest-bearing debt exceeds the equity market value, which makes the 6.14% discount rate unusually sensitive to the cost of debt and to any rise in long-dated JGB yields.</v>
      </c>
    </row>
    <row r="31" spans="2:5" x14ac:dyDescent="0.2">
      <c r="B31" t="str">
        <f>"Corridor demand is concentrated on one route: a repeat of the pandemic-era collapse would take margins back to the trough used in the second downside case, far below what "&amp;TEXT(C9,"#,##0")&amp;" and "&amp;TEXT('Comps Analysis'!L5,"0.0""x""")&amp;" imply."</f>
        <v>Corridor demand is concentrated on one route: a repeat of the pandemic-era collapse would take margins back to the trough used in the second downside case, far below what 3,857 and 6.6x imply.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30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25</v>
      </c>
    </row>
    <row r="4" spans="2:8" ht="14" x14ac:dyDescent="0.3"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</row>
    <row r="5" spans="2:8" ht="14" x14ac:dyDescent="0.3">
      <c r="B5" s="3" t="s">
        <v>32</v>
      </c>
    </row>
    <row r="6" spans="2:8" ht="14" x14ac:dyDescent="0.3">
      <c r="B6" s="4" t="s">
        <v>33</v>
      </c>
      <c r="C6" s="5">
        <v>823517</v>
      </c>
      <c r="D6" s="5">
        <v>935139</v>
      </c>
      <c r="E6" s="5">
        <v>1400285</v>
      </c>
      <c r="F6" s="5">
        <v>1710407</v>
      </c>
      <c r="G6" s="5">
        <v>1831847</v>
      </c>
      <c r="H6" s="5">
        <v>2006218</v>
      </c>
    </row>
    <row r="7" spans="2:8" ht="14" x14ac:dyDescent="0.3">
      <c r="B7" s="4" t="s">
        <v>34</v>
      </c>
      <c r="C7" s="5">
        <v>843757</v>
      </c>
      <c r="D7" s="5">
        <v>773584</v>
      </c>
      <c r="E7" s="5">
        <v>847848</v>
      </c>
      <c r="F7" s="5">
        <v>912307</v>
      </c>
      <c r="G7" s="5">
        <v>928900</v>
      </c>
      <c r="H7" s="5">
        <v>959247</v>
      </c>
    </row>
    <row r="8" spans="2:8" ht="14" x14ac:dyDescent="0.3">
      <c r="B8" s="4" t="s">
        <v>35</v>
      </c>
      <c r="C8" s="5">
        <f t="shared" ref="C8:H8" si="0">C6-C7</f>
        <v>-20240</v>
      </c>
      <c r="D8" s="5">
        <f t="shared" si="0"/>
        <v>161555</v>
      </c>
      <c r="E8" s="5">
        <f t="shared" si="0"/>
        <v>552437</v>
      </c>
      <c r="F8" s="5">
        <f t="shared" si="0"/>
        <v>798100</v>
      </c>
      <c r="G8" s="5">
        <f t="shared" si="0"/>
        <v>902947</v>
      </c>
      <c r="H8" s="5">
        <f t="shared" si="0"/>
        <v>1046971</v>
      </c>
    </row>
    <row r="9" spans="2:8" ht="13.5" x14ac:dyDescent="0.25">
      <c r="B9" t="s">
        <v>36</v>
      </c>
      <c r="C9" s="7">
        <f t="shared" ref="C9:H9" si="1">C8/C6</f>
        <v>-2.4577513275378649E-2</v>
      </c>
      <c r="D9" s="7">
        <f t="shared" si="1"/>
        <v>0.17276041315783</v>
      </c>
      <c r="E9" s="7">
        <f t="shared" si="1"/>
        <v>0.39451754464269773</v>
      </c>
      <c r="F9" s="7">
        <f t="shared" si="1"/>
        <v>0.46661408658874759</v>
      </c>
      <c r="G9" s="7">
        <f t="shared" si="1"/>
        <v>0.49291616603351701</v>
      </c>
      <c r="H9" s="7">
        <f t="shared" si="1"/>
        <v>0.52186302784642546</v>
      </c>
    </row>
    <row r="10" spans="2:8" ht="14" x14ac:dyDescent="0.3">
      <c r="B10" s="4" t="s">
        <v>37</v>
      </c>
      <c r="C10" s="5">
        <v>164511</v>
      </c>
      <c r="D10" s="5">
        <v>159847</v>
      </c>
      <c r="E10" s="5">
        <v>177934</v>
      </c>
      <c r="F10" s="5">
        <v>190719</v>
      </c>
      <c r="G10" s="5">
        <v>200153</v>
      </c>
      <c r="H10" s="5">
        <v>216804</v>
      </c>
    </row>
    <row r="11" spans="2:8" ht="14" x14ac:dyDescent="0.3">
      <c r="B11" s="4" t="s">
        <v>38</v>
      </c>
      <c r="C11" s="5">
        <v>-184751</v>
      </c>
      <c r="D11" s="5">
        <v>1708</v>
      </c>
      <c r="E11" s="5">
        <v>374503</v>
      </c>
      <c r="F11" s="5">
        <v>607381</v>
      </c>
      <c r="G11" s="5">
        <v>702794</v>
      </c>
      <c r="H11" s="5">
        <v>830167</v>
      </c>
    </row>
    <row r="12" spans="2:8" ht="14" x14ac:dyDescent="0.3">
      <c r="B12" s="4" t="s">
        <v>39</v>
      </c>
      <c r="C12" s="5">
        <v>-201554</v>
      </c>
      <c r="D12" s="5">
        <v>-51928</v>
      </c>
      <c r="E12" s="5">
        <v>219417</v>
      </c>
      <c r="F12" s="5">
        <v>384411</v>
      </c>
      <c r="G12" s="5">
        <v>458423</v>
      </c>
      <c r="H12" s="5">
        <v>552871</v>
      </c>
    </row>
    <row r="13" spans="2:8" ht="13.5" x14ac:dyDescent="0.25">
      <c r="B13" t="s">
        <v>40</v>
      </c>
      <c r="C13" s="7">
        <f t="shared" ref="C13:H13" si="2">C11/C6</f>
        <v>-0.22434388118278067</v>
      </c>
      <c r="D13" s="7">
        <f t="shared" si="2"/>
        <v>1.8264664397485294E-3</v>
      </c>
      <c r="E13" s="7">
        <f t="shared" si="2"/>
        <v>0.2674476981471629</v>
      </c>
      <c r="F13" s="7">
        <f t="shared" si="2"/>
        <v>0.35510904714491931</v>
      </c>
      <c r="G13" s="7">
        <f t="shared" si="2"/>
        <v>0.38365321994686236</v>
      </c>
      <c r="H13" s="7">
        <f t="shared" si="2"/>
        <v>0.41379700511110956</v>
      </c>
    </row>
    <row r="14" spans="2:8" ht="13.5" x14ac:dyDescent="0.25">
      <c r="B14" t="s">
        <v>41</v>
      </c>
      <c r="C14" s="7">
        <f t="shared" ref="C14:H14" si="3">C12/C6</f>
        <v>-0.24474783155660418</v>
      </c>
      <c r="D14" s="7">
        <f t="shared" si="3"/>
        <v>-5.5529712695118055E-2</v>
      </c>
      <c r="E14" s="7">
        <f t="shared" si="3"/>
        <v>0.15669453004209857</v>
      </c>
      <c r="F14" s="7">
        <f t="shared" si="3"/>
        <v>0.22474826167105255</v>
      </c>
      <c r="G14" s="7">
        <f t="shared" si="3"/>
        <v>0.25025179504620199</v>
      </c>
      <c r="H14" s="7">
        <f t="shared" si="3"/>
        <v>0.27557872574166914</v>
      </c>
    </row>
    <row r="15" spans="2:8" ht="13.5" x14ac:dyDescent="0.25">
      <c r="B15" t="s">
        <v>42</v>
      </c>
      <c r="C15" t="s">
        <v>43</v>
      </c>
      <c r="D15" s="7">
        <f>(D6-C6)/C6</f>
        <v>0.13554304282728832</v>
      </c>
      <c r="E15" s="7">
        <f>(E6-D6)/D6</f>
        <v>0.49740840666467767</v>
      </c>
      <c r="F15" s="7">
        <f>(F6-E6)/E6</f>
        <v>0.22147062919334279</v>
      </c>
      <c r="G15" s="7">
        <f>(G6-F6)/F6</f>
        <v>7.1000644875751792E-2</v>
      </c>
      <c r="H15" s="7">
        <f>(H6-G6)/G6</f>
        <v>9.5188626561061043E-2</v>
      </c>
    </row>
    <row r="16" spans="2:8" ht="13.5" x14ac:dyDescent="0.25">
      <c r="B16" t="s">
        <v>44</v>
      </c>
      <c r="C16" t="s">
        <v>43</v>
      </c>
      <c r="D16" s="7">
        <f>(D11-C11)/C11</f>
        <v>-1.0092448755351797</v>
      </c>
      <c r="E16" s="7">
        <f>(E11-D11)/D11</f>
        <v>218.26405152224825</v>
      </c>
      <c r="F16" s="7">
        <f>(F11-E11)/E11</f>
        <v>0.62183213485606259</v>
      </c>
      <c r="G16" s="7">
        <f>(G11-F11)/F11</f>
        <v>0.1570892075978669</v>
      </c>
      <c r="H16" s="7">
        <f>(H11-G11)/G11</f>
        <v>0.18123802992057417</v>
      </c>
    </row>
    <row r="18" spans="2:8" ht="14" x14ac:dyDescent="0.3">
      <c r="B18" s="3" t="s">
        <v>45</v>
      </c>
    </row>
    <row r="19" spans="2:8" ht="14" x14ac:dyDescent="0.3">
      <c r="B19" s="4" t="s">
        <v>46</v>
      </c>
      <c r="C19" s="5">
        <v>-169354</v>
      </c>
      <c r="D19" s="5">
        <v>71746</v>
      </c>
      <c r="E19" s="5">
        <v>486706</v>
      </c>
      <c r="F19" s="5">
        <v>672878</v>
      </c>
      <c r="G19" s="5">
        <v>624550</v>
      </c>
      <c r="H19" s="5">
        <v>748185</v>
      </c>
    </row>
    <row r="20" spans="2:8" ht="14" x14ac:dyDescent="0.3">
      <c r="B20" s="4" t="s">
        <v>47</v>
      </c>
      <c r="C20" s="5">
        <v>470185</v>
      </c>
      <c r="D20" s="5">
        <v>450554</v>
      </c>
      <c r="E20" s="5">
        <v>427192</v>
      </c>
      <c r="F20" s="5">
        <v>391266</v>
      </c>
      <c r="G20" s="5">
        <v>452564</v>
      </c>
      <c r="H20" s="5">
        <v>493342</v>
      </c>
    </row>
    <row r="21" spans="2:8" ht="14" x14ac:dyDescent="0.3">
      <c r="B21" s="4" t="s">
        <v>48</v>
      </c>
      <c r="C21" s="5">
        <f t="shared" ref="C21:H21" si="4">C19-C20</f>
        <v>-639539</v>
      </c>
      <c r="D21" s="5">
        <f t="shared" si="4"/>
        <v>-378808</v>
      </c>
      <c r="E21" s="5">
        <f t="shared" si="4"/>
        <v>59514</v>
      </c>
      <c r="F21" s="5">
        <f t="shared" si="4"/>
        <v>281612</v>
      </c>
      <c r="G21" s="5">
        <f t="shared" si="4"/>
        <v>171986</v>
      </c>
      <c r="H21" s="5">
        <f t="shared" si="4"/>
        <v>254843</v>
      </c>
    </row>
    <row r="22" spans="2:8" ht="13.5" x14ac:dyDescent="0.25">
      <c r="B22" t="s">
        <v>49</v>
      </c>
      <c r="C22" s="7">
        <f t="shared" ref="C22:H22" si="5">C21/C6</f>
        <v>-0.77659477582126413</v>
      </c>
      <c r="D22" s="7">
        <f t="shared" si="5"/>
        <v>-0.40508202523902864</v>
      </c>
      <c r="E22" s="7">
        <f t="shared" si="5"/>
        <v>4.2501347939883666E-2</v>
      </c>
      <c r="F22" s="7">
        <f t="shared" si="5"/>
        <v>0.16464619239748202</v>
      </c>
      <c r="G22" s="7">
        <f t="shared" si="5"/>
        <v>9.3886661931918983E-2</v>
      </c>
      <c r="H22" s="7">
        <f t="shared" si="5"/>
        <v>0.12702657438025181</v>
      </c>
    </row>
    <row r="23" spans="2:8" ht="13.5" x14ac:dyDescent="0.25">
      <c r="B23" t="s">
        <v>50</v>
      </c>
      <c r="C23" s="7">
        <f t="shared" ref="C23:H23" si="6">C20/C6</f>
        <v>0.57094753356639871</v>
      </c>
      <c r="D23" s="7">
        <f t="shared" si="6"/>
        <v>0.4818043093058893</v>
      </c>
      <c r="E23" s="7">
        <f t="shared" si="6"/>
        <v>0.30507503829577548</v>
      </c>
      <c r="F23" s="7">
        <f t="shared" si="6"/>
        <v>0.22875607969331277</v>
      </c>
      <c r="G23" s="7">
        <f t="shared" si="6"/>
        <v>0.24705338382517755</v>
      </c>
      <c r="H23" s="7">
        <f t="shared" si="6"/>
        <v>0.24590647676374153</v>
      </c>
    </row>
    <row r="25" spans="2:8" ht="14" x14ac:dyDescent="0.3">
      <c r="B25" s="3" t="s">
        <v>51</v>
      </c>
    </row>
    <row r="26" spans="2:8" ht="14" x14ac:dyDescent="0.3">
      <c r="B26" s="4" t="s">
        <v>52</v>
      </c>
      <c r="C26" s="5">
        <v>719941</v>
      </c>
      <c r="D26" s="5">
        <v>619460</v>
      </c>
      <c r="E26" s="5">
        <v>710526</v>
      </c>
      <c r="F26" s="5">
        <v>821720</v>
      </c>
      <c r="G26" s="5">
        <v>259468</v>
      </c>
      <c r="H26" s="5">
        <v>345693</v>
      </c>
    </row>
    <row r="27" spans="2:8" ht="14" x14ac:dyDescent="0.3">
      <c r="B27" s="4" t="s">
        <v>53</v>
      </c>
      <c r="C27" s="5">
        <v>1361815</v>
      </c>
      <c r="D27" s="5">
        <v>1445911</v>
      </c>
      <c r="E27" s="5">
        <v>1318224</v>
      </c>
      <c r="F27" s="5">
        <v>1284721</v>
      </c>
      <c r="G27" s="5">
        <v>1308098</v>
      </c>
      <c r="H27" s="5">
        <v>1278285</v>
      </c>
    </row>
    <row r="28" spans="2:8" ht="14" x14ac:dyDescent="0.3">
      <c r="B28" s="4" t="s">
        <v>54</v>
      </c>
      <c r="C28" s="5">
        <f t="shared" ref="C28:H28" si="7">C27-C26</f>
        <v>641874</v>
      </c>
      <c r="D28" s="5">
        <f t="shared" si="7"/>
        <v>826451</v>
      </c>
      <c r="E28" s="5">
        <f t="shared" si="7"/>
        <v>607698</v>
      </c>
      <c r="F28" s="5">
        <f t="shared" si="7"/>
        <v>463001</v>
      </c>
      <c r="G28" s="5">
        <f t="shared" si="7"/>
        <v>1048630</v>
      </c>
      <c r="H28" s="5">
        <f t="shared" si="7"/>
        <v>932592</v>
      </c>
    </row>
    <row r="30" spans="2:8" ht="14" x14ac:dyDescent="0.3">
      <c r="B30" s="1" t="s">
        <v>55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56</v>
      </c>
    </row>
    <row r="4" spans="2:7" ht="14" x14ac:dyDescent="0.3">
      <c r="B4" s="8" t="s">
        <v>57</v>
      </c>
      <c r="C4" s="9"/>
      <c r="D4" s="9"/>
      <c r="E4" s="9"/>
      <c r="F4" s="9"/>
      <c r="G4" s="9"/>
    </row>
    <row r="5" spans="2:7" ht="14" x14ac:dyDescent="0.3">
      <c r="B5" s="4" t="s">
        <v>58</v>
      </c>
      <c r="C5" s="7">
        <v>0.107</v>
      </c>
    </row>
    <row r="6" spans="2:7" ht="14" x14ac:dyDescent="0.3">
      <c r="B6" s="4" t="s">
        <v>59</v>
      </c>
      <c r="C6" s="7">
        <v>0.25</v>
      </c>
    </row>
    <row r="7" spans="2:7" ht="14" x14ac:dyDescent="0.3">
      <c r="B7" s="4" t="s">
        <v>60</v>
      </c>
      <c r="C7" s="7">
        <v>2.9700000000000001E-2</v>
      </c>
    </row>
    <row r="8" spans="2:7" ht="14" x14ac:dyDescent="0.3">
      <c r="B8" s="4" t="s">
        <v>61</v>
      </c>
      <c r="C8" s="12">
        <v>0.52080000000000004</v>
      </c>
    </row>
    <row r="9" spans="2:7" ht="14" x14ac:dyDescent="0.3">
      <c r="B9" s="4" t="s">
        <v>62</v>
      </c>
      <c r="C9" s="7">
        <v>6.5000000000000002E-2</v>
      </c>
    </row>
    <row r="10" spans="2:7" ht="14" x14ac:dyDescent="0.3">
      <c r="B10" s="4" t="s">
        <v>63</v>
      </c>
      <c r="C10" s="7">
        <v>0.01</v>
      </c>
    </row>
    <row r="11" spans="2:7" ht="14" x14ac:dyDescent="0.3">
      <c r="B11" s="4" t="s">
        <v>64</v>
      </c>
      <c r="C11" s="7">
        <v>1.37E-2</v>
      </c>
    </row>
    <row r="12" spans="2:7" ht="14" x14ac:dyDescent="0.3">
      <c r="B12" s="4" t="s">
        <v>65</v>
      </c>
      <c r="C12" s="13">
        <v>0.25469999999999998</v>
      </c>
    </row>
    <row r="13" spans="2:7" ht="14" x14ac:dyDescent="0.3">
      <c r="B13" s="4" t="s">
        <v>66</v>
      </c>
      <c r="C13" s="7">
        <v>0.01</v>
      </c>
    </row>
    <row r="14" spans="2:7" ht="14" x14ac:dyDescent="0.3">
      <c r="B14" s="4" t="s">
        <v>67</v>
      </c>
      <c r="C14" s="14">
        <v>10.9</v>
      </c>
    </row>
    <row r="15" spans="2:7" ht="14" x14ac:dyDescent="0.3">
      <c r="B15" s="4" t="s">
        <v>68</v>
      </c>
      <c r="C15" s="15">
        <v>949380107</v>
      </c>
    </row>
    <row r="16" spans="2:7" ht="14" x14ac:dyDescent="0.3">
      <c r="B16" s="4" t="s">
        <v>69</v>
      </c>
      <c r="C16" s="5">
        <v>932592</v>
      </c>
    </row>
    <row r="17" spans="2:7" ht="14" x14ac:dyDescent="0.3">
      <c r="B17" s="4" t="s">
        <v>70</v>
      </c>
      <c r="C17" s="5">
        <v>2006218</v>
      </c>
    </row>
    <row r="18" spans="2:7" ht="14" x14ac:dyDescent="0.3">
      <c r="B18" s="4" t="s">
        <v>71</v>
      </c>
      <c r="C18" s="7">
        <v>9.8000000000000004E-2</v>
      </c>
    </row>
    <row r="19" spans="2:7" ht="14" x14ac:dyDescent="0.3">
      <c r="B19" s="4" t="s">
        <v>72</v>
      </c>
      <c r="C19" s="12">
        <v>1</v>
      </c>
    </row>
    <row r="20" spans="2:7" ht="14" x14ac:dyDescent="0.3">
      <c r="B20" s="4" t="s">
        <v>73</v>
      </c>
      <c r="C20" s="5">
        <v>2006218</v>
      </c>
    </row>
    <row r="22" spans="2:7" ht="14" x14ac:dyDescent="0.3">
      <c r="B22" s="8" t="s">
        <v>74</v>
      </c>
      <c r="C22" s="9"/>
      <c r="D22" s="9"/>
      <c r="E22" s="9"/>
      <c r="F22" s="9"/>
      <c r="G22" s="9"/>
    </row>
    <row r="23" spans="2:7" ht="14" x14ac:dyDescent="0.3">
      <c r="B23" s="4" t="s">
        <v>75</v>
      </c>
      <c r="C23" s="16">
        <f>C7+C8*C9+C10</f>
        <v>7.3552000000000006E-2</v>
      </c>
    </row>
    <row r="24" spans="2:7" ht="14" x14ac:dyDescent="0.3">
      <c r="B24" s="4" t="s">
        <v>76</v>
      </c>
      <c r="C24" s="16">
        <f>1/(1+C12)</f>
        <v>0.79700326771339769</v>
      </c>
    </row>
    <row r="25" spans="2:7" ht="14" x14ac:dyDescent="0.3">
      <c r="B25" s="4" t="s">
        <v>77</v>
      </c>
      <c r="C25" s="16">
        <f>C12/(1+C12)</f>
        <v>0.20299673228660237</v>
      </c>
    </row>
    <row r="26" spans="2:7" ht="14" x14ac:dyDescent="0.3">
      <c r="B26" s="4" t="s">
        <v>78</v>
      </c>
      <c r="C26" s="16">
        <f>C23*C24+C11*C25</f>
        <v>6.1402239579182283E-2</v>
      </c>
    </row>
    <row r="27" spans="2:7" ht="14" x14ac:dyDescent="0.3">
      <c r="B27" s="4" t="s">
        <v>79</v>
      </c>
      <c r="C27" s="17" t="s">
        <v>80</v>
      </c>
      <c r="D27" s="6">
        <f>MATCH(C27,B69:B73,0)</f>
        <v>1</v>
      </c>
    </row>
    <row r="28" spans="2:7" ht="14" x14ac:dyDescent="0.3">
      <c r="B28" s="8" t="s">
        <v>81</v>
      </c>
      <c r="C28" s="9"/>
      <c r="D28" s="9"/>
      <c r="E28" s="9"/>
      <c r="F28" s="9"/>
      <c r="G28" s="9"/>
    </row>
    <row r="29" spans="2:7" ht="14" x14ac:dyDescent="0.3">
      <c r="C29" s="10" t="s">
        <v>82</v>
      </c>
      <c r="D29" s="10" t="s">
        <v>83</v>
      </c>
      <c r="E29" s="10" t="s">
        <v>84</v>
      </c>
      <c r="F29" s="10" t="s">
        <v>85</v>
      </c>
      <c r="G29" s="10" t="s">
        <v>86</v>
      </c>
    </row>
    <row r="30" spans="2:7" ht="14" x14ac:dyDescent="0.3">
      <c r="B30" s="4" t="s">
        <v>42</v>
      </c>
      <c r="C30" s="18">
        <f>CHOOSE($D$27,C69,C70,C71,C72,C73)</f>
        <v>0.03</v>
      </c>
      <c r="D30" s="18">
        <f>CHOOSE($D$27,D69,D70,D71,D72,D73)</f>
        <v>2.5000000000000001E-2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0.02</v>
      </c>
    </row>
    <row r="31" spans="2:7" ht="14" x14ac:dyDescent="0.3">
      <c r="B31" s="4" t="s">
        <v>87</v>
      </c>
      <c r="C31" s="18">
        <f>CHOOSE($D$27,C76,C77,C78,C79,C80)</f>
        <v>0.48199999999999998</v>
      </c>
      <c r="D31" s="18">
        <f>CHOOSE($D$27,D76,D77,D78,D79,D80)</f>
        <v>0.48399999999999999</v>
      </c>
      <c r="E31" s="18">
        <f>CHOOSE($D$27,E76,E77,E78,E79,E80)</f>
        <v>0.48699999999999999</v>
      </c>
      <c r="F31" s="18">
        <f>CHOOSE($D$27,F76,F77,F78,F79,F80)</f>
        <v>0.48899999999999999</v>
      </c>
      <c r="G31" s="18">
        <f>CHOOSE($D$27,G76,G77,G78,G79,G80)</f>
        <v>0.48899999999999999</v>
      </c>
    </row>
    <row r="32" spans="2:7" ht="14" x14ac:dyDescent="0.3">
      <c r="B32" s="4" t="s">
        <v>88</v>
      </c>
      <c r="C32" s="18">
        <f>CHOOSE($D$27,C83,C84,C85,C86,C87)</f>
        <v>0.104202</v>
      </c>
      <c r="D32" s="18">
        <f>CHOOSE($D$27,D83,D84,D85,D86,D87)</f>
        <v>0.102202</v>
      </c>
      <c r="E32" s="18">
        <f>CHOOSE($D$27,E83,E84,E85,E86,E87)</f>
        <v>9.9201999999999999E-2</v>
      </c>
      <c r="F32" s="18">
        <f>CHOOSE($D$27,F83,F84,F85,F86,F87)</f>
        <v>9.7201999999999997E-2</v>
      </c>
      <c r="G32" s="18">
        <f>CHOOSE($D$27,G83,G84,G85,G86,G87)</f>
        <v>9.7201999999999997E-2</v>
      </c>
    </row>
    <row r="33" spans="2:7" ht="14" x14ac:dyDescent="0.3">
      <c r="B33" s="4" t="s">
        <v>33</v>
      </c>
      <c r="C33" s="5">
        <f>C17*(1+C30)</f>
        <v>2066404.54</v>
      </c>
      <c r="D33" s="5">
        <f>C33*(1+D30)</f>
        <v>2118064.6535</v>
      </c>
      <c r="E33" s="5">
        <f>D33*(1+E30)</f>
        <v>2160425.9465700001</v>
      </c>
      <c r="F33" s="5">
        <f>E33*(1+F30)</f>
        <v>2203634.4655014002</v>
      </c>
      <c r="G33" s="5">
        <f>F33*(1+G30)</f>
        <v>2247707.1548114284</v>
      </c>
    </row>
    <row r="34" spans="2:7" ht="14" x14ac:dyDescent="0.3">
      <c r="B34" s="4" t="s">
        <v>34</v>
      </c>
      <c r="C34" s="5">
        <f>C33*C31</f>
        <v>996006.98827999993</v>
      </c>
      <c r="D34" s="5">
        <f>D33*D31</f>
        <v>1025143.2922939999</v>
      </c>
      <c r="E34" s="5">
        <f>E33*E31</f>
        <v>1052127.4359795901</v>
      </c>
      <c r="F34" s="5">
        <f>F33*F31</f>
        <v>1077577.2536301846</v>
      </c>
      <c r="G34" s="5">
        <f>G33*G31</f>
        <v>1099128.7987027885</v>
      </c>
    </row>
    <row r="35" spans="2:7" ht="14" x14ac:dyDescent="0.3">
      <c r="B35" s="4" t="s">
        <v>35</v>
      </c>
      <c r="C35" s="19">
        <f>C33-C34</f>
        <v>1070397.5517200001</v>
      </c>
      <c r="D35" s="19">
        <f>D33-D34</f>
        <v>1092921.3612060002</v>
      </c>
      <c r="E35" s="19">
        <f>E33-E34</f>
        <v>1108298.5105904101</v>
      </c>
      <c r="F35" s="19">
        <f>F33-F34</f>
        <v>1126057.2118712156</v>
      </c>
      <c r="G35" s="19">
        <f>G33-G34</f>
        <v>1148578.3561086399</v>
      </c>
    </row>
    <row r="36" spans="2:7" ht="14" x14ac:dyDescent="0.3">
      <c r="B36" s="4" t="s">
        <v>36</v>
      </c>
      <c r="C36" s="7">
        <f>C35/C33</f>
        <v>0.51800000000000002</v>
      </c>
      <c r="D36" s="7">
        <f>D35/D33</f>
        <v>0.51600000000000013</v>
      </c>
      <c r="E36" s="7">
        <f>E35/E33</f>
        <v>0.51300000000000001</v>
      </c>
      <c r="F36" s="7">
        <f>F35/F33</f>
        <v>0.51100000000000001</v>
      </c>
      <c r="G36" s="7">
        <f>G35/G33</f>
        <v>0.51100000000000001</v>
      </c>
    </row>
    <row r="37" spans="2:7" ht="14" x14ac:dyDescent="0.3">
      <c r="B37" s="4" t="s">
        <v>89</v>
      </c>
      <c r="C37" s="5">
        <f>C33*C32</f>
        <v>215323.48587708001</v>
      </c>
      <c r="D37" s="5">
        <f>D33*D32</f>
        <v>216470.443717007</v>
      </c>
      <c r="E37" s="5">
        <f>E33*E32</f>
        <v>214318.57475163715</v>
      </c>
      <c r="F37" s="5">
        <f>F33*F32</f>
        <v>214197.6773156671</v>
      </c>
      <c r="G37" s="5">
        <f>G33*G32</f>
        <v>218481.63086198046</v>
      </c>
    </row>
    <row r="38" spans="2:7" ht="14" x14ac:dyDescent="0.3">
      <c r="B38" s="4" t="s">
        <v>90</v>
      </c>
      <c r="C38" s="7">
        <f>(C35-C37)/C33</f>
        <v>0.41379800000000005</v>
      </c>
      <c r="D38" s="7">
        <f>(D35-D37)/D33</f>
        <v>0.41379800000000005</v>
      </c>
      <c r="E38" s="7">
        <f>(E35-E37)/E33</f>
        <v>0.413798</v>
      </c>
      <c r="F38" s="7">
        <f>(F35-F37)/F33</f>
        <v>0.41379800000000005</v>
      </c>
      <c r="G38" s="7">
        <f>(G35-G37)/G33</f>
        <v>0.41379799999999994</v>
      </c>
    </row>
    <row r="39" spans="2:7" ht="14" x14ac:dyDescent="0.3">
      <c r="B39" s="4" t="s">
        <v>91</v>
      </c>
      <c r="C39" s="19">
        <f>C35-C37</f>
        <v>855074.0658429201</v>
      </c>
      <c r="D39" s="19">
        <f>D35-D37</f>
        <v>876450.91748899315</v>
      </c>
      <c r="E39" s="19">
        <f>E35-E37</f>
        <v>893979.93583877292</v>
      </c>
      <c r="F39" s="19">
        <f>F35-F37</f>
        <v>911859.53455554857</v>
      </c>
      <c r="G39" s="19">
        <f>G35-G37</f>
        <v>930096.72524665936</v>
      </c>
    </row>
    <row r="40" spans="2:7" ht="14" x14ac:dyDescent="0.3">
      <c r="B40" s="4" t="s">
        <v>92</v>
      </c>
      <c r="C40" s="5">
        <f>MAX(0,C39*C6)</f>
        <v>213768.51646073002</v>
      </c>
      <c r="D40" s="5">
        <f>MAX(0,D39*C6)</f>
        <v>219112.72937224829</v>
      </c>
      <c r="E40" s="5">
        <f>MAX(0,E39*C6)</f>
        <v>223494.98395969323</v>
      </c>
      <c r="F40" s="5">
        <f>MAX(0,F39*C6)</f>
        <v>227964.88363888714</v>
      </c>
      <c r="G40" s="5">
        <f>MAX(0,G39*C6)</f>
        <v>232524.18131166484</v>
      </c>
    </row>
    <row r="41" spans="2:7" ht="14" x14ac:dyDescent="0.3">
      <c r="B41" s="4" t="s">
        <v>93</v>
      </c>
      <c r="C41" s="19">
        <f>C39-C40</f>
        <v>641305.5493821901</v>
      </c>
      <c r="D41" s="19">
        <f>D39-D40</f>
        <v>657338.18811674486</v>
      </c>
      <c r="E41" s="19">
        <f>E39-E40</f>
        <v>670484.95187907969</v>
      </c>
      <c r="F41" s="19">
        <f>F39-F40</f>
        <v>683894.65091666137</v>
      </c>
      <c r="G41" s="19">
        <f>G39-G40</f>
        <v>697572.54393499449</v>
      </c>
    </row>
    <row r="42" spans="2:7" ht="14" x14ac:dyDescent="0.3">
      <c r="B42" s="4" t="s">
        <v>94</v>
      </c>
      <c r="C42" s="5">
        <f>C33*C18</f>
        <v>202507.64492000002</v>
      </c>
      <c r="D42" s="5">
        <f>D33*C18</f>
        <v>207570.33604300002</v>
      </c>
      <c r="E42" s="5">
        <f>E33*C18</f>
        <v>211721.74276386003</v>
      </c>
      <c r="F42" s="5">
        <f>F33*C18</f>
        <v>215956.17761913722</v>
      </c>
      <c r="G42" s="5">
        <f>G33*C18</f>
        <v>220275.30117152</v>
      </c>
    </row>
    <row r="43" spans="2:7" ht="14" x14ac:dyDescent="0.3">
      <c r="B43" s="4" t="s">
        <v>95</v>
      </c>
      <c r="C43" s="5">
        <v>520000</v>
      </c>
      <c r="D43" s="5">
        <v>500000</v>
      </c>
      <c r="E43" s="5">
        <v>450000</v>
      </c>
      <c r="F43" s="5">
        <v>350000</v>
      </c>
      <c r="G43" s="5">
        <v>240000</v>
      </c>
    </row>
    <row r="44" spans="2:7" ht="14" x14ac:dyDescent="0.3">
      <c r="B44" s="4" t="s">
        <v>96</v>
      </c>
      <c r="C44" s="5">
        <f>'NWC Schedule'!D19</f>
        <v>138812.566669589</v>
      </c>
      <c r="D44" s="5">
        <f>'NWC Schedule'!E19</f>
        <v>4064.8724923836126</v>
      </c>
      <c r="E44" s="5">
        <f>'NWC Schedule'!F19</f>
        <v>3163.7502714745351</v>
      </c>
      <c r="F44" s="5">
        <f>'NWC Schedule'!G19</f>
        <v>3340.6696006687416</v>
      </c>
      <c r="G44" s="5">
        <f>'NWC Schedule'!H19</f>
        <v>3648.9771806823846</v>
      </c>
    </row>
    <row r="45" spans="2:7" ht="14" x14ac:dyDescent="0.3">
      <c r="B45" s="4" t="s">
        <v>97</v>
      </c>
      <c r="C45" s="20">
        <f>C41+C42-C43-C44</f>
        <v>185000.6276326011</v>
      </c>
      <c r="D45" s="20">
        <f>D41+D42-D43-D44</f>
        <v>360843.65166736126</v>
      </c>
      <c r="E45" s="20">
        <f>E41+E42-E43-E44</f>
        <v>429042.94437146519</v>
      </c>
      <c r="F45" s="20">
        <f>F41+F42-F43-F44</f>
        <v>546510.15893512988</v>
      </c>
      <c r="G45" s="20">
        <f>G41+G42-G43-G44</f>
        <v>674198.86792583216</v>
      </c>
    </row>
    <row r="46" spans="2:7" ht="14" x14ac:dyDescent="0.3">
      <c r="B46" s="4" t="s">
        <v>98</v>
      </c>
      <c r="C46" s="21">
        <f>1/(1+C26)^(C19+0)</f>
        <v>0.94214988692361668</v>
      </c>
      <c r="D46" s="21">
        <f>1/(1+C26)^(C19+1)</f>
        <v>0.88764640943018369</v>
      </c>
      <c r="E46" s="21">
        <f>1/(1+C26)^(C19+2)</f>
        <v>0.83629596427280184</v>
      </c>
      <c r="F46" s="21">
        <f>1/(1+C26)^(C19+3)</f>
        <v>0.78791614817429734</v>
      </c>
      <c r="G46" s="21">
        <f>1/(1+C26)^(C19+4)</f>
        <v>0.74233510990770579</v>
      </c>
    </row>
    <row r="47" spans="2:7" ht="14" x14ac:dyDescent="0.3">
      <c r="B47" s="4" t="s">
        <v>99</v>
      </c>
      <c r="C47" s="19">
        <f>C45*C46</f>
        <v>174298.32040485324</v>
      </c>
      <c r="D47" s="19">
        <f>D45*D46</f>
        <v>320301.57176820916</v>
      </c>
      <c r="E47" s="19">
        <f>E45*E46</f>
        <v>358806.88287757657</v>
      </c>
      <c r="F47" s="19">
        <f>F45*F46</f>
        <v>430604.17936629057</v>
      </c>
      <c r="G47" s="19">
        <f>G45*G46</f>
        <v>500481.49072137347</v>
      </c>
    </row>
    <row r="49" spans="2:7" ht="14" x14ac:dyDescent="0.3">
      <c r="B49" s="22" t="s">
        <v>100</v>
      </c>
      <c r="C49" s="23"/>
      <c r="D49" s="23"/>
      <c r="E49" s="23"/>
      <c r="F49" s="23"/>
      <c r="G49" s="23"/>
    </row>
    <row r="50" spans="2:7" ht="14" x14ac:dyDescent="0.3">
      <c r="B50" s="4" t="s">
        <v>101</v>
      </c>
      <c r="C50" s="5">
        <f>SUM(C47:G47)</f>
        <v>1784492.4451383031</v>
      </c>
    </row>
    <row r="51" spans="2:7" ht="14" x14ac:dyDescent="0.3">
      <c r="B51" s="4" t="s">
        <v>102</v>
      </c>
      <c r="C51" s="5">
        <f>G45*(1+C13)/(C26-C13)</f>
        <v>13247299.381890533</v>
      </c>
    </row>
    <row r="52" spans="2:7" ht="14" x14ac:dyDescent="0.3">
      <c r="B52" s="4" t="s">
        <v>103</v>
      </c>
      <c r="C52" s="5">
        <f>C51*G46</f>
        <v>9833935.4426359925</v>
      </c>
    </row>
    <row r="53" spans="2:7" ht="14" x14ac:dyDescent="0.3">
      <c r="B53" s="4" t="s">
        <v>104</v>
      </c>
      <c r="C53" s="5">
        <f>C50+C52</f>
        <v>11618427.887774296</v>
      </c>
    </row>
    <row r="54" spans="2:7" ht="14" x14ac:dyDescent="0.3">
      <c r="B54" s="4" t="s">
        <v>105</v>
      </c>
      <c r="C54" s="5">
        <f>C53-C16</f>
        <v>10685835.887774296</v>
      </c>
    </row>
    <row r="55" spans="2:7" ht="14" x14ac:dyDescent="0.3">
      <c r="B55" s="4" t="s">
        <v>106</v>
      </c>
      <c r="C55" s="24">
        <f>ROUND(C54*1000000/C15,0)</f>
        <v>11256</v>
      </c>
    </row>
    <row r="57" spans="2:7" ht="14" x14ac:dyDescent="0.3">
      <c r="B57" s="22" t="s">
        <v>107</v>
      </c>
      <c r="C57" s="23"/>
      <c r="D57" s="23"/>
      <c r="E57" s="23"/>
      <c r="F57" s="23"/>
      <c r="G57" s="23"/>
    </row>
    <row r="58" spans="2:7" ht="14" x14ac:dyDescent="0.3">
      <c r="B58" s="4" t="s">
        <v>101</v>
      </c>
      <c r="C58" s="5">
        <f>C50</f>
        <v>1784492.4451383031</v>
      </c>
    </row>
    <row r="59" spans="2:7" ht="14" x14ac:dyDescent="0.3">
      <c r="B59" s="4" t="s">
        <v>108</v>
      </c>
      <c r="C59" s="5">
        <f>G39+G42</f>
        <v>1150372.0264181793</v>
      </c>
    </row>
    <row r="60" spans="2:7" ht="14" x14ac:dyDescent="0.3">
      <c r="B60" s="4" t="s">
        <v>109</v>
      </c>
      <c r="C60" s="5">
        <f>C59*C14</f>
        <v>12539055.087958155</v>
      </c>
    </row>
    <row r="61" spans="2:7" ht="14" x14ac:dyDescent="0.3">
      <c r="B61" s="4" t="s">
        <v>103</v>
      </c>
      <c r="C61" s="5">
        <f>C60*G46</f>
        <v>9308180.8368581943</v>
      </c>
    </row>
    <row r="62" spans="2:7" ht="14" x14ac:dyDescent="0.3">
      <c r="B62" s="4" t="s">
        <v>104</v>
      </c>
      <c r="C62" s="5">
        <f>C58+C61</f>
        <v>11092673.281996498</v>
      </c>
    </row>
    <row r="63" spans="2:7" ht="14" x14ac:dyDescent="0.3">
      <c r="B63" s="4" t="s">
        <v>105</v>
      </c>
      <c r="C63" s="5">
        <f>C62-C16</f>
        <v>10160081.281996498</v>
      </c>
    </row>
    <row r="64" spans="2:7" ht="14" x14ac:dyDescent="0.3">
      <c r="B64" s="4" t="s">
        <v>110</v>
      </c>
      <c r="C64" s="24">
        <f>ROUND(C63*1000000/C15,0)</f>
        <v>10702</v>
      </c>
    </row>
    <row r="66" spans="2:7" ht="14" x14ac:dyDescent="0.3">
      <c r="B66" s="22" t="s">
        <v>111</v>
      </c>
      <c r="C66" s="23"/>
      <c r="D66" s="23"/>
      <c r="E66" s="23"/>
      <c r="F66" s="23"/>
      <c r="G66" s="23"/>
    </row>
    <row r="67" spans="2:7" ht="14" x14ac:dyDescent="0.3">
      <c r="C67" s="25" t="s">
        <v>112</v>
      </c>
      <c r="D67" s="25" t="s">
        <v>113</v>
      </c>
      <c r="E67" s="25" t="s">
        <v>114</v>
      </c>
      <c r="F67" s="25" t="s">
        <v>115</v>
      </c>
      <c r="G67" s="25" t="s">
        <v>116</v>
      </c>
    </row>
    <row r="68" spans="2:7" ht="14" x14ac:dyDescent="0.3">
      <c r="B68" s="3" t="s">
        <v>42</v>
      </c>
    </row>
    <row r="69" spans="2:7" ht="14" x14ac:dyDescent="0.3">
      <c r="B69" s="4" t="s">
        <v>80</v>
      </c>
      <c r="C69" s="26">
        <v>0.03</v>
      </c>
      <c r="D69" s="26">
        <v>2.5000000000000001E-2</v>
      </c>
      <c r="E69" s="26">
        <v>0.02</v>
      </c>
      <c r="F69" s="26">
        <v>0.02</v>
      </c>
      <c r="G69" s="26">
        <v>0.02</v>
      </c>
    </row>
    <row r="70" spans="2:7" ht="14" x14ac:dyDescent="0.3">
      <c r="B70" s="4" t="s">
        <v>117</v>
      </c>
      <c r="C70" s="26">
        <v>0.04</v>
      </c>
      <c r="D70" s="26">
        <v>3.5000000000000003E-2</v>
      </c>
      <c r="E70" s="26">
        <v>0.03</v>
      </c>
      <c r="F70" s="26">
        <v>0.03</v>
      </c>
      <c r="G70" s="26">
        <v>0.03</v>
      </c>
    </row>
    <row r="71" spans="2:7" ht="14" x14ac:dyDescent="0.3">
      <c r="B71" s="4" t="s">
        <v>118</v>
      </c>
      <c r="C71" s="26">
        <v>0.03</v>
      </c>
      <c r="D71" s="26">
        <v>2.5000000000000001E-2</v>
      </c>
      <c r="E71" s="26">
        <v>0.02</v>
      </c>
      <c r="F71" s="26">
        <v>0.02</v>
      </c>
      <c r="G71" s="26">
        <v>0.02</v>
      </c>
    </row>
    <row r="72" spans="2:7" ht="14" x14ac:dyDescent="0.3">
      <c r="B72" s="4" t="s">
        <v>119</v>
      </c>
      <c r="C72" s="26">
        <v>0</v>
      </c>
      <c r="D72" s="26">
        <v>0</v>
      </c>
      <c r="E72" s="26">
        <v>5.0000000000000001E-3</v>
      </c>
      <c r="F72" s="26">
        <v>5.0000000000000001E-3</v>
      </c>
      <c r="G72" s="26">
        <v>5.0000000000000001E-3</v>
      </c>
    </row>
    <row r="73" spans="2:7" ht="14" x14ac:dyDescent="0.3">
      <c r="B73" s="4" t="s">
        <v>120</v>
      </c>
      <c r="C73" s="26">
        <v>-0.08</v>
      </c>
      <c r="D73" s="26">
        <v>-0.01</v>
      </c>
      <c r="E73" s="26">
        <v>5.0000000000000001E-3</v>
      </c>
      <c r="F73" s="26">
        <v>0.01</v>
      </c>
      <c r="G73" s="26">
        <v>1.4999999999999999E-2</v>
      </c>
    </row>
    <row r="75" spans="2:7" ht="14" x14ac:dyDescent="0.3">
      <c r="B75" s="3" t="s">
        <v>87</v>
      </c>
    </row>
    <row r="76" spans="2:7" ht="14" x14ac:dyDescent="0.3">
      <c r="B76" s="4" t="s">
        <v>80</v>
      </c>
      <c r="C76" s="26">
        <v>0.48199999999999998</v>
      </c>
      <c r="D76" s="26">
        <v>0.48399999999999999</v>
      </c>
      <c r="E76" s="26">
        <v>0.48699999999999999</v>
      </c>
      <c r="F76" s="26">
        <v>0.48899999999999999</v>
      </c>
      <c r="G76" s="26">
        <v>0.48899999999999999</v>
      </c>
    </row>
    <row r="77" spans="2:7" ht="14" x14ac:dyDescent="0.3">
      <c r="B77" s="4" t="s">
        <v>117</v>
      </c>
      <c r="C77" s="26">
        <v>0.47799999999999998</v>
      </c>
      <c r="D77" s="26">
        <v>0.47499999999999998</v>
      </c>
      <c r="E77" s="26">
        <v>0.47199999999999998</v>
      </c>
      <c r="F77" s="26">
        <v>0.47</v>
      </c>
      <c r="G77" s="26">
        <v>0.47</v>
      </c>
    </row>
    <row r="78" spans="2:7" ht="14" x14ac:dyDescent="0.3">
      <c r="B78" s="4" t="s">
        <v>118</v>
      </c>
      <c r="C78" s="26">
        <v>0.48199999999999998</v>
      </c>
      <c r="D78" s="26">
        <v>0.48399999999999999</v>
      </c>
      <c r="E78" s="26">
        <v>0.48699999999999999</v>
      </c>
      <c r="F78" s="26">
        <v>0.48899999999999999</v>
      </c>
      <c r="G78" s="26">
        <v>0.48899999999999999</v>
      </c>
    </row>
    <row r="79" spans="2:7" ht="14" x14ac:dyDescent="0.3">
      <c r="B79" s="4" t="s">
        <v>119</v>
      </c>
      <c r="C79" s="26">
        <v>0.498</v>
      </c>
      <c r="D79" s="26">
        <v>0.51800000000000002</v>
      </c>
      <c r="E79" s="26">
        <v>0.53800000000000003</v>
      </c>
      <c r="F79" s="26">
        <v>0.55300000000000005</v>
      </c>
      <c r="G79" s="26">
        <v>0.55500000000000005</v>
      </c>
    </row>
    <row r="80" spans="2:7" ht="14" x14ac:dyDescent="0.3">
      <c r="B80" s="4" t="s">
        <v>120</v>
      </c>
      <c r="C80" s="26">
        <v>0.57999999999999996</v>
      </c>
      <c r="D80" s="26">
        <v>0.60499999999999998</v>
      </c>
      <c r="E80" s="26">
        <v>0.61299999999999999</v>
      </c>
      <c r="F80" s="26">
        <v>0.61299999999999999</v>
      </c>
      <c r="G80" s="26">
        <v>0.61</v>
      </c>
    </row>
    <row r="82" spans="2:7" ht="14" x14ac:dyDescent="0.3">
      <c r="B82" s="3" t="s">
        <v>88</v>
      </c>
    </row>
    <row r="83" spans="2:7" ht="14" x14ac:dyDescent="0.3">
      <c r="B83" s="4" t="s">
        <v>80</v>
      </c>
      <c r="C83" s="26">
        <v>0.104202</v>
      </c>
      <c r="D83" s="26">
        <v>0.102202</v>
      </c>
      <c r="E83" s="26">
        <v>9.9201999999999999E-2</v>
      </c>
      <c r="F83" s="26">
        <v>9.7201999999999997E-2</v>
      </c>
      <c r="G83" s="26">
        <v>9.7201999999999997E-2</v>
      </c>
    </row>
    <row r="84" spans="2:7" ht="14" x14ac:dyDescent="0.3">
      <c r="B84" s="4" t="s">
        <v>117</v>
      </c>
      <c r="C84" s="26">
        <v>0.106</v>
      </c>
      <c r="D84" s="26">
        <v>0.106</v>
      </c>
      <c r="E84" s="26">
        <v>0.106</v>
      </c>
      <c r="F84" s="26">
        <v>0.106</v>
      </c>
      <c r="G84" s="26">
        <v>0.106</v>
      </c>
    </row>
    <row r="85" spans="2:7" ht="14" x14ac:dyDescent="0.3">
      <c r="B85" s="4" t="s">
        <v>118</v>
      </c>
      <c r="C85" s="26">
        <v>0.104202</v>
      </c>
      <c r="D85" s="26">
        <v>0.102202</v>
      </c>
      <c r="E85" s="26">
        <v>9.9201999999999999E-2</v>
      </c>
      <c r="F85" s="26">
        <v>9.7201999999999997E-2</v>
      </c>
      <c r="G85" s="26">
        <v>9.7201999999999997E-2</v>
      </c>
    </row>
    <row r="86" spans="2:7" ht="14" x14ac:dyDescent="0.3">
      <c r="B86" s="4" t="s">
        <v>119</v>
      </c>
      <c r="C86" s="26">
        <v>0.112</v>
      </c>
      <c r="D86" s="26">
        <v>0.112</v>
      </c>
      <c r="E86" s="26">
        <v>0.112</v>
      </c>
      <c r="F86" s="26">
        <v>0.112</v>
      </c>
      <c r="G86" s="26">
        <v>0.112</v>
      </c>
    </row>
    <row r="87" spans="2:7" ht="14" x14ac:dyDescent="0.3">
      <c r="B87" s="4" t="s">
        <v>120</v>
      </c>
      <c r="C87" s="26">
        <v>0.12</v>
      </c>
      <c r="D87" s="26">
        <v>0.12</v>
      </c>
      <c r="E87" s="26">
        <v>0.12</v>
      </c>
      <c r="F87" s="26">
        <v>0.12</v>
      </c>
      <c r="G87" s="26">
        <v>0.12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121</v>
      </c>
    </row>
    <row r="3" spans="2:9" ht="14" x14ac:dyDescent="0.3">
      <c r="B3" s="1" t="s">
        <v>122</v>
      </c>
    </row>
    <row r="5" spans="2:9" ht="14" x14ac:dyDescent="0.3">
      <c r="B5" s="8" t="s">
        <v>123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124</v>
      </c>
      <c r="C6" s="15">
        <f>'Executive Summary'!C9</f>
        <v>3857</v>
      </c>
    </row>
    <row r="7" spans="2:9" ht="14" x14ac:dyDescent="0.3">
      <c r="B7" s="4" t="s">
        <v>68</v>
      </c>
      <c r="C7" s="15">
        <f>'DCF Model'!C15</f>
        <v>949380107</v>
      </c>
    </row>
    <row r="8" spans="2:9" ht="14" x14ac:dyDescent="0.3">
      <c r="B8" s="4" t="s">
        <v>125</v>
      </c>
      <c r="C8" s="5">
        <f>C6*C7/1000000</f>
        <v>3661759.0726990001</v>
      </c>
    </row>
    <row r="9" spans="2:9" ht="14" x14ac:dyDescent="0.3">
      <c r="B9" s="4" t="s">
        <v>69</v>
      </c>
      <c r="C9" s="5">
        <f>'DCF Model'!C16</f>
        <v>932592</v>
      </c>
    </row>
    <row r="10" spans="2:9" ht="14" x14ac:dyDescent="0.3">
      <c r="B10" s="4" t="s">
        <v>126</v>
      </c>
      <c r="C10" s="5">
        <f>C8+C9</f>
        <v>4594351.0726990001</v>
      </c>
    </row>
    <row r="11" spans="2:9" ht="14" x14ac:dyDescent="0.3">
      <c r="B11" s="4" t="s">
        <v>127</v>
      </c>
      <c r="C11" s="16">
        <f>'DCF Model'!C26</f>
        <v>6.1402239579182283E-2</v>
      </c>
    </row>
    <row r="12" spans="2:9" ht="14" x14ac:dyDescent="0.3">
      <c r="B12" s="4" t="s">
        <v>128</v>
      </c>
      <c r="C12" s="16">
        <f>'DCF Model'!C13</f>
        <v>0.01</v>
      </c>
    </row>
    <row r="13" spans="2:9" ht="14" x14ac:dyDescent="0.3">
      <c r="B13" s="4" t="s">
        <v>129</v>
      </c>
      <c r="C13" s="16">
        <f>'DCF Model'!C6</f>
        <v>0.25</v>
      </c>
    </row>
    <row r="14" spans="2:9" ht="14" x14ac:dyDescent="0.3">
      <c r="B14" s="4" t="s">
        <v>130</v>
      </c>
      <c r="C14" s="27">
        <v>830167</v>
      </c>
    </row>
    <row r="15" spans="2:9" ht="14" x14ac:dyDescent="0.3">
      <c r="B15" s="4" t="s">
        <v>131</v>
      </c>
      <c r="C15" s="27">
        <v>830167</v>
      </c>
    </row>
    <row r="16" spans="2:9" ht="14" x14ac:dyDescent="0.3">
      <c r="B16" s="4" t="s">
        <v>132</v>
      </c>
      <c r="C16" s="5">
        <f>'DCF Model'!G33</f>
        <v>2247707.1548114284</v>
      </c>
    </row>
    <row r="17" spans="2:9" ht="14" x14ac:dyDescent="0.3">
      <c r="B17" s="4" t="s">
        <v>133</v>
      </c>
      <c r="C17" s="5">
        <f>'DCF Model'!C53</f>
        <v>11618427.887774296</v>
      </c>
    </row>
    <row r="18" spans="2:9" ht="14" x14ac:dyDescent="0.3">
      <c r="B18" s="4" t="s">
        <v>134</v>
      </c>
      <c r="C18" s="26">
        <v>0.41379700511110962</v>
      </c>
    </row>
    <row r="19" spans="2:9" ht="14" x14ac:dyDescent="0.3">
      <c r="B19" s="4" t="s">
        <v>135</v>
      </c>
      <c r="C19" s="5">
        <f>C10-C17</f>
        <v>-7024076.815075296</v>
      </c>
    </row>
    <row r="20" spans="2:9" ht="14" x14ac:dyDescent="0.3">
      <c r="B20" s="4" t="s">
        <v>136</v>
      </c>
      <c r="C20" s="15">
        <f>IFERROR(ROUND(C19*1000000/C7,0),"N/A")</f>
        <v>-7399</v>
      </c>
    </row>
    <row r="22" spans="2:9" ht="14" x14ac:dyDescent="0.3">
      <c r="B22" s="8" t="s">
        <v>137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138</v>
      </c>
    </row>
    <row r="24" spans="2:9" ht="14" x14ac:dyDescent="0.3">
      <c r="B24" s="4" t="s">
        <v>139</v>
      </c>
      <c r="C24" s="5">
        <f>C10*(C11-C12)</f>
        <v>236159.93454974712</v>
      </c>
    </row>
    <row r="25" spans="2:9" ht="14" x14ac:dyDescent="0.3">
      <c r="B25" s="4" t="s">
        <v>140</v>
      </c>
      <c r="C25" s="5">
        <f>IFERROR(C24/(1-C13),"N/A")</f>
        <v>314879.91273299616</v>
      </c>
    </row>
    <row r="26" spans="2:9" ht="13.5" x14ac:dyDescent="0.25">
      <c r="B26" s="6" t="s">
        <v>141</v>
      </c>
      <c r="C26" s="14">
        <f>IFERROR(C25/C15,"N/A")</f>
        <v>0.37929707243602329</v>
      </c>
    </row>
    <row r="27" spans="2:9" ht="13.5" x14ac:dyDescent="0.25">
      <c r="B27" s="6" t="s">
        <v>142</v>
      </c>
      <c r="C27" s="14">
        <f>IFERROR(C25/C14,"N/A")</f>
        <v>0.37929707243602329</v>
      </c>
    </row>
    <row r="28" spans="2:9" ht="13.5" x14ac:dyDescent="0.25">
      <c r="B28" s="6" t="s">
        <v>143</v>
      </c>
      <c r="C28" s="7">
        <f>IFERROR(C25/C16,"N/A")</f>
        <v>0.14008938489116168</v>
      </c>
    </row>
    <row r="29" spans="2:9" ht="13.5" x14ac:dyDescent="0.25">
      <c r="B29" s="6" t="s">
        <v>144</v>
      </c>
      <c r="C29" s="5">
        <f>IFERROR(C25/C18,"N/A")</f>
        <v>760952.61406845367</v>
      </c>
    </row>
    <row r="32" spans="2:9" ht="14" x14ac:dyDescent="0.3">
      <c r="B32" s="8" t="s">
        <v>145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146</v>
      </c>
    </row>
    <row r="34" spans="2:9" ht="14" x14ac:dyDescent="0.3">
      <c r="B34" s="1" t="s">
        <v>147</v>
      </c>
    </row>
    <row r="36" spans="2:9" ht="14" x14ac:dyDescent="0.3">
      <c r="B36" s="28" t="s">
        <v>148</v>
      </c>
      <c r="C36" s="28" t="s">
        <v>149</v>
      </c>
      <c r="D36" s="29">
        <f>'DCF Model'!C26-0.02</f>
        <v>4.1402239579182279E-2</v>
      </c>
      <c r="E36" s="29">
        <f>'DCF Model'!C26-0.01</f>
        <v>5.1402239579182281E-2</v>
      </c>
      <c r="F36" s="29">
        <f>'DCF Model'!C26</f>
        <v>6.1402239579182283E-2</v>
      </c>
      <c r="G36" s="29">
        <f>'DCF Model'!C26+0.01</f>
        <v>7.1402239579182278E-2</v>
      </c>
      <c r="H36" s="29">
        <f>'DCF Model'!C26+0.02</f>
        <v>8.1402239579182287E-2</v>
      </c>
    </row>
    <row r="37" spans="2:9" ht="14" x14ac:dyDescent="0.3">
      <c r="B37" s="3" t="s">
        <v>150</v>
      </c>
    </row>
    <row r="38" spans="2:9" ht="14" x14ac:dyDescent="0.3">
      <c r="B38" s="4" t="s">
        <v>151</v>
      </c>
      <c r="C38" s="30">
        <v>3</v>
      </c>
      <c r="D38" s="13">
        <f t="shared" ref="D38:H41" si="0">IFERROR((1-(1+D$36)^(-$C38))/D$36-(1+D$36)/(D$36^2*$C38)*(1-($C38+1)/(1+D$36)^$C38+$C38/(1+D$36)^($C38+1)),"N/A")</f>
        <v>0.94751853010475062</v>
      </c>
      <c r="E38" s="13">
        <f t="shared" si="0"/>
        <v>0.93561108677290239</v>
      </c>
      <c r="F38" s="13">
        <f t="shared" si="0"/>
        <v>0.92398206109243497</v>
      </c>
      <c r="G38" s="13">
        <f t="shared" si="0"/>
        <v>0.91262215798483837</v>
      </c>
      <c r="H38" s="13">
        <f t="shared" si="0"/>
        <v>0.90152248112804978</v>
      </c>
    </row>
    <row r="39" spans="2:9" ht="14" x14ac:dyDescent="0.3">
      <c r="B39" s="4" t="s">
        <v>152</v>
      </c>
      <c r="C39" s="30">
        <v>5</v>
      </c>
      <c r="D39" s="13">
        <f t="shared" si="0"/>
        <v>1.8456418030290243</v>
      </c>
      <c r="E39" s="13">
        <f t="shared" si="0"/>
        <v>1.8114744918705927</v>
      </c>
      <c r="F39" s="13">
        <f t="shared" si="0"/>
        <v>1.7784093705409938</v>
      </c>
      <c r="G39" s="13">
        <f t="shared" si="0"/>
        <v>1.7463980034718505</v>
      </c>
      <c r="H39" s="13">
        <f t="shared" si="0"/>
        <v>1.7153945952838576</v>
      </c>
    </row>
    <row r="40" spans="2:9" ht="14" x14ac:dyDescent="0.3">
      <c r="B40" s="4" t="s">
        <v>153</v>
      </c>
      <c r="C40" s="30">
        <v>7</v>
      </c>
      <c r="D40" s="13">
        <f t="shared" si="0"/>
        <v>2.6972628340274674</v>
      </c>
      <c r="E40" s="13">
        <f t="shared" si="0"/>
        <v>2.6318754814838656</v>
      </c>
      <c r="F40" s="13">
        <f t="shared" si="0"/>
        <v>2.5691606899972479</v>
      </c>
      <c r="G40" s="13">
        <f t="shared" si="0"/>
        <v>2.5089735292350808</v>
      </c>
      <c r="H40" s="13">
        <f t="shared" si="0"/>
        <v>2.4511786111501759</v>
      </c>
    </row>
    <row r="41" spans="2:9" ht="14" x14ac:dyDescent="0.3">
      <c r="B41" s="4" t="s">
        <v>154</v>
      </c>
      <c r="C41" s="30">
        <v>10</v>
      </c>
      <c r="D41" s="13">
        <f t="shared" si="0"/>
        <v>3.8933895741189026</v>
      </c>
      <c r="E41" s="13">
        <f t="shared" si="0"/>
        <v>3.7670592949038144</v>
      </c>
      <c r="F41" s="13">
        <f t="shared" si="0"/>
        <v>3.6474643023955151</v>
      </c>
      <c r="G41" s="13">
        <f t="shared" si="0"/>
        <v>3.5341388456660909</v>
      </c>
      <c r="H41" s="13">
        <f t="shared" si="0"/>
        <v>3.4266555173936362</v>
      </c>
    </row>
    <row r="42" spans="2:9" ht="14" x14ac:dyDescent="0.3">
      <c r="B42" s="3" t="s">
        <v>155</v>
      </c>
    </row>
    <row r="43" spans="2:9" ht="14" x14ac:dyDescent="0.3">
      <c r="B43" s="4" t="s">
        <v>151</v>
      </c>
      <c r="C43" s="30">
        <v>3</v>
      </c>
      <c r="D43" s="13">
        <f t="shared" ref="D43:H46" si="1">IFERROR((1+D$36)/(D$36^2*$C43)*(1-($C43+1)/(1+D$36)^$C43+$C43/(1+D$36)^($C43+1))+(1+$C$12)/((D$36-$C$12)*(1+D$36)^$C43),"N/A")</f>
        <v>30.297924305320667</v>
      </c>
      <c r="E43" s="13">
        <f t="shared" si="1"/>
        <v>22.769453787315278</v>
      </c>
      <c r="F43" s="13">
        <f t="shared" si="1"/>
        <v>18.174447211122541</v>
      </c>
      <c r="G43" s="13">
        <f t="shared" si="1"/>
        <v>15.079545305431459</v>
      </c>
      <c r="H43" s="13">
        <f t="shared" si="1"/>
        <v>12.854370670943474</v>
      </c>
    </row>
    <row r="44" spans="2:9" ht="14" x14ac:dyDescent="0.3">
      <c r="B44" s="4" t="s">
        <v>152</v>
      </c>
      <c r="C44" s="30">
        <v>5</v>
      </c>
      <c r="D44" s="13">
        <f t="shared" si="1"/>
        <v>28.847095343154365</v>
      </c>
      <c r="E44" s="13">
        <f t="shared" si="1"/>
        <v>21.488127222819742</v>
      </c>
      <c r="F44" s="13">
        <f t="shared" si="1"/>
        <v>17.004039095050743</v>
      </c>
      <c r="G44" s="13">
        <f t="shared" si="1"/>
        <v>13.989751737226142</v>
      </c>
      <c r="H44" s="13">
        <f t="shared" si="1"/>
        <v>11.827343752839823</v>
      </c>
    </row>
    <row r="45" spans="2:9" ht="14" x14ac:dyDescent="0.3">
      <c r="B45" s="4" t="s">
        <v>153</v>
      </c>
      <c r="C45" s="30">
        <v>7</v>
      </c>
      <c r="D45" s="13">
        <f t="shared" si="1"/>
        <v>27.485842041483188</v>
      </c>
      <c r="E45" s="13">
        <f t="shared" si="1"/>
        <v>20.300939511943099</v>
      </c>
      <c r="F45" s="13">
        <f t="shared" si="1"/>
        <v>15.932808547146516</v>
      </c>
      <c r="G45" s="13">
        <f t="shared" si="1"/>
        <v>13.004145366109036</v>
      </c>
      <c r="H45" s="13">
        <f t="shared" si="1"/>
        <v>10.90928746976347</v>
      </c>
    </row>
    <row r="46" spans="2:9" ht="14" x14ac:dyDescent="0.3">
      <c r="B46" s="4" t="s">
        <v>154</v>
      </c>
      <c r="C46" s="30">
        <v>10</v>
      </c>
      <c r="D46" s="13">
        <f t="shared" si="1"/>
        <v>25.598758667633749</v>
      </c>
      <c r="E46" s="13">
        <f t="shared" si="1"/>
        <v>18.680120806577037</v>
      </c>
      <c r="F46" s="13">
        <f t="shared" si="1"/>
        <v>14.491750162353945</v>
      </c>
      <c r="G46" s="13">
        <f t="shared" si="1"/>
        <v>11.697138535517819</v>
      </c>
      <c r="H46" s="13">
        <f t="shared" si="1"/>
        <v>9.7086991838847894</v>
      </c>
    </row>
    <row r="47" spans="2:9" ht="14" x14ac:dyDescent="0.3">
      <c r="B47" s="22" t="s">
        <v>156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151</v>
      </c>
      <c r="C48" s="30">
        <v>3</v>
      </c>
      <c r="D48" s="5">
        <f t="shared" ref="D48:H51" si="2">IFERROR(($C$10/(1-$C$13)-$C$14*D38)/D43,"N/A")</f>
        <v>176223.38615936926</v>
      </c>
      <c r="E48" s="5">
        <f t="shared" si="2"/>
        <v>234923.86032432088</v>
      </c>
      <c r="F48" s="5">
        <f t="shared" si="2"/>
        <v>294850.34412903216</v>
      </c>
      <c r="G48" s="5">
        <f t="shared" si="2"/>
        <v>355990.35133400123</v>
      </c>
      <c r="H48" s="5">
        <f t="shared" si="2"/>
        <v>418331.42627744208</v>
      </c>
    </row>
    <row r="49" spans="2:9" ht="14" x14ac:dyDescent="0.3">
      <c r="B49" s="4" t="s">
        <v>152</v>
      </c>
      <c r="C49" s="30">
        <v>5</v>
      </c>
      <c r="D49" s="5">
        <f t="shared" si="2"/>
        <v>159239.96703745204</v>
      </c>
      <c r="E49" s="5">
        <f t="shared" si="2"/>
        <v>215094.36526716955</v>
      </c>
      <c r="F49" s="5">
        <f t="shared" si="2"/>
        <v>273430.60271513416</v>
      </c>
      <c r="G49" s="5">
        <f t="shared" si="2"/>
        <v>334244.6332678285</v>
      </c>
      <c r="H49" s="5">
        <f t="shared" si="2"/>
        <v>397531.14000372239</v>
      </c>
    </row>
    <row r="50" spans="2:9" ht="14" x14ac:dyDescent="0.3">
      <c r="B50" s="4" t="s">
        <v>153</v>
      </c>
      <c r="C50" s="30">
        <v>7</v>
      </c>
      <c r="D50" s="5">
        <f t="shared" si="2"/>
        <v>141404.53944482916</v>
      </c>
      <c r="E50" s="5">
        <f t="shared" si="2"/>
        <v>194124.27957385281</v>
      </c>
      <c r="F50" s="5">
        <f t="shared" si="2"/>
        <v>250613.00372227898</v>
      </c>
      <c r="G50" s="5">
        <f t="shared" si="2"/>
        <v>310895.81734124513</v>
      </c>
      <c r="H50" s="5">
        <f t="shared" si="2"/>
        <v>374993.67832419241</v>
      </c>
    </row>
    <row r="51" spans="2:9" ht="14" x14ac:dyDescent="0.3">
      <c r="B51" s="4" t="s">
        <v>154</v>
      </c>
      <c r="C51" s="30">
        <v>10</v>
      </c>
      <c r="D51" s="5">
        <f t="shared" si="2"/>
        <v>113038.21115929303</v>
      </c>
      <c r="E51" s="5">
        <f t="shared" si="2"/>
        <v>160518.93601979167</v>
      </c>
      <c r="F51" s="5">
        <f t="shared" si="2"/>
        <v>213762.7890374402</v>
      </c>
      <c r="G51" s="5">
        <f t="shared" si="2"/>
        <v>272876.65077089309</v>
      </c>
      <c r="H51" s="5">
        <f t="shared" si="2"/>
        <v>337955.17166742886</v>
      </c>
    </row>
    <row r="52" spans="2:9" ht="14" x14ac:dyDescent="0.3">
      <c r="B52" s="22" t="s">
        <v>157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151</v>
      </c>
      <c r="C53" s="30">
        <v>3</v>
      </c>
      <c r="D53" s="14">
        <f t="shared" ref="D53:H56" si="3">IFERROR(D48/$C$15,"N/A")</f>
        <v>0.21227462204516592</v>
      </c>
      <c r="E53" s="14">
        <f t="shared" si="3"/>
        <v>0.28298385785549279</v>
      </c>
      <c r="F53" s="14">
        <f t="shared" si="3"/>
        <v>0.35516991656983737</v>
      </c>
      <c r="G53" s="14">
        <f t="shared" si="3"/>
        <v>0.42881775755239754</v>
      </c>
      <c r="H53" s="14">
        <f t="shared" si="3"/>
        <v>0.50391237700058189</v>
      </c>
    </row>
    <row r="54" spans="2:9" ht="14" x14ac:dyDescent="0.3">
      <c r="B54" s="4" t="s">
        <v>152</v>
      </c>
      <c r="C54" s="30">
        <v>5</v>
      </c>
      <c r="D54" s="14">
        <f t="shared" si="3"/>
        <v>0.19181678751076836</v>
      </c>
      <c r="E54" s="14">
        <f t="shared" si="3"/>
        <v>0.25909770596418497</v>
      </c>
      <c r="F54" s="14">
        <f t="shared" si="3"/>
        <v>0.32936819063529887</v>
      </c>
      <c r="G54" s="14">
        <f t="shared" si="3"/>
        <v>0.40262336766919005</v>
      </c>
      <c r="H54" s="14">
        <f t="shared" si="3"/>
        <v>0.4788568324249487</v>
      </c>
    </row>
    <row r="55" spans="2:9" ht="14" x14ac:dyDescent="0.3">
      <c r="B55" s="4" t="s">
        <v>153</v>
      </c>
      <c r="C55" s="30">
        <v>7</v>
      </c>
      <c r="D55" s="14">
        <f t="shared" si="3"/>
        <v>0.17033264324506897</v>
      </c>
      <c r="E55" s="14">
        <f t="shared" si="3"/>
        <v>0.23383762492830093</v>
      </c>
      <c r="F55" s="14">
        <f t="shared" si="3"/>
        <v>0.30188263773708057</v>
      </c>
      <c r="G55" s="14">
        <f t="shared" si="3"/>
        <v>0.37449792311817398</v>
      </c>
      <c r="H55" s="14">
        <f t="shared" si="3"/>
        <v>0.45170872646611154</v>
      </c>
    </row>
    <row r="56" spans="2:9" ht="14" x14ac:dyDescent="0.3">
      <c r="B56" s="4" t="s">
        <v>154</v>
      </c>
      <c r="C56" s="30">
        <v>10</v>
      </c>
      <c r="D56" s="14">
        <f t="shared" si="3"/>
        <v>0.13616321915866691</v>
      </c>
      <c r="E56" s="14">
        <f t="shared" si="3"/>
        <v>0.19335740401604939</v>
      </c>
      <c r="F56" s="14">
        <f t="shared" si="3"/>
        <v>0.25749371998337711</v>
      </c>
      <c r="G56" s="14">
        <f t="shared" si="3"/>
        <v>0.3287009129137789</v>
      </c>
      <c r="H56" s="14">
        <f t="shared" si="3"/>
        <v>0.40709299655060832</v>
      </c>
    </row>
    <row r="58" spans="2:9" ht="14" x14ac:dyDescent="0.3">
      <c r="B58" s="8" t="s">
        <v>158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159</v>
      </c>
    </row>
    <row r="60" spans="2:9" ht="14" x14ac:dyDescent="0.3">
      <c r="B60" s="4" t="s">
        <v>160</v>
      </c>
      <c r="C60" s="5">
        <f>F49</f>
        <v>273430.60271513416</v>
      </c>
    </row>
    <row r="62" spans="2:9" ht="14" x14ac:dyDescent="0.3">
      <c r="B62" s="28" t="s">
        <v>161</v>
      </c>
      <c r="C62" s="28" t="s">
        <v>162</v>
      </c>
      <c r="D62" s="28" t="s">
        <v>163</v>
      </c>
    </row>
    <row r="63" spans="2:9" ht="14" x14ac:dyDescent="0.3">
      <c r="B63" s="31">
        <v>0.2069</v>
      </c>
      <c r="C63" s="5">
        <f>IFERROR($C$60/B63,"N/A")</f>
        <v>1321559.2204694739</v>
      </c>
      <c r="D63" s="14">
        <f>IFERROR(C63/'DCF Model'!C17,"N/A")</f>
        <v>0.65873161364790556</v>
      </c>
    </row>
    <row r="64" spans="2:9" ht="14" x14ac:dyDescent="0.3">
      <c r="B64" s="31">
        <v>0.31030000000000002</v>
      </c>
      <c r="C64" s="5">
        <f>IFERROR($C$60/B64,"N/A")</f>
        <v>881181.44606875326</v>
      </c>
      <c r="D64" s="14">
        <f>IFERROR(C64/'DCF Model'!C17,"N/A")</f>
        <v>0.43922517197470728</v>
      </c>
    </row>
    <row r="65" spans="2:9" ht="14" x14ac:dyDescent="0.3">
      <c r="B65" s="4" t="s">
        <v>164</v>
      </c>
      <c r="C65" s="5">
        <f>IFERROR($C$60/$C$18,"N/A")</f>
        <v>660784.39267996792</v>
      </c>
      <c r="D65" s="14">
        <f>IFERROR(C65/'DCF Model'!C17,"N/A")</f>
        <v>0.32936819063529882</v>
      </c>
    </row>
    <row r="66" spans="2:9" ht="14" x14ac:dyDescent="0.3">
      <c r="B66" s="31">
        <v>0.51719999999999999</v>
      </c>
      <c r="C66" s="5">
        <f>IFERROR($C$60/B66,"N/A")</f>
        <v>528674.79256599804</v>
      </c>
      <c r="D66" s="14">
        <f>IFERROR(C66/'DCF Model'!C17,"N/A")</f>
        <v>0.26351811845272949</v>
      </c>
    </row>
    <row r="67" spans="2:9" ht="14" x14ac:dyDescent="0.3">
      <c r="B67" s="31">
        <v>0.62070000000000003</v>
      </c>
      <c r="C67" s="5">
        <f>IFERROR($C$60/B67,"N/A")</f>
        <v>440519.74015649129</v>
      </c>
      <c r="D67" s="14">
        <f>IFERROR(C67/'DCF Model'!C17,"N/A")</f>
        <v>0.21957720454930185</v>
      </c>
    </row>
    <row r="69" spans="2:9" ht="14" x14ac:dyDescent="0.3">
      <c r="B69" s="8" t="s">
        <v>165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166</v>
      </c>
      <c r="C70" s="14">
        <f>IFERROR(C10/'Comps Analysis'!G5,"N/A")</f>
        <v>4.4342609496343508</v>
      </c>
    </row>
    <row r="71" spans="2:9" ht="13.5" x14ac:dyDescent="0.25">
      <c r="B71" s="6" t="s">
        <v>167</v>
      </c>
      <c r="C71" s="14">
        <f>IFERROR(C10/'Comps Analysis'!F5,"N/A")</f>
        <v>2.2900557530133816</v>
      </c>
    </row>
    <row r="72" spans="2:9" ht="14" x14ac:dyDescent="0.3">
      <c r="B72" s="4" t="s">
        <v>168</v>
      </c>
      <c r="C72" s="14">
        <f>IFERROR(C10/(C25+'DCF Model'!G42),"N/A")</f>
        <v>8.5850813994287947</v>
      </c>
    </row>
    <row r="73" spans="2:9" ht="14" x14ac:dyDescent="0.3">
      <c r="B73" s="4" t="s">
        <v>169</v>
      </c>
      <c r="C73" s="14">
        <f>IFERROR(C10/(C60+'DCF Model'!G42),"N/A")</f>
        <v>9.3058459227049859</v>
      </c>
    </row>
    <row r="74" spans="2:9" ht="14" x14ac:dyDescent="0.3">
      <c r="B74" s="4" t="s">
        <v>170</v>
      </c>
      <c r="C74" s="14">
        <f>IFERROR('Comps Analysis'!D16,"N/A")</f>
        <v>10.869751206186656</v>
      </c>
    </row>
    <row r="75" spans="2:9" ht="14" x14ac:dyDescent="0.3">
      <c r="B75" s="1" t="s">
        <v>171</v>
      </c>
    </row>
    <row r="77" spans="2:9" ht="14" x14ac:dyDescent="0.3">
      <c r="B77" s="22" t="s">
        <v>172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3,857 yen the market is paying for a steady-state operating profit of 273,431 mn JPY - 0.33x the FY2026 cycle peak of 830,167 mn - reached in 5 years and sustained for ever, against 830,167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314,880 mn, or 0.38x the peak. The base case supports an EV of only 11,618,428 mn, leaving -7,399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173</v>
      </c>
    </row>
    <row r="4" spans="2:8" ht="14" x14ac:dyDescent="0.3">
      <c r="B4" s="8" t="s">
        <v>174</v>
      </c>
      <c r="C4" s="32" t="s">
        <v>175</v>
      </c>
      <c r="D4" s="32" t="s">
        <v>82</v>
      </c>
      <c r="E4" s="32" t="s">
        <v>83</v>
      </c>
      <c r="F4" s="32" t="s">
        <v>84</v>
      </c>
      <c r="G4" s="32" t="s">
        <v>85</v>
      </c>
      <c r="H4" s="32" t="s">
        <v>86</v>
      </c>
    </row>
    <row r="5" spans="2:8" ht="14" x14ac:dyDescent="0.3">
      <c r="B5" s="33" t="s">
        <v>176</v>
      </c>
      <c r="C5" s="34">
        <f>C12/C9*365</f>
        <v>13.007397501168866</v>
      </c>
      <c r="D5" s="34">
        <f>CHOOSE('DCF Model'!$D$27,D25,D26,D27,D28,D29)</f>
        <v>40</v>
      </c>
      <c r="E5" s="34">
        <f>CHOOSE('DCF Model'!$D$27,E25,E26,E27,E28,E29)</f>
        <v>40</v>
      </c>
      <c r="F5" s="34">
        <f>CHOOSE('DCF Model'!$D$27,F25,F26,F27,F28,F29)</f>
        <v>40</v>
      </c>
      <c r="G5" s="34">
        <f>CHOOSE('DCF Model'!$D$27,G25,G26,G27,G28,G29)</f>
        <v>40</v>
      </c>
      <c r="H5" s="34">
        <f>CHOOSE('DCF Model'!$D$27,H25,H26,H27,H28,H29)</f>
        <v>40</v>
      </c>
    </row>
    <row r="6" spans="2:8" ht="14" x14ac:dyDescent="0.3">
      <c r="B6" s="33" t="s">
        <v>177</v>
      </c>
      <c r="C6" s="34">
        <f>C13/C10*365</f>
        <v>20.645537593549939</v>
      </c>
      <c r="D6" s="34">
        <f>CHOOSE('DCF Model'!$D$27,D32,D33,D34,D35,D36)</f>
        <v>17</v>
      </c>
      <c r="E6" s="34">
        <f>CHOOSE('DCF Model'!$D$27,E32,E33,E34,E35,E36)</f>
        <v>17</v>
      </c>
      <c r="F6" s="34">
        <f>CHOOSE('DCF Model'!$D$27,F32,F33,F34,F35,F36)</f>
        <v>17</v>
      </c>
      <c r="G6" s="34">
        <f>CHOOSE('DCF Model'!$D$27,G32,G33,G34,G35,G36)</f>
        <v>17</v>
      </c>
      <c r="H6" s="34">
        <f>CHOOSE('DCF Model'!$D$27,H32,H33,H34,H35,H36)</f>
        <v>17</v>
      </c>
    </row>
    <row r="7" spans="2:8" ht="14" x14ac:dyDescent="0.3">
      <c r="B7" s="33" t="s">
        <v>178</v>
      </c>
      <c r="C7" s="34">
        <f>C15/C10*365</f>
        <v>35.267652648379411</v>
      </c>
      <c r="D7" s="34">
        <f>CHOOSE('DCF Model'!$D$27,D39,D40,D41,D42,D43)</f>
        <v>37</v>
      </c>
      <c r="E7" s="34">
        <f>CHOOSE('DCF Model'!$D$27,E39,E40,E41,E42,E43)</f>
        <v>37</v>
      </c>
      <c r="F7" s="34">
        <f>CHOOSE('DCF Model'!$D$27,F39,F40,F41,F42,F43)</f>
        <v>37</v>
      </c>
      <c r="G7" s="34">
        <f>CHOOSE('DCF Model'!$D$27,G39,G40,G41,G42,G43)</f>
        <v>37</v>
      </c>
      <c r="H7" s="34">
        <f>CHOOSE('DCF Model'!$D$27,H39,H40,H41,H42,H43)</f>
        <v>37</v>
      </c>
    </row>
    <row r="8" spans="2:8" ht="14" x14ac:dyDescent="0.3">
      <c r="B8" s="8" t="s">
        <v>179</v>
      </c>
      <c r="C8" s="9"/>
      <c r="D8" s="9"/>
      <c r="E8" s="9"/>
      <c r="F8" s="9"/>
      <c r="G8" s="9"/>
      <c r="H8" s="9"/>
    </row>
    <row r="9" spans="2:8" ht="14" x14ac:dyDescent="0.3">
      <c r="B9" s="33" t="s">
        <v>33</v>
      </c>
      <c r="C9" s="35">
        <v>2006218</v>
      </c>
      <c r="D9" s="35">
        <f>'DCF Model'!C33</f>
        <v>2066404.54</v>
      </c>
      <c r="E9" s="35">
        <f>'DCF Model'!D33</f>
        <v>2118064.6535</v>
      </c>
      <c r="F9" s="35">
        <f>'DCF Model'!E33</f>
        <v>2160425.9465700001</v>
      </c>
      <c r="G9" s="35">
        <f>'DCF Model'!F33</f>
        <v>2203634.4655014002</v>
      </c>
      <c r="H9" s="35">
        <f>'DCF Model'!G33</f>
        <v>2247707.1548114284</v>
      </c>
    </row>
    <row r="10" spans="2:8" ht="14" x14ac:dyDescent="0.3">
      <c r="B10" s="33" t="s">
        <v>34</v>
      </c>
      <c r="C10" s="35">
        <v>959247</v>
      </c>
      <c r="D10" s="35">
        <f>'DCF Model'!C34</f>
        <v>996006.98827999993</v>
      </c>
      <c r="E10" s="35">
        <f>'DCF Model'!D34</f>
        <v>1025143.2922939999</v>
      </c>
      <c r="F10" s="35">
        <f>'DCF Model'!E34</f>
        <v>1052127.4359795901</v>
      </c>
      <c r="G10" s="35">
        <f>'DCF Model'!F34</f>
        <v>1077577.2536301846</v>
      </c>
      <c r="H10" s="35">
        <f>'DCF Model'!G34</f>
        <v>1099128.7987027885</v>
      </c>
    </row>
    <row r="11" spans="2:8" ht="14" x14ac:dyDescent="0.3">
      <c r="B11" s="8" t="s">
        <v>180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181</v>
      </c>
      <c r="C12" s="35">
        <v>71495</v>
      </c>
      <c r="D12" s="35">
        <f t="shared" ref="D12:H13" si="0">D9*D5/365</f>
        <v>226455.2920547945</v>
      </c>
      <c r="E12" s="35">
        <f t="shared" si="0"/>
        <v>232116.67435616438</v>
      </c>
      <c r="F12" s="35">
        <f t="shared" si="0"/>
        <v>236759.00784328769</v>
      </c>
      <c r="G12" s="35">
        <f t="shared" si="0"/>
        <v>241494.18800015343</v>
      </c>
      <c r="H12" s="35">
        <f t="shared" si="0"/>
        <v>246324.07176015654</v>
      </c>
    </row>
    <row r="13" spans="2:8" ht="14" x14ac:dyDescent="0.3">
      <c r="B13" s="33" t="s">
        <v>182</v>
      </c>
      <c r="C13" s="35">
        <v>54258</v>
      </c>
      <c r="D13" s="35">
        <f t="shared" si="0"/>
        <v>46389.366577424647</v>
      </c>
      <c r="E13" s="35">
        <f t="shared" si="0"/>
        <v>47746.399915063012</v>
      </c>
      <c r="F13" s="35">
        <f t="shared" si="0"/>
        <v>49003.195648364468</v>
      </c>
      <c r="G13" s="35">
        <f t="shared" si="0"/>
        <v>50188.529621131878</v>
      </c>
      <c r="H13" s="35">
        <f t="shared" si="0"/>
        <v>51192.300213554532</v>
      </c>
    </row>
    <row r="14" spans="2:8" ht="14" x14ac:dyDescent="0.3">
      <c r="B14" s="33" t="s">
        <v>183</v>
      </c>
      <c r="C14" s="35">
        <f t="shared" ref="C14:H14" si="1">C12+C13</f>
        <v>125753</v>
      </c>
      <c r="D14" s="35">
        <f t="shared" si="1"/>
        <v>272844.65863221913</v>
      </c>
      <c r="E14" s="35">
        <f t="shared" si="1"/>
        <v>279863.07427122741</v>
      </c>
      <c r="F14" s="35">
        <f t="shared" si="1"/>
        <v>285762.20349165215</v>
      </c>
      <c r="G14" s="35">
        <f t="shared" si="1"/>
        <v>291682.71762128529</v>
      </c>
      <c r="H14" s="35">
        <f t="shared" si="1"/>
        <v>297516.37197371107</v>
      </c>
    </row>
    <row r="15" spans="2:8" ht="14" x14ac:dyDescent="0.3">
      <c r="B15" s="33" t="s">
        <v>184</v>
      </c>
      <c r="C15" s="35">
        <v>92686</v>
      </c>
      <c r="D15" s="35">
        <f>D10*D7/365</f>
        <v>100965.09196263013</v>
      </c>
      <c r="E15" s="35">
        <f>E10*E7/365</f>
        <v>103918.63510925478</v>
      </c>
      <c r="F15" s="35">
        <f>F10*F7/365</f>
        <v>106654.01405820502</v>
      </c>
      <c r="G15" s="35">
        <f>G10*G7/365</f>
        <v>109233.85858716941</v>
      </c>
      <c r="H15" s="35">
        <f>H10*H7/365</f>
        <v>111418.53575891281</v>
      </c>
    </row>
    <row r="16" spans="2:8" ht="14" x14ac:dyDescent="0.3">
      <c r="B16" s="33" t="s">
        <v>185</v>
      </c>
      <c r="C16" s="35">
        <f t="shared" ref="C16:H16" si="2">C15</f>
        <v>92686</v>
      </c>
      <c r="D16" s="35">
        <f t="shared" si="2"/>
        <v>100965.09196263013</v>
      </c>
      <c r="E16" s="35">
        <f t="shared" si="2"/>
        <v>103918.63510925478</v>
      </c>
      <c r="F16" s="35">
        <f t="shared" si="2"/>
        <v>106654.01405820502</v>
      </c>
      <c r="G16" s="35">
        <f t="shared" si="2"/>
        <v>109233.85858716941</v>
      </c>
      <c r="H16" s="35">
        <f t="shared" si="2"/>
        <v>111418.53575891281</v>
      </c>
    </row>
    <row r="17" spans="2:8" ht="14" x14ac:dyDescent="0.3">
      <c r="B17" s="22" t="s">
        <v>186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187</v>
      </c>
      <c r="C18" s="20">
        <f t="shared" ref="C18:H18" si="3">C14-C16</f>
        <v>33067</v>
      </c>
      <c r="D18" s="20">
        <f t="shared" si="3"/>
        <v>171879.566669589</v>
      </c>
      <c r="E18" s="20">
        <f t="shared" si="3"/>
        <v>175944.43916197261</v>
      </c>
      <c r="F18" s="20">
        <f t="shared" si="3"/>
        <v>179108.18943344714</v>
      </c>
      <c r="G18" s="20">
        <f t="shared" si="3"/>
        <v>182448.85903411589</v>
      </c>
      <c r="H18" s="20">
        <f t="shared" si="3"/>
        <v>186097.83621479827</v>
      </c>
    </row>
    <row r="19" spans="2:8" ht="14" x14ac:dyDescent="0.3">
      <c r="B19" s="33" t="s">
        <v>96</v>
      </c>
      <c r="C19" s="36" t="s">
        <v>43</v>
      </c>
      <c r="D19" s="24">
        <f>D18-C18</f>
        <v>138812.566669589</v>
      </c>
      <c r="E19" s="24">
        <f>E18-D18</f>
        <v>4064.8724923836126</v>
      </c>
      <c r="F19" s="24">
        <f>F18-E18</f>
        <v>3163.7502714745351</v>
      </c>
      <c r="G19" s="24">
        <f>G18-F18</f>
        <v>3340.6696006687416</v>
      </c>
      <c r="H19" s="24">
        <f>H18-G18</f>
        <v>3648.9771806823846</v>
      </c>
    </row>
    <row r="22" spans="2:8" ht="14" x14ac:dyDescent="0.3">
      <c r="B22" s="22" t="s">
        <v>188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82</v>
      </c>
      <c r="E23" s="25" t="s">
        <v>83</v>
      </c>
      <c r="F23" s="25" t="s">
        <v>84</v>
      </c>
      <c r="G23" s="25" t="s">
        <v>85</v>
      </c>
      <c r="H23" s="25" t="s">
        <v>86</v>
      </c>
    </row>
    <row r="24" spans="2:8" ht="14" x14ac:dyDescent="0.3">
      <c r="B24" s="3" t="s">
        <v>189</v>
      </c>
    </row>
    <row r="25" spans="2:8" ht="14" x14ac:dyDescent="0.3">
      <c r="B25" s="4" t="s">
        <v>80</v>
      </c>
      <c r="D25" s="30">
        <v>40</v>
      </c>
      <c r="E25" s="30">
        <v>40</v>
      </c>
      <c r="F25" s="30">
        <v>40</v>
      </c>
      <c r="G25" s="30">
        <v>40</v>
      </c>
      <c r="H25" s="30">
        <v>40</v>
      </c>
    </row>
    <row r="26" spans="2:8" ht="14" x14ac:dyDescent="0.3">
      <c r="B26" s="4" t="s">
        <v>117</v>
      </c>
      <c r="D26" s="30">
        <v>38</v>
      </c>
      <c r="E26" s="30">
        <v>38</v>
      </c>
      <c r="F26" s="30">
        <v>38</v>
      </c>
      <c r="G26" s="30">
        <v>38</v>
      </c>
      <c r="H26" s="30">
        <v>38</v>
      </c>
    </row>
    <row r="27" spans="2:8" ht="14" x14ac:dyDescent="0.3">
      <c r="B27" s="4" t="s">
        <v>118</v>
      </c>
      <c r="D27" s="30">
        <v>40</v>
      </c>
      <c r="E27" s="30">
        <v>40</v>
      </c>
      <c r="F27" s="30">
        <v>40</v>
      </c>
      <c r="G27" s="30">
        <v>40</v>
      </c>
      <c r="H27" s="30">
        <v>40</v>
      </c>
    </row>
    <row r="28" spans="2:8" ht="14" x14ac:dyDescent="0.3">
      <c r="B28" s="4" t="s">
        <v>119</v>
      </c>
      <c r="D28" s="30">
        <v>42</v>
      </c>
      <c r="E28" s="30">
        <v>42</v>
      </c>
      <c r="F28" s="30">
        <v>42</v>
      </c>
      <c r="G28" s="30">
        <v>42</v>
      </c>
      <c r="H28" s="30">
        <v>42</v>
      </c>
    </row>
    <row r="29" spans="2:8" ht="14" x14ac:dyDescent="0.3">
      <c r="B29" s="4" t="s">
        <v>120</v>
      </c>
      <c r="D29" s="30">
        <v>44</v>
      </c>
      <c r="E29" s="30">
        <v>44</v>
      </c>
      <c r="F29" s="30">
        <v>44</v>
      </c>
      <c r="G29" s="30">
        <v>44</v>
      </c>
      <c r="H29" s="30">
        <v>44</v>
      </c>
    </row>
    <row r="31" spans="2:8" ht="14" x14ac:dyDescent="0.3">
      <c r="B31" s="3" t="s">
        <v>190</v>
      </c>
    </row>
    <row r="32" spans="2:8" ht="14" x14ac:dyDescent="0.3">
      <c r="B32" s="4" t="s">
        <v>80</v>
      </c>
      <c r="D32" s="30">
        <v>17</v>
      </c>
      <c r="E32" s="30">
        <v>17</v>
      </c>
      <c r="F32" s="30">
        <v>17</v>
      </c>
      <c r="G32" s="30">
        <v>17</v>
      </c>
      <c r="H32" s="30">
        <v>17</v>
      </c>
    </row>
    <row r="33" spans="2:8" ht="14" x14ac:dyDescent="0.3">
      <c r="B33" s="4" t="s">
        <v>117</v>
      </c>
      <c r="D33" s="30">
        <v>16</v>
      </c>
      <c r="E33" s="30">
        <v>16</v>
      </c>
      <c r="F33" s="30">
        <v>16</v>
      </c>
      <c r="G33" s="30">
        <v>16</v>
      </c>
      <c r="H33" s="30">
        <v>16</v>
      </c>
    </row>
    <row r="34" spans="2:8" ht="14" x14ac:dyDescent="0.3">
      <c r="B34" s="4" t="s">
        <v>118</v>
      </c>
      <c r="D34" s="30">
        <v>17</v>
      </c>
      <c r="E34" s="30">
        <v>17</v>
      </c>
      <c r="F34" s="30">
        <v>17</v>
      </c>
      <c r="G34" s="30">
        <v>17</v>
      </c>
      <c r="H34" s="30">
        <v>17</v>
      </c>
    </row>
    <row r="35" spans="2:8" ht="14" x14ac:dyDescent="0.3">
      <c r="B35" s="4" t="s">
        <v>119</v>
      </c>
      <c r="D35" s="30">
        <v>18</v>
      </c>
      <c r="E35" s="30">
        <v>18</v>
      </c>
      <c r="F35" s="30">
        <v>18</v>
      </c>
      <c r="G35" s="30">
        <v>18</v>
      </c>
      <c r="H35" s="30">
        <v>18</v>
      </c>
    </row>
    <row r="36" spans="2:8" ht="14" x14ac:dyDescent="0.3">
      <c r="B36" s="4" t="s">
        <v>120</v>
      </c>
      <c r="D36" s="30">
        <v>20</v>
      </c>
      <c r="E36" s="30">
        <v>20</v>
      </c>
      <c r="F36" s="30">
        <v>20</v>
      </c>
      <c r="G36" s="30">
        <v>20</v>
      </c>
      <c r="H36" s="30">
        <v>20</v>
      </c>
    </row>
    <row r="38" spans="2:8" ht="14" x14ac:dyDescent="0.3">
      <c r="B38" s="3" t="s">
        <v>191</v>
      </c>
    </row>
    <row r="39" spans="2:8" ht="14" x14ac:dyDescent="0.3">
      <c r="B39" s="4" t="s">
        <v>80</v>
      </c>
      <c r="D39" s="30">
        <v>37</v>
      </c>
      <c r="E39" s="30">
        <v>37</v>
      </c>
      <c r="F39" s="30">
        <v>37</v>
      </c>
      <c r="G39" s="30">
        <v>37</v>
      </c>
      <c r="H39" s="30">
        <v>37</v>
      </c>
    </row>
    <row r="40" spans="2:8" ht="14" x14ac:dyDescent="0.3">
      <c r="B40" s="4" t="s">
        <v>117</v>
      </c>
      <c r="D40" s="30">
        <v>38</v>
      </c>
      <c r="E40" s="30">
        <v>38</v>
      </c>
      <c r="F40" s="30">
        <v>38</v>
      </c>
      <c r="G40" s="30">
        <v>38</v>
      </c>
      <c r="H40" s="30">
        <v>38</v>
      </c>
    </row>
    <row r="41" spans="2:8" ht="14" x14ac:dyDescent="0.3">
      <c r="B41" s="4" t="s">
        <v>118</v>
      </c>
      <c r="D41" s="30">
        <v>37</v>
      </c>
      <c r="E41" s="30">
        <v>37</v>
      </c>
      <c r="F41" s="30">
        <v>37</v>
      </c>
      <c r="G41" s="30">
        <v>37</v>
      </c>
      <c r="H41" s="30">
        <v>37</v>
      </c>
    </row>
    <row r="42" spans="2:8" ht="14" x14ac:dyDescent="0.3">
      <c r="B42" s="4" t="s">
        <v>119</v>
      </c>
      <c r="D42" s="30">
        <v>36</v>
      </c>
      <c r="E42" s="30">
        <v>36</v>
      </c>
      <c r="F42" s="30">
        <v>36</v>
      </c>
      <c r="G42" s="30">
        <v>36</v>
      </c>
      <c r="H42" s="30">
        <v>36</v>
      </c>
    </row>
    <row r="43" spans="2:8" ht="14" x14ac:dyDescent="0.3">
      <c r="B43" s="4" t="s">
        <v>120</v>
      </c>
      <c r="D43" s="30">
        <v>34</v>
      </c>
      <c r="E43" s="30">
        <v>34</v>
      </c>
      <c r="F43" s="30">
        <v>34</v>
      </c>
      <c r="G43" s="30">
        <v>34</v>
      </c>
      <c r="H43" s="30">
        <v>34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192</v>
      </c>
    </row>
    <row r="3" spans="2:17" ht="14" x14ac:dyDescent="0.3">
      <c r="B3" s="1" t="s">
        <v>193</v>
      </c>
    </row>
    <row r="4" spans="2:17" ht="28" x14ac:dyDescent="0.3">
      <c r="B4" s="10" t="s">
        <v>3</v>
      </c>
      <c r="C4" s="10" t="s">
        <v>5</v>
      </c>
      <c r="D4" s="10" t="s">
        <v>194</v>
      </c>
      <c r="E4" s="10" t="s">
        <v>195</v>
      </c>
      <c r="F4" s="10" t="s">
        <v>196</v>
      </c>
      <c r="G4" s="10" t="s">
        <v>197</v>
      </c>
      <c r="H4" s="10" t="s">
        <v>198</v>
      </c>
      <c r="I4" s="10" t="s">
        <v>199</v>
      </c>
      <c r="J4" s="10" t="s">
        <v>200</v>
      </c>
      <c r="K4" s="10" t="s">
        <v>201</v>
      </c>
      <c r="L4" s="10" t="s">
        <v>202</v>
      </c>
      <c r="M4" s="10" t="s">
        <v>203</v>
      </c>
      <c r="N4" s="10" t="s">
        <v>204</v>
      </c>
      <c r="O4" s="10" t="s">
        <v>205</v>
      </c>
      <c r="P4" s="10" t="s">
        <v>206</v>
      </c>
      <c r="Q4" s="10" t="s">
        <v>207</v>
      </c>
    </row>
    <row r="5" spans="2:17" ht="14" x14ac:dyDescent="0.3">
      <c r="B5" s="4" t="s">
        <v>208</v>
      </c>
      <c r="C5" t="s">
        <v>209</v>
      </c>
      <c r="D5" s="37">
        <f>'Executive Summary'!C9*C23/1000000</f>
        <v>3661759.0726990001</v>
      </c>
      <c r="E5" s="37">
        <f>D5+C24</f>
        <v>4594351.0726990001</v>
      </c>
      <c r="F5" s="37">
        <v>2006218</v>
      </c>
      <c r="G5" s="37">
        <v>1036103</v>
      </c>
      <c r="H5" s="37">
        <v>830168</v>
      </c>
      <c r="I5" s="37">
        <v>552871</v>
      </c>
      <c r="J5" s="38">
        <f>IFERROR(E5/G5,"")</f>
        <v>4.4342609496343508</v>
      </c>
      <c r="K5" s="38">
        <f>IFERROR(E5/F5,"")</f>
        <v>2.2900557530133816</v>
      </c>
      <c r="L5" s="38">
        <f>IFERROR(D5/I5,"")</f>
        <v>6.6231708168795258</v>
      </c>
      <c r="M5" s="38">
        <f>IFERROR(D5/P5,"")</f>
        <v>0.72250280085904961</v>
      </c>
      <c r="N5" s="39">
        <f>IFERROR(H5/F5,"")</f>
        <v>0.41379750356142753</v>
      </c>
      <c r="O5" s="39">
        <f>IFERROR(I5/P5,"")</f>
        <v>0.10908714584526649</v>
      </c>
      <c r="P5" s="37">
        <v>5068159</v>
      </c>
    </row>
    <row r="6" spans="2:17" ht="14" x14ac:dyDescent="0.3">
      <c r="B6" s="4" t="s">
        <v>210</v>
      </c>
      <c r="C6" t="s">
        <v>211</v>
      </c>
      <c r="D6" s="37">
        <v>3974321</v>
      </c>
      <c r="E6" s="37">
        <v>8572154</v>
      </c>
      <c r="F6" s="37">
        <v>3084679</v>
      </c>
      <c r="G6" s="37">
        <v>842989</v>
      </c>
      <c r="H6" s="37">
        <v>414259</v>
      </c>
      <c r="I6" s="37">
        <v>247846</v>
      </c>
      <c r="J6" s="38">
        <f>IFERROR(E6/G6,"")</f>
        <v>10.168761395463049</v>
      </c>
      <c r="K6" s="38">
        <f>IFERROR(E6/F6,"")</f>
        <v>2.7789452322267567</v>
      </c>
      <c r="L6" s="38">
        <f>IFERROR(D6/I6,"")</f>
        <v>16.035445397545249</v>
      </c>
      <c r="M6" s="38">
        <f>IFERROR(D6/P6,"")</f>
        <v>1.304292791722512</v>
      </c>
      <c r="N6" s="39">
        <f>IFERROR(H6/F6,"")</f>
        <v>0.13429565928902165</v>
      </c>
      <c r="O6" s="39">
        <f>IFERROR(I6/P6,"")</f>
        <v>8.1338108134007728E-2</v>
      </c>
      <c r="P6" s="37">
        <v>3047108</v>
      </c>
    </row>
    <row r="7" spans="2:17" ht="14" x14ac:dyDescent="0.3">
      <c r="B7" s="4" t="s">
        <v>212</v>
      </c>
      <c r="C7" t="s">
        <v>213</v>
      </c>
      <c r="D7" s="37">
        <v>1374353</v>
      </c>
      <c r="E7" s="37">
        <v>2734845</v>
      </c>
      <c r="F7" s="37">
        <v>1845840</v>
      </c>
      <c r="G7" s="37">
        <v>375928</v>
      </c>
      <c r="H7" s="37">
        <v>198081</v>
      </c>
      <c r="I7" s="37">
        <v>127499</v>
      </c>
      <c r="J7" s="38">
        <f>IFERROR(E7/G7,"")</f>
        <v>7.27491700538401</v>
      </c>
      <c r="K7" s="38">
        <f>IFERROR(E7/F7,"")</f>
        <v>1.4816262514627487</v>
      </c>
      <c r="L7" s="38">
        <f>IFERROR(D7/I7,"")</f>
        <v>10.779323759402034</v>
      </c>
      <c r="M7" s="38">
        <f>IFERROR(D7/P7,"")</f>
        <v>1.1379873396235007</v>
      </c>
      <c r="N7" s="39">
        <f>IFERROR(H7/F7,"")</f>
        <v>0.10731211806007021</v>
      </c>
      <c r="O7" s="39">
        <f>IFERROR(I7/P7,"")</f>
        <v>0.10557131087475832</v>
      </c>
      <c r="P7" s="37">
        <v>1207705</v>
      </c>
    </row>
    <row r="8" spans="2:17" ht="14" x14ac:dyDescent="0.3">
      <c r="B8" s="4" t="s">
        <v>214</v>
      </c>
      <c r="C8" t="s">
        <v>215</v>
      </c>
      <c r="D8" s="37">
        <v>1101176</v>
      </c>
      <c r="E8" s="37">
        <v>2463457</v>
      </c>
      <c r="F8" s="37">
        <v>1203506</v>
      </c>
      <c r="G8" s="37">
        <v>198526</v>
      </c>
      <c r="H8" s="37">
        <v>127137</v>
      </c>
      <c r="I8" s="37">
        <v>78538</v>
      </c>
      <c r="J8" s="38">
        <f>IFERROR(E8/G8,"")</f>
        <v>12.408737394598189</v>
      </c>
      <c r="K8" s="38">
        <f>IFERROR(E8/F8,"")</f>
        <v>2.0469004724529833</v>
      </c>
      <c r="L8" s="38">
        <f>IFERROR(D8/I8,"")</f>
        <v>14.020932542208866</v>
      </c>
      <c r="M8" s="38">
        <f>IFERROR(D8/P8,"")</f>
        <v>0.99748991572965007</v>
      </c>
      <c r="N8" s="39">
        <f>IFERROR(H8/F8,"")</f>
        <v>0.10563885846850785</v>
      </c>
      <c r="O8" s="39">
        <f>IFERROR(I8/P8,"")</f>
        <v>7.1142908128741689E-2</v>
      </c>
      <c r="P8" s="37">
        <v>1103947</v>
      </c>
    </row>
    <row r="9" spans="2:17" ht="14" x14ac:dyDescent="0.3">
      <c r="B9" s="4" t="s">
        <v>216</v>
      </c>
      <c r="C9" t="s">
        <v>217</v>
      </c>
      <c r="D9" s="37">
        <v>917799</v>
      </c>
      <c r="E9" s="37">
        <v>2219002</v>
      </c>
      <c r="F9" s="37">
        <v>1086179</v>
      </c>
      <c r="G9" s="37">
        <v>191777</v>
      </c>
      <c r="H9" s="37">
        <v>103194</v>
      </c>
      <c r="I9" s="37">
        <v>87071</v>
      </c>
      <c r="J9" s="38">
        <f>IFERROR(E9/G9,"")</f>
        <v>11.570741016910265</v>
      </c>
      <c r="K9" s="38">
        <f>IFERROR(E9/F9,"")</f>
        <v>2.0429431981284853</v>
      </c>
      <c r="L9" s="38">
        <f>IFERROR(D9/I9,"")</f>
        <v>10.540811521631772</v>
      </c>
      <c r="M9" s="38">
        <f>IFERROR(D9/P9,"")</f>
        <v>1.0054038599312496</v>
      </c>
      <c r="N9" s="39">
        <f>IFERROR(H9/F9,"")</f>
        <v>9.5006440006665568E-2</v>
      </c>
      <c r="O9" s="39">
        <f>IFERROR(I9/P9,"")</f>
        <v>9.5382016637710246E-2</v>
      </c>
      <c r="P9" s="37">
        <v>912866</v>
      </c>
    </row>
    <row r="14" spans="2:17" ht="14" x14ac:dyDescent="0.3">
      <c r="B14" s="3" t="s">
        <v>218</v>
      </c>
    </row>
    <row r="15" spans="2:17" ht="14" x14ac:dyDescent="0.3">
      <c r="B15" s="4" t="s">
        <v>219</v>
      </c>
      <c r="D15" s="38">
        <f t="shared" ref="D15:I15" si="0">PERCENTILE(J6:J9,0.25)</f>
        <v>9.4453002979432892</v>
      </c>
      <c r="E15" s="38">
        <f t="shared" si="0"/>
        <v>1.9026139614620512</v>
      </c>
      <c r="F15" s="38">
        <f t="shared" si="0"/>
        <v>10.71969569995947</v>
      </c>
      <c r="G15" s="38">
        <f t="shared" si="0"/>
        <v>1.0034253738808496</v>
      </c>
      <c r="H15" s="39">
        <f t="shared" si="0"/>
        <v>0.10298075385304728</v>
      </c>
      <c r="I15" s="39">
        <f t="shared" si="0"/>
        <v>7.8789308132691221E-2</v>
      </c>
    </row>
    <row r="16" spans="2:17" ht="14" x14ac:dyDescent="0.3">
      <c r="B16" s="4" t="s">
        <v>220</v>
      </c>
      <c r="D16" s="38">
        <f t="shared" ref="D16:I16" si="1">MEDIAN(J6:J9)</f>
        <v>10.869751206186656</v>
      </c>
      <c r="E16" s="38">
        <f t="shared" si="1"/>
        <v>2.0449218352907343</v>
      </c>
      <c r="F16" s="38">
        <f t="shared" si="1"/>
        <v>12.40012815080545</v>
      </c>
      <c r="G16" s="38">
        <f t="shared" si="1"/>
        <v>1.0716955997773752</v>
      </c>
      <c r="H16" s="39">
        <f t="shared" si="1"/>
        <v>0.10647548826428903</v>
      </c>
      <c r="I16" s="39">
        <f t="shared" si="1"/>
        <v>8.8360062385858987E-2</v>
      </c>
    </row>
    <row r="17" spans="2:9" ht="14" x14ac:dyDescent="0.3">
      <c r="B17" s="4" t="s">
        <v>221</v>
      </c>
      <c r="D17" s="38">
        <f t="shared" ref="D17:I17" si="2">PERCENTILE(J6:J9,0.75)</f>
        <v>11.780240111332246</v>
      </c>
      <c r="E17" s="38">
        <f t="shared" si="2"/>
        <v>2.2299116623964266</v>
      </c>
      <c r="F17" s="38">
        <f t="shared" si="2"/>
        <v>14.524560756042963</v>
      </c>
      <c r="G17" s="38">
        <f t="shared" si="2"/>
        <v>1.1795637026482535</v>
      </c>
      <c r="H17" s="39">
        <f t="shared" si="2"/>
        <v>0.11405800336730806</v>
      </c>
      <c r="I17" s="39">
        <f t="shared" si="2"/>
        <v>9.7929340196972262E-2</v>
      </c>
    </row>
    <row r="19" spans="2:9" ht="14" x14ac:dyDescent="0.3">
      <c r="B19" s="22" t="s">
        <v>222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223</v>
      </c>
    </row>
    <row r="21" spans="2:9" ht="14" x14ac:dyDescent="0.3">
      <c r="B21" s="4" t="s">
        <v>224</v>
      </c>
      <c r="C21" s="5">
        <v>1036102</v>
      </c>
    </row>
    <row r="22" spans="2:9" ht="14" x14ac:dyDescent="0.3">
      <c r="B22" s="4" t="s">
        <v>225</v>
      </c>
      <c r="C22" s="5">
        <v>552871</v>
      </c>
    </row>
    <row r="23" spans="2:9" ht="14" x14ac:dyDescent="0.3">
      <c r="B23" s="4" t="s">
        <v>226</v>
      </c>
      <c r="C23" s="15">
        <v>949380107</v>
      </c>
    </row>
    <row r="24" spans="2:9" ht="14" x14ac:dyDescent="0.3">
      <c r="B24" s="4" t="s">
        <v>69</v>
      </c>
      <c r="C24" s="5">
        <v>932592</v>
      </c>
    </row>
    <row r="26" spans="2:9" ht="14" x14ac:dyDescent="0.3">
      <c r="B26" s="3" t="s">
        <v>227</v>
      </c>
    </row>
    <row r="27" spans="2:9" ht="14" x14ac:dyDescent="0.3">
      <c r="B27" s="4" t="s">
        <v>228</v>
      </c>
      <c r="C27" s="24">
        <f>ROUND((C21*D16-C24)*1000000/C23,0)</f>
        <v>10880</v>
      </c>
    </row>
    <row r="28" spans="2:9" ht="14" x14ac:dyDescent="0.3">
      <c r="B28" s="4" t="s">
        <v>229</v>
      </c>
      <c r="C28" s="24">
        <f>ROUND(C22*F16*1000000/C23,0)</f>
        <v>7221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230</v>
      </c>
    </row>
    <row r="3" spans="2:9" ht="14" x14ac:dyDescent="0.3">
      <c r="B3" s="4" t="s">
        <v>231</v>
      </c>
      <c r="C3" s="16">
        <f>'DCF Model'!C26</f>
        <v>6.1402239579182283E-2</v>
      </c>
      <c r="E3" s="4" t="s">
        <v>232</v>
      </c>
      <c r="F3" s="16">
        <f>'DCF Model'!C13</f>
        <v>0.01</v>
      </c>
      <c r="H3" s="4" t="s">
        <v>233</v>
      </c>
      <c r="I3" s="14">
        <f>'DCF Model'!C14</f>
        <v>10.9</v>
      </c>
    </row>
    <row r="5" spans="2:9" ht="14" x14ac:dyDescent="0.3">
      <c r="B5" s="3" t="s">
        <v>234</v>
      </c>
    </row>
    <row r="6" spans="2:9" ht="14" x14ac:dyDescent="0.3">
      <c r="B6" s="40" t="s">
        <v>235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4.6402239579182283E-2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13917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14732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15651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16697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17897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19288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20919</v>
      </c>
    </row>
    <row r="8" spans="2:9" ht="13.5" x14ac:dyDescent="0.25">
      <c r="B8" s="39">
        <f>$C$3-0.01</f>
        <v>5.1402239579182281E-2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12290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12930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13644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14443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15345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16371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17548</v>
      </c>
    </row>
    <row r="9" spans="2:9" ht="13.5" x14ac:dyDescent="0.25">
      <c r="B9" s="39">
        <f>$C$3-0.005</f>
        <v>5.6402239579182285E-2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10967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11481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12048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12677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13376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14161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15046</v>
      </c>
    </row>
    <row r="10" spans="2:9" ht="13.5" x14ac:dyDescent="0.25">
      <c r="B10" s="39">
        <f>$C$3</f>
        <v>6.1402239579182283E-2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9870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10291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10751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11256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11812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12429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13115</v>
      </c>
    </row>
    <row r="11" spans="2:9" ht="13.5" x14ac:dyDescent="0.25">
      <c r="B11" s="39">
        <f>$C$3+0.005</f>
        <v>6.6402239579182287E-2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8945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9295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9675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10088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10540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11035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11581</v>
      </c>
    </row>
    <row r="12" spans="2:9" ht="13.5" x14ac:dyDescent="0.25">
      <c r="B12" s="39">
        <f>$C$3+0.01</f>
        <v>7.1402239579182278E-2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8157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8451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8769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9112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9485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9890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10333</v>
      </c>
    </row>
    <row r="13" spans="2:9" ht="13.5" x14ac:dyDescent="0.25">
      <c r="B13" s="39">
        <f>$C$3+0.015</f>
        <v>7.6402239579182282E-2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7476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7727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7995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8284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8596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8933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9299</v>
      </c>
    </row>
    <row r="16" spans="2:9" ht="14" x14ac:dyDescent="0.3">
      <c r="B16" s="3" t="s">
        <v>236</v>
      </c>
    </row>
    <row r="17" spans="2:9" ht="14" x14ac:dyDescent="0.3">
      <c r="B17" s="40" t="s">
        <v>237</v>
      </c>
      <c r="C17" s="42">
        <f>$I$3-3</f>
        <v>7.9</v>
      </c>
      <c r="D17" s="42">
        <f>$I$3-2</f>
        <v>8.9</v>
      </c>
      <c r="E17" s="42">
        <f>$I$3-1</f>
        <v>9.9</v>
      </c>
      <c r="F17" s="42">
        <f>$I$3</f>
        <v>10.9</v>
      </c>
      <c r="G17" s="42">
        <f>$I$3+1</f>
        <v>11.9</v>
      </c>
      <c r="H17" s="42">
        <f>$I$3+2</f>
        <v>12.9</v>
      </c>
      <c r="I17" s="42">
        <f>$I$3+3</f>
        <v>13.9</v>
      </c>
    </row>
    <row r="18" spans="2:9" ht="13.5" x14ac:dyDescent="0.25">
      <c r="B18" s="39">
        <f>$C$3-0.015</f>
        <v>4.6402239579182283E-2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8622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9588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10553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11519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12485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13451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14417</v>
      </c>
    </row>
    <row r="19" spans="2:9" ht="13.5" x14ac:dyDescent="0.25">
      <c r="B19" s="39">
        <f>$C$3-0.01</f>
        <v>5.1402239579182281E-2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8410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9353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10296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11239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12182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13125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14068</v>
      </c>
    </row>
    <row r="20" spans="2:9" ht="13.5" x14ac:dyDescent="0.25">
      <c r="B20" s="39">
        <f>$C$3-0.005</f>
        <v>5.6402239579182285E-2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8204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9125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10046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10967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11888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12809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13730</v>
      </c>
    </row>
    <row r="21" spans="2:9" ht="13.5" x14ac:dyDescent="0.25">
      <c r="B21" s="39">
        <f>$C$3</f>
        <v>6.1402239579182283E-2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8003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8903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9802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10702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11601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12501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13400</v>
      </c>
    </row>
    <row r="22" spans="2:9" ht="13.5" x14ac:dyDescent="0.25">
      <c r="B22" s="39">
        <f>$C$3+0.005</f>
        <v>6.6402239579182287E-2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7808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8687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9565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10444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11323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12201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13080</v>
      </c>
    </row>
    <row r="23" spans="2:9" ht="13.5" x14ac:dyDescent="0.25">
      <c r="B23" s="39">
        <f>$C$3+0.01</f>
        <v>7.1402239579182278E-2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7619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8477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9335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10193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11052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11910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12768</v>
      </c>
    </row>
    <row r="24" spans="2:9" ht="13.5" x14ac:dyDescent="0.25">
      <c r="B24" s="39">
        <f>$C$3+0.015</f>
        <v>7.6402239579182282E-2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7434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8272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9111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9949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10788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11627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12465</v>
      </c>
    </row>
    <row r="26" spans="2:9" ht="14" x14ac:dyDescent="0.3">
      <c r="B26" s="45" t="s">
        <v>238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239</v>
      </c>
    </row>
    <row r="4" spans="2:7" ht="14" x14ac:dyDescent="0.3">
      <c r="B4" s="10" t="s">
        <v>240</v>
      </c>
      <c r="C4" s="10" t="s">
        <v>241</v>
      </c>
      <c r="D4" s="10" t="s">
        <v>242</v>
      </c>
      <c r="E4" s="10" t="s">
        <v>243</v>
      </c>
      <c r="F4" s="10" t="s">
        <v>244</v>
      </c>
      <c r="G4" s="10" t="s">
        <v>245</v>
      </c>
    </row>
    <row r="5" spans="2:7" x14ac:dyDescent="0.2">
      <c r="B5" t="s">
        <v>246</v>
      </c>
      <c r="C5" t="s">
        <v>247</v>
      </c>
      <c r="D5" t="s">
        <v>248</v>
      </c>
      <c r="E5" t="s">
        <v>249</v>
      </c>
      <c r="F5" t="s">
        <v>247</v>
      </c>
      <c r="G5" t="s">
        <v>250</v>
      </c>
    </row>
    <row r="6" spans="2:7" ht="30" customHeight="1" x14ac:dyDescent="0.3">
      <c r="B6" t="s">
        <v>246</v>
      </c>
      <c r="C6" s="4" t="s">
        <v>251</v>
      </c>
      <c r="D6" t="s">
        <v>252</v>
      </c>
      <c r="E6" t="s">
        <v>253</v>
      </c>
      <c r="F6" t="s">
        <v>254</v>
      </c>
      <c r="G6" t="s">
        <v>255</v>
      </c>
    </row>
    <row r="7" spans="2:7" ht="30" customHeight="1" x14ac:dyDescent="0.3">
      <c r="B7" t="s">
        <v>246</v>
      </c>
      <c r="C7" s="4" t="s">
        <v>256</v>
      </c>
      <c r="D7" t="s">
        <v>257</v>
      </c>
      <c r="E7" t="s">
        <v>258</v>
      </c>
      <c r="F7" t="s">
        <v>259</v>
      </c>
      <c r="G7" t="s">
        <v>260</v>
      </c>
    </row>
    <row r="12" spans="2:7" ht="14" x14ac:dyDescent="0.3">
      <c r="B12" s="8" t="s">
        <v>261</v>
      </c>
    </row>
    <row r="13" spans="2:7" ht="14" x14ac:dyDescent="0.3">
      <c r="B13" s="10" t="s">
        <v>262</v>
      </c>
      <c r="C13" s="10" t="s">
        <v>263</v>
      </c>
    </row>
    <row r="14" spans="2:7" ht="14" x14ac:dyDescent="0.3">
      <c r="B14" s="4" t="s">
        <v>264</v>
      </c>
      <c r="C14" t="s">
        <v>265</v>
      </c>
    </row>
    <row r="15" spans="2:7" ht="14" x14ac:dyDescent="0.3">
      <c r="B15" s="4" t="s">
        <v>266</v>
      </c>
      <c r="C15" t="s">
        <v>267</v>
      </c>
    </row>
    <row r="16" spans="2:7" ht="14" x14ac:dyDescent="0.3">
      <c r="B16" s="4" t="s">
        <v>268</v>
      </c>
      <c r="C16" t="s">
        <v>269</v>
      </c>
    </row>
    <row r="17" spans="2:3" ht="14" x14ac:dyDescent="0.3">
      <c r="B17" s="4" t="s">
        <v>270</v>
      </c>
      <c r="C17" t="s">
        <v>267</v>
      </c>
    </row>
    <row r="18" spans="2:3" ht="14" x14ac:dyDescent="0.3">
      <c r="B18" s="4" t="s">
        <v>271</v>
      </c>
      <c r="C18" t="s">
        <v>272</v>
      </c>
    </row>
    <row r="19" spans="2:3" ht="14" x14ac:dyDescent="0.3">
      <c r="B19" s="4" t="s">
        <v>273</v>
      </c>
      <c r="C19" t="s">
        <v>274</v>
      </c>
    </row>
    <row r="20" spans="2:3" ht="14" x14ac:dyDescent="0.3">
      <c r="B20" s="4" t="s">
        <v>275</v>
      </c>
      <c r="C20" t="s">
        <v>276</v>
      </c>
    </row>
    <row r="21" spans="2:3" ht="14" x14ac:dyDescent="0.3">
      <c r="B21" s="4" t="s">
        <v>277</v>
      </c>
      <c r="C21" t="s">
        <v>278</v>
      </c>
    </row>
    <row r="22" spans="2:3" ht="14" x14ac:dyDescent="0.3">
      <c r="B22" s="4" t="s">
        <v>279</v>
      </c>
      <c r="C22" t="s">
        <v>280</v>
      </c>
    </row>
    <row r="23" spans="2:3" ht="14" x14ac:dyDescent="0.3">
      <c r="B23" s="4" t="s">
        <v>281</v>
      </c>
      <c r="C23" t="s">
        <v>4</v>
      </c>
    </row>
    <row r="24" spans="2:3" ht="14" x14ac:dyDescent="0.3">
      <c r="B24" s="4" t="s">
        <v>282</v>
      </c>
      <c r="C24" t="s">
        <v>246</v>
      </c>
    </row>
    <row r="25" spans="2:3" ht="14" x14ac:dyDescent="0.3">
      <c r="B25" s="4" t="s">
        <v>283</v>
      </c>
      <c r="C25" t="s">
        <v>284</v>
      </c>
    </row>
    <row r="26" spans="2:3" ht="14" x14ac:dyDescent="0.3">
      <c r="B26" s="4" t="s">
        <v>285</v>
      </c>
      <c r="C26" t="s">
        <v>272</v>
      </c>
    </row>
    <row r="27" spans="2:3" ht="14" x14ac:dyDescent="0.3">
      <c r="B27" s="4" t="s">
        <v>286</v>
      </c>
      <c r="C27" t="s">
        <v>272</v>
      </c>
    </row>
    <row r="28" spans="2:3" ht="14" x14ac:dyDescent="0.3">
      <c r="B28" s="4" t="s">
        <v>287</v>
      </c>
      <c r="C28" t="s">
        <v>288</v>
      </c>
    </row>
    <row r="29" spans="2:3" ht="14" x14ac:dyDescent="0.3">
      <c r="B29" s="4" t="s">
        <v>289</v>
      </c>
      <c r="C29" t="s">
        <v>290</v>
      </c>
    </row>
    <row r="30" spans="2:3" ht="14" x14ac:dyDescent="0.3">
      <c r="B30" s="4" t="s">
        <v>291</v>
      </c>
      <c r="C30" t="s">
        <v>292</v>
      </c>
    </row>
    <row r="31" spans="2:3" ht="14" x14ac:dyDescent="0.3">
      <c r="B31" s="4" t="s">
        <v>293</v>
      </c>
      <c r="C31" t="s">
        <v>288</v>
      </c>
    </row>
    <row r="32" spans="2:3" ht="14" x14ac:dyDescent="0.3">
      <c r="B32" s="4" t="s">
        <v>294</v>
      </c>
      <c r="C32" t="s">
        <v>272</v>
      </c>
    </row>
    <row r="33" spans="2:3" ht="14" x14ac:dyDescent="0.3">
      <c r="B33" s="4" t="s">
        <v>295</v>
      </c>
      <c r="C33" t="s">
        <v>284</v>
      </c>
    </row>
    <row r="34" spans="2:3" ht="14" x14ac:dyDescent="0.3">
      <c r="B34" s="4" t="s">
        <v>296</v>
      </c>
      <c r="C34" t="s">
        <v>297</v>
      </c>
    </row>
    <row r="35" spans="2:3" ht="14" x14ac:dyDescent="0.3">
      <c r="B35" s="4" t="s">
        <v>298</v>
      </c>
      <c r="C35" t="s">
        <v>299</v>
      </c>
    </row>
    <row r="36" spans="2:3" ht="14" x14ac:dyDescent="0.3">
      <c r="B36" s="4" t="s">
        <v>300</v>
      </c>
      <c r="C36" t="s">
        <v>301</v>
      </c>
    </row>
    <row r="37" spans="2:3" ht="14" x14ac:dyDescent="0.3">
      <c r="B37" s="4" t="s">
        <v>302</v>
      </c>
      <c r="C37" t="s">
        <v>303</v>
      </c>
    </row>
    <row r="38" spans="2:3" ht="14" x14ac:dyDescent="0.3">
      <c r="B38" s="4" t="s">
        <v>304</v>
      </c>
      <c r="C38" t="s">
        <v>305</v>
      </c>
    </row>
    <row r="39" spans="2:3" ht="14" x14ac:dyDescent="0.3">
      <c r="B39" s="4" t="s">
        <v>306</v>
      </c>
      <c r="C39" t="s">
        <v>307</v>
      </c>
    </row>
    <row r="40" spans="2:3" ht="14" x14ac:dyDescent="0.3">
      <c r="B40" s="4" t="s">
        <v>308</v>
      </c>
      <c r="C40" t="s">
        <v>309</v>
      </c>
    </row>
    <row r="41" spans="2:3" ht="14" x14ac:dyDescent="0.3">
      <c r="B41" s="4" t="s">
        <v>310</v>
      </c>
      <c r="C41" t="s">
        <v>311</v>
      </c>
    </row>
    <row r="42" spans="2:3" ht="14" x14ac:dyDescent="0.3">
      <c r="B42" s="4" t="s">
        <v>312</v>
      </c>
      <c r="C42" t="s">
        <v>313</v>
      </c>
    </row>
    <row r="43" spans="2:3" ht="14" x14ac:dyDescent="0.3">
      <c r="B43" s="4" t="s">
        <v>314</v>
      </c>
      <c r="C43" t="s">
        <v>315</v>
      </c>
    </row>
    <row r="44" spans="2:3" ht="14" x14ac:dyDescent="0.3">
      <c r="B44" s="4" t="s">
        <v>316</v>
      </c>
      <c r="C44" t="s">
        <v>276</v>
      </c>
    </row>
    <row r="45" spans="2:3" ht="14" x14ac:dyDescent="0.3">
      <c r="B45" s="4" t="s">
        <v>317</v>
      </c>
      <c r="C45" t="s">
        <v>318</v>
      </c>
    </row>
    <row r="46" spans="2:3" ht="14" x14ac:dyDescent="0.3">
      <c r="B46" s="4" t="s">
        <v>319</v>
      </c>
      <c r="C46" t="s">
        <v>320</v>
      </c>
    </row>
    <row r="47" spans="2:3" ht="14" x14ac:dyDescent="0.3">
      <c r="B47" s="4" t="s">
        <v>321</v>
      </c>
      <c r="C47" t="s">
        <v>322</v>
      </c>
    </row>
    <row r="48" spans="2:3" ht="14" x14ac:dyDescent="0.3">
      <c r="B48" s="4" t="s">
        <v>323</v>
      </c>
      <c r="C48" t="s">
        <v>324</v>
      </c>
    </row>
    <row r="49" spans="2:3" ht="14" x14ac:dyDescent="0.3">
      <c r="B49" s="4" t="s">
        <v>325</v>
      </c>
      <c r="C49" t="s">
        <v>326</v>
      </c>
    </row>
    <row r="50" spans="2:3" ht="14" x14ac:dyDescent="0.3">
      <c r="B50" s="4" t="s">
        <v>327</v>
      </c>
      <c r="C50" t="s">
        <v>328</v>
      </c>
    </row>
    <row r="51" spans="2:3" ht="14" x14ac:dyDescent="0.3">
      <c r="B51" s="4" t="s">
        <v>329</v>
      </c>
      <c r="C51" t="s">
        <v>330</v>
      </c>
    </row>
    <row r="52" spans="2:3" ht="14" x14ac:dyDescent="0.3">
      <c r="B52" s="4" t="s">
        <v>331</v>
      </c>
      <c r="C52" t="s">
        <v>332</v>
      </c>
    </row>
    <row r="53" spans="2:3" ht="14" x14ac:dyDescent="0.3">
      <c r="B53" s="4" t="s">
        <v>333</v>
      </c>
      <c r="C53" t="s">
        <v>334</v>
      </c>
    </row>
    <row r="54" spans="2:3" ht="14" x14ac:dyDescent="0.3">
      <c r="B54" s="4" t="s">
        <v>335</v>
      </c>
      <c r="C54" t="s">
        <v>336</v>
      </c>
    </row>
    <row r="55" spans="2:3" ht="14" x14ac:dyDescent="0.3">
      <c r="B55" s="4" t="s">
        <v>337</v>
      </c>
      <c r="C55" t="s">
        <v>338</v>
      </c>
    </row>
    <row r="56" spans="2:3" ht="14" x14ac:dyDescent="0.3">
      <c r="B56" s="4" t="s">
        <v>339</v>
      </c>
      <c r="C56" t="s">
        <v>340</v>
      </c>
    </row>
    <row r="57" spans="2:3" ht="14" x14ac:dyDescent="0.3">
      <c r="B57" s="4" t="s">
        <v>341</v>
      </c>
      <c r="C57" t="s">
        <v>342</v>
      </c>
    </row>
    <row r="58" spans="2:3" ht="14" x14ac:dyDescent="0.3">
      <c r="B58" s="4" t="s">
        <v>343</v>
      </c>
      <c r="C58" t="s">
        <v>344</v>
      </c>
    </row>
    <row r="59" spans="2:3" ht="14" x14ac:dyDescent="0.3">
      <c r="B59" s="4" t="s">
        <v>345</v>
      </c>
      <c r="C59" t="s">
        <v>346</v>
      </c>
    </row>
    <row r="60" spans="2:3" ht="14" x14ac:dyDescent="0.3">
      <c r="B60" s="4" t="s">
        <v>347</v>
      </c>
      <c r="C60" t="s">
        <v>348</v>
      </c>
    </row>
    <row r="61" spans="2:3" ht="14" x14ac:dyDescent="0.3">
      <c r="B61" s="4" t="s">
        <v>349</v>
      </c>
      <c r="C61" t="s">
        <v>350</v>
      </c>
    </row>
    <row r="62" spans="2:3" ht="14" x14ac:dyDescent="0.3">
      <c r="B62" s="4" t="s">
        <v>351</v>
      </c>
      <c r="C62" t="s">
        <v>352</v>
      </c>
    </row>
    <row r="63" spans="2:3" ht="14" x14ac:dyDescent="0.3">
      <c r="B63" s="4" t="s">
        <v>353</v>
      </c>
      <c r="C63" t="s">
        <v>354</v>
      </c>
    </row>
    <row r="64" spans="2:3" ht="14" x14ac:dyDescent="0.3">
      <c r="B64" s="4" t="s">
        <v>355</v>
      </c>
      <c r="C64" t="s">
        <v>209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2026-09-06T10:31:00Z</dcterms:created>
  <dcterms:modified xsi:type="dcterms:W3CDTF">2026-09-06T10:31:03Z</dcterms:modified>
</cp:coreProperties>
</file>