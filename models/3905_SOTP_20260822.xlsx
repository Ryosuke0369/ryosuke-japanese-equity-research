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23D10AD1-4DFA-4A09-9833-B3545C5CD8F3}" xr6:coauthVersionLast="47" xr6:coauthVersionMax="47" xr10:uidLastSave="{00000000-0000-0000-0000-000000000000}"/>
  <bookViews>
    <workbookView xWindow="8360" yWindow="5330" windowWidth="4820" windowHeight="4600" xr2:uid="{00000000-000D-0000-FFFF-FFFF00000000}"/>
  </bookViews>
  <sheets>
    <sheet name="Cover &amp; Thesis" sheetId="1" r:id="rId1"/>
    <sheet name="Segment Data" sheetId="2" r:id="rId2"/>
    <sheet name="Peer Comps" sheetId="3" r:id="rId3"/>
    <sheet name="SOTP Valuation" sheetId="4" r:id="rId4"/>
    <sheet name="Sensitivity" sheetId="5" r:id="rId5"/>
    <sheet name="D&amp;A Allocation" sheetId="6" r:id="rId6"/>
    <sheet name="Adjustments Log" sheetId="7" r:id="rId7"/>
  </sheets>
  <calcPr calcId="181029"/>
</workbook>
</file>

<file path=xl/calcChain.xml><?xml version="1.0" encoding="utf-8"?>
<calcChain xmlns="http://schemas.openxmlformats.org/spreadsheetml/2006/main">
  <c r="C13" i="6" l="1"/>
  <c r="E13" i="6" s="1"/>
  <c r="D12" i="6"/>
  <c r="D11" i="6"/>
  <c r="D10" i="6"/>
  <c r="C13" i="5"/>
  <c r="C12" i="5"/>
  <c r="C11" i="5"/>
  <c r="C10" i="5"/>
  <c r="F8" i="5"/>
  <c r="F8" i="4"/>
  <c r="H8" i="4" s="1"/>
  <c r="C9" i="5" s="1"/>
  <c r="G7" i="4"/>
  <c r="E7" i="4"/>
  <c r="D8" i="5" s="1"/>
  <c r="C7" i="4"/>
  <c r="C8" i="5" s="1"/>
  <c r="G6" i="4"/>
  <c r="F7" i="5" s="1"/>
  <c r="E6" i="4"/>
  <c r="D7" i="5" s="1"/>
  <c r="C6" i="4"/>
  <c r="G5" i="4"/>
  <c r="F6" i="5" s="1"/>
  <c r="E5" i="4"/>
  <c r="D6" i="5" s="1"/>
  <c r="C5" i="4"/>
  <c r="C6" i="5" s="1"/>
  <c r="D24" i="3"/>
  <c r="D17" i="3"/>
  <c r="D8" i="3"/>
  <c r="D22" i="2"/>
  <c r="C22" i="2"/>
  <c r="D21" i="2"/>
  <c r="C21" i="2"/>
  <c r="C23" i="2" s="1"/>
  <c r="D18" i="2"/>
  <c r="C18" i="2"/>
  <c r="D13" i="2"/>
  <c r="C13" i="2"/>
  <c r="D8" i="2"/>
  <c r="C8" i="2"/>
  <c r="F5" i="4" l="1"/>
  <c r="H5" i="4" s="1"/>
  <c r="D13" i="6"/>
  <c r="E6" i="5"/>
  <c r="D23" i="2"/>
  <c r="E8" i="5"/>
  <c r="F6" i="4"/>
  <c r="H6" i="4" s="1"/>
  <c r="C7" i="5"/>
  <c r="E7" i="5" s="1"/>
  <c r="G20" i="5" s="1"/>
  <c r="F7" i="4"/>
  <c r="H7" i="4" s="1"/>
  <c r="C28" i="5" l="1"/>
  <c r="E27" i="5"/>
  <c r="D28" i="5"/>
  <c r="D27" i="5"/>
  <c r="D26" i="5"/>
  <c r="C27" i="5"/>
  <c r="E26" i="5"/>
  <c r="E28" i="5"/>
  <c r="C26" i="5"/>
  <c r="E20" i="5"/>
  <c r="C19" i="5"/>
  <c r="G19" i="5"/>
  <c r="D20" i="5"/>
  <c r="D16" i="5"/>
  <c r="G16" i="5"/>
  <c r="F19" i="5"/>
  <c r="G17" i="5"/>
  <c r="E18" i="5"/>
  <c r="D17" i="5"/>
  <c r="E19" i="5"/>
  <c r="C20" i="5"/>
  <c r="G18" i="5"/>
  <c r="D19" i="5"/>
  <c r="F17" i="5"/>
  <c r="H9" i="4"/>
  <c r="C18" i="5"/>
  <c r="E16" i="5"/>
  <c r="E17" i="5"/>
  <c r="F16" i="5"/>
  <c r="C17" i="5"/>
  <c r="C16" i="5"/>
  <c r="D18" i="5"/>
  <c r="F18" i="5"/>
  <c r="F20" i="5"/>
  <c r="C19" i="4" l="1"/>
  <c r="C21" i="4" s="1"/>
  <c r="C24" i="4" s="1"/>
  <c r="C27" i="4" s="1"/>
  <c r="C12" i="1" s="1"/>
  <c r="C15" i="4"/>
  <c r="C14" i="4"/>
  <c r="C16" i="4"/>
  <c r="D16" i="1" l="1"/>
  <c r="D15" i="1"/>
  <c r="D14" i="1"/>
  <c r="D13" i="1"/>
</calcChain>
</file>

<file path=xl/sharedStrings.xml><?xml version="1.0" encoding="utf-8"?>
<sst xmlns="http://schemas.openxmlformats.org/spreadsheetml/2006/main" count="210" uniqueCount="174">
  <si>
    <t>SOTP Valuation Model</t>
  </si>
  <si>
    <t>Valuation Date: 2026-08-22</t>
  </si>
  <si>
    <t>Investment Thesis</t>
  </si>
  <si>
    <t>1) The two GPU businesses are not worth the same money. Cloud rental carries a 91% gross margin and generates an estimated JPY18.0bn of FY3/27E EBITDA on JPY25bn of sales, while infrastructure build &amp; resale turns JPY45bn of sales into JPY1.1bn of EBITDA. A single blended multiple hides the fact that roughly 96% of the sum-of-the-parts EV sits in the rental line. 2) The 10% discount applied here is not a conglomerate discount but an execution / funding-risk discount: JPY763mn of cash against JPY6,710mn of construction in progress, growth funded by warrant exercises, and a market that plainly does not believe company guidance (JPY1,840 vs a DCF perpetuity-growth value of JPY3,557). 3) Dilution is the swing factor. On 32,017k shares the SOTP fair value is about JPY4,740; on the treasury-stock-method count of 47,465k shares it falls to about JPY3,197, roughly 32% lower. Any target price on this name has to state which share count it uses.</t>
  </si>
  <si>
    <t>Valuation Cross-Check</t>
  </si>
  <si>
    <t>Method</t>
  </si>
  <si>
    <t>Fair Value (¥)</t>
  </si>
  <si>
    <t>vs SOTP Base</t>
  </si>
  <si>
    <t>SOTP (Base Case)</t>
  </si>
  <si>
    <t>—</t>
  </si>
  <si>
    <t>DCF - Perpetuity Growth</t>
  </si>
  <si>
    <t>DCF - Exit Multiple</t>
  </si>
  <si>
    <t>Comps - EV/EBITDA Median</t>
  </si>
  <si>
    <t>Comps - PER Median</t>
  </si>
  <si>
    <t>DCF cross-check as of 2026-08-22 21:10 from 3905_DCF_Model_20260822.xlsx (static snapshot — regenerate after re-running the DCF)</t>
  </si>
  <si>
    <t>SOTP Scope &amp; Method Note (本SOTPの読み方)</t>
  </si>
  <si>
    <t>【本SOTPの位置づけ】開示セグメントは「国内 / 海外」(国内96%)であり、本SOTPは開示セグメントの再掲ではなく、</t>
  </si>
  <si>
    <t>事業ライン別の推定分解である。GPUクラウド賃貸(粗利91%)とGPUインフラ構築・物販(粗利19%)を分けて、</t>
  </si>
  <si>
    <t>市場がどちらの事業にいくら払っているかを見ることが目的。事業ラインへの売上・営業利益の分解はすべてアナリスト推定であり、</t>
  </si>
  <si>
    <t>会社開示ではない。</t>
  </si>
  <si>
    <t>【評価年】DCF Base シナリオ Y1 = FY2027/3E。連結 売上 73,931 百万円 / 営業利益 14,786 百万円 と一致させている</t>
  </si>
  <si>
    <t>(Segment Data シートの Consolidated Total で検算可)。</t>
  </si>
  <si>
    <t>【全社費用の扱い】本テンプレートには corporate cost / unallocated セグメントの仕組みが無いため、全社費用 -2,614 百万円は</t>
  </si>
  <si>
    <t>GPUクラウド賃貸の営業利益から控除して計上している(17,000 → 14,386)。賃貸事業の単体OPMは見かけ上 約10pt 低く出る点に注意。</t>
  </si>
  <si>
    <t>【株数】Base 版は期末発行済 32,017 千株。新株予約権を織り込んだ treasury stock method ベース 47,465 千株の版は</t>
  </si>
  <si>
    <t>3905_SOTP_20260822_diluted.xlsx を参照(1株価値は約32%低下する)。</t>
  </si>
  <si>
    <t>Segment Financial Data</t>
  </si>
  <si>
    <t>(¥ millions)</t>
  </si>
  <si>
    <t>Segment</t>
  </si>
  <si>
    <t>FY2026/3</t>
  </si>
  <si>
    <t>FY2027/3E</t>
  </si>
  <si>
    <t>GPU Cloud Rental  (GPUクラウド賃貸)</t>
  </si>
  <si>
    <t xml:space="preserve">  Revenue</t>
  </si>
  <si>
    <t xml:space="preserve">  Operating Profit</t>
  </si>
  <si>
    <t xml:space="preserve">  OPM %</t>
  </si>
  <si>
    <t>GPU Infrastructure Build &amp; Resale  (GPUインフラ構築・物販)</t>
  </si>
  <si>
    <t>Legacy AI &amp; Data Solutions  (旧来事業(AI・データソリューション))</t>
  </si>
  <si>
    <t>Consolidated Total</t>
  </si>
  <si>
    <t xml:space="preserve">  Total Revenue</t>
  </si>
  <si>
    <t xml:space="preserve">  Total Operating Profit</t>
  </si>
  <si>
    <t xml:space="preserve">  Total OPM %</t>
  </si>
  <si>
    <t>Peer Comparable Analysis</t>
  </si>
  <si>
    <t>GPU Cloud Rental</t>
  </si>
  <si>
    <t>Company</t>
  </si>
  <si>
    <t>Ticker</t>
  </si>
  <si>
    <t>EV/EBITDA</t>
  </si>
  <si>
    <t>OPM %</t>
  </si>
  <si>
    <t>Mkt Cap ($B)</t>
  </si>
  <si>
    <t>Note</t>
  </si>
  <si>
    <t>GMO internet</t>
  </si>
  <si>
    <t>4784.T</t>
  </si>
  <si>
    <t>DCF Comps Analysis の値。ホスティング/クラウド。上場中(JPX)</t>
  </si>
  <si>
    <t>Internet Initiative Japan</t>
  </si>
  <si>
    <t>3774.T</t>
  </si>
  <si>
    <t>DCF Comps Analysis の値。ネットワーク/クラウド。上場中(JPX)</t>
  </si>
  <si>
    <t>SAKURA Internet</t>
  </si>
  <si>
    <t>3778.T</t>
  </si>
  <si>
    <t>除外: 営業赤字(OP -404百万円 / OPM -1.1%)。EV/EBITDA が意味を持たず median を歪めるため</t>
  </si>
  <si>
    <t>Median</t>
  </si>
  <si>
    <t>Selected Multiple</t>
  </si>
  <si>
    <t>Peer median(GMO 13.7x / さくら 22.3x赤字除外 / IIJ 8.8x)から、規模・資金制約・単一顧客依存で割引。DCF Exit 8.0x との整合も考慮</t>
  </si>
  <si>
    <t>GPU Infrastructure Build &amp; Resale</t>
  </si>
  <si>
    <t>JBCC Holdings</t>
  </si>
  <si>
    <t>9889.T</t>
  </si>
  <si>
    <t>yfinance 2026-08-22。FY2026/3実績 OP 7,311 + D&amp;A 588 = EBITDA 7,899。上場中(JPX)</t>
  </si>
  <si>
    <t>NS Solutions</t>
  </si>
  <si>
    <t>2327.T</t>
  </si>
  <si>
    <t>yfinance 2026-08-22。FY2026/3実績 OP 44,210 + D&amp;A 13,889 = EBITDA 58,099。上場中(JPX)</t>
  </si>
  <si>
    <t>BIPROGY</t>
  </si>
  <si>
    <t>8056.T</t>
  </si>
  <si>
    <t>yfinance 2026-08-22。FY2026/3実績 OP 41,301 + D&amp;A 17,898 = EBITDA 59,199。上場中(JPX)</t>
  </si>
  <si>
    <t>TIS</t>
  </si>
  <si>
    <t>3626.T</t>
  </si>
  <si>
    <t>yfinance 2026-08-22。FY2026/3実績 OP 76,229 + D&amp;A 18,686 = EBITDA 94,915。上場中(JPX)</t>
  </si>
  <si>
    <t>ITインフラ構築・再販の Peer median(9.6x)近辺から、一過性・低マージンのため賃貸より低倍率に割引</t>
  </si>
  <si>
    <t>Legacy AI &amp; Data Solutions</t>
  </si>
  <si>
    <t>PKSHA Technology</t>
  </si>
  <si>
    <t>3993.T</t>
  </si>
  <si>
    <t>yfinance 2026-08-22。FY2025/9実績 OP 5,289 + D&amp;A 1,987 = EBITDA 7,276。上場中(JPX)</t>
  </si>
  <si>
    <t>HEROZ</t>
  </si>
  <si>
    <t>4382.T</t>
  </si>
  <si>
    <t>yfinance 2026-08-22。FY2026/4実績 OP 523 + D&amp;A 448 = EBITDA 971。黒字のため採用。上場中(JPX)</t>
  </si>
  <si>
    <t>EBITDA≒0(-71百万円)のため実質的に価値ゼロ評価。倍率はAIソフト小型 Peer median 13.1x を下回る水準で形式的に置いたもので、EVへの影響は軽微</t>
  </si>
  <si>
    <t>SOTP Valuation</t>
  </si>
  <si>
    <t>(¥ millions unless noted)</t>
  </si>
  <si>
    <t>OP (FY25E)</t>
  </si>
  <si>
    <t>D&amp;A Alloc %</t>
  </si>
  <si>
    <t>D&amp;A</t>
  </si>
  <si>
    <t>EBITDA</t>
  </si>
  <si>
    <t>Multiple (x)</t>
  </si>
  <si>
    <t>Segment EV</t>
  </si>
  <si>
    <t>Equity Method Investments</t>
  </si>
  <si>
    <t>Total Segment EV</t>
  </si>
  <si>
    <t>← Consolidated D&amp;A (input)</t>
  </si>
  <si>
    <t>EV Composition %</t>
  </si>
  <si>
    <t xml:space="preserve">  GPU Cloud Rental</t>
  </si>
  <si>
    <t xml:space="preserve">  GPU Infrastructure Build &amp; Resale</t>
  </si>
  <si>
    <t xml:space="preserve">  Legacy AI &amp; Data Solutions</t>
  </si>
  <si>
    <t>Equity Bridge</t>
  </si>
  <si>
    <t>Total Enterprise Value</t>
  </si>
  <si>
    <t>Conglomerate Discount</t>
  </si>
  <si>
    <t>Adjusted EV</t>
  </si>
  <si>
    <t>Less: Net Debt</t>
  </si>
  <si>
    <t>Less: Minority Interest</t>
  </si>
  <si>
    <t>Equity Value</t>
  </si>
  <si>
    <t>Shares Outstanding (thousands)</t>
  </si>
  <si>
    <t>Stock Split Ratio</t>
  </si>
  <si>
    <t>Fair Value Per Share (post-split)</t>
  </si>
  <si>
    <t>Fair Value = Equity Value (¥M) × 1,000 ÷ Shares (千株) ÷ split. 株数は【千株】単位（dcf_comps_template は【株】単位: 桁が3つ違う）</t>
  </si>
  <si>
    <t>Sensitivity Analysis</t>
  </si>
  <si>
    <t>Table 1: GPU Cloud Rental Multiple × Conglomerate Discount</t>
  </si>
  <si>
    <t>Fair Value (¥/share, post-split)</t>
  </si>
  <si>
    <t>Base Assumptions (do not edit)</t>
  </si>
  <si>
    <t>GPU Cloud Rental OP</t>
  </si>
  <si>
    <t>GPU Infrastructure Build &amp; Resale OP</t>
  </si>
  <si>
    <t>Legacy AI &amp; Data Solutions OP</t>
  </si>
  <si>
    <t>Equity Method EV</t>
  </si>
  <si>
    <t>Net Debt</t>
  </si>
  <si>
    <t>Minority Interest</t>
  </si>
  <si>
    <t>Shares (thousands)</t>
  </si>
  <si>
    <t>Split Ratio</t>
  </si>
  <si>
    <t>GPU Cloud Rental EV/EBITDA →</t>
  </si>
  <si>
    <t>Table 2: GPU Infrastructure Build &amp; Resale × Legacy AI &amp; Data Solutions Multiple Sensitivity</t>
  </si>
  <si>
    <t>Fair Value (¥/share, post-split) — Base discount, base GPU Cloud Rental multiple</t>
  </si>
  <si>
    <t>GPU Infrastructure Build &amp; Resale ↓ / Legacy AI &amp; Data Solutions →</t>
  </si>
  <si>
    <t>D&amp;A Allocation Methodology</t>
  </si>
  <si>
    <t>セグメント別D&amp;Aは非開示。GPU資産(償却3〜5年)が賃貸事業に集中するため、Base Y1のD&amp;A 4,288百万円を</t>
  </si>
  <si>
    <t>賃貸85%・構築5%・旧来10%で推定配賦した。</t>
  </si>
  <si>
    <t>Segment-level D&amp;A is not disclosed; the FY3/27E consolidated D&amp;A of JPY4,288mn is allocated 85 / 5 / 10 to rental / build / legacy on estimated GPU asset concentration.</t>
  </si>
  <si>
    <t>Consolidated D&amp;A (FY25E)</t>
  </si>
  <si>
    <t>¥M (input)</t>
  </si>
  <si>
    <t>Allocation %</t>
  </si>
  <si>
    <t>D&amp;A (¥M)</t>
  </si>
  <si>
    <t>Check</t>
  </si>
  <si>
    <t>Total</t>
  </si>
  <si>
    <t>Notes:</t>
  </si>
  <si>
    <t>• FY2026/3 の連結D&amp;A 455百万円はGPU本格稼働前の水準。Y1 の 4,288 はDCF単一値(売上比5.8%)で、実態より過大の可能性(DCF Adjustments Log 未解決2件目を参照)</t>
  </si>
  <si>
    <t>• 構築・物販は資産を持たないため5%のみ。旧来事業はソフトウェア償却(BS ソフトウエア1,640)分</t>
  </si>
  <si>
    <t>• 配賦比率は推定。賃貸の配賦を下げると賃貸EBITDAが減り、SOTP Fair Value は下振れする</t>
  </si>
  <si>
    <t>• Allocation sums to 100% — residual is implicitly in corporate/eliminations</t>
  </si>
  <si>
    <t>Adjustments Log - 3905 Data Section SOTP</t>
  </si>
  <si>
    <t>テンプレート生成後に加えた手修正と、モデルに残る前提の記録(手順書 §6-1 / §7)</t>
  </si>
  <si>
    <t>Date</t>
  </si>
  <si>
    <t>Sheet</t>
  </si>
  <si>
    <t>Adjustment</t>
  </si>
  <si>
    <t>Reason</t>
  </si>
  <si>
    <t>2026-08-22</t>
  </si>
  <si>
    <t>Cover &amp; Thesis</t>
  </si>
  <si>
    <t>B20 以降に SOTP のスコープ注記(開示セグメントとの関係 / 評価年 / 全社費用 / 株数)を追記</t>
  </si>
  <si>
    <t>テンプレートに冒頭注記用のconfigキーが無いため。分解がアナリスト推定であることを本文に明示する必要があった</t>
  </si>
  <si>
    <t>Segment Data / SOTP Valuation</t>
  </si>
  <si>
    <t>全社費用 -2,614 百万円を GPU Cloud Rental の FY2027/3E 営業利益に集約(17,000 → 14,386)</t>
  </si>
  <si>
    <t>テンプレートに corporate cost / unallocated 行が無い。3セグメント合計を連結営業利益 14,786 に一致させるため。賃貸事業の単体収益性は約10pt 過小に表示される</t>
  </si>
  <si>
    <t>minority_interest = 0、net_debt = -216(MI 41 込みのネットキャッシュ)</t>
  </si>
  <si>
    <t>DCF 'DCF Model'!C16 と同値。MI を別建てにすると二重控除になるため net_debt 側に含めた</t>
  </si>
  <si>
    <t>Peer Comps</t>
  </si>
  <si>
    <t>Mkt Cap ($B) 列の表示形式を #,##0 から #,##0.00 に変更</t>
  </si>
  <si>
    <t>小型株(HEROZ $0.07B 等)が整数書式で 0 と表示され誤読を招くため。値そのものは未変更</t>
  </si>
  <si>
    <t>templates/sotp_template.py</t>
  </si>
  <si>
    <t>generate_sotp_excel で dcf_crosscheck の 'labels' / 'source_file' を merge するよう修正</t>
  </si>
  <si>
    <t>読取済みの DCF 側ラベルと参照ファイル名が捨てられ、Cover が汎用ラベルと 'from no DCF workbook' を表示していた(テンプレート側のバグ)</t>
  </si>
  <si>
    <t>(全シート)</t>
  </si>
  <si>
    <t>Adjustments Log シートを追加</t>
  </si>
  <si>
    <t>sotp_template.py は Adjustments Log を自動生成しない。手順書 §6-1 の記録要件を満たすため手動で追加</t>
  </si>
  <si>
    <t>Unresolved / 前提として残る論点</t>
  </si>
  <si>
    <t>#</t>
  </si>
  <si>
    <t>Item</t>
  </si>
  <si>
    <t>Impact</t>
  </si>
  <si>
    <t>D&amp;A 配賦比率 85 / 5 / 10 はアナリスト推定</t>
  </si>
  <si>
    <t>セグメント別D&amp;A非開示。賃貸配賦を下げると賃貸EBITDAが縮み Fair Value は下振れする</t>
  </si>
  <si>
    <t>連結D&amp;A 4,288 百万円(売上比5.8%)そのものが過大の可能性</t>
  </si>
  <si>
    <t>DCF 側 Adjustments Log 未解決2件目と同根。FY2026/3実績は 455 百万円</t>
  </si>
  <si>
    <t>事業ライン別の売上・営業利益の分解は会社開示ではない</t>
  </si>
  <si>
    <t>会社は国内/海外の2セグメントしか開示していない。分解の誤りはそのまま各事業EVの誤りになる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</si>
</sst>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¥#,##0;\(\¥#,##0\)"/>
    <numFmt numFmtId="177" formatCode="0.0%;\(0.0%\)"/>
    <numFmt numFmtId="178" formatCode="#,##0;\(#,##0\)"/>
    <numFmt numFmtId="179" formatCode="0.00&quot;x&quot;"/>
  </numFmts>
  <fonts count="17" x14ac:knownFonts="1">
    <font>
      <sz val="11"/>
      <color theme="1"/>
      <name val="ＭＳ Ｐゴシック"/>
      <family val="2"/>
      <scheme val="minor"/>
    </font>
    <font>
      <b/>
      <sz val="14"/>
      <name val="Arial"/>
    </font>
    <font>
      <sz val="10"/>
      <color rgb="FF000000"/>
      <name val="Arial"/>
    </font>
    <font>
      <b/>
      <sz val="11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9"/>
      <color rgb="FF808080"/>
      <name val="Arial"/>
    </font>
    <font>
      <sz val="10"/>
      <color rgb="FF0000FF"/>
      <name val="Arial"/>
    </font>
    <font>
      <b/>
      <sz val="10"/>
      <name val="Arial"/>
    </font>
    <font>
      <sz val="10"/>
      <color rgb="FF808080"/>
      <name val="Arial"/>
    </font>
    <font>
      <sz val="9"/>
      <color rgb="FF808080"/>
      <name val="Arial"/>
    </font>
    <font>
      <i/>
      <sz val="10"/>
      <color rgb="FF808080"/>
      <name val="Arial"/>
    </font>
    <font>
      <b/>
      <sz val="12"/>
      <color rgb="FF000080"/>
      <name val="Arial"/>
    </font>
    <font>
      <sz val="9"/>
      <color rgb="FF404040"/>
      <name val="Arial"/>
    </font>
    <font>
      <b/>
      <sz val="10"/>
      <color rgb="FFFFFFFF"/>
      <name val="Arial"/>
    </font>
    <font>
      <sz val="9"/>
      <name val="Arial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2" fillId="0" borderId="2" xfId="0" applyFont="1" applyBorder="1"/>
    <xf numFmtId="176" fontId="5" fillId="0" borderId="2" xfId="0" applyNumberFormat="1" applyFont="1" applyBorder="1"/>
    <xf numFmtId="0" fontId="6" fillId="0" borderId="2" xfId="0" applyFont="1" applyBorder="1" applyAlignment="1">
      <alignment horizontal="center"/>
    </xf>
    <xf numFmtId="176" fontId="7" fillId="0" borderId="2" xfId="0" applyNumberFormat="1" applyFont="1" applyBorder="1"/>
    <xf numFmtId="177" fontId="2" fillId="0" borderId="2" xfId="0" applyNumberFormat="1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178" fontId="7" fillId="0" borderId="3" xfId="0" applyNumberFormat="1" applyFont="1" applyBorder="1"/>
    <xf numFmtId="177" fontId="2" fillId="0" borderId="3" xfId="0" applyNumberFormat="1" applyFont="1" applyBorder="1"/>
    <xf numFmtId="0" fontId="8" fillId="3" borderId="0" xfId="0" applyFont="1" applyFill="1"/>
    <xf numFmtId="178" fontId="5" fillId="3" borderId="4" xfId="0" applyNumberFormat="1" applyFont="1" applyFill="1" applyBorder="1"/>
    <xf numFmtId="177" fontId="5" fillId="3" borderId="4" xfId="0" applyNumberFormat="1" applyFont="1" applyFill="1" applyBorder="1"/>
    <xf numFmtId="0" fontId="9" fillId="0" borderId="2" xfId="0" applyFont="1" applyBorder="1"/>
    <xf numFmtId="179" fontId="7" fillId="0" borderId="2" xfId="0" applyNumberFormat="1" applyFont="1" applyBorder="1"/>
    <xf numFmtId="177" fontId="7" fillId="0" borderId="2" xfId="0" applyNumberFormat="1" applyFont="1" applyBorder="1"/>
    <xf numFmtId="0" fontId="10" fillId="0" borderId="2" xfId="0" applyFont="1" applyBorder="1"/>
    <xf numFmtId="0" fontId="11" fillId="0" borderId="2" xfId="0" applyFont="1" applyBorder="1"/>
    <xf numFmtId="179" fontId="11" fillId="0" borderId="2" xfId="0" applyNumberFormat="1" applyFont="1" applyBorder="1"/>
    <xf numFmtId="177" fontId="11" fillId="0" borderId="2" xfId="0" applyNumberFormat="1" applyFont="1" applyBorder="1"/>
    <xf numFmtId="0" fontId="6" fillId="0" borderId="2" xfId="0" applyFont="1" applyBorder="1"/>
    <xf numFmtId="0" fontId="8" fillId="3" borderId="4" xfId="0" applyFont="1" applyFill="1" applyBorder="1"/>
    <xf numFmtId="0" fontId="0" fillId="3" borderId="4" xfId="0" applyFill="1" applyBorder="1"/>
    <xf numFmtId="179" fontId="8" fillId="3" borderId="4" xfId="0" applyNumberFormat="1" applyFont="1" applyFill="1" applyBorder="1"/>
    <xf numFmtId="0" fontId="8" fillId="5" borderId="4" xfId="0" applyFont="1" applyFill="1" applyBorder="1"/>
    <xf numFmtId="0" fontId="10" fillId="5" borderId="4" xfId="0" applyFont="1" applyFill="1" applyBorder="1"/>
    <xf numFmtId="179" fontId="7" fillId="5" borderId="4" xfId="0" applyNumberFormat="1" applyFont="1" applyFill="1" applyBorder="1"/>
    <xf numFmtId="0" fontId="0" fillId="5" borderId="4" xfId="0" applyFill="1" applyBorder="1"/>
    <xf numFmtId="178" fontId="5" fillId="0" borderId="2" xfId="0" applyNumberFormat="1" applyFont="1" applyBorder="1"/>
    <xf numFmtId="177" fontId="7" fillId="0" borderId="3" xfId="0" applyNumberFormat="1" applyFont="1" applyBorder="1"/>
    <xf numFmtId="178" fontId="2" fillId="0" borderId="2" xfId="0" applyNumberFormat="1" applyFont="1" applyBorder="1"/>
    <xf numFmtId="179" fontId="5" fillId="0" borderId="2" xfId="0" applyNumberFormat="1" applyFont="1" applyBorder="1"/>
    <xf numFmtId="178" fontId="7" fillId="0" borderId="2" xfId="0" applyNumberFormat="1" applyFont="1" applyBorder="1"/>
    <xf numFmtId="0" fontId="0" fillId="0" borderId="2" xfId="0" applyBorder="1"/>
    <xf numFmtId="0" fontId="8" fillId="3" borderId="5" xfId="0" applyFont="1" applyFill="1" applyBorder="1"/>
    <xf numFmtId="0" fontId="0" fillId="3" borderId="5" xfId="0" applyFill="1" applyBorder="1"/>
    <xf numFmtId="178" fontId="8" fillId="3" borderId="5" xfId="0" applyNumberFormat="1" applyFont="1" applyFill="1" applyBorder="1"/>
    <xf numFmtId="178" fontId="7" fillId="0" borderId="0" xfId="0" applyNumberFormat="1" applyFont="1"/>
    <xf numFmtId="177" fontId="2" fillId="0" borderId="0" xfId="0" applyNumberFormat="1" applyFont="1"/>
    <xf numFmtId="177" fontId="7" fillId="0" borderId="3" xfId="0" applyNumberFormat="1" applyFont="1" applyBorder="1" applyAlignment="1">
      <alignment horizontal="center"/>
    </xf>
    <xf numFmtId="178" fontId="8" fillId="3" borderId="4" xfId="0" applyNumberFormat="1" applyFont="1" applyFill="1" applyBorder="1"/>
    <xf numFmtId="3" fontId="7" fillId="0" borderId="3" xfId="0" applyNumberFormat="1" applyFont="1" applyBorder="1"/>
    <xf numFmtId="0" fontId="8" fillId="6" borderId="5" xfId="0" applyFont="1" applyFill="1" applyBorder="1"/>
    <xf numFmtId="176" fontId="12" fillId="6" borderId="5" xfId="0" applyNumberFormat="1" applyFont="1" applyFill="1" applyBorder="1"/>
    <xf numFmtId="178" fontId="5" fillId="0" borderId="0" xfId="0" applyNumberFormat="1" applyFont="1"/>
    <xf numFmtId="178" fontId="2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79" fontId="4" fillId="2" borderId="0" xfId="0" applyNumberFormat="1" applyFont="1" applyFill="1" applyAlignment="1">
      <alignment horizontal="center"/>
    </xf>
    <xf numFmtId="177" fontId="8" fillId="4" borderId="0" xfId="0" applyNumberFormat="1" applyFont="1" applyFill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176" fontId="2" fillId="6" borderId="2" xfId="0" applyNumberFormat="1" applyFont="1" applyFill="1" applyBorder="1" applyAlignment="1">
      <alignment horizontal="center"/>
    </xf>
    <xf numFmtId="179" fontId="8" fillId="4" borderId="0" xfId="0" applyNumberFormat="1" applyFont="1" applyFill="1" applyAlignment="1">
      <alignment horizontal="center"/>
    </xf>
    <xf numFmtId="177" fontId="8" fillId="3" borderId="5" xfId="0" applyNumberFormat="1" applyFont="1" applyFill="1" applyBorder="1"/>
    <xf numFmtId="0" fontId="13" fillId="0" borderId="0" xfId="0" applyFont="1" applyAlignment="1">
      <alignment vertical="top"/>
    </xf>
    <xf numFmtId="4" fontId="7" fillId="0" borderId="2" xfId="0" applyNumberFormat="1" applyFont="1" applyBorder="1"/>
    <xf numFmtId="4" fontId="11" fillId="0" borderId="2" xfId="0" applyNumberFormat="1" applyFont="1" applyBorder="1"/>
    <xf numFmtId="0" fontId="13" fillId="0" borderId="0" xfId="0" applyFont="1"/>
    <xf numFmtId="0" fontId="14" fillId="2" borderId="0" xfId="0" applyFont="1" applyFill="1"/>
    <xf numFmtId="0" fontId="15" fillId="0" borderId="0" xfId="0" applyFont="1" applyAlignment="1">
      <alignment vertical="top" wrapText="1"/>
    </xf>
    <xf numFmtId="0" fontId="15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3" fillId="4" borderId="0" xfId="0" applyFont="1" applyFill="1"/>
    <xf numFmtId="0" fontId="6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80"/>
  </sheetPr>
  <dimension ref="B2:F30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6" width="18" customWidth="1"/>
  </cols>
  <sheetData>
    <row r="2" spans="2:6" ht="18" x14ac:dyDescent="0.4">
      <c r="B2" s="1" t="s">
        <v>0</v>
      </c>
    </row>
    <row r="3" spans="2:6" ht="13.5" x14ac:dyDescent="0.25">
      <c r="B3" s="2" t="s">
        <v>1</v>
      </c>
    </row>
    <row r="5" spans="2:6" ht="14" x14ac:dyDescent="0.3">
      <c r="B5" s="3" t="s">
        <v>2</v>
      </c>
    </row>
    <row r="6" spans="2:6" x14ac:dyDescent="0.2">
      <c r="B6" s="65" t="s">
        <v>3</v>
      </c>
      <c r="C6" s="66"/>
      <c r="D6" s="66"/>
      <c r="E6" s="66"/>
      <c r="F6" s="66"/>
    </row>
    <row r="7" spans="2:6" x14ac:dyDescent="0.2">
      <c r="B7" s="66"/>
      <c r="C7" s="66"/>
      <c r="D7" s="66"/>
      <c r="E7" s="66"/>
      <c r="F7" s="66"/>
    </row>
    <row r="8" spans="2:6" x14ac:dyDescent="0.2">
      <c r="B8" s="66"/>
      <c r="C8" s="66"/>
      <c r="D8" s="66"/>
      <c r="E8" s="66"/>
      <c r="F8" s="66"/>
    </row>
    <row r="10" spans="2:6" ht="14" x14ac:dyDescent="0.3">
      <c r="B10" s="3" t="s">
        <v>4</v>
      </c>
    </row>
    <row r="11" spans="2:6" ht="14" x14ac:dyDescent="0.3">
      <c r="B11" s="4" t="s">
        <v>5</v>
      </c>
      <c r="C11" s="4" t="s">
        <v>6</v>
      </c>
      <c r="D11" s="4" t="s">
        <v>7</v>
      </c>
    </row>
    <row r="12" spans="2:6" ht="14" x14ac:dyDescent="0.3">
      <c r="B12" s="5" t="s">
        <v>8</v>
      </c>
      <c r="C12" s="6">
        <f>'SOTP Valuation'!C27</f>
        <v>4740.3129587406684</v>
      </c>
      <c r="D12" s="7" t="s">
        <v>9</v>
      </c>
    </row>
    <row r="13" spans="2:6" ht="13.5" x14ac:dyDescent="0.25">
      <c r="B13" s="5" t="s">
        <v>10</v>
      </c>
      <c r="C13" s="8">
        <v>3557</v>
      </c>
      <c r="D13" s="9">
        <f>(C13-$C$12)/$C$12</f>
        <v>-0.24962760244737772</v>
      </c>
    </row>
    <row r="14" spans="2:6" ht="13.5" x14ac:dyDescent="0.25">
      <c r="B14" s="5" t="s">
        <v>11</v>
      </c>
      <c r="C14" s="8">
        <v>5743</v>
      </c>
      <c r="D14" s="9">
        <f>(C14-$C$12)/$C$12</f>
        <v>0.2115233846344419</v>
      </c>
    </row>
    <row r="15" spans="2:6" ht="13.5" x14ac:dyDescent="0.25">
      <c r="B15" s="5" t="s">
        <v>12</v>
      </c>
      <c r="C15" s="8">
        <v>1417</v>
      </c>
      <c r="D15" s="9">
        <f>(C15-$C$12)/$C$12</f>
        <v>-0.70107458888612151</v>
      </c>
    </row>
    <row r="16" spans="2:6" ht="13.5" x14ac:dyDescent="0.25">
      <c r="B16" s="5" t="s">
        <v>13</v>
      </c>
      <c r="C16" s="8">
        <v>3626</v>
      </c>
      <c r="D16" s="9">
        <f>(C16-$C$12)/$C$12</f>
        <v>-0.23507160148276401</v>
      </c>
    </row>
    <row r="18" spans="2:2" ht="14" x14ac:dyDescent="0.3">
      <c r="B18" s="10" t="s">
        <v>14</v>
      </c>
    </row>
    <row r="20" spans="2:2" ht="14" x14ac:dyDescent="0.3">
      <c r="B20" s="3" t="s">
        <v>15</v>
      </c>
    </row>
    <row r="21" spans="2:2" x14ac:dyDescent="0.2">
      <c r="B21" s="58" t="s">
        <v>16</v>
      </c>
    </row>
    <row r="22" spans="2:2" x14ac:dyDescent="0.2">
      <c r="B22" s="58" t="s">
        <v>17</v>
      </c>
    </row>
    <row r="23" spans="2:2" x14ac:dyDescent="0.2">
      <c r="B23" s="58" t="s">
        <v>18</v>
      </c>
    </row>
    <row r="24" spans="2:2" x14ac:dyDescent="0.2">
      <c r="B24" s="58" t="s">
        <v>19</v>
      </c>
    </row>
    <row r="25" spans="2:2" x14ac:dyDescent="0.2">
      <c r="B25" s="58" t="s">
        <v>20</v>
      </c>
    </row>
    <row r="26" spans="2:2" x14ac:dyDescent="0.2">
      <c r="B26" s="58" t="s">
        <v>21</v>
      </c>
    </row>
    <row r="27" spans="2:2" x14ac:dyDescent="0.2">
      <c r="B27" s="58" t="s">
        <v>22</v>
      </c>
    </row>
    <row r="28" spans="2:2" x14ac:dyDescent="0.2">
      <c r="B28" s="58" t="s">
        <v>23</v>
      </c>
    </row>
    <row r="29" spans="2:2" x14ac:dyDescent="0.2">
      <c r="B29" s="58" t="s">
        <v>24</v>
      </c>
    </row>
    <row r="30" spans="2:2" x14ac:dyDescent="0.2">
      <c r="B30" s="58" t="s">
        <v>25</v>
      </c>
    </row>
  </sheetData>
  <mergeCells count="1">
    <mergeCell ref="B6:F8"/>
  </mergeCells>
  <phoneticPr fontId="1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00"/>
  </sheetPr>
  <dimension ref="B1:D23"/>
  <sheetViews>
    <sheetView workbookViewId="0"/>
  </sheetViews>
  <sheetFormatPr defaultRowHeight="13" x14ac:dyDescent="0.2"/>
  <cols>
    <col min="1" max="1" width="3" customWidth="1"/>
    <col min="2" max="2" width="35" customWidth="1"/>
    <col min="3" max="4" width="16" customWidth="1"/>
  </cols>
  <sheetData>
    <row r="1" spans="2:4" ht="18" x14ac:dyDescent="0.4">
      <c r="B1" s="1" t="s">
        <v>26</v>
      </c>
    </row>
    <row r="2" spans="2:4" ht="14" x14ac:dyDescent="0.3">
      <c r="B2" s="10" t="s">
        <v>27</v>
      </c>
    </row>
    <row r="4" spans="2:4" ht="14" x14ac:dyDescent="0.3">
      <c r="B4" s="4" t="s">
        <v>28</v>
      </c>
      <c r="C4" s="4" t="s">
        <v>29</v>
      </c>
      <c r="D4" s="4" t="s">
        <v>30</v>
      </c>
    </row>
    <row r="5" spans="2:4" ht="14" x14ac:dyDescent="0.3">
      <c r="B5" s="67" t="s">
        <v>31</v>
      </c>
      <c r="C5" s="66"/>
      <c r="D5" s="66"/>
    </row>
    <row r="6" spans="2:4" ht="13.5" x14ac:dyDescent="0.25">
      <c r="B6" s="2" t="s">
        <v>32</v>
      </c>
      <c r="C6" s="12">
        <v>3000</v>
      </c>
      <c r="D6" s="12">
        <v>25000</v>
      </c>
    </row>
    <row r="7" spans="2:4" ht="13.5" x14ac:dyDescent="0.25">
      <c r="B7" s="2" t="s">
        <v>33</v>
      </c>
      <c r="C7" s="12">
        <v>1500</v>
      </c>
      <c r="D7" s="12">
        <v>14386</v>
      </c>
    </row>
    <row r="8" spans="2:4" ht="13.5" x14ac:dyDescent="0.25">
      <c r="B8" s="2" t="s">
        <v>34</v>
      </c>
      <c r="C8" s="13">
        <f>IF(C6=0,0,C7/C6)</f>
        <v>0.5</v>
      </c>
      <c r="D8" s="13">
        <f>IF(D6=0,0,D7/D6)</f>
        <v>0.57543999999999995</v>
      </c>
    </row>
    <row r="10" spans="2:4" ht="14" x14ac:dyDescent="0.3">
      <c r="B10" s="67" t="s">
        <v>35</v>
      </c>
      <c r="C10" s="66"/>
      <c r="D10" s="66"/>
    </row>
    <row r="11" spans="2:4" ht="13.5" x14ac:dyDescent="0.25">
      <c r="B11" s="2" t="s">
        <v>32</v>
      </c>
      <c r="C11" s="12">
        <v>28000</v>
      </c>
      <c r="D11" s="12">
        <v>45000</v>
      </c>
    </row>
    <row r="12" spans="2:4" ht="13.5" x14ac:dyDescent="0.25">
      <c r="B12" s="2" t="s">
        <v>33</v>
      </c>
      <c r="C12" s="12">
        <v>3000</v>
      </c>
      <c r="D12" s="12">
        <v>900</v>
      </c>
    </row>
    <row r="13" spans="2:4" ht="13.5" x14ac:dyDescent="0.25">
      <c r="B13" s="2" t="s">
        <v>34</v>
      </c>
      <c r="C13" s="13">
        <f>IF(C11=0,0,C12/C11)</f>
        <v>0.10714285714285714</v>
      </c>
      <c r="D13" s="13">
        <f>IF(D11=0,0,D12/D11)</f>
        <v>0.02</v>
      </c>
    </row>
    <row r="15" spans="2:4" ht="14" x14ac:dyDescent="0.3">
      <c r="B15" s="67" t="s">
        <v>36</v>
      </c>
      <c r="C15" s="66"/>
      <c r="D15" s="66"/>
    </row>
    <row r="16" spans="2:4" ht="13.5" x14ac:dyDescent="0.25">
      <c r="B16" s="2" t="s">
        <v>32</v>
      </c>
      <c r="C16" s="12">
        <v>2605</v>
      </c>
      <c r="D16" s="12">
        <v>3931</v>
      </c>
    </row>
    <row r="17" spans="2:4" ht="13.5" x14ac:dyDescent="0.25">
      <c r="B17" s="2" t="s">
        <v>33</v>
      </c>
      <c r="C17" s="12">
        <v>-300</v>
      </c>
      <c r="D17" s="12">
        <v>-500</v>
      </c>
    </row>
    <row r="18" spans="2:4" ht="13.5" x14ac:dyDescent="0.25">
      <c r="B18" s="2" t="s">
        <v>34</v>
      </c>
      <c r="C18" s="13">
        <f>IF(C16=0,0,C17/C16)</f>
        <v>-0.11516314779270634</v>
      </c>
      <c r="D18" s="13">
        <f>IF(D16=0,0,D17/D16)</f>
        <v>-0.12719409819384381</v>
      </c>
    </row>
    <row r="20" spans="2:4" ht="14" x14ac:dyDescent="0.3">
      <c r="B20" s="14" t="s">
        <v>37</v>
      </c>
    </row>
    <row r="21" spans="2:4" ht="14" x14ac:dyDescent="0.3">
      <c r="B21" s="14" t="s">
        <v>38</v>
      </c>
      <c r="C21" s="15">
        <f>C6+C11+C16</f>
        <v>33605</v>
      </c>
      <c r="D21" s="15">
        <f>D6+D11+D16</f>
        <v>73931</v>
      </c>
    </row>
    <row r="22" spans="2:4" ht="14" x14ac:dyDescent="0.3">
      <c r="B22" s="14" t="s">
        <v>39</v>
      </c>
      <c r="C22" s="15">
        <f>C7+C12+C17</f>
        <v>4200</v>
      </c>
      <c r="D22" s="15">
        <f>D7+D12+D17</f>
        <v>14786</v>
      </c>
    </row>
    <row r="23" spans="2:4" ht="14" x14ac:dyDescent="0.3">
      <c r="B23" s="14" t="s">
        <v>40</v>
      </c>
      <c r="C23" s="16">
        <f>IF(C21=0,0,C22/C21)</f>
        <v>0.12498140157714625</v>
      </c>
      <c r="D23" s="16">
        <f>IF(D21=0,0,D22/D21)</f>
        <v>0.19999729477485764</v>
      </c>
    </row>
  </sheetData>
  <mergeCells count="3">
    <mergeCell ref="B10:D10"/>
    <mergeCell ref="B5:D5"/>
    <mergeCell ref="B15:D15"/>
  </mergeCells>
  <phoneticPr fontId="1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0000"/>
  </sheetPr>
  <dimension ref="B1:G25"/>
  <sheetViews>
    <sheetView workbookViewId="0"/>
  </sheetViews>
  <sheetFormatPr defaultRowHeight="13" x14ac:dyDescent="0.2"/>
  <cols>
    <col min="1" max="1" width="3" customWidth="1"/>
    <col min="2" max="2" width="25" customWidth="1"/>
    <col min="3" max="3" width="12" customWidth="1"/>
    <col min="4" max="4" width="14" customWidth="1"/>
    <col min="5" max="5" width="12" customWidth="1"/>
    <col min="6" max="6" width="16" customWidth="1"/>
    <col min="7" max="7" width="30" customWidth="1"/>
  </cols>
  <sheetData>
    <row r="1" spans="2:7" ht="18" x14ac:dyDescent="0.4">
      <c r="B1" s="1" t="s">
        <v>41</v>
      </c>
    </row>
    <row r="3" spans="2:7" ht="14" x14ac:dyDescent="0.3">
      <c r="B3" s="68" t="s">
        <v>42</v>
      </c>
      <c r="C3" s="66"/>
      <c r="D3" s="66"/>
      <c r="E3" s="66"/>
      <c r="F3" s="66"/>
      <c r="G3" s="66"/>
    </row>
    <row r="4" spans="2:7" ht="14" x14ac:dyDescent="0.3"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</row>
    <row r="5" spans="2:7" ht="13.5" x14ac:dyDescent="0.25">
      <c r="B5" s="5" t="s">
        <v>49</v>
      </c>
      <c r="C5" s="17" t="s">
        <v>50</v>
      </c>
      <c r="D5" s="18">
        <v>13.7379</v>
      </c>
      <c r="E5" s="19">
        <v>0.1047130417069817</v>
      </c>
      <c r="F5" s="59">
        <v>1.1539999999999999</v>
      </c>
      <c r="G5" s="20" t="s">
        <v>51</v>
      </c>
    </row>
    <row r="6" spans="2:7" ht="13.5" x14ac:dyDescent="0.25">
      <c r="B6" s="5" t="s">
        <v>52</v>
      </c>
      <c r="C6" s="17" t="s">
        <v>53</v>
      </c>
      <c r="D6" s="18">
        <v>8.8391999999999999</v>
      </c>
      <c r="E6" s="19">
        <v>0.1008555422053012</v>
      </c>
      <c r="F6" s="59">
        <v>3.7719999999999998</v>
      </c>
      <c r="G6" s="20" t="s">
        <v>54</v>
      </c>
    </row>
    <row r="7" spans="2:7" ht="14" x14ac:dyDescent="0.3">
      <c r="B7" s="21" t="s">
        <v>55</v>
      </c>
      <c r="C7" s="21" t="s">
        <v>56</v>
      </c>
      <c r="D7" s="22">
        <v>22.266400000000001</v>
      </c>
      <c r="E7" s="23">
        <v>-1.1444110815251259E-2</v>
      </c>
      <c r="F7" s="60">
        <v>0.89900000000000002</v>
      </c>
      <c r="G7" s="24" t="s">
        <v>57</v>
      </c>
    </row>
    <row r="8" spans="2:7" ht="14" x14ac:dyDescent="0.3">
      <c r="B8" s="25" t="s">
        <v>58</v>
      </c>
      <c r="C8" s="26"/>
      <c r="D8" s="27">
        <f>MEDIAN(D5,D6)</f>
        <v>11.288550000000001</v>
      </c>
      <c r="E8" s="26"/>
      <c r="F8" s="26"/>
      <c r="G8" s="26"/>
    </row>
    <row r="9" spans="2:7" ht="14" x14ac:dyDescent="0.3">
      <c r="B9" s="28" t="s">
        <v>59</v>
      </c>
      <c r="C9" s="29" t="s">
        <v>60</v>
      </c>
      <c r="D9" s="30">
        <v>9</v>
      </c>
      <c r="E9" s="31"/>
      <c r="F9" s="31"/>
      <c r="G9" s="31"/>
    </row>
    <row r="11" spans="2:7" ht="14" x14ac:dyDescent="0.3">
      <c r="B11" s="68" t="s">
        <v>61</v>
      </c>
      <c r="C11" s="66"/>
      <c r="D11" s="66"/>
      <c r="E11" s="66"/>
      <c r="F11" s="66"/>
      <c r="G11" s="66"/>
    </row>
    <row r="12" spans="2:7" ht="14" x14ac:dyDescent="0.3">
      <c r="B12" s="4" t="s">
        <v>43</v>
      </c>
      <c r="C12" s="4" t="s">
        <v>44</v>
      </c>
      <c r="D12" s="4" t="s">
        <v>45</v>
      </c>
      <c r="E12" s="4" t="s">
        <v>46</v>
      </c>
      <c r="F12" s="4" t="s">
        <v>47</v>
      </c>
      <c r="G12" s="4" t="s">
        <v>48</v>
      </c>
    </row>
    <row r="13" spans="2:7" ht="13.5" x14ac:dyDescent="0.25">
      <c r="B13" s="5" t="s">
        <v>62</v>
      </c>
      <c r="C13" s="17" t="s">
        <v>63</v>
      </c>
      <c r="D13" s="18">
        <v>11.45</v>
      </c>
      <c r="E13" s="19">
        <v>9.6199999999999994E-2</v>
      </c>
      <c r="F13" s="59">
        <v>0.67300000000000004</v>
      </c>
      <c r="G13" s="20" t="s">
        <v>64</v>
      </c>
    </row>
    <row r="14" spans="2:7" ht="13.5" x14ac:dyDescent="0.25">
      <c r="B14" s="5" t="s">
        <v>65</v>
      </c>
      <c r="C14" s="17" t="s">
        <v>66</v>
      </c>
      <c r="D14" s="18">
        <v>10.77</v>
      </c>
      <c r="E14" s="19">
        <v>0.1159</v>
      </c>
      <c r="F14" s="59">
        <v>4.4509999999999996</v>
      </c>
      <c r="G14" s="20" t="s">
        <v>67</v>
      </c>
    </row>
    <row r="15" spans="2:7" ht="13.5" x14ac:dyDescent="0.25">
      <c r="B15" s="5" t="s">
        <v>68</v>
      </c>
      <c r="C15" s="17" t="s">
        <v>69</v>
      </c>
      <c r="D15" s="18">
        <v>7.89</v>
      </c>
      <c r="E15" s="19">
        <v>9.5200000000000007E-2</v>
      </c>
      <c r="F15" s="59">
        <v>2.7629999999999999</v>
      </c>
      <c r="G15" s="20" t="s">
        <v>70</v>
      </c>
    </row>
    <row r="16" spans="2:7" ht="13.5" x14ac:dyDescent="0.25">
      <c r="B16" s="5" t="s">
        <v>71</v>
      </c>
      <c r="C16" s="17" t="s">
        <v>72</v>
      </c>
      <c r="D16" s="18">
        <v>8.36</v>
      </c>
      <c r="E16" s="19">
        <v>0.1278</v>
      </c>
      <c r="F16" s="59">
        <v>5.0709999999999997</v>
      </c>
      <c r="G16" s="20" t="s">
        <v>73</v>
      </c>
    </row>
    <row r="17" spans="2:7" ht="14" x14ac:dyDescent="0.3">
      <c r="B17" s="25" t="s">
        <v>58</v>
      </c>
      <c r="C17" s="26"/>
      <c r="D17" s="27">
        <f>MEDIAN(D13,D14,D15,D16)</f>
        <v>9.5649999999999995</v>
      </c>
      <c r="E17" s="26"/>
      <c r="F17" s="26"/>
      <c r="G17" s="26"/>
    </row>
    <row r="18" spans="2:7" ht="14" x14ac:dyDescent="0.3">
      <c r="B18" s="28" t="s">
        <v>59</v>
      </c>
      <c r="C18" s="29" t="s">
        <v>74</v>
      </c>
      <c r="D18" s="30">
        <v>6</v>
      </c>
      <c r="E18" s="31"/>
      <c r="F18" s="31"/>
      <c r="G18" s="31"/>
    </row>
    <row r="20" spans="2:7" ht="14" x14ac:dyDescent="0.3">
      <c r="B20" s="68" t="s">
        <v>75</v>
      </c>
      <c r="C20" s="66"/>
      <c r="D20" s="66"/>
      <c r="E20" s="66"/>
      <c r="F20" s="66"/>
      <c r="G20" s="66"/>
    </row>
    <row r="21" spans="2:7" ht="14" x14ac:dyDescent="0.3">
      <c r="B21" s="4" t="s">
        <v>43</v>
      </c>
      <c r="C21" s="4" t="s">
        <v>44</v>
      </c>
      <c r="D21" s="4" t="s">
        <v>45</v>
      </c>
      <c r="E21" s="4" t="s">
        <v>46</v>
      </c>
      <c r="F21" s="4" t="s">
        <v>47</v>
      </c>
      <c r="G21" s="4" t="s">
        <v>48</v>
      </c>
    </row>
    <row r="22" spans="2:7" ht="13.5" x14ac:dyDescent="0.25">
      <c r="B22" s="5" t="s">
        <v>76</v>
      </c>
      <c r="C22" s="17" t="s">
        <v>77</v>
      </c>
      <c r="D22" s="18">
        <v>13.06</v>
      </c>
      <c r="E22" s="19">
        <v>0.2429</v>
      </c>
      <c r="F22" s="59">
        <v>0.64200000000000002</v>
      </c>
      <c r="G22" s="20" t="s">
        <v>78</v>
      </c>
    </row>
    <row r="23" spans="2:7" ht="13.5" x14ac:dyDescent="0.25">
      <c r="B23" s="5" t="s">
        <v>79</v>
      </c>
      <c r="C23" s="17" t="s">
        <v>80</v>
      </c>
      <c r="D23" s="18">
        <v>13.09</v>
      </c>
      <c r="E23" s="19">
        <v>8.14E-2</v>
      </c>
      <c r="F23" s="59">
        <v>7.2999999999999995E-2</v>
      </c>
      <c r="G23" s="20" t="s">
        <v>81</v>
      </c>
    </row>
    <row r="24" spans="2:7" ht="14" x14ac:dyDescent="0.3">
      <c r="B24" s="25" t="s">
        <v>58</v>
      </c>
      <c r="C24" s="26"/>
      <c r="D24" s="27">
        <f>MEDIAN(D22,D23)</f>
        <v>13.074999999999999</v>
      </c>
      <c r="E24" s="26"/>
      <c r="F24" s="26"/>
      <c r="G24" s="26"/>
    </row>
    <row r="25" spans="2:7" ht="14" x14ac:dyDescent="0.3">
      <c r="B25" s="28" t="s">
        <v>59</v>
      </c>
      <c r="C25" s="29" t="s">
        <v>82</v>
      </c>
      <c r="D25" s="30">
        <v>8</v>
      </c>
      <c r="E25" s="31"/>
      <c r="F25" s="31"/>
      <c r="G25" s="31"/>
    </row>
  </sheetData>
  <mergeCells count="3">
    <mergeCell ref="B3:G3"/>
    <mergeCell ref="B20:G20"/>
    <mergeCell ref="B11:G11"/>
  </mergeCells>
  <phoneticPr fontId="1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B1:H27"/>
  <sheetViews>
    <sheetView workbookViewId="0"/>
  </sheetViews>
  <sheetFormatPr defaultRowHeight="13" x14ac:dyDescent="0.2"/>
  <cols>
    <col min="1" max="1" width="3" customWidth="1"/>
    <col min="2" max="2" width="35" customWidth="1"/>
    <col min="3" max="8" width="18" customWidth="1"/>
  </cols>
  <sheetData>
    <row r="1" spans="2:8" ht="18" x14ac:dyDescent="0.4">
      <c r="B1" s="1" t="s">
        <v>83</v>
      </c>
    </row>
    <row r="2" spans="2:8" ht="14" x14ac:dyDescent="0.3">
      <c r="B2" s="10" t="s">
        <v>84</v>
      </c>
    </row>
    <row r="4" spans="2:8" ht="14" x14ac:dyDescent="0.3">
      <c r="B4" s="4" t="s">
        <v>28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  <c r="H4" s="4" t="s">
        <v>90</v>
      </c>
    </row>
    <row r="5" spans="2:8" ht="13.5" x14ac:dyDescent="0.25">
      <c r="B5" s="5" t="s">
        <v>42</v>
      </c>
      <c r="C5" s="32">
        <f>'Segment Data'!D7</f>
        <v>14386</v>
      </c>
      <c r="D5" s="33">
        <v>0.85</v>
      </c>
      <c r="E5" s="34">
        <f>B11*D5</f>
        <v>3644.7999999999997</v>
      </c>
      <c r="F5" s="34">
        <f>C5+E5</f>
        <v>18030.8</v>
      </c>
      <c r="G5" s="35">
        <f>'Peer Comps'!D9</f>
        <v>9</v>
      </c>
      <c r="H5" s="34">
        <f>F5*G5</f>
        <v>162277.19999999998</v>
      </c>
    </row>
    <row r="6" spans="2:8" ht="13.5" x14ac:dyDescent="0.25">
      <c r="B6" s="5" t="s">
        <v>61</v>
      </c>
      <c r="C6" s="32">
        <f>'Segment Data'!D12</f>
        <v>900</v>
      </c>
      <c r="D6" s="33">
        <v>0.05</v>
      </c>
      <c r="E6" s="34">
        <f>B11*D6</f>
        <v>214.4</v>
      </c>
      <c r="F6" s="34">
        <f>C6+E6</f>
        <v>1114.4000000000001</v>
      </c>
      <c r="G6" s="35">
        <f>'Peer Comps'!D18</f>
        <v>6</v>
      </c>
      <c r="H6" s="34">
        <f>F6*G6</f>
        <v>6686.4000000000005</v>
      </c>
    </row>
    <row r="7" spans="2:8" ht="13.5" x14ac:dyDescent="0.25">
      <c r="B7" s="5" t="s">
        <v>75</v>
      </c>
      <c r="C7" s="32">
        <f>'Segment Data'!D17</f>
        <v>-500</v>
      </c>
      <c r="D7" s="33">
        <v>0.1</v>
      </c>
      <c r="E7" s="34">
        <f>B11*D7</f>
        <v>428.8</v>
      </c>
      <c r="F7" s="34">
        <f>C7+E7</f>
        <v>-71.199999999999989</v>
      </c>
      <c r="G7" s="35">
        <f>'Peer Comps'!D25</f>
        <v>8</v>
      </c>
      <c r="H7" s="34">
        <f>F7*G7</f>
        <v>-569.59999999999991</v>
      </c>
    </row>
    <row r="8" spans="2:8" ht="13.5" x14ac:dyDescent="0.25">
      <c r="B8" s="5" t="s">
        <v>91</v>
      </c>
      <c r="C8" s="36">
        <v>0</v>
      </c>
      <c r="D8" s="37"/>
      <c r="E8" s="37"/>
      <c r="F8" s="34">
        <f>C8</f>
        <v>0</v>
      </c>
      <c r="G8" s="18">
        <v>10</v>
      </c>
      <c r="H8" s="34">
        <f>F8*G8</f>
        <v>0</v>
      </c>
    </row>
    <row r="9" spans="2:8" ht="14" x14ac:dyDescent="0.3">
      <c r="B9" s="38" t="s">
        <v>92</v>
      </c>
      <c r="C9" s="39"/>
      <c r="D9" s="39"/>
      <c r="E9" s="39"/>
      <c r="F9" s="39"/>
      <c r="G9" s="39"/>
      <c r="H9" s="40">
        <f>H5+H6+H7+H8</f>
        <v>168393.99999999997</v>
      </c>
    </row>
    <row r="11" spans="2:8" ht="14" x14ac:dyDescent="0.3">
      <c r="B11" s="41">
        <v>4288</v>
      </c>
      <c r="C11" s="10" t="s">
        <v>93</v>
      </c>
    </row>
    <row r="13" spans="2:8" ht="14" x14ac:dyDescent="0.3">
      <c r="B13" s="3" t="s">
        <v>94</v>
      </c>
    </row>
    <row r="14" spans="2:8" ht="13.5" x14ac:dyDescent="0.25">
      <c r="B14" s="2" t="s">
        <v>95</v>
      </c>
      <c r="C14" s="42">
        <f>H5/H9</f>
        <v>0.96367566540375549</v>
      </c>
    </row>
    <row r="15" spans="2:8" ht="13.5" x14ac:dyDescent="0.25">
      <c r="B15" s="2" t="s">
        <v>96</v>
      </c>
      <c r="C15" s="42">
        <f>H6/H9</f>
        <v>3.9706877917265473E-2</v>
      </c>
    </row>
    <row r="16" spans="2:8" ht="13.5" x14ac:dyDescent="0.25">
      <c r="B16" s="2" t="s">
        <v>97</v>
      </c>
      <c r="C16" s="42">
        <f>H7/H9</f>
        <v>-3.382543321020939E-3</v>
      </c>
    </row>
    <row r="18" spans="2:4" ht="14" x14ac:dyDescent="0.3">
      <c r="B18" s="68" t="s">
        <v>98</v>
      </c>
      <c r="C18" s="66"/>
    </row>
    <row r="19" spans="2:4" ht="13.5" x14ac:dyDescent="0.25">
      <c r="B19" s="5" t="s">
        <v>99</v>
      </c>
      <c r="C19" s="32">
        <f>H9</f>
        <v>168393.99999999997</v>
      </c>
    </row>
    <row r="20" spans="2:4" ht="13.5" x14ac:dyDescent="0.25">
      <c r="B20" s="5" t="s">
        <v>100</v>
      </c>
      <c r="C20" s="43">
        <v>0.1</v>
      </c>
    </row>
    <row r="21" spans="2:4" ht="13.5" x14ac:dyDescent="0.25">
      <c r="B21" s="5" t="s">
        <v>101</v>
      </c>
      <c r="C21" s="34">
        <f>C19*(1-C20)</f>
        <v>151554.59999999998</v>
      </c>
    </row>
    <row r="22" spans="2:4" ht="13.5" x14ac:dyDescent="0.25">
      <c r="B22" s="5" t="s">
        <v>102</v>
      </c>
      <c r="C22" s="12">
        <v>-216</v>
      </c>
    </row>
    <row r="23" spans="2:4" ht="13.5" x14ac:dyDescent="0.25">
      <c r="B23" s="5" t="s">
        <v>103</v>
      </c>
      <c r="C23" s="12">
        <v>0</v>
      </c>
    </row>
    <row r="24" spans="2:4" ht="14" x14ac:dyDescent="0.3">
      <c r="B24" s="25" t="s">
        <v>104</v>
      </c>
      <c r="C24" s="44">
        <f>C21-C22-C23</f>
        <v>151770.59999999998</v>
      </c>
    </row>
    <row r="25" spans="2:4" ht="13.5" x14ac:dyDescent="0.25">
      <c r="B25" s="5" t="s">
        <v>105</v>
      </c>
      <c r="C25" s="45">
        <v>32017</v>
      </c>
    </row>
    <row r="26" spans="2:4" ht="13.5" x14ac:dyDescent="0.25">
      <c r="B26" s="5" t="s">
        <v>106</v>
      </c>
      <c r="C26" s="45">
        <v>1</v>
      </c>
    </row>
    <row r="27" spans="2:4" ht="15.5" x14ac:dyDescent="0.35">
      <c r="B27" s="46" t="s">
        <v>107</v>
      </c>
      <c r="C27" s="47">
        <f>C24*1000/C25/C26</f>
        <v>4740.3129587406684</v>
      </c>
      <c r="D27" s="10" t="s">
        <v>108</v>
      </c>
    </row>
  </sheetData>
  <mergeCells count="1">
    <mergeCell ref="B18:C18"/>
  </mergeCells>
  <phoneticPr fontId="1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00"/>
  </sheetPr>
  <dimension ref="B1:G28"/>
  <sheetViews>
    <sheetView workbookViewId="0"/>
  </sheetViews>
  <sheetFormatPr defaultRowHeight="13" x14ac:dyDescent="0.2"/>
  <cols>
    <col min="1" max="1" width="3" customWidth="1"/>
    <col min="2" max="2" width="38" customWidth="1"/>
    <col min="3" max="7" width="14" customWidth="1"/>
  </cols>
  <sheetData>
    <row r="1" spans="2:7" ht="18" x14ac:dyDescent="0.4">
      <c r="B1" s="1" t="s">
        <v>109</v>
      </c>
    </row>
    <row r="3" spans="2:7" ht="14" x14ac:dyDescent="0.3">
      <c r="B3" s="3" t="s">
        <v>110</v>
      </c>
    </row>
    <row r="4" spans="2:7" ht="14" x14ac:dyDescent="0.3">
      <c r="B4" s="10" t="s">
        <v>111</v>
      </c>
    </row>
    <row r="5" spans="2:7" ht="14" x14ac:dyDescent="0.3">
      <c r="B5" s="10" t="s">
        <v>112</v>
      </c>
    </row>
    <row r="6" spans="2:7" ht="14" x14ac:dyDescent="0.3">
      <c r="B6" s="10" t="s">
        <v>113</v>
      </c>
      <c r="C6" s="48">
        <f>'SOTP Valuation'!C5</f>
        <v>14386</v>
      </c>
      <c r="D6" s="48">
        <f>'SOTP Valuation'!E5</f>
        <v>3644.7999999999997</v>
      </c>
      <c r="E6" s="49">
        <f>C6+D6</f>
        <v>18030.8</v>
      </c>
      <c r="F6" s="50">
        <f>'SOTP Valuation'!G5</f>
        <v>9</v>
      </c>
    </row>
    <row r="7" spans="2:7" ht="14" x14ac:dyDescent="0.3">
      <c r="B7" s="10" t="s">
        <v>114</v>
      </c>
      <c r="C7" s="48">
        <f>'SOTP Valuation'!C6</f>
        <v>900</v>
      </c>
      <c r="D7" s="48">
        <f>'SOTP Valuation'!E6</f>
        <v>214.4</v>
      </c>
      <c r="E7" s="49">
        <f>C7+D7</f>
        <v>1114.4000000000001</v>
      </c>
      <c r="F7" s="50">
        <f>'SOTP Valuation'!G6</f>
        <v>6</v>
      </c>
    </row>
    <row r="8" spans="2:7" ht="14" x14ac:dyDescent="0.3">
      <c r="B8" s="10" t="s">
        <v>115</v>
      </c>
      <c r="C8" s="48">
        <f>'SOTP Valuation'!C7</f>
        <v>-500</v>
      </c>
      <c r="D8" s="48">
        <f>'SOTP Valuation'!E7</f>
        <v>428.8</v>
      </c>
      <c r="E8" s="49">
        <f>C8+D8</f>
        <v>-71.199999999999989</v>
      </c>
      <c r="F8" s="50">
        <f>'SOTP Valuation'!G7</f>
        <v>8</v>
      </c>
    </row>
    <row r="9" spans="2:7" ht="14" x14ac:dyDescent="0.3">
      <c r="B9" s="10" t="s">
        <v>116</v>
      </c>
      <c r="C9" s="48">
        <f>'SOTP Valuation'!H8</f>
        <v>0</v>
      </c>
    </row>
    <row r="10" spans="2:7" ht="14" x14ac:dyDescent="0.3">
      <c r="B10" s="10" t="s">
        <v>117</v>
      </c>
      <c r="C10" s="48">
        <f>'SOTP Valuation'!C22</f>
        <v>-216</v>
      </c>
    </row>
    <row r="11" spans="2:7" ht="14" x14ac:dyDescent="0.3">
      <c r="B11" s="10" t="s">
        <v>118</v>
      </c>
      <c r="C11" s="48">
        <f>'SOTP Valuation'!C23</f>
        <v>0</v>
      </c>
    </row>
    <row r="12" spans="2:7" ht="14" x14ac:dyDescent="0.3">
      <c r="B12" s="10" t="s">
        <v>119</v>
      </c>
      <c r="C12" s="51">
        <f>'SOTP Valuation'!C25</f>
        <v>32017</v>
      </c>
    </row>
    <row r="13" spans="2:7" ht="14" x14ac:dyDescent="0.3">
      <c r="B13" s="10" t="s">
        <v>120</v>
      </c>
      <c r="C13" s="51">
        <f>'SOTP Valuation'!C26</f>
        <v>1</v>
      </c>
    </row>
    <row r="15" spans="2:7" ht="14" x14ac:dyDescent="0.3">
      <c r="B15" s="11" t="s">
        <v>121</v>
      </c>
      <c r="C15" s="52">
        <v>6</v>
      </c>
      <c r="D15" s="52">
        <v>8</v>
      </c>
      <c r="E15" s="52">
        <v>9</v>
      </c>
      <c r="F15" s="52">
        <v>10</v>
      </c>
      <c r="G15" s="52">
        <v>12</v>
      </c>
    </row>
    <row r="16" spans="2:7" ht="14" x14ac:dyDescent="0.3">
      <c r="B16" s="53">
        <v>0</v>
      </c>
      <c r="C16" s="54">
        <f>(($E$6*6+E7*F7+E8*F8+C9)*(1-$B16)-$C$10-$C$11)*1000/$C$12/$C$13</f>
        <v>3576.7748383671164</v>
      </c>
      <c r="D16" s="54">
        <f>(($E$6*8+E7*F7+E8*F8+C9)*(1-$B16)-$C$10-$C$11)*1000/$C$12/$C$13</f>
        <v>4703.1014773401621</v>
      </c>
      <c r="E16" s="54">
        <f>(($E$6*9+E7*F7+E8*F8+C9)*(1-$B16)-$C$10-$C$11)*1000/$C$12/$C$13</f>
        <v>5266.2647968266847</v>
      </c>
      <c r="F16" s="54">
        <f>(($E$6*10+E7*F7+E8*F8+C9)*(1-$B16)-$C$10-$C$11)*1000/$C$12/$C$13</f>
        <v>5829.4281163132082</v>
      </c>
      <c r="G16" s="54">
        <f>(($E$6*12+E7*F7+E8*F8+C9)*(1-$B16)-$C$10-$C$11)*1000/$C$12/$C$13</f>
        <v>6955.7547552862534</v>
      </c>
    </row>
    <row r="17" spans="2:7" ht="14" x14ac:dyDescent="0.3">
      <c r="B17" s="53">
        <v>0.05</v>
      </c>
      <c r="C17" s="54">
        <f>(($E$6*6+E7*F7+E8*F8+C9)*(1-$B17)-$C$10-$C$11)*1000/$C$12/$C$13</f>
        <v>3398.2734172470864</v>
      </c>
      <c r="D17" s="54">
        <f>(($E$6*8+E7*F7+E8*F8+C9)*(1-$B17)-$C$10-$C$11)*1000/$C$12/$C$13</f>
        <v>4468.2837242714795</v>
      </c>
      <c r="E17" s="54">
        <f>(($E$6*9+E7*F7+E8*F8+C9)*(1-$B17)-$C$10-$C$11)*1000/$C$12/$C$13</f>
        <v>5003.2888777836761</v>
      </c>
      <c r="F17" s="54">
        <f>(($E$6*10+E7*F7+E8*F8+C9)*(1-$B17)-$C$10-$C$11)*1000/$C$12/$C$13</f>
        <v>5538.2940312958735</v>
      </c>
      <c r="G17" s="54">
        <f>(($E$6*12+E7*F7+E8*F8+C9)*(1-$B17)-$C$10-$C$11)*1000/$C$12/$C$13</f>
        <v>6608.3043383202667</v>
      </c>
    </row>
    <row r="18" spans="2:7" ht="14" x14ac:dyDescent="0.3">
      <c r="B18" s="53">
        <v>0.1</v>
      </c>
      <c r="C18" s="54">
        <f>(($E$6*6+E7*F7+E8*F8+C9)*(1-$B18)-$C$10-$C$11)*1000/$C$12/$C$13</f>
        <v>3219.7719961270568</v>
      </c>
      <c r="D18" s="54">
        <f>(($E$6*8+E7*F7+E8*F8+C9)*(1-$B18)-$C$10-$C$11)*1000/$C$12/$C$13</f>
        <v>4233.4659712027978</v>
      </c>
      <c r="E18" s="55">
        <f>(($E$6*9+E7*F7+E8*F8+C9)*(1-$B18)-$C$10-$C$11)*1000/$C$12/$C$13</f>
        <v>4740.3129587406684</v>
      </c>
      <c r="F18" s="54">
        <f>(($E$6*10+E7*F7+E8*F8+C9)*(1-$B18)-$C$10-$C$11)*1000/$C$12/$C$13</f>
        <v>5247.1599462785398</v>
      </c>
      <c r="G18" s="54">
        <f>(($E$6*12+E7*F7+E8*F8+C9)*(1-$B18)-$C$10-$C$11)*1000/$C$12/$C$13</f>
        <v>6260.8539213542799</v>
      </c>
    </row>
    <row r="19" spans="2:7" ht="14" x14ac:dyDescent="0.3">
      <c r="B19" s="53">
        <v>0.15</v>
      </c>
      <c r="C19" s="54">
        <f>(($E$6*6+E7*F7+E8*F8+C9)*(1-$B19)-$C$10-$C$11)*1000/$C$12/$C$13</f>
        <v>3041.2705750070268</v>
      </c>
      <c r="D19" s="54">
        <f>(($E$6*8+E7*F7+E8*F8+C9)*(1-$B19)-$C$10-$C$11)*1000/$C$12/$C$13</f>
        <v>3998.6482181341157</v>
      </c>
      <c r="E19" s="54">
        <f>(($E$6*9+E7*F7+E8*F8+C9)*(1-$B19)-$C$10-$C$11)*1000/$C$12/$C$13</f>
        <v>4477.3370396976597</v>
      </c>
      <c r="F19" s="54">
        <f>(($E$6*10+E7*F7+E8*F8+C9)*(1-$B19)-$C$10-$C$11)*1000/$C$12/$C$13</f>
        <v>4956.0258612612051</v>
      </c>
      <c r="G19" s="54">
        <f>(($E$6*12+E7*F7+E8*F8+C9)*(1-$B19)-$C$10-$C$11)*1000/$C$12/$C$13</f>
        <v>5913.4035043882932</v>
      </c>
    </row>
    <row r="20" spans="2:7" ht="14" x14ac:dyDescent="0.3">
      <c r="B20" s="53">
        <v>0.25</v>
      </c>
      <c r="C20" s="54">
        <f>(($E$6*6+E7*F7+E8*F8+C9)*(1-$B20)-$C$10-$C$11)*1000/$C$12/$C$13</f>
        <v>2684.2677327669671</v>
      </c>
      <c r="D20" s="54">
        <f>(($E$6*8+E7*F7+E8*F8+C9)*(1-$B20)-$C$10-$C$11)*1000/$C$12/$C$13</f>
        <v>3529.0127119967519</v>
      </c>
      <c r="E20" s="54">
        <f>(($E$6*9+E7*F7+E8*F8+C9)*(1-$B20)-$C$10-$C$11)*1000/$C$12/$C$13</f>
        <v>3951.385201611643</v>
      </c>
      <c r="F20" s="54">
        <f>(($E$6*10+E7*F7+E8*F8+C9)*(1-$B20)-$C$10-$C$11)*1000/$C$12/$C$13</f>
        <v>4373.7576912265349</v>
      </c>
      <c r="G20" s="54">
        <f>(($E$6*12+E7*F7+E8*F8+C9)*(1-$B20)-$C$10-$C$11)*1000/$C$12/$C$13</f>
        <v>5218.5026704563197</v>
      </c>
    </row>
    <row r="23" spans="2:7" ht="14" x14ac:dyDescent="0.3">
      <c r="B23" s="3" t="s">
        <v>122</v>
      </c>
    </row>
    <row r="24" spans="2:7" ht="14" x14ac:dyDescent="0.3">
      <c r="B24" s="10" t="s">
        <v>123</v>
      </c>
    </row>
    <row r="25" spans="2:7" ht="14" x14ac:dyDescent="0.3">
      <c r="B25" s="11" t="s">
        <v>124</v>
      </c>
      <c r="C25" s="52">
        <v>4</v>
      </c>
      <c r="D25" s="52">
        <v>8</v>
      </c>
      <c r="E25" s="52">
        <v>12</v>
      </c>
    </row>
    <row r="26" spans="2:7" ht="14" x14ac:dyDescent="0.3">
      <c r="B26" s="56">
        <v>4</v>
      </c>
      <c r="C26" s="54">
        <f>(($E$7*$B26+$E$8*C$25+$E$6*$F$6+$C$9)*(1-'SOTP Valuation'!$C$20)-$C$10-$C$11)*1000/$C$12/$C$13</f>
        <v>4685.6669894118741</v>
      </c>
      <c r="D26" s="54">
        <f>(($E$7*$B26+$E$8*D$25+$E$6*$F$6+$C$9)*(1-'SOTP Valuation'!$C$20)-$C$10-$C$11)*1000/$C$12/$C$13</f>
        <v>4677.6612424649402</v>
      </c>
      <c r="E26" s="54">
        <f>(($E$7*$B26+$E$8*E$25+$E$6*$F$6+$C$9)*(1-'SOTP Valuation'!$C$20)-$C$10-$C$11)*1000/$C$12/$C$13</f>
        <v>4669.6554955180063</v>
      </c>
    </row>
    <row r="27" spans="2:7" ht="14" x14ac:dyDescent="0.3">
      <c r="B27" s="56">
        <v>6</v>
      </c>
      <c r="C27" s="54">
        <f>(($E$7*$B27+$E$8*C$25+$E$6*$F$6+$C$9)*(1-'SOTP Valuation'!$C$20)-$C$10-$C$11)*1000/$C$12/$C$13</f>
        <v>4748.3187056876022</v>
      </c>
      <c r="D27" s="55">
        <f>(($E$7*$B27+$E$8*D$25+$E$6*$F$6+$C$9)*(1-'SOTP Valuation'!$C$20)-$C$10-$C$11)*1000/$C$12/$C$13</f>
        <v>4740.3129587406684</v>
      </c>
      <c r="E27" s="54">
        <f>(($E$7*$B27+$E$8*E$25+$E$6*$F$6+$C$9)*(1-'SOTP Valuation'!$C$20)-$C$10-$C$11)*1000/$C$12/$C$13</f>
        <v>4732.3072117937345</v>
      </c>
    </row>
    <row r="28" spans="2:7" ht="14" x14ac:dyDescent="0.3">
      <c r="B28" s="56">
        <v>8</v>
      </c>
      <c r="C28" s="54">
        <f>(($E$7*$B28+$E$8*C$25+$E$6*$F$6+$C$9)*(1-'SOTP Valuation'!$C$20)-$C$10-$C$11)*1000/$C$12/$C$13</f>
        <v>4810.9704219633322</v>
      </c>
      <c r="D28" s="54">
        <f>(($E$7*$B28+$E$8*D$25+$E$6*$F$6+$C$9)*(1-'SOTP Valuation'!$C$20)-$C$10-$C$11)*1000/$C$12/$C$13</f>
        <v>4802.9646750163975</v>
      </c>
      <c r="E28" s="54">
        <f>(($E$7*$B28+$E$8*E$25+$E$6*$F$6+$C$9)*(1-'SOTP Valuation'!$C$20)-$C$10-$C$11)*1000/$C$12/$C$13</f>
        <v>4794.9589280694618</v>
      </c>
    </row>
  </sheetData>
  <phoneticPr fontId="1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B1:E19"/>
  <sheetViews>
    <sheetView workbookViewId="0"/>
  </sheetViews>
  <sheetFormatPr defaultRowHeight="13" x14ac:dyDescent="0.2"/>
  <cols>
    <col min="1" max="1" width="3" customWidth="1"/>
    <col min="2" max="2" width="35" customWidth="1"/>
    <col min="3" max="5" width="18" customWidth="1"/>
  </cols>
  <sheetData>
    <row r="1" spans="2:5" ht="18" x14ac:dyDescent="0.4">
      <c r="B1" s="1" t="s">
        <v>125</v>
      </c>
    </row>
    <row r="3" spans="2:5" ht="13.5" x14ac:dyDescent="0.25">
      <c r="B3" s="2" t="s">
        <v>126</v>
      </c>
    </row>
    <row r="4" spans="2:5" ht="13.5" x14ac:dyDescent="0.25">
      <c r="B4" s="2" t="s">
        <v>127</v>
      </c>
    </row>
    <row r="5" spans="2:5" ht="13.5" x14ac:dyDescent="0.25">
      <c r="B5" s="2" t="s">
        <v>128</v>
      </c>
    </row>
    <row r="7" spans="2:5" ht="14" x14ac:dyDescent="0.3">
      <c r="B7" s="11" t="s">
        <v>129</v>
      </c>
      <c r="C7" s="41">
        <v>4288</v>
      </c>
      <c r="D7" s="10" t="s">
        <v>130</v>
      </c>
    </row>
    <row r="9" spans="2:5" ht="14" x14ac:dyDescent="0.3">
      <c r="B9" s="4" t="s">
        <v>28</v>
      </c>
      <c r="C9" s="4" t="s">
        <v>131</v>
      </c>
      <c r="D9" s="4" t="s">
        <v>132</v>
      </c>
      <c r="E9" s="4" t="s">
        <v>133</v>
      </c>
    </row>
    <row r="10" spans="2:5" ht="13.5" x14ac:dyDescent="0.25">
      <c r="B10" s="5" t="s">
        <v>42</v>
      </c>
      <c r="C10" s="33">
        <v>0.85</v>
      </c>
      <c r="D10" s="34">
        <f>$C$7*C10</f>
        <v>3644.7999999999997</v>
      </c>
    </row>
    <row r="11" spans="2:5" ht="13.5" x14ac:dyDescent="0.25">
      <c r="B11" s="5" t="s">
        <v>61</v>
      </c>
      <c r="C11" s="33">
        <v>0.05</v>
      </c>
      <c r="D11" s="34">
        <f>$C$7*C11</f>
        <v>214.4</v>
      </c>
    </row>
    <row r="12" spans="2:5" ht="13.5" x14ac:dyDescent="0.25">
      <c r="B12" s="5" t="s">
        <v>75</v>
      </c>
      <c r="C12" s="33">
        <v>0.1</v>
      </c>
      <c r="D12" s="34">
        <f>$C$7*C12</f>
        <v>428.8</v>
      </c>
    </row>
    <row r="13" spans="2:5" ht="14" x14ac:dyDescent="0.3">
      <c r="B13" s="38" t="s">
        <v>134</v>
      </c>
      <c r="C13" s="57">
        <f>C10+C11+C12</f>
        <v>1</v>
      </c>
      <c r="D13" s="40">
        <f>D10+D11+D12</f>
        <v>4288</v>
      </c>
      <c r="E13" s="38" t="str">
        <f>IF(ABS(C13-1)&lt;0.001,"OK","CHECK")</f>
        <v>OK</v>
      </c>
    </row>
    <row r="15" spans="2:5" ht="14" x14ac:dyDescent="0.3">
      <c r="B15" s="3" t="s">
        <v>135</v>
      </c>
    </row>
    <row r="16" spans="2:5" ht="14" x14ac:dyDescent="0.3">
      <c r="B16" s="69" t="s">
        <v>136</v>
      </c>
      <c r="C16" s="66"/>
      <c r="D16" s="66"/>
      <c r="E16" s="66"/>
    </row>
    <row r="17" spans="2:5" ht="14" x14ac:dyDescent="0.3">
      <c r="B17" s="69" t="s">
        <v>137</v>
      </c>
      <c r="C17" s="66"/>
      <c r="D17" s="66"/>
      <c r="E17" s="66"/>
    </row>
    <row r="18" spans="2:5" ht="14" x14ac:dyDescent="0.3">
      <c r="B18" s="69" t="s">
        <v>138</v>
      </c>
      <c r="C18" s="66"/>
      <c r="D18" s="66"/>
      <c r="E18" s="66"/>
    </row>
    <row r="19" spans="2:5" ht="14" x14ac:dyDescent="0.3">
      <c r="B19" s="69" t="s">
        <v>139</v>
      </c>
      <c r="C19" s="66"/>
      <c r="D19" s="66"/>
      <c r="E19" s="66"/>
    </row>
  </sheetData>
  <mergeCells count="4">
    <mergeCell ref="B17:E17"/>
    <mergeCell ref="B18:E18"/>
    <mergeCell ref="B19:E19"/>
    <mergeCell ref="B16:E16"/>
  </mergeCells>
  <phoneticPr fontId="1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3300"/>
  </sheetPr>
  <dimension ref="B1:E17"/>
  <sheetViews>
    <sheetView workbookViewId="0"/>
  </sheetViews>
  <sheetFormatPr defaultRowHeight="13" x14ac:dyDescent="0.2"/>
  <cols>
    <col min="1" max="1" width="3" customWidth="1"/>
    <col min="2" max="2" width="12" customWidth="1"/>
    <col min="3" max="3" width="26" customWidth="1"/>
    <col min="4" max="4" width="62" customWidth="1"/>
    <col min="5" max="5" width="70" customWidth="1"/>
  </cols>
  <sheetData>
    <row r="1" spans="2:5" ht="18" x14ac:dyDescent="0.4">
      <c r="B1" s="1" t="s">
        <v>140</v>
      </c>
    </row>
    <row r="2" spans="2:5" ht="13.5" x14ac:dyDescent="0.25">
      <c r="B2" s="61" t="s">
        <v>141</v>
      </c>
    </row>
    <row r="4" spans="2:5" ht="14" x14ac:dyDescent="0.3">
      <c r="B4" s="62" t="s">
        <v>142</v>
      </c>
      <c r="C4" s="62" t="s">
        <v>143</v>
      </c>
      <c r="D4" s="62" t="s">
        <v>144</v>
      </c>
      <c r="E4" s="62" t="s">
        <v>145</v>
      </c>
    </row>
    <row r="5" spans="2:5" ht="23" x14ac:dyDescent="0.2">
      <c r="B5" s="63" t="s">
        <v>146</v>
      </c>
      <c r="C5" s="63" t="s">
        <v>147</v>
      </c>
      <c r="D5" s="63" t="s">
        <v>148</v>
      </c>
      <c r="E5" s="63" t="s">
        <v>149</v>
      </c>
    </row>
    <row r="6" spans="2:5" ht="23" x14ac:dyDescent="0.2">
      <c r="B6" s="63" t="s">
        <v>146</v>
      </c>
      <c r="C6" s="63" t="s">
        <v>150</v>
      </c>
      <c r="D6" s="63" t="s">
        <v>151</v>
      </c>
      <c r="E6" s="63" t="s">
        <v>152</v>
      </c>
    </row>
    <row r="7" spans="2:5" x14ac:dyDescent="0.2">
      <c r="B7" s="63" t="s">
        <v>146</v>
      </c>
      <c r="C7" s="63" t="s">
        <v>83</v>
      </c>
      <c r="D7" s="63" t="s">
        <v>153</v>
      </c>
      <c r="E7" s="63" t="s">
        <v>154</v>
      </c>
    </row>
    <row r="8" spans="2:5" x14ac:dyDescent="0.2">
      <c r="B8" s="63" t="s">
        <v>146</v>
      </c>
      <c r="C8" s="63" t="s">
        <v>155</v>
      </c>
      <c r="D8" s="63" t="s">
        <v>156</v>
      </c>
      <c r="E8" s="63" t="s">
        <v>157</v>
      </c>
    </row>
    <row r="9" spans="2:5" ht="23" x14ac:dyDescent="0.2">
      <c r="B9" s="63" t="s">
        <v>146</v>
      </c>
      <c r="C9" s="63" t="s">
        <v>158</v>
      </c>
      <c r="D9" s="63" t="s">
        <v>159</v>
      </c>
      <c r="E9" s="63" t="s">
        <v>160</v>
      </c>
    </row>
    <row r="10" spans="2:5" ht="23" x14ac:dyDescent="0.2">
      <c r="B10" s="63" t="s">
        <v>146</v>
      </c>
      <c r="C10" s="63" t="s">
        <v>161</v>
      </c>
      <c r="D10" s="63" t="s">
        <v>162</v>
      </c>
      <c r="E10" s="63" t="s">
        <v>163</v>
      </c>
    </row>
    <row r="13" spans="2:5" ht="14" x14ac:dyDescent="0.3">
      <c r="B13" s="3" t="s">
        <v>164</v>
      </c>
    </row>
    <row r="14" spans="2:5" ht="14" x14ac:dyDescent="0.3">
      <c r="B14" s="62" t="s">
        <v>165</v>
      </c>
      <c r="C14" s="62" t="s">
        <v>166</v>
      </c>
      <c r="D14" s="62" t="s">
        <v>167</v>
      </c>
    </row>
    <row r="15" spans="2:5" ht="23" x14ac:dyDescent="0.25">
      <c r="B15" s="64">
        <v>1</v>
      </c>
      <c r="C15" s="63" t="s">
        <v>168</v>
      </c>
      <c r="D15" s="63" t="s">
        <v>169</v>
      </c>
    </row>
    <row r="16" spans="2:5" ht="23" x14ac:dyDescent="0.25">
      <c r="B16" s="64">
        <v>2</v>
      </c>
      <c r="C16" s="63" t="s">
        <v>170</v>
      </c>
      <c r="D16" s="63" t="s">
        <v>171</v>
      </c>
    </row>
    <row r="17" spans="2:4" ht="23" x14ac:dyDescent="0.25">
      <c r="B17" s="64">
        <v>3</v>
      </c>
      <c r="C17" s="63" t="s">
        <v>172</v>
      </c>
      <c r="D17" s="63" t="s">
        <v>173</v>
      </c>
    </row>
  </sheetData>
  <phoneticPr fontId="1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Cover &amp; Thesis</vt:lpstr>
      <vt:lpstr>Segment Data</vt:lpstr>
      <vt:lpstr>Peer Comps</vt:lpstr>
      <vt:lpstr>SOTP Valuation</vt:lpstr>
      <vt:lpstr>Sensitivity</vt:lpstr>
      <vt:lpstr>D&amp;A Allocation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2026-08-22T12:10:57Z</dcterms:created>
  <dcterms:modified xsi:type="dcterms:W3CDTF">2026-08-22T12:11:09Z</dcterms:modified>
</cp:coreProperties>
</file>