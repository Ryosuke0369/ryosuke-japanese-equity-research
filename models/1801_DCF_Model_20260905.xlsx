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86DD599-780B-48D2-9782-DB151C8858DB}"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F15" i="6" s="1"/>
  <c r="K6" i="6"/>
  <c r="J6" i="6"/>
  <c r="O5" i="6"/>
  <c r="N5" i="6"/>
  <c r="E5" i="6"/>
  <c r="D5" i="6"/>
  <c r="M5" i="6" s="1"/>
  <c r="C16" i="5"/>
  <c r="C14" i="5"/>
  <c r="C7" i="5"/>
  <c r="C6" i="5"/>
  <c r="C5" i="5"/>
  <c r="C13" i="4"/>
  <c r="C12" i="4"/>
  <c r="C9" i="4"/>
  <c r="C7" i="4"/>
  <c r="C6" i="4"/>
  <c r="D27" i="3"/>
  <c r="E6" i="5" s="1"/>
  <c r="C25" i="3"/>
  <c r="C24" i="3"/>
  <c r="C23" i="3"/>
  <c r="C26" i="3" s="1"/>
  <c r="F28" i="2"/>
  <c r="E28" i="2"/>
  <c r="D28" i="2"/>
  <c r="C28" i="2"/>
  <c r="F16" i="2"/>
  <c r="E16" i="2"/>
  <c r="D16" i="2"/>
  <c r="F15" i="2"/>
  <c r="E15" i="2"/>
  <c r="D15" i="2"/>
  <c r="F14" i="2"/>
  <c r="E14" i="2"/>
  <c r="D14" i="2"/>
  <c r="C14" i="2"/>
  <c r="F13" i="2"/>
  <c r="E13" i="2"/>
  <c r="D13" i="2"/>
  <c r="C13" i="2"/>
  <c r="F8" i="2"/>
  <c r="F9" i="2" s="1"/>
  <c r="E8" i="2"/>
  <c r="E9" i="2" s="1"/>
  <c r="D8" i="2"/>
  <c r="D9" i="2" s="1"/>
  <c r="C8" i="2"/>
  <c r="C9" i="2" s="1"/>
  <c r="F46" i="3" l="1"/>
  <c r="F36" i="4"/>
  <c r="F45" i="4" s="1"/>
  <c r="D46" i="3"/>
  <c r="C8" i="4"/>
  <c r="C10" i="4" s="1"/>
  <c r="C71" i="4" s="1"/>
  <c r="D17" i="6"/>
  <c r="G17" i="6"/>
  <c r="H15" i="6"/>
  <c r="L5" i="6"/>
  <c r="C70" i="4"/>
  <c r="G31" i="3"/>
  <c r="F43" i="4"/>
  <c r="F40" i="4"/>
  <c r="F41" i="4"/>
  <c r="F39" i="4"/>
  <c r="F49" i="4" s="1"/>
  <c r="C3" i="7"/>
  <c r="G36" i="4"/>
  <c r="C11" i="4"/>
  <c r="C24" i="4" s="1"/>
  <c r="C25" i="4" s="1"/>
  <c r="E36" i="4"/>
  <c r="E46" i="3"/>
  <c r="H36" i="4"/>
  <c r="D32" i="3"/>
  <c r="C46" i="3"/>
  <c r="F38" i="4"/>
  <c r="F48" i="4" s="1"/>
  <c r="F53" i="4" s="1"/>
  <c r="E16" i="6"/>
  <c r="E17" i="6"/>
  <c r="G15" i="6"/>
  <c r="G16" i="6"/>
  <c r="G5" i="5"/>
  <c r="G6" i="5"/>
  <c r="E5" i="5"/>
  <c r="F32" i="3"/>
  <c r="C31" i="3"/>
  <c r="F7" i="5"/>
  <c r="D6" i="5"/>
  <c r="C32" i="3"/>
  <c r="E30" i="3"/>
  <c r="E7" i="5"/>
  <c r="D7" i="5"/>
  <c r="H5" i="5"/>
  <c r="F31" i="3"/>
  <c r="C30" i="3"/>
  <c r="C33" i="3" s="1"/>
  <c r="E32" i="3"/>
  <c r="F6" i="5"/>
  <c r="D30" i="3"/>
  <c r="G32" i="3"/>
  <c r="G30" i="3"/>
  <c r="G7" i="5"/>
  <c r="I16" i="6"/>
  <c r="F44" i="4"/>
  <c r="H6" i="5"/>
  <c r="J5" i="6"/>
  <c r="K5" i="6"/>
  <c r="D31" i="3"/>
  <c r="D5" i="5"/>
  <c r="H7" i="5"/>
  <c r="C18" i="5"/>
  <c r="D15" i="6"/>
  <c r="D16" i="6"/>
  <c r="E15" i="6"/>
  <c r="F30" i="3"/>
  <c r="G46" i="3"/>
  <c r="E31" i="3"/>
  <c r="D36" i="4"/>
  <c r="F46" i="4"/>
  <c r="F5" i="5"/>
  <c r="I15" i="6"/>
  <c r="I6" i="7"/>
  <c r="F17" i="6"/>
  <c r="C17" i="7"/>
  <c r="C6" i="7"/>
  <c r="D17" i="7"/>
  <c r="F16" i="6"/>
  <c r="C28" i="6" s="1"/>
  <c r="C19" i="1" s="1"/>
  <c r="D19" i="1" s="1"/>
  <c r="H17" i="6"/>
  <c r="D6" i="7"/>
  <c r="E17" i="7"/>
  <c r="I17" i="6"/>
  <c r="E6" i="7"/>
  <c r="F17" i="7"/>
  <c r="H16" i="6"/>
  <c r="F6" i="7"/>
  <c r="G17" i="7"/>
  <c r="G6" i="7"/>
  <c r="H17" i="7"/>
  <c r="F51" i="4" l="1"/>
  <c r="F56" i="4" s="1"/>
  <c r="F50" i="4"/>
  <c r="F55" i="4" s="1"/>
  <c r="C27" i="4"/>
  <c r="C26" i="4"/>
  <c r="C29" i="4"/>
  <c r="G46" i="4"/>
  <c r="G44" i="4"/>
  <c r="G45" i="4"/>
  <c r="G39" i="4"/>
  <c r="G43" i="4"/>
  <c r="G41" i="4"/>
  <c r="G40" i="4"/>
  <c r="G38" i="4"/>
  <c r="G48" i="4" s="1"/>
  <c r="G53" i="4" s="1"/>
  <c r="D45" i="4"/>
  <c r="D43" i="4"/>
  <c r="D44" i="4"/>
  <c r="D38" i="4"/>
  <c r="D41" i="4"/>
  <c r="D46" i="4"/>
  <c r="D40" i="4"/>
  <c r="D39" i="4"/>
  <c r="H40" i="4"/>
  <c r="H50" i="4" s="1"/>
  <c r="H55" i="4" s="1"/>
  <c r="H38" i="4"/>
  <c r="H48" i="4" s="1"/>
  <c r="H53" i="4" s="1"/>
  <c r="H39" i="4"/>
  <c r="H49" i="4" s="1"/>
  <c r="H54" i="4" s="1"/>
  <c r="H43" i="4"/>
  <c r="H46" i="4"/>
  <c r="H45" i="4"/>
  <c r="H44" i="4"/>
  <c r="H41" i="4"/>
  <c r="H51" i="4" s="1"/>
  <c r="H56" i="4" s="1"/>
  <c r="C27" i="6"/>
  <c r="C18" i="1" s="1"/>
  <c r="D18" i="1" s="1"/>
  <c r="C74" i="4"/>
  <c r="E39" i="4"/>
  <c r="E49" i="4" s="1"/>
  <c r="E54" i="4" s="1"/>
  <c r="E46" i="4"/>
  <c r="E38" i="4"/>
  <c r="E41" i="4"/>
  <c r="E45" i="4"/>
  <c r="E40" i="4"/>
  <c r="E44" i="4"/>
  <c r="E43" i="4"/>
  <c r="B78" i="4"/>
  <c r="C60" i="4"/>
  <c r="F54" i="4"/>
  <c r="D9" i="5"/>
  <c r="D12" i="5" s="1"/>
  <c r="D33" i="3"/>
  <c r="C34" i="3"/>
  <c r="D10" i="5" s="1"/>
  <c r="C37" i="3"/>
  <c r="C42" i="3"/>
  <c r="B13" i="7"/>
  <c r="B12" i="7"/>
  <c r="B11" i="7"/>
  <c r="B10" i="7"/>
  <c r="B9" i="7"/>
  <c r="B8" i="7"/>
  <c r="B7" i="7"/>
  <c r="B24" i="7"/>
  <c r="B23" i="7"/>
  <c r="B22" i="7"/>
  <c r="B21" i="7"/>
  <c r="B20" i="7"/>
  <c r="B19" i="7"/>
  <c r="B18" i="7"/>
  <c r="D50" i="4" l="1"/>
  <c r="D55" i="4" s="1"/>
  <c r="D42" i="3"/>
  <c r="D34" i="3"/>
  <c r="E10" i="5" s="1"/>
  <c r="D35" i="3"/>
  <c r="E33" i="3"/>
  <c r="E9" i="5"/>
  <c r="E12" i="5" s="1"/>
  <c r="D37" i="3"/>
  <c r="E50" i="4"/>
  <c r="E55" i="4" s="1"/>
  <c r="D49" i="4"/>
  <c r="D54" i="4" s="1"/>
  <c r="C35" i="3"/>
  <c r="E51" i="4"/>
  <c r="E56" i="4" s="1"/>
  <c r="G51" i="4"/>
  <c r="G56" i="4" s="1"/>
  <c r="D15" i="5"/>
  <c r="D16" i="5" s="1"/>
  <c r="D13" i="5"/>
  <c r="D14" i="5" s="1"/>
  <c r="D18" i="5" s="1"/>
  <c r="D19" i="5" s="1"/>
  <c r="C44" i="3" s="1"/>
  <c r="E48" i="4"/>
  <c r="E53" i="4" s="1"/>
  <c r="D51" i="4"/>
  <c r="D56" i="4" s="1"/>
  <c r="G50" i="4"/>
  <c r="G55" i="4" s="1"/>
  <c r="C67" i="4"/>
  <c r="D67" i="4" s="1"/>
  <c r="C63" i="4"/>
  <c r="D63" i="4" s="1"/>
  <c r="C66" i="4"/>
  <c r="D66" i="4" s="1"/>
  <c r="C65" i="4"/>
  <c r="D65" i="4" s="1"/>
  <c r="C64" i="4"/>
  <c r="D64" i="4" s="1"/>
  <c r="D48" i="4"/>
  <c r="D53" i="4" s="1"/>
  <c r="G49" i="4"/>
  <c r="G54" i="4" s="1"/>
  <c r="F9" i="5" l="1"/>
  <c r="F12" i="5" s="1"/>
  <c r="E37" i="3"/>
  <c r="F33" i="3"/>
  <c r="E34" i="3"/>
  <c r="F10" i="5" s="1"/>
  <c r="E42" i="3"/>
  <c r="E35" i="3"/>
  <c r="D38" i="3"/>
  <c r="D36" i="3"/>
  <c r="D39" i="3"/>
  <c r="E13" i="5"/>
  <c r="E14" i="5" s="1"/>
  <c r="E15" i="5"/>
  <c r="E16" i="5" s="1"/>
  <c r="C39" i="3"/>
  <c r="C38" i="3"/>
  <c r="C36" i="3"/>
  <c r="E18" i="5" l="1"/>
  <c r="E19" i="5" s="1"/>
  <c r="D44" i="3" s="1"/>
  <c r="C40" i="3"/>
  <c r="C41" i="3" s="1"/>
  <c r="C45" i="3" s="1"/>
  <c r="G9" i="5"/>
  <c r="G12" i="5" s="1"/>
  <c r="F37" i="3"/>
  <c r="G33" i="3"/>
  <c r="F42" i="3"/>
  <c r="F34" i="3"/>
  <c r="G10" i="5" s="1"/>
  <c r="E38" i="3"/>
  <c r="E36" i="3"/>
  <c r="E39" i="3"/>
  <c r="F15" i="5"/>
  <c r="F16" i="5" s="1"/>
  <c r="F13" i="5"/>
  <c r="F14" i="5" s="1"/>
  <c r="F18" i="5" s="1"/>
  <c r="F19" i="5" s="1"/>
  <c r="E44" i="3" s="1"/>
  <c r="D40" i="3"/>
  <c r="D41" i="3" s="1"/>
  <c r="D45" i="3" s="1"/>
  <c r="D47" i="3" s="1"/>
  <c r="C47" i="3" l="1"/>
  <c r="F35" i="3"/>
  <c r="C16" i="4"/>
  <c r="C28" i="4" s="1"/>
  <c r="H9" i="5"/>
  <c r="H12" i="5" s="1"/>
  <c r="G42" i="3"/>
  <c r="G34" i="3"/>
  <c r="H10" i="5" s="1"/>
  <c r="G37" i="3"/>
  <c r="G13" i="5"/>
  <c r="G14" i="5" s="1"/>
  <c r="G15" i="5"/>
  <c r="G16" i="5" s="1"/>
  <c r="E40" i="3"/>
  <c r="E41" i="3" s="1"/>
  <c r="E45" i="3" s="1"/>
  <c r="G35" i="3" l="1"/>
  <c r="G18" i="5"/>
  <c r="G19" i="5" s="1"/>
  <c r="F44" i="3" s="1"/>
  <c r="E47" i="3"/>
  <c r="H13" i="5"/>
  <c r="H14" i="5" s="1"/>
  <c r="H15" i="5"/>
  <c r="H16" i="5" s="1"/>
  <c r="C72" i="4"/>
  <c r="C73" i="4"/>
  <c r="G36" i="3"/>
  <c r="G39" i="3"/>
  <c r="G38" i="3"/>
  <c r="F36" i="3"/>
  <c r="F39" i="3"/>
  <c r="F38" i="3"/>
  <c r="H18" i="5" l="1"/>
  <c r="H19" i="5" s="1"/>
  <c r="G44" i="3" s="1"/>
  <c r="F40" i="3"/>
  <c r="F41" i="3"/>
  <c r="F45" i="3" s="1"/>
  <c r="G40" i="3"/>
  <c r="G41" i="3" s="1"/>
  <c r="G45" i="3" s="1"/>
  <c r="C59" i="3"/>
  <c r="C60" i="3" s="1"/>
  <c r="C61" i="3" s="1"/>
  <c r="C51" i="3" l="1"/>
  <c r="C52" i="3" s="1"/>
  <c r="G47" i="3"/>
  <c r="F47" i="3"/>
  <c r="E23" i="7"/>
  <c r="H20" i="7"/>
  <c r="C8" i="7"/>
  <c r="E11" i="7"/>
  <c r="H18" i="7"/>
  <c r="F11" i="7"/>
  <c r="H23" i="7"/>
  <c r="G20" i="7"/>
  <c r="I18" i="7"/>
  <c r="D24" i="7"/>
  <c r="C11" i="7"/>
  <c r="F12" i="7"/>
  <c r="F8" i="7"/>
  <c r="F22" i="7"/>
  <c r="H10" i="7"/>
  <c r="E7" i="7"/>
  <c r="I23" i="7"/>
  <c r="D11" i="7"/>
  <c r="G8" i="7"/>
  <c r="C18" i="7"/>
  <c r="E21" i="7"/>
  <c r="G24" i="7"/>
  <c r="F21" i="7"/>
  <c r="G21" i="7"/>
  <c r="F18" i="7"/>
  <c r="H24" i="7"/>
  <c r="C12" i="7"/>
  <c r="I9" i="7"/>
  <c r="E20" i="7"/>
  <c r="C24" i="7"/>
  <c r="G11" i="7"/>
  <c r="G23" i="7"/>
  <c r="H11" i="7"/>
  <c r="D21" i="7"/>
  <c r="G18" i="7"/>
  <c r="I21" i="7"/>
  <c r="D9" i="7"/>
  <c r="E10" i="7"/>
  <c r="E9" i="7"/>
  <c r="F19" i="7"/>
  <c r="D12" i="7"/>
  <c r="G12" i="7"/>
  <c r="C22" i="7"/>
  <c r="I24" i="7"/>
  <c r="F10" i="7"/>
  <c r="H8" i="7"/>
  <c r="I8" i="7"/>
  <c r="H21" i="7"/>
  <c r="C9" i="7"/>
  <c r="F24" i="7"/>
  <c r="H9" i="7"/>
  <c r="D19" i="7"/>
  <c r="D8" i="7"/>
  <c r="E19" i="7"/>
  <c r="D13" i="7"/>
  <c r="C10" i="7"/>
  <c r="G22" i="7"/>
  <c r="I10" i="7"/>
  <c r="G10" i="7"/>
  <c r="C13" i="7"/>
  <c r="H22" i="7"/>
  <c r="G9" i="7"/>
  <c r="C19" i="7"/>
  <c r="E12" i="7"/>
  <c r="H19" i="7"/>
  <c r="C7" i="7"/>
  <c r="I19" i="7"/>
  <c r="D7" i="7"/>
  <c r="D23" i="7"/>
  <c r="C20" i="7"/>
  <c r="H13" i="7"/>
  <c r="C21" i="7"/>
  <c r="E24" i="7"/>
  <c r="F23" i="7"/>
  <c r="I11" i="7"/>
  <c r="G19" i="7"/>
  <c r="I7" i="7"/>
  <c r="E22" i="7"/>
  <c r="G7" i="7"/>
  <c r="I13" i="7"/>
  <c r="H7" i="7"/>
  <c r="F20" i="7"/>
  <c r="E13" i="7"/>
  <c r="E18" i="7"/>
  <c r="F7" i="7"/>
  <c r="I22" i="7"/>
  <c r="D10" i="7"/>
  <c r="F13" i="7"/>
  <c r="I20" i="7"/>
  <c r="G13" i="7"/>
  <c r="C23" i="7"/>
  <c r="H12" i="7"/>
  <c r="D18" i="7"/>
  <c r="E8" i="7"/>
  <c r="F9" i="7"/>
  <c r="D22" i="7"/>
  <c r="D20" i="7"/>
  <c r="I12" i="7"/>
  <c r="C50" i="3" l="1"/>
  <c r="C53" i="3" l="1"/>
  <c r="C58" i="3"/>
  <c r="C62" i="3" s="1"/>
  <c r="C54" i="3" l="1"/>
  <c r="C55" i="3" s="1"/>
  <c r="C16" i="1" s="1"/>
  <c r="C17" i="4"/>
  <c r="C63" i="3"/>
  <c r="C64" i="3" s="1"/>
  <c r="C17" i="1" s="1"/>
  <c r="D17" i="1" s="1"/>
  <c r="C10" i="1" l="1"/>
  <c r="C12" i="1" s="1"/>
  <c r="C11" i="1" s="1"/>
  <c r="C21" i="1"/>
  <c r="D16" i="1"/>
  <c r="C19" i="4"/>
  <c r="C20" i="4" s="1"/>
  <c r="B79" i="4" s="1"/>
</calcChain>
</file>

<file path=xl/sharedStrings.xml><?xml version="1.0" encoding="utf-8"?>
<sst xmlns="http://schemas.openxmlformats.org/spreadsheetml/2006/main" count="411" uniqueCount="331">
  <si>
    <t>DISCLAIMER: This is a sample analysis for demonstration purposes only. It does not constitute investment advice.</t>
  </si>
  <si>
    <t>大成建設 (1801.T)</t>
  </si>
  <si>
    <t>Equity Research Report</t>
  </si>
  <si>
    <t>Company</t>
  </si>
  <si>
    <t>大成建設</t>
  </si>
  <si>
    <t>Ticker</t>
  </si>
  <si>
    <t>1801.T (TSE Prime)</t>
  </si>
  <si>
    <t>Sector</t>
  </si>
  <si>
    <t>建設業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</si>
  <si>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</si>
  <si>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</si>
  <si>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</si>
  <si>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</si>
  <si>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</si>
  <si>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</si>
  <si>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</si>
  <si>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</si>
  <si>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</si>
  <si>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</si>
  <si>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</si>
  <si>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</si>
  <si>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</si>
  <si>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</si>
  <si>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</si>
  <si>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</si>
  <si>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</si>
  <si>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</si>
  <si>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</si>
  <si>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</si>
  <si>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</si>
  <si>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</si>
  <si>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大成建設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</si>
  <si>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</si>
  <si>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</si>
  <si>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</si>
  <si>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</si>
  <si>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</si>
  <si>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</si>
  <si>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</si>
  <si>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</si>
  <si>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</si>
  <si>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</si>
  <si>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</si>
  <si>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</si>
  <si>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</si>
  <si>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</si>
  <si>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</si>
  <si>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</si>
  <si>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</si>
  <si>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</si>
  <si>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</si>
  <si>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</si>
  <si>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</si>
  <si>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</si>
  <si>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</si>
  <si>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</si>
  <si>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</si>
  <si>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</si>
  <si>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</si>
  <si>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</si>
  <si>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大成建設</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</si>
  <si>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</si>
  <si>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</si>
  <si>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</si>
  <si>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</si>
  <si>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</si>
  <si>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</si>
  <si>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</si>
  <si>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</si>
  <si>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</si>
  <si>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</si>
  <si>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</si>
  <si>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</si>
  <si>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</si>
  <si>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</si>
  <si>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</si>
  <si>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</si>
  <si>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</si>
  <si>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</si>
  <si>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</si>
  <si>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</si>
  <si>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</si>
  <si>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</si>
  <si>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</si>
  <si>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</si>
  <si>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</si>
  <si>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</si>
  <si>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</si>
  <si>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</si>
  <si>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</si>
  <si>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</si>
  <si>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</si>
  <si>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</si>
  <si>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</si>
  <si>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</si>
  <si>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</si>
  <si>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</si>
  <si>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</si>
  <si>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</si>
  <si>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</si>
  <si>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</si>
  <si>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</si>
  <si>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</si>
  <si>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</si>
  <si>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</si>
  <si>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</si>
  <si>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</si>
  <si>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</si>
  <si>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</si>
  <si>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</si>
  <si>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</si>
  <si>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</si>
  <si>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</si>
  <si>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</si>
  <si>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</si>
  <si>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</si>
  <si>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</si>
  <si>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</si>
  <si>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</si>
  <si>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</si>
  <si>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</si>
  <si>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</si>
  <si>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</si>
  <si>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</si>
  <si>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</si>
  <si>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大成建設 (1801.T)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</si>
  <si>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</si>
  <si>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</si>
  <si>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</si>
  <si>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</si>
  <si>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</si>
  <si>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</si>
  <si>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</si>
  <si>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</si>
  <si>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</si>
  <si>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</si>
  <si>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</si>
  <si>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</si>
  <si>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</si>
  <si>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</si>
  <si>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</si>
  <si>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</si>
  <si>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</si>
  <si>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</si>
  <si>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</si>
  <si>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</si>
  <si>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</si>
  <si>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</si>
  <si>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</si>
  <si>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</si>
  <si>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</si>
  <si>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</si>
  <si>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</si>
  <si>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</si>
  <si>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</si>
  <si>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</si>
  <si>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</si>
  <si>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</si>
  <si>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</si>
  <si>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</si>
  <si>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</si>
  <si>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</si>
  <si>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</si>
  <si>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</si>
  <si>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</si>
  <si>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</si>
  <si>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</si>
  <si>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</si>
  <si>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</si>
  <si>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</si>
  <si>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</si>
  <si>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</si>
  <si>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</si>
  <si>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</si>
  <si>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</si>
  <si>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</si>
  <si>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</si>
  <si>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大成建設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</si>
  <si>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</si>
  <si>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</si>
  <si>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</si>
  <si>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</si>
  <si>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</si>
  <si>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</si>
  <si>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</si>
  <si>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</si>
  <si>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</si>
  <si>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</si>
  <si>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</si>
  <si>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</si>
  <si>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</si>
  <si>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</si>
  <si>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</si>
  <si>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</si>
  <si>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</si>
  <si>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</si>
  <si>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</si>
  <si>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</si>
  <si>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</si>
  <si>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</si>
  <si>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</si>
  <si>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</si>
  <si>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</si>
  <si>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</si>
  <si>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</si>
  <si>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</si>
  <si>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</si>
  <si>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</si>
  <si>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</si>
  <si>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</si>
  <si>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</si>
  <si>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</si>
  <si>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Taisei Corporation</t>
  </si>
  <si>
    <t>1801.T</t>
  </si>
  <si>
    <t>Obayashi Corporation</t>
  </si>
  <si>
    <t>1802.T</t>
  </si>
  <si>
    <t>Kajima Corporation</t>
  </si>
  <si>
    <t>1812.T</t>
  </si>
  <si>
    <t>Shimizu Corporation</t>
  </si>
  <si>
    <t>1803.T</t>
  </si>
  <si>
    <t>Sekisui House, Ltd.</t>
  </si>
  <si>
    <t>1928.T</t>
  </si>
  <si>
    <t>Daiwa House Industry Co., Ltd.</t>
  </si>
  <si>
    <t>1925.T</t>
  </si>
  <si>
    <t>Statistics</t>
  </si>
  <si>
    <t>25th Percentile</t>
  </si>
  <si>
    <t>Median (50th)</t>
  </si>
  <si>
    <t>75th Percentile</t>
  </si>
  <si>
    <t>Implied Valuation for 大成建設</t>
  </si>
  <si>
    <t>大成建設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</si>
  <si>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</si>
  <si>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</si>
  <si>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</si>
  <si>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</si>
  <si>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</si>
  <si>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</si>
  <si>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</si>
  <si>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</si>
  <si>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</si>
  <si>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</si>
  <si>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</si>
  <si>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</si>
  <si>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</si>
  <si>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</si>
  <si>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</si>
  <si>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大成建設</t>
  </si>
  <si>
    <t>日付</t>
  </si>
  <si>
    <t>セル</t>
  </si>
  <si>
    <t>変更内容</t>
  </si>
  <si>
    <t>理由</t>
  </si>
  <si>
    <t>元の値</t>
  </si>
  <si>
    <t>状態</t>
  </si>
  <si>
    <t>2026-09-06</t>
  </si>
  <si>
    <t>-</t>
  </si>
  <si>
    <t>Generated by pipeline on 2026-09-06 02:53, template rev c9b5dd9</t>
  </si>
  <si>
    <t>初期生成（手修正なし）</t>
  </si>
  <si>
    <t>generated</t>
  </si>
  <si>
    <t>DCF Model!C11</t>
  </si>
  <si>
    <t>After-tax Cost of Debt = 0.81% (実績ベース)</t>
  </si>
  <si>
    <t>実績Kd = 支払利息4,237 ÷ 平均有利子負債392,008(期首317,959/期末466,057、debt_beginning/debt_ending) = 税引前1.08% × (1−25.0%) = 0.81%。【マージナルコスト注記】これは既存借入の実績平均コストであり、新規調達の限界コストではない。テンプレ既定(税引前2.8%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</si>
  <si>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</si>
  <si>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</si>
  <si>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Pipeline Metadata (do not edit — read by scripts/validate_output.py)</t>
  </si>
  <si>
    <t>key</t>
  </si>
  <si>
    <t>value</t>
  </si>
  <si>
    <t>auto_log_entries</t>
  </si>
  <si>
    <t>1</t>
  </si>
  <si>
    <t>capex_pct_basis</t>
  </si>
  <si>
    <t>assumption</t>
  </si>
  <si>
    <t>capex_pct_c5</t>
  </si>
  <si>
    <t>0.0084</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</si>
  <si>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</si>
  <si>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</si>
  <si>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</si>
  <si>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</si>
  <si>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</si>
  <si>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</si>
  <si>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</si>
  <si>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</si>
  <si>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</si>
  <si>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</si>
  <si>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</si>
  <si>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</si>
  <si>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</si>
  <si>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</si>
  <si>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</si>
  <si>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</si>
  <si>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</si>
  <si>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</si>
  <si>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</si>
  <si>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</si>
  <si>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4,237 (expense 4,237 + fees 0) / avg debt 392,008 (debt_beginning/debt_ending) = 0.010808 pre-tax -&gt; 0.008100 after-tax</t>
  </si>
  <si>
    <t>cost_of_debt_at_c11</t>
  </si>
  <si>
    <t>0.0081</t>
  </si>
  <si>
    <t>cost_of_debt_avg_debt</t>
  </si>
  <si>
    <t>392008.0</t>
  </si>
  <si>
    <t>cost_of_debt_basis</t>
  </si>
  <si>
    <t>actual</t>
  </si>
  <si>
    <t>cost_of_debt_interest</t>
  </si>
  <si>
    <t>4237.0</t>
  </si>
  <si>
    <t>cost_of_debt_pretax</t>
  </si>
  <si>
    <t>0.010808452888716557</t>
  </si>
  <si>
    <t>da_pct_basis</t>
  </si>
  <si>
    <t>da_pct_c18</t>
  </si>
  <si>
    <t>0.008</t>
  </si>
  <si>
    <t>da_pct_hist3yr</t>
  </si>
  <si>
    <t>0.007687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</si>
  <si>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</si>
  <si>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</si>
  <si>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</si>
  <si>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</si>
  <si>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</si>
  <si>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</si>
  <si>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</si>
  <si>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</si>
  <si>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</si>
  <si>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02:53:04</t>
  </si>
  <si>
    <t>ltm_revenue_c20</t>
  </si>
  <si>
    <t>2089091.0</t>
  </si>
  <si>
    <t>ltm_revenue_source</t>
  </si>
  <si>
    <t>latest FY (no LTM)</t>
  </si>
  <si>
    <t>narrative_tokens_used</t>
  </si>
  <si>
    <t>reverse_dcf_sheet</t>
  </si>
  <si>
    <t>op0=187,974(FY2026) peak=187,974(FY2026) peak_opm=0.0900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</si>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</sst>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12690</v>
      </c>
    </row>
    <row r="10" spans="2:5" ht="14" x14ac:dyDescent="0.3">
      <c r="B10" s="4" t="s">
        <v>10</v>
      </c>
      <c r="C10" s="5">
        <f>IF(COUNT(C16:C17)=0,"N/A",ROUND(AVERAGE(C16:C17),0))</f>
        <v>10035</v>
      </c>
    </row>
    <row r="11" spans="2:5" ht="14" x14ac:dyDescent="0.3">
      <c r="B11" s="4" t="s">
        <v>11</v>
      </c>
      <c r="C11" s="6" t="str">
        <f>IF(NOT(ISNUMBER(C12)),"N/A",IF(C12&gt;0.15,"BUY",IF(C12&gt;0.05,"HOLD","SELL")))</f>
        <v>SELL</v>
      </c>
    </row>
    <row r="12" spans="2:5" ht="14" x14ac:dyDescent="0.3">
      <c r="B12" s="4" t="s">
        <v>12</v>
      </c>
      <c r="C12" s="7">
        <f>IF(ISNUMBER(C10),(C10-C9)/C9,"N/A")</f>
        <v>-0.20921985815602837</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10230</v>
      </c>
      <c r="D16" s="7">
        <f>IF(ISNUMBER(C16),(C16-C9)/C9,"N/A")</f>
        <v>-0.19385342789598109</v>
      </c>
    </row>
    <row r="17" spans="2:5" ht="13.5" x14ac:dyDescent="0.25">
      <c r="B17" t="s">
        <v>18</v>
      </c>
      <c r="C17" s="11">
        <f>IF('DCF Model'!C62&lt;'DCF Model'!C16,"INVALID (EV &lt; net debt)",'DCF Model'!C64)</f>
        <v>9840</v>
      </c>
      <c r="D17" s="7">
        <f>IF(ISNUMBER(C17),(C17-C9)/C9,"N/A")</f>
        <v>-0.22458628841607564</v>
      </c>
    </row>
    <row r="18" spans="2:5" ht="13.5" x14ac:dyDescent="0.25">
      <c r="B18" t="s">
        <v>19</v>
      </c>
      <c r="C18" s="11">
        <f>'Comps Analysis'!C27</f>
        <v>10778</v>
      </c>
      <c r="D18" s="7">
        <f>IF(ISNUMBER(C18),(C18-C9)/C9,"N/A")</f>
        <v>-0.15066981875492513</v>
      </c>
    </row>
    <row r="19" spans="2:5" ht="13.5" x14ac:dyDescent="0.25">
      <c r="B19" t="s">
        <v>20</v>
      </c>
      <c r="C19" s="11">
        <f>'Comps Analysis'!C28</f>
        <v>12423</v>
      </c>
      <c r="D19" s="7">
        <f>IF(ISNUMBER(C19),(C19-C9)/C9,"N/A")</f>
        <v>-2.1040189125295507E-2</v>
      </c>
    </row>
    <row r="20" spans="2:5" ht="14" x14ac:dyDescent="0.3">
      <c r="B20" s="45" t="s">
        <v>21</v>
      </c>
      <c r="C20" s="44"/>
      <c r="D20" s="44"/>
      <c r="E20" s="44"/>
    </row>
    <row r="21" spans="2:5" ht="14" x14ac:dyDescent="0.3">
      <c r="B21" s="4" t="s">
        <v>22</v>
      </c>
      <c r="C21" s="6" t="str">
        <f>IF(COUNT(C16:C17)=0,"N/A",MIN(C16:C17)&amp;" - "&amp;MAX(C16:C17))</f>
        <v>9840 - 10230</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1642712</v>
      </c>
      <c r="D6" s="5">
        <v>1765023</v>
      </c>
      <c r="E6" s="5">
        <v>2154223</v>
      </c>
      <c r="F6" s="5">
        <v>2089090</v>
      </c>
    </row>
    <row r="7" spans="2:6" ht="14" x14ac:dyDescent="0.3">
      <c r="B7" s="4" t="s">
        <v>38</v>
      </c>
      <c r="C7" s="5">
        <v>1494938</v>
      </c>
      <c r="D7" s="5">
        <v>1637622</v>
      </c>
      <c r="E7" s="5">
        <v>1923083</v>
      </c>
      <c r="F7" s="5">
        <v>1759035</v>
      </c>
    </row>
    <row r="8" spans="2:6" ht="14" x14ac:dyDescent="0.3">
      <c r="B8" s="4" t="s">
        <v>39</v>
      </c>
      <c r="C8" s="5">
        <f>C6-C7</f>
        <v>147774</v>
      </c>
      <c r="D8" s="5">
        <f>D6-D7</f>
        <v>127401</v>
      </c>
      <c r="E8" s="5">
        <f>E6-E7</f>
        <v>231140</v>
      </c>
      <c r="F8" s="5">
        <f>F6-F7</f>
        <v>330055</v>
      </c>
    </row>
    <row r="9" spans="2:6" ht="13.5" x14ac:dyDescent="0.25">
      <c r="B9" t="s">
        <v>40</v>
      </c>
      <c r="C9" s="7">
        <f>C8/C6</f>
        <v>8.9957338839674883E-2</v>
      </c>
      <c r="D9" s="7">
        <f>D8/D6</f>
        <v>7.2180929087043058E-2</v>
      </c>
      <c r="E9" s="7">
        <f>E8/E6</f>
        <v>0.10729622699228446</v>
      </c>
      <c r="F9" s="7">
        <f>F8/F6</f>
        <v>0.15798984246729436</v>
      </c>
    </row>
    <row r="10" spans="2:6" ht="14" x14ac:dyDescent="0.3">
      <c r="B10" s="4" t="s">
        <v>41</v>
      </c>
      <c r="C10" s="5">
        <v>93032</v>
      </c>
      <c r="D10" s="5">
        <v>100920</v>
      </c>
      <c r="E10" s="5">
        <v>110979</v>
      </c>
      <c r="F10" s="5">
        <v>142081</v>
      </c>
    </row>
    <row r="11" spans="2:6" ht="14" x14ac:dyDescent="0.3">
      <c r="B11" s="4" t="s">
        <v>42</v>
      </c>
      <c r="C11" s="5">
        <v>54742</v>
      </c>
      <c r="D11" s="5">
        <v>26481</v>
      </c>
      <c r="E11" s="5">
        <v>120161</v>
      </c>
      <c r="F11" s="5">
        <v>187974</v>
      </c>
    </row>
    <row r="12" spans="2:6" ht="14" x14ac:dyDescent="0.3">
      <c r="B12" s="4" t="s">
        <v>43</v>
      </c>
      <c r="C12" s="5">
        <v>47124</v>
      </c>
      <c r="D12" s="5">
        <v>40272</v>
      </c>
      <c r="E12" s="5">
        <v>123824</v>
      </c>
      <c r="F12" s="5">
        <v>170004</v>
      </c>
    </row>
    <row r="13" spans="2:6" ht="13.5" x14ac:dyDescent="0.25">
      <c r="B13" t="s">
        <v>44</v>
      </c>
      <c r="C13" s="7">
        <f>C11/C6</f>
        <v>3.33241615085298E-2</v>
      </c>
      <c r="D13" s="7">
        <f>D11/D6</f>
        <v>1.5003203924254811E-2</v>
      </c>
      <c r="E13" s="7">
        <f>E11/E6</f>
        <v>5.5779276333044442E-2</v>
      </c>
      <c r="F13" s="7">
        <f>F11/F6</f>
        <v>8.997889033023948E-2</v>
      </c>
    </row>
    <row r="14" spans="2:6" ht="13.5" x14ac:dyDescent="0.25">
      <c r="B14" t="s">
        <v>45</v>
      </c>
      <c r="C14" s="7">
        <f>C12/C6</f>
        <v>2.8686708321361262E-2</v>
      </c>
      <c r="D14" s="7">
        <f>D12/D6</f>
        <v>2.2816699839038924E-2</v>
      </c>
      <c r="E14" s="7">
        <f>E12/E6</f>
        <v>5.7479657398514454E-2</v>
      </c>
      <c r="F14" s="7">
        <f>F12/F6</f>
        <v>8.1377058910817632E-2</v>
      </c>
    </row>
    <row r="15" spans="2:6" ht="13.5" x14ac:dyDescent="0.25">
      <c r="B15" t="s">
        <v>46</v>
      </c>
      <c r="C15" t="s">
        <v>47</v>
      </c>
      <c r="D15" s="7">
        <f>(D6-C6)/C6</f>
        <v>7.4456752005220631E-2</v>
      </c>
      <c r="E15" s="7">
        <f>(E6-D6)/D6</f>
        <v>0.22050704155129991</v>
      </c>
      <c r="F15" s="7">
        <f>(F6-E6)/E6</f>
        <v>-3.0235031377902843E-2</v>
      </c>
    </row>
    <row r="16" spans="2:6" ht="13.5" x14ac:dyDescent="0.25">
      <c r="B16" t="s">
        <v>48</v>
      </c>
      <c r="C16" t="s">
        <v>47</v>
      </c>
      <c r="D16" s="7">
        <f>(D11-C11)/C11</f>
        <v>-0.5162580833729129</v>
      </c>
      <c r="E16" s="7">
        <f>(E11-D11)/D11</f>
        <v>3.5376307541255994</v>
      </c>
      <c r="F16" s="7">
        <f>(F11-E11)/E11</f>
        <v>0.56435116219072745</v>
      </c>
    </row>
    <row r="18" spans="2:6" ht="14" x14ac:dyDescent="0.3">
      <c r="B18" s="3" t="s">
        <v>49</v>
      </c>
    </row>
    <row r="19" spans="2:6" ht="14" x14ac:dyDescent="0.3">
      <c r="B19" s="4" t="s">
        <v>50</v>
      </c>
      <c r="C19" s="5">
        <v>30101</v>
      </c>
      <c r="D19" s="5">
        <v>40611</v>
      </c>
      <c r="E19" s="5">
        <v>-13841</v>
      </c>
      <c r="F19" s="5">
        <v>147287</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415863</v>
      </c>
      <c r="D26" s="5">
        <v>430754</v>
      </c>
      <c r="E26" s="5">
        <v>240689</v>
      </c>
      <c r="F26" s="5">
        <v>278336</v>
      </c>
    </row>
    <row r="27" spans="2:6" ht="14" x14ac:dyDescent="0.3">
      <c r="B27" s="4" t="s">
        <v>57</v>
      </c>
      <c r="C27" s="5">
        <v>201571</v>
      </c>
      <c r="D27" s="5">
        <v>303317</v>
      </c>
      <c r="E27" s="5">
        <v>293011</v>
      </c>
      <c r="F27" s="5">
        <v>407414</v>
      </c>
    </row>
    <row r="28" spans="2:6" ht="14" x14ac:dyDescent="0.3">
      <c r="B28" s="4" t="s">
        <v>58</v>
      </c>
      <c r="C28" s="5">
        <f>C27-C26</f>
        <v>-214292</v>
      </c>
      <c r="D28" s="5">
        <f>D27-D26</f>
        <v>-127437</v>
      </c>
      <c r="E28" s="5">
        <f>E27-E26</f>
        <v>52322</v>
      </c>
      <c r="F28" s="5">
        <f>F27-F26</f>
        <v>129078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8.3999999999999995E-3</v>
      </c>
    </row>
    <row r="6" spans="2:7" ht="14" x14ac:dyDescent="0.3">
      <c r="B6" s="4" t="s">
        <v>63</v>
      </c>
      <c r="C6" s="7">
        <v>0.25</v>
      </c>
    </row>
    <row r="7" spans="2:7" ht="14" x14ac:dyDescent="0.3">
      <c r="B7" s="4" t="s">
        <v>64</v>
      </c>
      <c r="C7" s="7">
        <v>2.9700000000000001E-2</v>
      </c>
    </row>
    <row r="8" spans="2:7" ht="14" x14ac:dyDescent="0.3">
      <c r="B8" s="4" t="s">
        <v>65</v>
      </c>
      <c r="C8" s="12">
        <v>0.6</v>
      </c>
    </row>
    <row r="9" spans="2:7" ht="14" x14ac:dyDescent="0.3">
      <c r="B9" s="4" t="s">
        <v>66</v>
      </c>
      <c r="C9" s="7">
        <v>6.5000000000000002E-2</v>
      </c>
    </row>
    <row r="10" spans="2:7" ht="14" x14ac:dyDescent="0.3">
      <c r="B10" s="4" t="s">
        <v>67</v>
      </c>
      <c r="C10" s="7">
        <v>0.01</v>
      </c>
    </row>
    <row r="11" spans="2:7" ht="14" x14ac:dyDescent="0.3">
      <c r="B11" s="4" t="s">
        <v>68</v>
      </c>
      <c r="C11" s="7">
        <v>8.0999999999999996E-3</v>
      </c>
    </row>
    <row r="12" spans="2:7" ht="14" x14ac:dyDescent="0.3">
      <c r="B12" s="4" t="s">
        <v>69</v>
      </c>
      <c r="C12" s="13">
        <v>9.0700000000000003E-2</v>
      </c>
    </row>
    <row r="13" spans="2:7" ht="14" x14ac:dyDescent="0.3">
      <c r="B13" s="4" t="s">
        <v>70</v>
      </c>
      <c r="C13" s="7">
        <v>0.01</v>
      </c>
    </row>
    <row r="14" spans="2:7" ht="14" x14ac:dyDescent="0.3">
      <c r="B14" s="4" t="s">
        <v>71</v>
      </c>
      <c r="C14" s="14">
        <v>9.5</v>
      </c>
    </row>
    <row r="15" spans="2:7" ht="14" x14ac:dyDescent="0.3">
      <c r="B15" s="4" t="s">
        <v>72</v>
      </c>
      <c r="C15" s="15">
        <v>163009119</v>
      </c>
    </row>
    <row r="16" spans="2:7" ht="14" x14ac:dyDescent="0.3">
      <c r="B16" s="4" t="s">
        <v>73</v>
      </c>
      <c r="C16" s="5">
        <v>187721</v>
      </c>
    </row>
    <row r="17" spans="2:7" ht="14" x14ac:dyDescent="0.3">
      <c r="B17" s="4" t="s">
        <v>74</v>
      </c>
      <c r="C17" s="5">
        <v>2089090</v>
      </c>
    </row>
    <row r="18" spans="2:7" ht="14" x14ac:dyDescent="0.3">
      <c r="B18" s="4" t="s">
        <v>75</v>
      </c>
      <c r="C18" s="7">
        <v>8.0000000000000002E-3</v>
      </c>
    </row>
    <row r="19" spans="2:7" ht="14" x14ac:dyDescent="0.3">
      <c r="B19" s="4" t="s">
        <v>76</v>
      </c>
      <c r="C19" s="12">
        <v>1</v>
      </c>
    </row>
    <row r="20" spans="2:7" ht="14" x14ac:dyDescent="0.3">
      <c r="B20" s="4" t="s">
        <v>77</v>
      </c>
      <c r="C20" s="5">
        <v>2089091</v>
      </c>
    </row>
    <row r="22" spans="2:7" ht="14" x14ac:dyDescent="0.3">
      <c r="B22" s="8" t="s">
        <v>78</v>
      </c>
      <c r="C22" s="9"/>
      <c r="D22" s="9"/>
      <c r="E22" s="9"/>
      <c r="F22" s="9"/>
      <c r="G22" s="9"/>
    </row>
    <row r="23" spans="2:7" ht="14" x14ac:dyDescent="0.3">
      <c r="B23" s="4" t="s">
        <v>79</v>
      </c>
      <c r="C23" s="16">
        <f>C7+C8*C9+C10</f>
        <v>7.8699999999999992E-2</v>
      </c>
    </row>
    <row r="24" spans="2:7" ht="14" x14ac:dyDescent="0.3">
      <c r="B24" s="4" t="s">
        <v>80</v>
      </c>
      <c r="C24" s="16">
        <f>1/(1+C12)</f>
        <v>0.9168423947923352</v>
      </c>
    </row>
    <row r="25" spans="2:7" ht="14" x14ac:dyDescent="0.3">
      <c r="B25" s="4" t="s">
        <v>81</v>
      </c>
      <c r="C25" s="16">
        <f>C12/(1+C12)</f>
        <v>8.3157605207664811E-2</v>
      </c>
    </row>
    <row r="26" spans="2:7" ht="14" x14ac:dyDescent="0.3">
      <c r="B26" s="4" t="s">
        <v>82</v>
      </c>
      <c r="C26" s="16">
        <f>C23*C24+C11*C25</f>
        <v>7.2829073072338865E-2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0.01</v>
      </c>
      <c r="D30" s="18">
        <f>CHOOSE($D$27,D69,D70,D71,D72,D73)</f>
        <v>1.4999999999999999E-2</v>
      </c>
      <c r="E30" s="18">
        <f>CHOOSE($D$27,E69,E70,E71,E72,E73)</f>
        <v>0.02</v>
      </c>
      <c r="F30" s="18">
        <f>CHOOSE($D$27,F69,F70,F71,F72,F73)</f>
        <v>0.02</v>
      </c>
      <c r="G30" s="18">
        <f>CHOOSE($D$27,G69,G70,G71,G72,G73)</f>
        <v>1.4999999999999999E-2</v>
      </c>
    </row>
    <row r="31" spans="2:7" ht="14" x14ac:dyDescent="0.3">
      <c r="B31" s="4" t="s">
        <v>91</v>
      </c>
      <c r="C31" s="18">
        <f>CHOOSE($D$27,C76,C77,C78,C79,C80)</f>
        <v>0.84199999999999997</v>
      </c>
      <c r="D31" s="18">
        <f>CHOOSE($D$27,D76,D77,D78,D79,D80)</f>
        <v>0.84199999999999997</v>
      </c>
      <c r="E31" s="18">
        <f>CHOOSE($D$27,E76,E77,E78,E79,E80)</f>
        <v>0.84199999999999997</v>
      </c>
      <c r="F31" s="18">
        <f>CHOOSE($D$27,F76,F77,F78,F79,F80)</f>
        <v>0.84199999999999997</v>
      </c>
      <c r="G31" s="18">
        <f>CHOOSE($D$27,G76,G77,G78,G79,G80)</f>
        <v>0.84199999999999997</v>
      </c>
    </row>
    <row r="32" spans="2:7" ht="14" x14ac:dyDescent="0.3">
      <c r="B32" s="4" t="s">
        <v>92</v>
      </c>
      <c r="C32" s="18">
        <f>CHOOSE($D$27,C83,C84,C85,C86,C87)</f>
        <v>7.0999999999999994E-2</v>
      </c>
      <c r="D32" s="18">
        <f>CHOOSE($D$27,D83,D84,D85,D86,D87)</f>
        <v>7.3999999999999996E-2</v>
      </c>
      <c r="E32" s="18">
        <f>CHOOSE($D$27,E83,E84,E85,E86,E87)</f>
        <v>7.6999999999999999E-2</v>
      </c>
      <c r="F32" s="18">
        <f>CHOOSE($D$27,F83,F84,F85,F86,F87)</f>
        <v>7.9200000000000007E-2</v>
      </c>
      <c r="G32" s="18">
        <f>CHOOSE($D$27,G83,G84,G85,G86,G87)</f>
        <v>8.0799999999999997E-2</v>
      </c>
    </row>
    <row r="33" spans="2:7" ht="14" x14ac:dyDescent="0.3">
      <c r="B33" s="4" t="s">
        <v>37</v>
      </c>
      <c r="C33" s="5">
        <f>C17*(1+C30)</f>
        <v>2109980.9</v>
      </c>
      <c r="D33" s="5">
        <f>C33*(1+D30)</f>
        <v>2141630.6134999995</v>
      </c>
      <c r="E33" s="5">
        <f>D33*(1+E30)</f>
        <v>2184463.2257699994</v>
      </c>
      <c r="F33" s="5">
        <f>E33*(1+F30)</f>
        <v>2228152.4902853994</v>
      </c>
      <c r="G33" s="5">
        <f>F33*(1+G30)</f>
        <v>2261574.7776396801</v>
      </c>
    </row>
    <row r="34" spans="2:7" ht="14" x14ac:dyDescent="0.3">
      <c r="B34" s="4" t="s">
        <v>38</v>
      </c>
      <c r="C34" s="5">
        <f>C33*C31</f>
        <v>1776603.9177999999</v>
      </c>
      <c r="D34" s="5">
        <f>D33*D31</f>
        <v>1803252.9765669995</v>
      </c>
      <c r="E34" s="5">
        <f>E33*E31</f>
        <v>1839318.0360983394</v>
      </c>
      <c r="F34" s="5">
        <f>F33*F31</f>
        <v>1876104.3968203063</v>
      </c>
      <c r="G34" s="5">
        <f>G33*G31</f>
        <v>1904245.9627726106</v>
      </c>
    </row>
    <row r="35" spans="2:7" ht="14" x14ac:dyDescent="0.3">
      <c r="B35" s="4" t="s">
        <v>39</v>
      </c>
      <c r="C35" s="19">
        <f>C33-C34</f>
        <v>333376.98219999997</v>
      </c>
      <c r="D35" s="19">
        <f>D33-D34</f>
        <v>338377.63693300006</v>
      </c>
      <c r="E35" s="19">
        <f>E33-E34</f>
        <v>345145.18967166007</v>
      </c>
      <c r="F35" s="19">
        <f>F33-F34</f>
        <v>352048.09346509306</v>
      </c>
      <c r="G35" s="19">
        <f>G33-G34</f>
        <v>357328.81486706948</v>
      </c>
    </row>
    <row r="36" spans="2:7" ht="14" x14ac:dyDescent="0.3">
      <c r="B36" s="4" t="s">
        <v>40</v>
      </c>
      <c r="C36" s="7">
        <f>C35/C33</f>
        <v>0.158</v>
      </c>
      <c r="D36" s="7">
        <f>D35/D33</f>
        <v>0.15800000000000006</v>
      </c>
      <c r="E36" s="7">
        <f>E35/E33</f>
        <v>0.15800000000000008</v>
      </c>
      <c r="F36" s="7">
        <f>F35/F33</f>
        <v>0.15799999999999997</v>
      </c>
      <c r="G36" s="7">
        <f>G35/G33</f>
        <v>0.158</v>
      </c>
    </row>
    <row r="37" spans="2:7" ht="14" x14ac:dyDescent="0.3">
      <c r="B37" s="4" t="s">
        <v>93</v>
      </c>
      <c r="C37" s="5">
        <f>C33*C32</f>
        <v>149808.64389999997</v>
      </c>
      <c r="D37" s="5">
        <f>D33*D32</f>
        <v>158480.66539899996</v>
      </c>
      <c r="E37" s="5">
        <f>E33*E32</f>
        <v>168203.66838428995</v>
      </c>
      <c r="F37" s="5">
        <f>F33*F32</f>
        <v>176469.67723060364</v>
      </c>
      <c r="G37" s="5">
        <f>G33*G32</f>
        <v>182735.24203328614</v>
      </c>
    </row>
    <row r="38" spans="2:7" ht="14" x14ac:dyDescent="0.3">
      <c r="B38" s="4" t="s">
        <v>94</v>
      </c>
      <c r="C38" s="7">
        <f>(C35-C37)/C33</f>
        <v>8.7000000000000008E-2</v>
      </c>
      <c r="D38" s="7">
        <f>(D35-D37)/D33</f>
        <v>8.4000000000000061E-2</v>
      </c>
      <c r="E38" s="7">
        <f>(E35-E37)/E33</f>
        <v>8.1000000000000072E-2</v>
      </c>
      <c r="F38" s="7">
        <f>(F35-F37)/F33</f>
        <v>7.8799999999999981E-2</v>
      </c>
      <c r="G38" s="7">
        <f>(G35-G37)/G33</f>
        <v>7.7200000000000019E-2</v>
      </c>
    </row>
    <row r="39" spans="2:7" ht="14" x14ac:dyDescent="0.3">
      <c r="B39" s="4" t="s">
        <v>95</v>
      </c>
      <c r="C39" s="19">
        <f>C35-C37</f>
        <v>183568.3383</v>
      </c>
      <c r="D39" s="19">
        <f>D35-D37</f>
        <v>179896.9715340001</v>
      </c>
      <c r="E39" s="19">
        <f>E35-E37</f>
        <v>176941.52128737012</v>
      </c>
      <c r="F39" s="19">
        <f>F35-F37</f>
        <v>175578.41623448941</v>
      </c>
      <c r="G39" s="19">
        <f>G35-G37</f>
        <v>174593.57283378334</v>
      </c>
    </row>
    <row r="40" spans="2:7" ht="14" x14ac:dyDescent="0.3">
      <c r="B40" s="4" t="s">
        <v>96</v>
      </c>
      <c r="C40" s="5">
        <f>MAX(0,C39*C6)</f>
        <v>45892.084575000001</v>
      </c>
      <c r="D40" s="5">
        <f>MAX(0,D39*C6)</f>
        <v>44974.242883500025</v>
      </c>
      <c r="E40" s="5">
        <f>MAX(0,E39*C6)</f>
        <v>44235.380321842531</v>
      </c>
      <c r="F40" s="5">
        <f>MAX(0,F39*C6)</f>
        <v>43894.604058622353</v>
      </c>
      <c r="G40" s="5">
        <f>MAX(0,G39*C6)</f>
        <v>43648.393208445836</v>
      </c>
    </row>
    <row r="41" spans="2:7" ht="14" x14ac:dyDescent="0.3">
      <c r="B41" s="4" t="s">
        <v>97</v>
      </c>
      <c r="C41" s="19">
        <f>C39-C40</f>
        <v>137676.25372500002</v>
      </c>
      <c r="D41" s="19">
        <f>D39-D40</f>
        <v>134922.72865050007</v>
      </c>
      <c r="E41" s="19">
        <f>E39-E40</f>
        <v>132706.14096552759</v>
      </c>
      <c r="F41" s="19">
        <f>F39-F40</f>
        <v>131683.81217586706</v>
      </c>
      <c r="G41" s="19">
        <f>G39-G40</f>
        <v>130945.17962533751</v>
      </c>
    </row>
    <row r="42" spans="2:7" ht="14" x14ac:dyDescent="0.3">
      <c r="B42" s="4" t="s">
        <v>98</v>
      </c>
      <c r="C42" s="5">
        <f>C33*C18</f>
        <v>16879.8472</v>
      </c>
      <c r="D42" s="5">
        <f>D33*C18</f>
        <v>17133.044907999996</v>
      </c>
      <c r="E42" s="5">
        <f>E33*C18</f>
        <v>17475.705806159996</v>
      </c>
      <c r="F42" s="5">
        <f>F33*C18</f>
        <v>17825.219922283195</v>
      </c>
      <c r="G42" s="5">
        <f>G33*C18</f>
        <v>18092.598221117441</v>
      </c>
    </row>
    <row r="43" spans="2:7" ht="14" x14ac:dyDescent="0.3">
      <c r="B43" s="4" t="s">
        <v>99</v>
      </c>
      <c r="C43" s="5">
        <v>65900</v>
      </c>
      <c r="D43" s="5">
        <v>54100</v>
      </c>
      <c r="E43" s="5">
        <v>42400</v>
      </c>
      <c r="F43" s="5">
        <v>30700</v>
      </c>
      <c r="G43" s="5">
        <v>19000</v>
      </c>
    </row>
    <row r="44" spans="2:7" ht="14" x14ac:dyDescent="0.3">
      <c r="B44" s="4" t="s">
        <v>100</v>
      </c>
      <c r="C44" s="5">
        <f>'NWC Schedule'!D19</f>
        <v>-112726.08945260255</v>
      </c>
      <c r="D44" s="5">
        <f>'NWC Schedule'!E19</f>
        <v>9999.7486582106212</v>
      </c>
      <c r="E44" s="5">
        <f>'NWC Schedule'!F19</f>
        <v>13532.993184112245</v>
      </c>
      <c r="F44" s="5">
        <f>'NWC Schedule'!G19</f>
        <v>13803.653047794243</v>
      </c>
      <c r="G44" s="5">
        <f>'NWC Schedule'!H19</f>
        <v>10559.79458156263</v>
      </c>
    </row>
    <row r="45" spans="2:7" ht="14" x14ac:dyDescent="0.3">
      <c r="B45" s="4" t="s">
        <v>101</v>
      </c>
      <c r="C45" s="20">
        <f>C41+C42-C43-C44</f>
        <v>201382.19037760256</v>
      </c>
      <c r="D45" s="20">
        <f>D41+D42-D43-D44</f>
        <v>87956.024900289427</v>
      </c>
      <c r="E45" s="20">
        <f>E41+E42-E43-E44</f>
        <v>94248.853587575344</v>
      </c>
      <c r="F45" s="20">
        <f>F41+F42-F43-F44</f>
        <v>105005.37905035602</v>
      </c>
      <c r="G45" s="20">
        <f>G41+G42-G43-G44</f>
        <v>119477.9832648923</v>
      </c>
    </row>
    <row r="46" spans="2:7" ht="14" x14ac:dyDescent="0.3">
      <c r="B46" s="4" t="s">
        <v>102</v>
      </c>
      <c r="C46" s="21">
        <f>1/(1+C26)^(C19+0)</f>
        <v>0.93211493340334917</v>
      </c>
      <c r="D46" s="21">
        <f>1/(1+C26)^(C19+1)</f>
        <v>0.86883824907353013</v>
      </c>
      <c r="E46" s="21">
        <f>1/(1+C26)^(C19+2)</f>
        <v>0.80985710667345601</v>
      </c>
      <c r="F46" s="21">
        <f>1/(1+C26)^(C19+3)</f>
        <v>0.75487990305315755</v>
      </c>
      <c r="G46" s="21">
        <f>1/(1+C26)^(C19+4)</f>
        <v>0.70363483056192078</v>
      </c>
    </row>
    <row r="47" spans="2:7" ht="14" x14ac:dyDescent="0.3">
      <c r="B47" s="4" t="s">
        <v>103</v>
      </c>
      <c r="C47" s="19">
        <f>C45*C46</f>
        <v>187711.34697243958</v>
      </c>
      <c r="D47" s="19">
        <f>D45*D46</f>
        <v>76419.558669835285</v>
      </c>
      <c r="E47" s="19">
        <f>E45*E46</f>
        <v>76328.103873723943</v>
      </c>
      <c r="F47" s="19">
        <f>F45*F46</f>
        <v>79266.45035759281</v>
      </c>
      <c r="G47" s="19">
        <f>G45*G46</f>
        <v>84068.870510472509</v>
      </c>
    </row>
    <row r="49" spans="2:7" ht="14" x14ac:dyDescent="0.3">
      <c r="B49" s="22" t="s">
        <v>104</v>
      </c>
      <c r="C49" s="23"/>
      <c r="D49" s="23"/>
      <c r="E49" s="23"/>
      <c r="F49" s="23"/>
      <c r="G49" s="23"/>
    </row>
    <row r="50" spans="2:7" ht="14" x14ac:dyDescent="0.3">
      <c r="B50" s="4" t="s">
        <v>105</v>
      </c>
      <c r="C50" s="5">
        <f>SUM(C47:G47)</f>
        <v>503794.33038406417</v>
      </c>
    </row>
    <row r="51" spans="2:7" ht="14" x14ac:dyDescent="0.3">
      <c r="B51" s="4" t="s">
        <v>106</v>
      </c>
      <c r="C51" s="5">
        <f>G45*(1+C13)/(C26-C13)</f>
        <v>1920651.6537113872</v>
      </c>
    </row>
    <row r="52" spans="2:7" ht="14" x14ac:dyDescent="0.3">
      <c r="B52" s="4" t="s">
        <v>107</v>
      </c>
      <c r="C52" s="5">
        <f>C51*G46</f>
        <v>1351437.400927685</v>
      </c>
    </row>
    <row r="53" spans="2:7" ht="14" x14ac:dyDescent="0.3">
      <c r="B53" s="4" t="s">
        <v>108</v>
      </c>
      <c r="C53" s="5">
        <f>C50+C52</f>
        <v>1855231.7313117492</v>
      </c>
    </row>
    <row r="54" spans="2:7" ht="14" x14ac:dyDescent="0.3">
      <c r="B54" s="4" t="s">
        <v>109</v>
      </c>
      <c r="C54" s="5">
        <f>C53-C16</f>
        <v>1667510.7313117492</v>
      </c>
    </row>
    <row r="55" spans="2:7" ht="14" x14ac:dyDescent="0.3">
      <c r="B55" s="4" t="s">
        <v>110</v>
      </c>
      <c r="C55" s="24">
        <f>ROUND(C54*1000000/C15,0)</f>
        <v>10230</v>
      </c>
    </row>
    <row r="57" spans="2:7" ht="14" x14ac:dyDescent="0.3">
      <c r="B57" s="22" t="s">
        <v>111</v>
      </c>
      <c r="C57" s="23"/>
      <c r="D57" s="23"/>
      <c r="E57" s="23"/>
      <c r="F57" s="23"/>
      <c r="G57" s="23"/>
    </row>
    <row r="58" spans="2:7" ht="14" x14ac:dyDescent="0.3">
      <c r="B58" s="4" t="s">
        <v>105</v>
      </c>
      <c r="C58" s="5">
        <f>C50</f>
        <v>503794.33038406417</v>
      </c>
    </row>
    <row r="59" spans="2:7" ht="14" x14ac:dyDescent="0.3">
      <c r="B59" s="4" t="s">
        <v>112</v>
      </c>
      <c r="C59" s="5">
        <f>G39+G42</f>
        <v>192686.1710549008</v>
      </c>
    </row>
    <row r="60" spans="2:7" ht="14" x14ac:dyDescent="0.3">
      <c r="B60" s="4" t="s">
        <v>113</v>
      </c>
      <c r="C60" s="5">
        <f>C59*C14</f>
        <v>1830518.6250215576</v>
      </c>
    </row>
    <row r="61" spans="2:7" ht="14" x14ac:dyDescent="0.3">
      <c r="B61" s="4" t="s">
        <v>107</v>
      </c>
      <c r="C61" s="5">
        <f>C60*G46</f>
        <v>1288016.6625574839</v>
      </c>
    </row>
    <row r="62" spans="2:7" ht="14" x14ac:dyDescent="0.3">
      <c r="B62" s="4" t="s">
        <v>108</v>
      </c>
      <c r="C62" s="5">
        <f>C58+C61</f>
        <v>1791810.9929415481</v>
      </c>
    </row>
    <row r="63" spans="2:7" ht="14" x14ac:dyDescent="0.3">
      <c r="B63" s="4" t="s">
        <v>109</v>
      </c>
      <c r="C63" s="5">
        <f>C62-C16</f>
        <v>1604089.9929415481</v>
      </c>
    </row>
    <row r="64" spans="2:7" ht="14" x14ac:dyDescent="0.3">
      <c r="B64" s="4" t="s">
        <v>114</v>
      </c>
      <c r="C64" s="24">
        <f>ROUND(C63*1000000/C15,0)</f>
        <v>9840</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0.01</v>
      </c>
      <c r="D69" s="26">
        <v>1.4999999999999999E-2</v>
      </c>
      <c r="E69" s="26">
        <v>0.02</v>
      </c>
      <c r="F69" s="26">
        <v>0.02</v>
      </c>
      <c r="G69" s="26">
        <v>1.4999999999999999E-2</v>
      </c>
    </row>
    <row r="70" spans="2:7" ht="14" x14ac:dyDescent="0.3">
      <c r="B70" s="4" t="s">
        <v>121</v>
      </c>
      <c r="C70" s="26">
        <v>0.03</v>
      </c>
      <c r="D70" s="26">
        <v>0.03</v>
      </c>
      <c r="E70" s="26">
        <v>2.5000000000000001E-2</v>
      </c>
      <c r="F70" s="26">
        <v>2.5000000000000001E-2</v>
      </c>
      <c r="G70" s="26">
        <v>0.02</v>
      </c>
    </row>
    <row r="71" spans="2:7" ht="14" x14ac:dyDescent="0.3">
      <c r="B71" s="4" t="s">
        <v>122</v>
      </c>
      <c r="C71" s="26">
        <v>0.01</v>
      </c>
      <c r="D71" s="26">
        <v>1.4999999999999999E-2</v>
      </c>
      <c r="E71" s="26">
        <v>0.02</v>
      </c>
      <c r="F71" s="26">
        <v>0.02</v>
      </c>
      <c r="G71" s="26">
        <v>1.4999999999999999E-2</v>
      </c>
    </row>
    <row r="72" spans="2:7" ht="14" x14ac:dyDescent="0.3">
      <c r="B72" s="4" t="s">
        <v>123</v>
      </c>
      <c r="C72" s="26">
        <v>-0.01</v>
      </c>
      <c r="D72" s="26">
        <v>5.0000000000000001E-3</v>
      </c>
      <c r="E72" s="26">
        <v>0.01</v>
      </c>
      <c r="F72" s="26">
        <v>1.4999999999999999E-2</v>
      </c>
      <c r="G72" s="26">
        <v>1.4999999999999999E-2</v>
      </c>
    </row>
    <row r="73" spans="2:7" ht="14" x14ac:dyDescent="0.3">
      <c r="B73" s="4" t="s">
        <v>124</v>
      </c>
      <c r="C73" s="26">
        <v>-0.08</v>
      </c>
      <c r="D73" s="26">
        <v>-0.02</v>
      </c>
      <c r="E73" s="26">
        <v>0.01</v>
      </c>
      <c r="F73" s="26">
        <v>1.4999999999999999E-2</v>
      </c>
      <c r="G73" s="26">
        <v>1.4999999999999999E-2</v>
      </c>
    </row>
    <row r="75" spans="2:7" ht="14" x14ac:dyDescent="0.3">
      <c r="B75" s="3" t="s">
        <v>91</v>
      </c>
    </row>
    <row r="76" spans="2:7" ht="14" x14ac:dyDescent="0.3">
      <c r="B76" s="4" t="s">
        <v>84</v>
      </c>
      <c r="C76" s="26">
        <v>0.84199999999999997</v>
      </c>
      <c r="D76" s="26">
        <v>0.84199999999999997</v>
      </c>
      <c r="E76" s="26">
        <v>0.84199999999999997</v>
      </c>
      <c r="F76" s="26">
        <v>0.84199999999999997</v>
      </c>
      <c r="G76" s="26">
        <v>0.84199999999999997</v>
      </c>
    </row>
    <row r="77" spans="2:7" ht="14" x14ac:dyDescent="0.3">
      <c r="B77" s="4" t="s">
        <v>121</v>
      </c>
      <c r="C77" s="26">
        <v>0.83199999999999996</v>
      </c>
      <c r="D77" s="26">
        <v>0.83199999999999996</v>
      </c>
      <c r="E77" s="26">
        <v>0.83199999999999996</v>
      </c>
      <c r="F77" s="26">
        <v>0.83199999999999996</v>
      </c>
      <c r="G77" s="26">
        <v>0.83199999999999996</v>
      </c>
    </row>
    <row r="78" spans="2:7" ht="14" x14ac:dyDescent="0.3">
      <c r="B78" s="4" t="s">
        <v>122</v>
      </c>
      <c r="C78" s="26">
        <v>0.84199999999999997</v>
      </c>
      <c r="D78" s="26">
        <v>0.84199999999999997</v>
      </c>
      <c r="E78" s="26">
        <v>0.84199999999999997</v>
      </c>
      <c r="F78" s="26">
        <v>0.84199999999999997</v>
      </c>
      <c r="G78" s="26">
        <v>0.84199999999999997</v>
      </c>
    </row>
    <row r="79" spans="2:7" ht="14" x14ac:dyDescent="0.3">
      <c r="B79" s="4" t="s">
        <v>123</v>
      </c>
      <c r="C79" s="26">
        <v>0.85599999999999998</v>
      </c>
      <c r="D79" s="26">
        <v>0.85599999999999998</v>
      </c>
      <c r="E79" s="26">
        <v>0.85599999999999998</v>
      </c>
      <c r="F79" s="26">
        <v>0.85599999999999998</v>
      </c>
      <c r="G79" s="26">
        <v>0.85599999999999998</v>
      </c>
    </row>
    <row r="80" spans="2:7" ht="14" x14ac:dyDescent="0.3">
      <c r="B80" s="4" t="s">
        <v>124</v>
      </c>
      <c r="C80" s="26">
        <v>0.875</v>
      </c>
      <c r="D80" s="26">
        <v>0.875</v>
      </c>
      <c r="E80" s="26">
        <v>0.875</v>
      </c>
      <c r="F80" s="26">
        <v>0.875</v>
      </c>
      <c r="G80" s="26">
        <v>0.875</v>
      </c>
    </row>
    <row r="82" spans="2:7" ht="14" x14ac:dyDescent="0.3">
      <c r="B82" s="3" t="s">
        <v>92</v>
      </c>
    </row>
    <row r="83" spans="2:7" ht="14" x14ac:dyDescent="0.3">
      <c r="B83" s="4" t="s">
        <v>84</v>
      </c>
      <c r="C83" s="26">
        <v>7.0999999999999994E-2</v>
      </c>
      <c r="D83" s="26">
        <v>7.3999999999999996E-2</v>
      </c>
      <c r="E83" s="26">
        <v>7.6999999999999999E-2</v>
      </c>
      <c r="F83" s="26">
        <v>7.9200000000000007E-2</v>
      </c>
      <c r="G83" s="26">
        <v>8.0799999999999997E-2</v>
      </c>
    </row>
    <row r="84" spans="2:7" ht="14" x14ac:dyDescent="0.3">
      <c r="B84" s="4" t="s">
        <v>121</v>
      </c>
      <c r="C84" s="26">
        <v>7.5999999999999998E-2</v>
      </c>
      <c r="D84" s="26">
        <v>7.3999999999999996E-2</v>
      </c>
      <c r="E84" s="26">
        <v>7.2499999999999995E-2</v>
      </c>
      <c r="F84" s="26">
        <v>7.1499999999999994E-2</v>
      </c>
      <c r="G84" s="26">
        <v>7.0800000000000002E-2</v>
      </c>
    </row>
    <row r="85" spans="2:7" ht="14" x14ac:dyDescent="0.3">
      <c r="B85" s="4" t="s">
        <v>122</v>
      </c>
      <c r="C85" s="26">
        <v>7.0999999999999994E-2</v>
      </c>
      <c r="D85" s="26">
        <v>7.3999999999999996E-2</v>
      </c>
      <c r="E85" s="26">
        <v>7.6999999999999999E-2</v>
      </c>
      <c r="F85" s="26">
        <v>7.9200000000000007E-2</v>
      </c>
      <c r="G85" s="26">
        <v>8.0799999999999997E-2</v>
      </c>
    </row>
    <row r="86" spans="2:7" ht="14" x14ac:dyDescent="0.3">
      <c r="B86" s="4" t="s">
        <v>123</v>
      </c>
      <c r="C86" s="26">
        <v>7.1999999999999995E-2</v>
      </c>
      <c r="D86" s="26">
        <v>8.1000000000000003E-2</v>
      </c>
      <c r="E86" s="26">
        <v>8.7999999999999995E-2</v>
      </c>
      <c r="F86" s="26">
        <v>9.2999999999999999E-2</v>
      </c>
      <c r="G86" s="26">
        <v>9.6000000000000002E-2</v>
      </c>
    </row>
    <row r="87" spans="2:7" ht="14" x14ac:dyDescent="0.3">
      <c r="B87" s="4" t="s">
        <v>124</v>
      </c>
      <c r="C87" s="26">
        <v>0.08</v>
      </c>
      <c r="D87" s="26">
        <v>9.1999999999999998E-2</v>
      </c>
      <c r="E87" s="26">
        <v>9.7000000000000003E-2</v>
      </c>
      <c r="F87" s="26">
        <v>9.8000000000000004E-2</v>
      </c>
      <c r="G87" s="26">
        <v>9.7000000000000003E-2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12690</v>
      </c>
    </row>
    <row r="7" spans="2:9" ht="14" x14ac:dyDescent="0.3">
      <c r="B7" s="4" t="s">
        <v>72</v>
      </c>
      <c r="C7" s="15">
        <f>'DCF Model'!C15</f>
        <v>163009119</v>
      </c>
    </row>
    <row r="8" spans="2:9" ht="14" x14ac:dyDescent="0.3">
      <c r="B8" s="4" t="s">
        <v>129</v>
      </c>
      <c r="C8" s="5">
        <f>C6*C7/1000000</f>
        <v>2068585.7201100001</v>
      </c>
    </row>
    <row r="9" spans="2:9" ht="14" x14ac:dyDescent="0.3">
      <c r="B9" s="4" t="s">
        <v>73</v>
      </c>
      <c r="C9" s="5">
        <f>'DCF Model'!C16</f>
        <v>187721</v>
      </c>
    </row>
    <row r="10" spans="2:9" ht="14" x14ac:dyDescent="0.3">
      <c r="B10" s="4" t="s">
        <v>130</v>
      </c>
      <c r="C10" s="5">
        <f>C8+C9</f>
        <v>2256306.7201100001</v>
      </c>
    </row>
    <row r="11" spans="2:9" ht="14" x14ac:dyDescent="0.3">
      <c r="B11" s="4" t="s">
        <v>131</v>
      </c>
      <c r="C11" s="16">
        <f>'DCF Model'!C26</f>
        <v>7.2829073072338865E-2</v>
      </c>
    </row>
    <row r="12" spans="2:9" ht="14" x14ac:dyDescent="0.3">
      <c r="B12" s="4" t="s">
        <v>132</v>
      </c>
      <c r="C12" s="16">
        <f>'DCF Model'!C13</f>
        <v>0.01</v>
      </c>
    </row>
    <row r="13" spans="2:9" ht="14" x14ac:dyDescent="0.3">
      <c r="B13" s="4" t="s">
        <v>133</v>
      </c>
      <c r="C13" s="16">
        <f>'DCF Model'!C6</f>
        <v>0.25</v>
      </c>
    </row>
    <row r="14" spans="2:9" ht="14" x14ac:dyDescent="0.3">
      <c r="B14" s="4" t="s">
        <v>134</v>
      </c>
      <c r="C14" s="27">
        <v>187974</v>
      </c>
    </row>
    <row r="15" spans="2:9" ht="14" x14ac:dyDescent="0.3">
      <c r="B15" s="4" t="s">
        <v>135</v>
      </c>
      <c r="C15" s="27">
        <v>187974</v>
      </c>
    </row>
    <row r="16" spans="2:9" ht="14" x14ac:dyDescent="0.3">
      <c r="B16" s="4" t="s">
        <v>136</v>
      </c>
      <c r="C16" s="5">
        <f>'DCF Model'!G33</f>
        <v>2261574.7776396801</v>
      </c>
    </row>
    <row r="17" spans="2:9" ht="14" x14ac:dyDescent="0.3">
      <c r="B17" s="4" t="s">
        <v>137</v>
      </c>
      <c r="C17" s="5">
        <f>'DCF Model'!C53</f>
        <v>1855231.7313117492</v>
      </c>
    </row>
    <row r="18" spans="2:9" ht="14" x14ac:dyDescent="0.3">
      <c r="B18" s="4" t="s">
        <v>138</v>
      </c>
      <c r="C18" s="26">
        <v>8.997889033023948E-2</v>
      </c>
    </row>
    <row r="19" spans="2:9" ht="14" x14ac:dyDescent="0.3">
      <c r="B19" s="4" t="s">
        <v>139</v>
      </c>
      <c r="C19" s="5">
        <f>C10-C17</f>
        <v>401074.98879825091</v>
      </c>
    </row>
    <row r="20" spans="2:9" ht="14" x14ac:dyDescent="0.3">
      <c r="B20" s="4" t="s">
        <v>140</v>
      </c>
      <c r="C20" s="15">
        <f>IFERROR(ROUND(C19*1000000/C7,0),"N/A")</f>
        <v>2460</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141761.65979140045</v>
      </c>
    </row>
    <row r="25" spans="2:9" ht="14" x14ac:dyDescent="0.3">
      <c r="B25" s="4" t="s">
        <v>144</v>
      </c>
      <c r="C25" s="5">
        <f>IFERROR(C24/(1-C13),"N/A")</f>
        <v>189015.54638853393</v>
      </c>
    </row>
    <row r="26" spans="2:9" ht="13.5" x14ac:dyDescent="0.25">
      <c r="B26" s="6" t="s">
        <v>145</v>
      </c>
      <c r="C26" s="14">
        <f>IFERROR(C25/C15,"N/A")</f>
        <v>1.0055409066601442</v>
      </c>
    </row>
    <row r="27" spans="2:9" ht="13.5" x14ac:dyDescent="0.25">
      <c r="B27" s="6" t="s">
        <v>146</v>
      </c>
      <c r="C27" s="14">
        <f>IFERROR(C25/C14,"N/A")</f>
        <v>1.0055409066601442</v>
      </c>
    </row>
    <row r="28" spans="2:9" ht="13.5" x14ac:dyDescent="0.25">
      <c r="B28" s="6" t="s">
        <v>147</v>
      </c>
      <c r="C28" s="7">
        <f>IFERROR(C25/C16,"N/A")</f>
        <v>8.3576960734326147E-2</v>
      </c>
    </row>
    <row r="29" spans="2:9" ht="13.5" x14ac:dyDescent="0.25">
      <c r="B29" s="6" t="s">
        <v>148</v>
      </c>
      <c r="C29" s="5">
        <f>IFERROR(C25/C18,"N/A")</f>
        <v>2100665.4526946405</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5.2829073072338861E-2</v>
      </c>
      <c r="E36" s="29">
        <f>'DCF Model'!C26-0.01</f>
        <v>6.282907307233887E-2</v>
      </c>
      <c r="F36" s="29">
        <f>'DCF Model'!C26</f>
        <v>7.2829073072338865E-2</v>
      </c>
      <c r="G36" s="29">
        <f>'DCF Model'!C26+0.01</f>
        <v>8.282907307233886E-2</v>
      </c>
      <c r="H36" s="29">
        <f>'DCF Model'!C26+0.02</f>
        <v>9.2829073072338869E-2</v>
      </c>
    </row>
    <row r="37" spans="2:9" ht="14" x14ac:dyDescent="0.3">
      <c r="B37" s="3" t="s">
        <v>154</v>
      </c>
    </row>
    <row r="38" spans="2:9" ht="14" x14ac:dyDescent="0.3">
      <c r="B38" s="4" t="s">
        <v>155</v>
      </c>
      <c r="C38" s="30">
        <v>3</v>
      </c>
      <c r="D38" s="13">
        <f t="shared" ref="D38:H41" si="0">IFERROR((1-(1+D$36)^(-$C38))/D$36-(1+D$36)/(D$36^2*$C38)*(1-($C38+1)/(1+D$36)^$C38+$C38/(1+D$36)^($C38+1)),"N/A")</f>
        <v>0.93393501073532592</v>
      </c>
      <c r="E38" s="13">
        <f t="shared" si="0"/>
        <v>0.92234494335199835</v>
      </c>
      <c r="F38" s="13">
        <f t="shared" si="0"/>
        <v>0.91102270529339102</v>
      </c>
      <c r="G38" s="13">
        <f t="shared" si="0"/>
        <v>0.89995945541058142</v>
      </c>
      <c r="H38" s="13">
        <f t="shared" si="0"/>
        <v>0.8891467276918894</v>
      </c>
    </row>
    <row r="39" spans="2:9" ht="14" x14ac:dyDescent="0.3">
      <c r="B39" s="4" t="s">
        <v>156</v>
      </c>
      <c r="C39" s="30">
        <v>5</v>
      </c>
      <c r="D39" s="13">
        <f t="shared" si="0"/>
        <v>1.8066903950705751</v>
      </c>
      <c r="E39" s="13">
        <f t="shared" si="0"/>
        <v>1.7737785259371051</v>
      </c>
      <c r="F39" s="13">
        <f t="shared" si="0"/>
        <v>1.7419137194468046</v>
      </c>
      <c r="G39" s="13">
        <f t="shared" si="0"/>
        <v>1.7110505427747209</v>
      </c>
      <c r="H39" s="13">
        <f t="shared" si="0"/>
        <v>1.6811460101522266</v>
      </c>
    </row>
    <row r="40" spans="2:9" ht="14" x14ac:dyDescent="0.3">
      <c r="B40" s="4" t="s">
        <v>157</v>
      </c>
      <c r="C40" s="30">
        <v>7</v>
      </c>
      <c r="D40" s="13">
        <f t="shared" si="0"/>
        <v>2.6227671490717905</v>
      </c>
      <c r="E40" s="13">
        <f t="shared" si="0"/>
        <v>2.5604216420910619</v>
      </c>
      <c r="F40" s="13">
        <f t="shared" si="0"/>
        <v>2.5005838822849169</v>
      </c>
      <c r="G40" s="13">
        <f t="shared" si="0"/>
        <v>2.4431197821809896</v>
      </c>
      <c r="H40" s="13">
        <f t="shared" si="0"/>
        <v>2.3879039689978585</v>
      </c>
    </row>
    <row r="41" spans="2:9" ht="14" x14ac:dyDescent="0.3">
      <c r="B41" s="4" t="s">
        <v>158</v>
      </c>
      <c r="C41" s="30">
        <v>10</v>
      </c>
      <c r="D41" s="13">
        <f t="shared" si="0"/>
        <v>3.7495944234557799</v>
      </c>
      <c r="E41" s="13">
        <f t="shared" si="0"/>
        <v>3.6309215410314053</v>
      </c>
      <c r="F41" s="13">
        <f t="shared" si="0"/>
        <v>3.5184549535243539</v>
      </c>
      <c r="G41" s="13">
        <f t="shared" si="0"/>
        <v>3.4117724218329806</v>
      </c>
      <c r="H41" s="13">
        <f t="shared" si="0"/>
        <v>3.3104859679516858</v>
      </c>
    </row>
    <row r="42" spans="2:9" ht="14" x14ac:dyDescent="0.3">
      <c r="B42" s="3" t="s">
        <v>159</v>
      </c>
    </row>
    <row r="43" spans="2:9" ht="14" x14ac:dyDescent="0.3">
      <c r="B43" s="4" t="s">
        <v>155</v>
      </c>
      <c r="C43" s="30">
        <v>3</v>
      </c>
      <c r="D43" s="13">
        <f t="shared" ref="D43:H46" si="1">IFERROR((1+D$36)/(D$36^2*$C43)*(1-($C43+1)/(1+D$36)^$C43+$C43/(1+D$36)^($C43+1))+(1+$C$12)/((D$36-$C$12)*(1+D$36)^$C43),"N/A")</f>
        <v>21.982278141253182</v>
      </c>
      <c r="E43" s="13">
        <f t="shared" si="1"/>
        <v>17.66095484294215</v>
      </c>
      <c r="F43" s="13">
        <f t="shared" si="1"/>
        <v>14.718532533323721</v>
      </c>
      <c r="G43" s="13">
        <f t="shared" si="1"/>
        <v>12.5869111415721</v>
      </c>
      <c r="H43" s="13">
        <f t="shared" si="1"/>
        <v>10.972342524260279</v>
      </c>
    </row>
    <row r="44" spans="2:9" ht="14" x14ac:dyDescent="0.3">
      <c r="B44" s="4" t="s">
        <v>156</v>
      </c>
      <c r="C44" s="30">
        <v>5</v>
      </c>
      <c r="D44" s="13">
        <f t="shared" si="1"/>
        <v>20.719416749847102</v>
      </c>
      <c r="E44" s="13">
        <f t="shared" si="1"/>
        <v>16.503510604403189</v>
      </c>
      <c r="F44" s="13">
        <f t="shared" si="1"/>
        <v>13.638594870348184</v>
      </c>
      <c r="G44" s="13">
        <f t="shared" si="1"/>
        <v>11.56779807804077</v>
      </c>
      <c r="H44" s="13">
        <f t="shared" si="1"/>
        <v>10.003192898794062</v>
      </c>
    </row>
    <row r="45" spans="2:9" ht="14" x14ac:dyDescent="0.3">
      <c r="B45" s="4" t="s">
        <v>157</v>
      </c>
      <c r="C45" s="30">
        <v>7</v>
      </c>
      <c r="D45" s="13">
        <f t="shared" si="1"/>
        <v>19.551401397883424</v>
      </c>
      <c r="E45" s="13">
        <f t="shared" si="1"/>
        <v>15.445967055827673</v>
      </c>
      <c r="F45" s="13">
        <f t="shared" si="1"/>
        <v>12.663543453209831</v>
      </c>
      <c r="G45" s="13">
        <f t="shared" si="1"/>
        <v>10.658314219864449</v>
      </c>
      <c r="H45" s="13">
        <f t="shared" si="1"/>
        <v>9.148102029855302</v>
      </c>
    </row>
    <row r="46" spans="2:9" ht="14" x14ac:dyDescent="0.3">
      <c r="B46" s="4" t="s">
        <v>158</v>
      </c>
      <c r="C46" s="30">
        <v>10</v>
      </c>
      <c r="D46" s="13">
        <f t="shared" si="1"/>
        <v>17.960162362743606</v>
      </c>
      <c r="E46" s="13">
        <f t="shared" si="1"/>
        <v>14.026263967501713</v>
      </c>
      <c r="F46" s="13">
        <f t="shared" si="1"/>
        <v>11.373131624777624</v>
      </c>
      <c r="G46" s="13">
        <f t="shared" si="1"/>
        <v>9.471261168220753</v>
      </c>
      <c r="H46" s="13">
        <f t="shared" si="1"/>
        <v>8.0470108563916867</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128869.87609907512</v>
      </c>
      <c r="E48" s="5">
        <f t="shared" si="2"/>
        <v>160525.41422458724</v>
      </c>
      <c r="F48" s="5">
        <f t="shared" si="2"/>
        <v>192761.09025939443</v>
      </c>
      <c r="G48" s="5">
        <f t="shared" si="2"/>
        <v>225570.82905732648</v>
      </c>
      <c r="H48" s="5">
        <f t="shared" si="2"/>
        <v>258948.57792429891</v>
      </c>
    </row>
    <row r="49" spans="2:9" ht="14" x14ac:dyDescent="0.3">
      <c r="B49" s="4" t="s">
        <v>156</v>
      </c>
      <c r="C49" s="30">
        <v>5</v>
      </c>
      <c r="D49" s="5">
        <f t="shared" si="2"/>
        <v>128806.6248217805</v>
      </c>
      <c r="E49" s="5">
        <f t="shared" si="2"/>
        <v>162085.79978119754</v>
      </c>
      <c r="F49" s="5">
        <f t="shared" si="2"/>
        <v>196572.6305483352</v>
      </c>
      <c r="G49" s="5">
        <f t="shared" si="2"/>
        <v>232263.3855892987</v>
      </c>
      <c r="H49" s="5">
        <f t="shared" si="2"/>
        <v>269153.78392422036</v>
      </c>
    </row>
    <row r="50" spans="2:9" ht="14" x14ac:dyDescent="0.3">
      <c r="B50" s="4" t="s">
        <v>157</v>
      </c>
      <c r="C50" s="30">
        <v>7</v>
      </c>
      <c r="D50" s="5">
        <f t="shared" si="2"/>
        <v>128655.58211798339</v>
      </c>
      <c r="E50" s="5">
        <f t="shared" si="2"/>
        <v>163610.10309437217</v>
      </c>
      <c r="F50" s="5">
        <f t="shared" si="2"/>
        <v>200446.59812926551</v>
      </c>
      <c r="G50" s="5">
        <f t="shared" si="2"/>
        <v>239171.5903308579</v>
      </c>
      <c r="H50" s="5">
        <f t="shared" si="2"/>
        <v>279789.7412080731</v>
      </c>
    </row>
    <row r="51" spans="2:9" ht="14" x14ac:dyDescent="0.3">
      <c r="B51" s="4" t="s">
        <v>158</v>
      </c>
      <c r="C51" s="30">
        <v>10</v>
      </c>
      <c r="D51" s="5">
        <f t="shared" si="2"/>
        <v>128260.68336500794</v>
      </c>
      <c r="E51" s="5">
        <f t="shared" si="2"/>
        <v>165823.92287652814</v>
      </c>
      <c r="F51" s="5">
        <f t="shared" si="2"/>
        <v>206366.28381224518</v>
      </c>
      <c r="G51" s="5">
        <f t="shared" si="2"/>
        <v>249922.83592256901</v>
      </c>
      <c r="H51" s="5">
        <f t="shared" si="2"/>
        <v>296522.98392410332</v>
      </c>
    </row>
    <row r="52" spans="2:9" ht="14" x14ac:dyDescent="0.3">
      <c r="B52" s="22" t="s">
        <v>161</v>
      </c>
      <c r="C52" s="23"/>
      <c r="D52" s="23"/>
      <c r="E52" s="23"/>
      <c r="F52" s="23"/>
      <c r="G52" s="23"/>
      <c r="H52" s="23"/>
      <c r="I52" s="23"/>
    </row>
    <row r="53" spans="2:9" ht="14" x14ac:dyDescent="0.3">
      <c r="B53" s="4" t="s">
        <v>155</v>
      </c>
      <c r="C53" s="30">
        <v>3</v>
      </c>
      <c r="D53" s="14">
        <f t="shared" ref="D53:H56" si="3">IFERROR(D48/$C$15,"N/A")</f>
        <v>0.68557287762709263</v>
      </c>
      <c r="E53" s="14">
        <f t="shared" si="3"/>
        <v>0.85397668946017657</v>
      </c>
      <c r="F53" s="14">
        <f t="shared" si="3"/>
        <v>1.0254667680604468</v>
      </c>
      <c r="G53" s="14">
        <f t="shared" si="3"/>
        <v>1.2000107943509553</v>
      </c>
      <c r="H53" s="14">
        <f t="shared" si="3"/>
        <v>1.3775765686972608</v>
      </c>
    </row>
    <row r="54" spans="2:9" ht="14" x14ac:dyDescent="0.3">
      <c r="B54" s="4" t="s">
        <v>156</v>
      </c>
      <c r="C54" s="30">
        <v>5</v>
      </c>
      <c r="D54" s="14">
        <f t="shared" si="3"/>
        <v>0.68523638812697762</v>
      </c>
      <c r="E54" s="14">
        <f t="shared" si="3"/>
        <v>0.86227776065411987</v>
      </c>
      <c r="F54" s="14">
        <f t="shared" si="3"/>
        <v>1.0457437227932331</v>
      </c>
      <c r="G54" s="14">
        <f t="shared" si="3"/>
        <v>1.2356144232143738</v>
      </c>
      <c r="H54" s="14">
        <f t="shared" si="3"/>
        <v>1.4318670875983932</v>
      </c>
    </row>
    <row r="55" spans="2:9" ht="14" x14ac:dyDescent="0.3">
      <c r="B55" s="4" t="s">
        <v>157</v>
      </c>
      <c r="C55" s="30">
        <v>7</v>
      </c>
      <c r="D55" s="14">
        <f t="shared" si="3"/>
        <v>0.68443285836330225</v>
      </c>
      <c r="E55" s="14">
        <f t="shared" si="3"/>
        <v>0.87038687847453466</v>
      </c>
      <c r="F55" s="14">
        <f t="shared" si="3"/>
        <v>1.0663527835193458</v>
      </c>
      <c r="G55" s="14">
        <f t="shared" si="3"/>
        <v>1.2723652756809873</v>
      </c>
      <c r="H55" s="14">
        <f t="shared" si="3"/>
        <v>1.4884491536492979</v>
      </c>
    </row>
    <row r="56" spans="2:9" ht="14" x14ac:dyDescent="0.3">
      <c r="B56" s="4" t="s">
        <v>158</v>
      </c>
      <c r="C56" s="30">
        <v>10</v>
      </c>
      <c r="D56" s="14">
        <f t="shared" si="3"/>
        <v>0.68233204254315993</v>
      </c>
      <c r="E56" s="14">
        <f t="shared" si="3"/>
        <v>0.88216414438447943</v>
      </c>
      <c r="F56" s="14">
        <f t="shared" si="3"/>
        <v>1.0978448286052602</v>
      </c>
      <c r="G56" s="14">
        <f t="shared" si="3"/>
        <v>1.3295606622329099</v>
      </c>
      <c r="H56" s="14">
        <f t="shared" si="3"/>
        <v>1.5774680749683643</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196572.6305483352</v>
      </c>
    </row>
    <row r="62" spans="2:9" ht="14" x14ac:dyDescent="0.3">
      <c r="B62" s="28" t="s">
        <v>165</v>
      </c>
      <c r="C62" s="28" t="s">
        <v>166</v>
      </c>
      <c r="D62" s="28" t="s">
        <v>167</v>
      </c>
    </row>
    <row r="63" spans="2:9" ht="14" x14ac:dyDescent="0.3">
      <c r="B63" s="31">
        <v>4.4999999999999998E-2</v>
      </c>
      <c r="C63" s="5">
        <f>IFERROR($C$60/B63,"N/A")</f>
        <v>4368280.6788518932</v>
      </c>
      <c r="D63" s="14">
        <f>IFERROR(C63/'DCF Model'!C17,"N/A")</f>
        <v>2.0909968832610817</v>
      </c>
    </row>
    <row r="64" spans="2:9" ht="14" x14ac:dyDescent="0.3">
      <c r="B64" s="31">
        <v>6.7500000000000004E-2</v>
      </c>
      <c r="C64" s="5">
        <f>IFERROR($C$60/B64,"N/A")</f>
        <v>2912187.1192345954</v>
      </c>
      <c r="D64" s="14">
        <f>IFERROR(C64/'DCF Model'!C17,"N/A")</f>
        <v>1.3939979221740544</v>
      </c>
    </row>
    <row r="65" spans="2:9" ht="14" x14ac:dyDescent="0.3">
      <c r="B65" s="4" t="s">
        <v>168</v>
      </c>
      <c r="C65" s="5">
        <f>IFERROR($C$60/$C$18,"N/A")</f>
        <v>2184652.7538501155</v>
      </c>
      <c r="D65" s="14">
        <f>IFERROR(C65/'DCF Model'!C17,"N/A")</f>
        <v>1.0457437227932331</v>
      </c>
    </row>
    <row r="66" spans="2:9" ht="14" x14ac:dyDescent="0.3">
      <c r="B66" s="31">
        <v>0.1125</v>
      </c>
      <c r="C66" s="5">
        <f>IFERROR($C$60/B66,"N/A")</f>
        <v>1747312.2715407573</v>
      </c>
      <c r="D66" s="14">
        <f>IFERROR(C66/'DCF Model'!C17,"N/A")</f>
        <v>0.8363987533044327</v>
      </c>
    </row>
    <row r="67" spans="2:9" ht="14" x14ac:dyDescent="0.3">
      <c r="B67" s="31">
        <v>0.13500000000000001</v>
      </c>
      <c r="C67" s="5">
        <f>IFERROR($C$60/B67,"N/A")</f>
        <v>1456093.5596172977</v>
      </c>
      <c r="D67" s="14">
        <f>IFERROR(C67/'DCF Model'!C17,"N/A")</f>
        <v>0.69699896108702719</v>
      </c>
    </row>
    <row r="69" spans="2:9" ht="14" x14ac:dyDescent="0.3">
      <c r="B69" s="8" t="s">
        <v>169</v>
      </c>
      <c r="C69" s="9"/>
      <c r="D69" s="9"/>
      <c r="E69" s="9"/>
      <c r="F69" s="9"/>
      <c r="G69" s="9"/>
      <c r="H69" s="9"/>
      <c r="I69" s="9"/>
    </row>
    <row r="70" spans="2:9" ht="13.5" x14ac:dyDescent="0.25">
      <c r="B70" s="6" t="s">
        <v>170</v>
      </c>
      <c r="C70" s="14">
        <f>IFERROR(C10/'Comps Analysis'!G5,"N/A")</f>
        <v>11.020351275324803</v>
      </c>
    </row>
    <row r="71" spans="2:9" ht="13.5" x14ac:dyDescent="0.25">
      <c r="B71" s="6" t="s">
        <v>171</v>
      </c>
      <c r="C71" s="14">
        <f>IFERROR(C10/'Comps Analysis'!F5,"N/A")</f>
        <v>1.0800428512462366</v>
      </c>
    </row>
    <row r="72" spans="2:9" ht="14" x14ac:dyDescent="0.3">
      <c r="B72" s="4" t="s">
        <v>172</v>
      </c>
      <c r="C72" s="14">
        <f>IFERROR(C10/(C25+'DCF Model'!G42),"N/A")</f>
        <v>10.894340849620335</v>
      </c>
    </row>
    <row r="73" spans="2:9" ht="14" x14ac:dyDescent="0.3">
      <c r="B73" s="4" t="s">
        <v>173</v>
      </c>
      <c r="C73" s="14">
        <f>IFERROR(C10/(C60+'DCF Model'!G42),"N/A")</f>
        <v>10.510815994952033</v>
      </c>
    </row>
    <row r="74" spans="2:9" ht="14" x14ac:dyDescent="0.3">
      <c r="B74" s="4" t="s">
        <v>174</v>
      </c>
      <c r="C74" s="14">
        <f>IFERROR('Comps Analysis'!D16,"N/A")</f>
        <v>9.4982468470579047</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12,690 yen the market is paying for a steady-state operating profit of 196,573 mn JPY - 1.05x the FY2026 cycle peak of 187,974 mn - reached in 5 years and sustained for ever, against 187,974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189,016 mn, or 1.01x the peak. The base case supports an EV of only 1,855,232 mn, leaving 2,460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168.04966277182888</v>
      </c>
      <c r="D5" s="34">
        <f>CHOOSE('DCF Model'!$D$27,D25,D26,D27,D28,D29)</f>
        <v>165</v>
      </c>
      <c r="E5" s="34">
        <f>CHOOSE('DCF Model'!$D$27,E25,E26,E27,E28,E29)</f>
        <v>165</v>
      </c>
      <c r="F5" s="34">
        <f>CHOOSE('DCF Model'!$D$27,F25,F26,F27,F28,F29)</f>
        <v>165</v>
      </c>
      <c r="G5" s="34">
        <f>CHOOSE('DCF Model'!$D$27,G25,G26,G27,G28,G29)</f>
        <v>165</v>
      </c>
      <c r="H5" s="34">
        <f>CHOOSE('DCF Model'!$D$27,H25,H26,H27,H28,H29)</f>
        <v>165</v>
      </c>
    </row>
    <row r="6" spans="2:8" ht="14" x14ac:dyDescent="0.3">
      <c r="B6" s="33" t="s">
        <v>181</v>
      </c>
      <c r="C6" s="34">
        <f>C13/C10*365</f>
        <v>66.211425582776926</v>
      </c>
      <c r="D6" s="34">
        <f>CHOOSE('DCF Model'!$D$27,D32,D33,D34,D35,D36)</f>
        <v>56</v>
      </c>
      <c r="E6" s="34">
        <f>CHOOSE('DCF Model'!$D$27,E32,E33,E34,E35,E36)</f>
        <v>56</v>
      </c>
      <c r="F6" s="34">
        <f>CHOOSE('DCF Model'!$D$27,F32,F33,F34,F35,F36)</f>
        <v>56</v>
      </c>
      <c r="G6" s="34">
        <f>CHOOSE('DCF Model'!$D$27,G32,G33,G34,G35,G36)</f>
        <v>56</v>
      </c>
      <c r="H6" s="34">
        <f>CHOOSE('DCF Model'!$D$27,H32,H33,H34,H35,H36)</f>
        <v>56</v>
      </c>
    </row>
    <row r="7" spans="2:8" ht="14" x14ac:dyDescent="0.3">
      <c r="B7" s="33" t="s">
        <v>182</v>
      </c>
      <c r="C7" s="34">
        <f>C15/C10*365</f>
        <v>104.07231521828732</v>
      </c>
      <c r="D7" s="34">
        <f>CHOOSE('DCF Model'!$D$27,D39,D40,D41,D42,D43)</f>
        <v>115</v>
      </c>
      <c r="E7" s="34">
        <f>CHOOSE('DCF Model'!$D$27,E39,E40,E41,E42,E43)</f>
        <v>115</v>
      </c>
      <c r="F7" s="34">
        <f>CHOOSE('DCF Model'!$D$27,F39,F40,F41,F42,F43)</f>
        <v>115</v>
      </c>
      <c r="G7" s="34">
        <f>CHOOSE('DCF Model'!$D$27,G39,G40,G41,G42,G43)</f>
        <v>115</v>
      </c>
      <c r="H7" s="34">
        <f>CHOOSE('DCF Model'!$D$27,H39,H40,H41,H42,H43)</f>
        <v>115</v>
      </c>
    </row>
    <row r="8" spans="2:8" ht="14" x14ac:dyDescent="0.3">
      <c r="B8" s="8" t="s">
        <v>183</v>
      </c>
      <c r="C8" s="9"/>
      <c r="D8" s="9"/>
      <c r="E8" s="9"/>
      <c r="F8" s="9"/>
      <c r="G8" s="9"/>
      <c r="H8" s="9"/>
    </row>
    <row r="9" spans="2:8" ht="14" x14ac:dyDescent="0.3">
      <c r="B9" s="33" t="s">
        <v>37</v>
      </c>
      <c r="C9" s="35">
        <v>2089090</v>
      </c>
      <c r="D9" s="35">
        <f>'DCF Model'!C33</f>
        <v>2109980.9</v>
      </c>
      <c r="E9" s="35">
        <f>'DCF Model'!D33</f>
        <v>2141630.6134999995</v>
      </c>
      <c r="F9" s="35">
        <f>'DCF Model'!E33</f>
        <v>2184463.2257699994</v>
      </c>
      <c r="G9" s="35">
        <f>'DCF Model'!F33</f>
        <v>2228152.4902853994</v>
      </c>
      <c r="H9" s="35">
        <f>'DCF Model'!G33</f>
        <v>2261574.7776396801</v>
      </c>
    </row>
    <row r="10" spans="2:8" ht="14" x14ac:dyDescent="0.3">
      <c r="B10" s="33" t="s">
        <v>38</v>
      </c>
      <c r="C10" s="35">
        <v>1759035</v>
      </c>
      <c r="D10" s="35">
        <f>'DCF Model'!C34</f>
        <v>1776603.9177999999</v>
      </c>
      <c r="E10" s="35">
        <f>'DCF Model'!D34</f>
        <v>1803252.9765669995</v>
      </c>
      <c r="F10" s="35">
        <f>'DCF Model'!E34</f>
        <v>1839318.0360983394</v>
      </c>
      <c r="G10" s="35">
        <f>'DCF Model'!F34</f>
        <v>1876104.3968203063</v>
      </c>
      <c r="H10" s="35">
        <f>'DCF Model'!G34</f>
        <v>1904245.9627726106</v>
      </c>
    </row>
    <row r="11" spans="2:8" ht="14" x14ac:dyDescent="0.3">
      <c r="B11" s="8" t="s">
        <v>184</v>
      </c>
      <c r="C11" s="9"/>
      <c r="D11" s="9"/>
      <c r="E11" s="9"/>
      <c r="F11" s="9"/>
      <c r="G11" s="9"/>
      <c r="H11" s="9"/>
    </row>
    <row r="12" spans="2:8" ht="14" x14ac:dyDescent="0.3">
      <c r="B12" s="33" t="s">
        <v>185</v>
      </c>
      <c r="C12" s="35">
        <v>961838</v>
      </c>
      <c r="D12" s="35">
        <f t="shared" ref="D12:H13" si="0">D9*D5/365</f>
        <v>953826.98219178081</v>
      </c>
      <c r="E12" s="35">
        <f t="shared" si="0"/>
        <v>968134.38692465727</v>
      </c>
      <c r="F12" s="35">
        <f t="shared" si="0"/>
        <v>987497.07466315047</v>
      </c>
      <c r="G12" s="35">
        <f t="shared" si="0"/>
        <v>1007247.0161564135</v>
      </c>
      <c r="H12" s="35">
        <f t="shared" si="0"/>
        <v>1022355.7213987595</v>
      </c>
    </row>
    <row r="13" spans="2:8" ht="14" x14ac:dyDescent="0.3">
      <c r="B13" s="33" t="s">
        <v>186</v>
      </c>
      <c r="C13" s="35">
        <v>319091</v>
      </c>
      <c r="D13" s="35">
        <f t="shared" si="0"/>
        <v>272574.84766246576</v>
      </c>
      <c r="E13" s="35">
        <f t="shared" si="0"/>
        <v>276663.47037740261</v>
      </c>
      <c r="F13" s="35">
        <f t="shared" si="0"/>
        <v>282196.73978495074</v>
      </c>
      <c r="G13" s="35">
        <f t="shared" si="0"/>
        <v>287840.67458064971</v>
      </c>
      <c r="H13" s="35">
        <f t="shared" si="0"/>
        <v>292158.28469935938</v>
      </c>
    </row>
    <row r="14" spans="2:8" ht="14" x14ac:dyDescent="0.3">
      <c r="B14" s="33" t="s">
        <v>187</v>
      </c>
      <c r="C14" s="35">
        <f t="shared" ref="C14:H14" si="1">C12+C13</f>
        <v>1280929</v>
      </c>
      <c r="D14" s="35">
        <f t="shared" si="1"/>
        <v>1226401.8298542467</v>
      </c>
      <c r="E14" s="35">
        <f t="shared" si="1"/>
        <v>1244797.8573020599</v>
      </c>
      <c r="F14" s="35">
        <f t="shared" si="1"/>
        <v>1269693.8144481012</v>
      </c>
      <c r="G14" s="35">
        <f t="shared" si="1"/>
        <v>1295087.6907370631</v>
      </c>
      <c r="H14" s="35">
        <f t="shared" si="1"/>
        <v>1314514.0060981188</v>
      </c>
    </row>
    <row r="15" spans="2:8" ht="14" x14ac:dyDescent="0.3">
      <c r="B15" s="33" t="s">
        <v>188</v>
      </c>
      <c r="C15" s="35">
        <v>501553</v>
      </c>
      <c r="D15" s="35">
        <f>D10*D7/365</f>
        <v>559751.91930684925</v>
      </c>
      <c r="E15" s="35">
        <f>E10*E7/365</f>
        <v>568148.19809645182</v>
      </c>
      <c r="F15" s="35">
        <f>F10*F7/365</f>
        <v>579511.1620583809</v>
      </c>
      <c r="G15" s="35">
        <f>G10*G7/365</f>
        <v>591101.38529954851</v>
      </c>
      <c r="H15" s="35">
        <f>H10*H7/365</f>
        <v>599967.90607904166</v>
      </c>
    </row>
    <row r="16" spans="2:8" ht="14" x14ac:dyDescent="0.3">
      <c r="B16" s="33" t="s">
        <v>189</v>
      </c>
      <c r="C16" s="35">
        <f t="shared" ref="C16:H16" si="2">C15</f>
        <v>501553</v>
      </c>
      <c r="D16" s="35">
        <f t="shared" si="2"/>
        <v>559751.91930684925</v>
      </c>
      <c r="E16" s="35">
        <f t="shared" si="2"/>
        <v>568148.19809645182</v>
      </c>
      <c r="F16" s="35">
        <f t="shared" si="2"/>
        <v>579511.1620583809</v>
      </c>
      <c r="G16" s="35">
        <f t="shared" si="2"/>
        <v>591101.38529954851</v>
      </c>
      <c r="H16" s="35">
        <f t="shared" si="2"/>
        <v>599967.90607904166</v>
      </c>
    </row>
    <row r="17" spans="2:8" ht="14" x14ac:dyDescent="0.3">
      <c r="B17" s="22" t="s">
        <v>190</v>
      </c>
      <c r="C17" s="23"/>
      <c r="D17" s="23"/>
      <c r="E17" s="23"/>
      <c r="F17" s="23"/>
      <c r="G17" s="23"/>
      <c r="H17" s="23"/>
    </row>
    <row r="18" spans="2:8" ht="14" x14ac:dyDescent="0.3">
      <c r="B18" s="33" t="s">
        <v>191</v>
      </c>
      <c r="C18" s="20">
        <f t="shared" ref="C18:H18" si="3">C14-C16</f>
        <v>779376</v>
      </c>
      <c r="D18" s="20">
        <f t="shared" si="3"/>
        <v>666649.91054739745</v>
      </c>
      <c r="E18" s="20">
        <f t="shared" si="3"/>
        <v>676649.65920560807</v>
      </c>
      <c r="F18" s="20">
        <f t="shared" si="3"/>
        <v>690182.65238972032</v>
      </c>
      <c r="G18" s="20">
        <f t="shared" si="3"/>
        <v>703986.30543751456</v>
      </c>
      <c r="H18" s="20">
        <f t="shared" si="3"/>
        <v>714546.10001907719</v>
      </c>
    </row>
    <row r="19" spans="2:8" ht="14" x14ac:dyDescent="0.3">
      <c r="B19" s="33" t="s">
        <v>100</v>
      </c>
      <c r="C19" s="36" t="s">
        <v>47</v>
      </c>
      <c r="D19" s="24">
        <f>D18-C18</f>
        <v>-112726.08945260255</v>
      </c>
      <c r="E19" s="24">
        <f>E18-D18</f>
        <v>9999.7486582106212</v>
      </c>
      <c r="F19" s="24">
        <f>F18-E18</f>
        <v>13532.993184112245</v>
      </c>
      <c r="G19" s="24">
        <f>G18-F18</f>
        <v>13803.653047794243</v>
      </c>
      <c r="H19" s="24">
        <f>H18-G18</f>
        <v>10559.79458156263</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165</v>
      </c>
      <c r="E25" s="30">
        <v>165</v>
      </c>
      <c r="F25" s="30">
        <v>165</v>
      </c>
      <c r="G25" s="30">
        <v>165</v>
      </c>
      <c r="H25" s="30">
        <v>165</v>
      </c>
    </row>
    <row r="26" spans="2:8" ht="14" x14ac:dyDescent="0.3">
      <c r="B26" s="4" t="s">
        <v>121</v>
      </c>
      <c r="D26" s="30">
        <v>162</v>
      </c>
      <c r="E26" s="30">
        <v>162</v>
      </c>
      <c r="F26" s="30">
        <v>162</v>
      </c>
      <c r="G26" s="30">
        <v>162</v>
      </c>
      <c r="H26" s="30">
        <v>162</v>
      </c>
    </row>
    <row r="27" spans="2:8" ht="14" x14ac:dyDescent="0.3">
      <c r="B27" s="4" t="s">
        <v>122</v>
      </c>
      <c r="D27" s="30">
        <v>165</v>
      </c>
      <c r="E27" s="30">
        <v>165</v>
      </c>
      <c r="F27" s="30">
        <v>165</v>
      </c>
      <c r="G27" s="30">
        <v>165</v>
      </c>
      <c r="H27" s="30">
        <v>165</v>
      </c>
    </row>
    <row r="28" spans="2:8" ht="14" x14ac:dyDescent="0.3">
      <c r="B28" s="4" t="s">
        <v>123</v>
      </c>
      <c r="D28" s="30">
        <v>169</v>
      </c>
      <c r="E28" s="30">
        <v>169</v>
      </c>
      <c r="F28" s="30">
        <v>169</v>
      </c>
      <c r="G28" s="30">
        <v>169</v>
      </c>
      <c r="H28" s="30">
        <v>169</v>
      </c>
    </row>
    <row r="29" spans="2:8" ht="14" x14ac:dyDescent="0.3">
      <c r="B29" s="4" t="s">
        <v>124</v>
      </c>
      <c r="D29" s="30">
        <v>173</v>
      </c>
      <c r="E29" s="30">
        <v>173</v>
      </c>
      <c r="F29" s="30">
        <v>173</v>
      </c>
      <c r="G29" s="30">
        <v>173</v>
      </c>
      <c r="H29" s="30">
        <v>173</v>
      </c>
    </row>
    <row r="31" spans="2:8" ht="14" x14ac:dyDescent="0.3">
      <c r="B31" s="3" t="s">
        <v>194</v>
      </c>
    </row>
    <row r="32" spans="2:8" ht="14" x14ac:dyDescent="0.3">
      <c r="B32" s="4" t="s">
        <v>84</v>
      </c>
      <c r="D32" s="30">
        <v>56</v>
      </c>
      <c r="E32" s="30">
        <v>56</v>
      </c>
      <c r="F32" s="30">
        <v>56</v>
      </c>
      <c r="G32" s="30">
        <v>56</v>
      </c>
      <c r="H32" s="30">
        <v>56</v>
      </c>
    </row>
    <row r="33" spans="2:8" ht="14" x14ac:dyDescent="0.3">
      <c r="B33" s="4" t="s">
        <v>121</v>
      </c>
      <c r="D33" s="30">
        <v>50</v>
      </c>
      <c r="E33" s="30">
        <v>50</v>
      </c>
      <c r="F33" s="30">
        <v>50</v>
      </c>
      <c r="G33" s="30">
        <v>50</v>
      </c>
      <c r="H33" s="30">
        <v>50</v>
      </c>
    </row>
    <row r="34" spans="2:8" ht="14" x14ac:dyDescent="0.3">
      <c r="B34" s="4" t="s">
        <v>122</v>
      </c>
      <c r="D34" s="30">
        <v>56</v>
      </c>
      <c r="E34" s="30">
        <v>56</v>
      </c>
      <c r="F34" s="30">
        <v>56</v>
      </c>
      <c r="G34" s="30">
        <v>56</v>
      </c>
      <c r="H34" s="30">
        <v>56</v>
      </c>
    </row>
    <row r="35" spans="2:8" ht="14" x14ac:dyDescent="0.3">
      <c r="B35" s="4" t="s">
        <v>123</v>
      </c>
      <c r="D35" s="30">
        <v>63</v>
      </c>
      <c r="E35" s="30">
        <v>63</v>
      </c>
      <c r="F35" s="30">
        <v>63</v>
      </c>
      <c r="G35" s="30">
        <v>63</v>
      </c>
      <c r="H35" s="30">
        <v>63</v>
      </c>
    </row>
    <row r="36" spans="2:8" ht="14" x14ac:dyDescent="0.3">
      <c r="B36" s="4" t="s">
        <v>124</v>
      </c>
      <c r="D36" s="30">
        <v>70</v>
      </c>
      <c r="E36" s="30">
        <v>70</v>
      </c>
      <c r="F36" s="30">
        <v>70</v>
      </c>
      <c r="G36" s="30">
        <v>70</v>
      </c>
      <c r="H36" s="30">
        <v>70</v>
      </c>
    </row>
    <row r="38" spans="2:8" ht="14" x14ac:dyDescent="0.3">
      <c r="B38" s="3" t="s">
        <v>195</v>
      </c>
    </row>
    <row r="39" spans="2:8" ht="14" x14ac:dyDescent="0.3">
      <c r="B39" s="4" t="s">
        <v>84</v>
      </c>
      <c r="D39" s="30">
        <v>115</v>
      </c>
      <c r="E39" s="30">
        <v>115</v>
      </c>
      <c r="F39" s="30">
        <v>115</v>
      </c>
      <c r="G39" s="30">
        <v>115</v>
      </c>
      <c r="H39" s="30">
        <v>115</v>
      </c>
    </row>
    <row r="40" spans="2:8" ht="14" x14ac:dyDescent="0.3">
      <c r="B40" s="4" t="s">
        <v>121</v>
      </c>
      <c r="D40" s="30">
        <v>117</v>
      </c>
      <c r="E40" s="30">
        <v>117</v>
      </c>
      <c r="F40" s="30">
        <v>117</v>
      </c>
      <c r="G40" s="30">
        <v>117</v>
      </c>
      <c r="H40" s="30">
        <v>117</v>
      </c>
    </row>
    <row r="41" spans="2:8" ht="14" x14ac:dyDescent="0.3">
      <c r="B41" s="4" t="s">
        <v>122</v>
      </c>
      <c r="D41" s="30">
        <v>115</v>
      </c>
      <c r="E41" s="30">
        <v>115</v>
      </c>
      <c r="F41" s="30">
        <v>115</v>
      </c>
      <c r="G41" s="30">
        <v>115</v>
      </c>
      <c r="H41" s="30">
        <v>115</v>
      </c>
    </row>
    <row r="42" spans="2:8" ht="14" x14ac:dyDescent="0.3">
      <c r="B42" s="4" t="s">
        <v>123</v>
      </c>
      <c r="D42" s="30">
        <v>112</v>
      </c>
      <c r="E42" s="30">
        <v>112</v>
      </c>
      <c r="F42" s="30">
        <v>112</v>
      </c>
      <c r="G42" s="30">
        <v>112</v>
      </c>
      <c r="H42" s="30">
        <v>112</v>
      </c>
    </row>
    <row r="43" spans="2:8" ht="14" x14ac:dyDescent="0.3">
      <c r="B43" s="4" t="s">
        <v>124</v>
      </c>
      <c r="D43" s="30">
        <v>109</v>
      </c>
      <c r="E43" s="30">
        <v>109</v>
      </c>
      <c r="F43" s="30">
        <v>109</v>
      </c>
      <c r="G43" s="30">
        <v>109</v>
      </c>
      <c r="H43" s="30">
        <v>109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2068585.7201100001</v>
      </c>
      <c r="E5" s="37">
        <f>D5+C24</f>
        <v>2256306.7201100001</v>
      </c>
      <c r="F5" s="37">
        <v>2089090</v>
      </c>
      <c r="G5" s="37">
        <v>204740</v>
      </c>
      <c r="H5" s="37">
        <v>187974</v>
      </c>
      <c r="I5" s="37">
        <v>170004</v>
      </c>
      <c r="J5" s="38">
        <f t="shared" ref="J5:J10" si="0">IFERROR(E5/G5,"")</f>
        <v>11.020351275324803</v>
      </c>
      <c r="K5" s="38">
        <f t="shared" ref="K5:K10" si="1">IFERROR(E5/F5,"")</f>
        <v>1.0800428512462366</v>
      </c>
      <c r="L5" s="38">
        <f t="shared" ref="L5:L10" si="2">IFERROR(D5/I5,"")</f>
        <v>12.167864992059011</v>
      </c>
      <c r="M5" s="38">
        <f t="shared" ref="M5:M10" si="3">IFERROR(D5/P5,"")</f>
        <v>2.1818798302982358</v>
      </c>
      <c r="N5" s="39">
        <f t="shared" ref="N5:N10" si="4">IFERROR(H5/F5,"")</f>
        <v>8.997889033023948E-2</v>
      </c>
      <c r="O5" s="39">
        <f t="shared" ref="O5:O10" si="5">IFERROR(I5/P5,"")</f>
        <v>0.17931492761648604</v>
      </c>
      <c r="P5" s="37">
        <v>948075</v>
      </c>
    </row>
    <row r="6" spans="2:17" ht="14" x14ac:dyDescent="0.3">
      <c r="B6" s="4" t="s">
        <v>214</v>
      </c>
      <c r="C6" t="s">
        <v>215</v>
      </c>
      <c r="D6" s="37">
        <v>2069826</v>
      </c>
      <c r="E6" s="37">
        <v>1995419</v>
      </c>
      <c r="F6" s="37">
        <v>2586258</v>
      </c>
      <c r="G6" s="37">
        <v>231032</v>
      </c>
      <c r="H6" s="37">
        <v>194679</v>
      </c>
      <c r="I6" s="37">
        <v>173759</v>
      </c>
      <c r="J6" s="38">
        <f t="shared" si="0"/>
        <v>8.6369810242736929</v>
      </c>
      <c r="K6" s="38">
        <f t="shared" si="1"/>
        <v>0.77154676756920615</v>
      </c>
      <c r="L6" s="38">
        <f t="shared" si="2"/>
        <v>11.912050598817903</v>
      </c>
      <c r="M6" s="38">
        <f t="shared" si="3"/>
        <v>1.6447776304152102</v>
      </c>
      <c r="N6" s="39">
        <f t="shared" si="4"/>
        <v>7.5274392578002655E-2</v>
      </c>
      <c r="O6" s="39">
        <f t="shared" si="5"/>
        <v>0.13807678340271912</v>
      </c>
      <c r="P6" s="37">
        <v>1258423</v>
      </c>
    </row>
    <row r="7" spans="2:17" ht="14" x14ac:dyDescent="0.3">
      <c r="B7" s="4" t="s">
        <v>216</v>
      </c>
      <c r="C7" t="s">
        <v>217</v>
      </c>
      <c r="D7" s="37">
        <v>2276179</v>
      </c>
      <c r="E7" s="37">
        <v>2706017</v>
      </c>
      <c r="F7" s="37">
        <v>3067275</v>
      </c>
      <c r="G7" s="37">
        <v>274253</v>
      </c>
      <c r="H7" s="37">
        <v>240781</v>
      </c>
      <c r="I7" s="37">
        <v>177334</v>
      </c>
      <c r="J7" s="38">
        <f t="shared" si="0"/>
        <v>9.8668638082354612</v>
      </c>
      <c r="K7" s="38">
        <f t="shared" si="1"/>
        <v>0.88222184186289132</v>
      </c>
      <c r="L7" s="38">
        <f t="shared" si="2"/>
        <v>12.835547610723268</v>
      </c>
      <c r="M7" s="38">
        <f t="shared" si="3"/>
        <v>1.608590014946838</v>
      </c>
      <c r="N7" s="39">
        <f t="shared" si="4"/>
        <v>7.8499971473050184E-2</v>
      </c>
      <c r="O7" s="39">
        <f t="shared" si="5"/>
        <v>0.12532305311251118</v>
      </c>
      <c r="P7" s="37">
        <v>1415015</v>
      </c>
    </row>
    <row r="8" spans="2:17" ht="14" x14ac:dyDescent="0.3">
      <c r="B8" s="4" t="s">
        <v>218</v>
      </c>
      <c r="C8" t="s">
        <v>219</v>
      </c>
      <c r="D8" s="37">
        <v>1608979</v>
      </c>
      <c r="E8" s="37">
        <v>1938397</v>
      </c>
      <c r="F8" s="37">
        <v>2057801</v>
      </c>
      <c r="G8" s="37">
        <v>152180</v>
      </c>
      <c r="H8" s="37">
        <v>118669</v>
      </c>
      <c r="I8" s="37">
        <v>126617</v>
      </c>
      <c r="J8" s="38">
        <f t="shared" si="0"/>
        <v>12.73752792745433</v>
      </c>
      <c r="K8" s="38">
        <f t="shared" si="1"/>
        <v>0.94197495287445188</v>
      </c>
      <c r="L8" s="38">
        <f t="shared" si="2"/>
        <v>12.707448446891018</v>
      </c>
      <c r="M8" s="38">
        <f t="shared" si="3"/>
        <v>1.6452131749654388</v>
      </c>
      <c r="N8" s="39">
        <f t="shared" si="4"/>
        <v>5.766786973084375E-2</v>
      </c>
      <c r="O8" s="39">
        <f t="shared" si="5"/>
        <v>0.12946841231277659</v>
      </c>
      <c r="P8" s="37">
        <v>977976</v>
      </c>
    </row>
    <row r="9" spans="2:17" ht="14" x14ac:dyDescent="0.3">
      <c r="B9" s="4" t="s">
        <v>220</v>
      </c>
      <c r="C9" t="s">
        <v>221</v>
      </c>
      <c r="D9" s="37">
        <v>2190397</v>
      </c>
      <c r="E9" s="37">
        <v>3648894</v>
      </c>
      <c r="F9" s="37">
        <v>4197922</v>
      </c>
      <c r="G9" s="37">
        <v>384165</v>
      </c>
      <c r="H9" s="37">
        <v>341404</v>
      </c>
      <c r="I9" s="37">
        <v>232095</v>
      </c>
      <c r="J9" s="38">
        <f t="shared" si="0"/>
        <v>9.4982468470579047</v>
      </c>
      <c r="K9" s="38">
        <f t="shared" si="1"/>
        <v>0.86921433985671959</v>
      </c>
      <c r="L9" s="38">
        <f t="shared" si="2"/>
        <v>9.4375018850039858</v>
      </c>
      <c r="M9" s="38">
        <f t="shared" si="3"/>
        <v>1.0237360903453945</v>
      </c>
      <c r="N9" s="39">
        <f t="shared" si="4"/>
        <v>8.1326904120657795E-2</v>
      </c>
      <c r="O9" s="39">
        <f t="shared" si="5"/>
        <v>0.10847532565499056</v>
      </c>
      <c r="P9" s="37">
        <v>2139611</v>
      </c>
    </row>
    <row r="10" spans="2:17" ht="14" x14ac:dyDescent="0.3">
      <c r="B10" s="4" t="s">
        <v>222</v>
      </c>
      <c r="C10" t="s">
        <v>223</v>
      </c>
      <c r="D10" s="37">
        <v>2909981</v>
      </c>
      <c r="E10" s="37">
        <v>5686767</v>
      </c>
      <c r="F10" s="37">
        <v>5576861</v>
      </c>
      <c r="G10" s="37">
        <v>755223</v>
      </c>
      <c r="H10" s="37">
        <v>614884</v>
      </c>
      <c r="I10" s="37">
        <v>350568</v>
      </c>
      <c r="J10" s="38">
        <f t="shared" si="0"/>
        <v>7.5299176534612959</v>
      </c>
      <c r="K10" s="38">
        <f t="shared" si="1"/>
        <v>1.0197075021235065</v>
      </c>
      <c r="L10" s="38">
        <f t="shared" si="2"/>
        <v>8.3007604801350947</v>
      </c>
      <c r="M10" s="38">
        <f t="shared" si="3"/>
        <v>1.0045703069172194</v>
      </c>
      <c r="N10" s="39">
        <f t="shared" si="4"/>
        <v>0.11025628933552405</v>
      </c>
      <c r="O10" s="39">
        <f t="shared" si="5"/>
        <v>0.12102147861286922</v>
      </c>
      <c r="P10" s="37">
        <v>2896742</v>
      </c>
    </row>
    <row r="14" spans="2:17" ht="14" x14ac:dyDescent="0.3">
      <c r="B14" s="3" t="s">
        <v>224</v>
      </c>
    </row>
    <row r="15" spans="2:17" ht="14" x14ac:dyDescent="0.3">
      <c r="B15" s="4" t="s">
        <v>225</v>
      </c>
      <c r="D15" s="38">
        <f t="shared" ref="D15:I15" si="6">PERCENTILE(J6:J10,0.25)</f>
        <v>8.6369810242736929</v>
      </c>
      <c r="E15" s="38">
        <f t="shared" si="6"/>
        <v>0.86921433985671959</v>
      </c>
      <c r="F15" s="38">
        <f t="shared" si="6"/>
        <v>9.4375018850039858</v>
      </c>
      <c r="G15" s="38">
        <f t="shared" si="6"/>
        <v>1.0237360903453945</v>
      </c>
      <c r="H15" s="39">
        <f t="shared" si="6"/>
        <v>7.5274392578002655E-2</v>
      </c>
      <c r="I15" s="39">
        <f t="shared" si="6"/>
        <v>0.12102147861286922</v>
      </c>
    </row>
    <row r="16" spans="2:17" ht="14" x14ac:dyDescent="0.3">
      <c r="B16" s="4" t="s">
        <v>226</v>
      </c>
      <c r="D16" s="38">
        <f t="shared" ref="D16:I16" si="7">MEDIAN(J6:J10)</f>
        <v>9.4982468470579047</v>
      </c>
      <c r="E16" s="38">
        <f t="shared" si="7"/>
        <v>0.88222184186289132</v>
      </c>
      <c r="F16" s="38">
        <f t="shared" si="7"/>
        <v>11.912050598817903</v>
      </c>
      <c r="G16" s="38">
        <f t="shared" si="7"/>
        <v>1.608590014946838</v>
      </c>
      <c r="H16" s="39">
        <f t="shared" si="7"/>
        <v>7.8499971473050184E-2</v>
      </c>
      <c r="I16" s="39">
        <f t="shared" si="7"/>
        <v>0.12532305311251118</v>
      </c>
    </row>
    <row r="17" spans="2:9" ht="14" x14ac:dyDescent="0.3">
      <c r="B17" s="4" t="s">
        <v>227</v>
      </c>
      <c r="D17" s="38">
        <f t="shared" ref="D17:I17" si="8">PERCENTILE(J6:J10,0.75)</f>
        <v>9.8668638082354612</v>
      </c>
      <c r="E17" s="38">
        <f t="shared" si="8"/>
        <v>0.94197495287445188</v>
      </c>
      <c r="F17" s="38">
        <f t="shared" si="8"/>
        <v>12.707448446891018</v>
      </c>
      <c r="G17" s="38">
        <f t="shared" si="8"/>
        <v>1.6447776304152102</v>
      </c>
      <c r="H17" s="39">
        <f t="shared" si="8"/>
        <v>8.1326904120657795E-2</v>
      </c>
      <c r="I17" s="39">
        <f t="shared" si="8"/>
        <v>0.12946841231277659</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204740</v>
      </c>
    </row>
    <row r="22" spans="2:9" ht="14" x14ac:dyDescent="0.3">
      <c r="B22" s="4" t="s">
        <v>231</v>
      </c>
      <c r="C22" s="5">
        <v>170004</v>
      </c>
    </row>
    <row r="23" spans="2:9" ht="14" x14ac:dyDescent="0.3">
      <c r="B23" s="4" t="s">
        <v>232</v>
      </c>
      <c r="C23" s="15">
        <v>163009119</v>
      </c>
    </row>
    <row r="24" spans="2:9" ht="14" x14ac:dyDescent="0.3">
      <c r="B24" s="4" t="s">
        <v>73</v>
      </c>
      <c r="C24" s="5">
        <v>187721</v>
      </c>
    </row>
    <row r="26" spans="2:9" ht="14" x14ac:dyDescent="0.3">
      <c r="B26" s="3" t="s">
        <v>233</v>
      </c>
    </row>
    <row r="27" spans="2:9" ht="14" x14ac:dyDescent="0.3">
      <c r="B27" s="4" t="s">
        <v>234</v>
      </c>
      <c r="C27" s="24">
        <f>ROUND((C21*D16-C24)*1000000/C23,0)</f>
        <v>10778</v>
      </c>
    </row>
    <row r="28" spans="2:9" ht="14" x14ac:dyDescent="0.3">
      <c r="B28" s="4" t="s">
        <v>235</v>
      </c>
      <c r="C28" s="24">
        <f>ROUND(C22*F16*1000000/C23,0)</f>
        <v>12423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7.2829073072338865E-2</v>
      </c>
      <c r="E3" s="4" t="s">
        <v>238</v>
      </c>
      <c r="F3" s="16">
        <f>'DCF Model'!C13</f>
        <v>0.01</v>
      </c>
      <c r="H3" s="4" t="s">
        <v>239</v>
      </c>
      <c r="I3" s="14">
        <f>'DCF Model'!C14</f>
        <v>9.5</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5.7829073072338866E-2</v>
      </c>
      <c r="C7" s="37">
        <f>IFERROR(ROUND(('DCF Model'!C45/(1+$B7)^('DCF Model'!C19+0)+'DCF Model'!D45/(1+$B7)^('DCF Model'!C19+1)+'DCF Model'!E45/(1+$B7)^('DCF Model'!C19+2)+'DCF Model'!F45/(1+$B7)^('DCF Model'!C19+3)+'DCF Model'!G45/(1+$B7)^('DCF Model'!C19+4)+'DCF Model'!G45*(1+C$6)/($B7-C$6)/(1+$B7)^('DCF Model'!C19+4)-'DCF Model'!C16)*1000000/'DCF Model'!C15,0),"")</f>
        <v>12081</v>
      </c>
      <c r="D7" s="37">
        <f>IFERROR(ROUND(('DCF Model'!C45/(1+$B7)^('DCF Model'!C19+0)+'DCF Model'!D45/(1+$B7)^('DCF Model'!C19+1)+'DCF Model'!E45/(1+$B7)^('DCF Model'!C19+2)+'DCF Model'!F45/(1+$B7)^('DCF Model'!C19+3)+'DCF Model'!G45/(1+$B7)^('DCF Model'!C19+4)+'DCF Model'!G45*(1+D$6)/($B7-D$6)/(1+$B7)^('DCF Model'!C19+4)-'DCF Model'!C16)*1000000/'DCF Model'!C15,0),"")</f>
        <v>12581</v>
      </c>
      <c r="E7" s="37">
        <f>IFERROR(ROUND(('DCF Model'!C45/(1+$B7)^('DCF Model'!C19+0)+'DCF Model'!D45/(1+$B7)^('DCF Model'!C19+1)+'DCF Model'!E45/(1+$B7)^('DCF Model'!C19+2)+'DCF Model'!F45/(1+$B7)^('DCF Model'!C19+3)+'DCF Model'!G45/(1+$B7)^('DCF Model'!C19+4)+'DCF Model'!G45*(1+E$6)/($B7-E$6)/(1+$B7)^('DCF Model'!C19+4)-'DCF Model'!C16)*1000000/'DCF Model'!C15,0),"")</f>
        <v>13132</v>
      </c>
      <c r="F7" s="37">
        <f>IFERROR(ROUND(('DCF Model'!C45/(1+$B7)^('DCF Model'!C19+0)+'DCF Model'!D45/(1+$B7)^('DCF Model'!C19+1)+'DCF Model'!E45/(1+$B7)^('DCF Model'!C19+2)+'DCF Model'!F45/(1+$B7)^('DCF Model'!C19+3)+'DCF Model'!G45/(1+$B7)^('DCF Model'!C19+4)+'DCF Model'!G45*(1+F$6)/($B7-F$6)/(1+$B7)^('DCF Model'!C19+4)-'DCF Model'!C16)*1000000/'DCF Model'!C15,0),"")</f>
        <v>13740</v>
      </c>
      <c r="G7" s="37">
        <f>IFERROR(ROUND(('DCF Model'!C45/(1+$B7)^('DCF Model'!C19+0)+'DCF Model'!D45/(1+$B7)^('DCF Model'!C19+1)+'DCF Model'!E45/(1+$B7)^('DCF Model'!C19+2)+'DCF Model'!F45/(1+$B7)^('DCF Model'!C19+3)+'DCF Model'!G45/(1+$B7)^('DCF Model'!C19+4)+'DCF Model'!G45*(1+G$6)/($B7-G$6)/(1+$B7)^('DCF Model'!C19+4)-'DCF Model'!C16)*1000000/'DCF Model'!C15,0),"")</f>
        <v>14415</v>
      </c>
      <c r="H7" s="37">
        <f>IFERROR(ROUND(('DCF Model'!C45/(1+$B7)^('DCF Model'!C19+0)+'DCF Model'!D45/(1+$B7)^('DCF Model'!C19+1)+'DCF Model'!E45/(1+$B7)^('DCF Model'!C19+2)+'DCF Model'!F45/(1+$B7)^('DCF Model'!C19+3)+'DCF Model'!G45/(1+$B7)^('DCF Model'!C19+4)+'DCF Model'!G45*(1+H$6)/($B7-H$6)/(1+$B7)^('DCF Model'!C19+4)-'DCF Model'!C16)*1000000/'DCF Model'!C15,0),"")</f>
        <v>15168</v>
      </c>
      <c r="I7" s="37">
        <f>IFERROR(ROUND(('DCF Model'!C45/(1+$B7)^('DCF Model'!C19+0)+'DCF Model'!D45/(1+$B7)^('DCF Model'!C19+1)+'DCF Model'!E45/(1+$B7)^('DCF Model'!C19+2)+'DCF Model'!F45/(1+$B7)^('DCF Model'!C19+3)+'DCF Model'!G45/(1+$B7)^('DCF Model'!C19+4)+'DCF Model'!G45*(1+I$6)/($B7-I$6)/(1+$B7)^('DCF Model'!C19+4)-'DCF Model'!C16)*1000000/'DCF Model'!C15,0),"")</f>
        <v>16016</v>
      </c>
    </row>
    <row r="8" spans="2:9" ht="13.5" x14ac:dyDescent="0.25">
      <c r="B8" s="39">
        <f>$C$3-0.01</f>
        <v>6.282907307233887E-2</v>
      </c>
      <c r="C8" s="37">
        <f>IFERROR(ROUND(('DCF Model'!C45/(1+$B8)^('DCF Model'!C19+0)+'DCF Model'!D45/(1+$B8)^('DCF Model'!C19+1)+'DCF Model'!E45/(1+$B8)^('DCF Model'!C19+2)+'DCF Model'!F45/(1+$B8)^('DCF Model'!C19+3)+'DCF Model'!G45/(1+$B8)^('DCF Model'!C19+4)+'DCF Model'!G45*(1+C$6)/($B8-C$6)/(1+$B8)^('DCF Model'!C19+4)-'DCF Model'!C16)*1000000/'DCF Model'!C15,0),"")</f>
        <v>10996</v>
      </c>
      <c r="D8" s="37">
        <f>IFERROR(ROUND(('DCF Model'!C45/(1+$B8)^('DCF Model'!C19+0)+'DCF Model'!D45/(1+$B8)^('DCF Model'!C19+1)+'DCF Model'!E45/(1+$B8)^('DCF Model'!C19+2)+'DCF Model'!F45/(1+$B8)^('DCF Model'!C19+3)+'DCF Model'!G45/(1+$B8)^('DCF Model'!C19+4)+'DCF Model'!G45*(1+D$6)/($B8-D$6)/(1+$B8)^('DCF Model'!C19+4)-'DCF Model'!C16)*1000000/'DCF Model'!C15,0),"")</f>
        <v>11408</v>
      </c>
      <c r="E8" s="37">
        <f>IFERROR(ROUND(('DCF Model'!C45/(1+$B8)^('DCF Model'!C19+0)+'DCF Model'!D45/(1+$B8)^('DCF Model'!C19+1)+'DCF Model'!E45/(1+$B8)^('DCF Model'!C19+2)+'DCF Model'!F45/(1+$B8)^('DCF Model'!C19+3)+'DCF Model'!G45/(1+$B8)^('DCF Model'!C19+4)+'DCF Model'!G45*(1+E$6)/($B8-E$6)/(1+$B8)^('DCF Model'!C19+4)-'DCF Model'!C16)*1000000/'DCF Model'!C15,0),"")</f>
        <v>11857</v>
      </c>
      <c r="F8" s="37">
        <f>IFERROR(ROUND(('DCF Model'!C45/(1+$B8)^('DCF Model'!C19+0)+'DCF Model'!D45/(1+$B8)^('DCF Model'!C19+1)+'DCF Model'!E45/(1+$B8)^('DCF Model'!C19+2)+'DCF Model'!F45/(1+$B8)^('DCF Model'!C19+3)+'DCF Model'!G45/(1+$B8)^('DCF Model'!C19+4)+'DCF Model'!G45*(1+F$6)/($B8-F$6)/(1+$B8)^('DCF Model'!C19+4)-'DCF Model'!C16)*1000000/'DCF Model'!C15,0),"")</f>
        <v>12348</v>
      </c>
      <c r="G8" s="37">
        <f>IFERROR(ROUND(('DCF Model'!C45/(1+$B8)^('DCF Model'!C19+0)+'DCF Model'!D45/(1+$B8)^('DCF Model'!C19+1)+'DCF Model'!E45/(1+$B8)^('DCF Model'!C19+2)+'DCF Model'!F45/(1+$B8)^('DCF Model'!C19+3)+'DCF Model'!G45/(1+$B8)^('DCF Model'!C19+4)+'DCF Model'!G45*(1+G$6)/($B8-G$6)/(1+$B8)^('DCF Model'!C19+4)-'DCF Model'!C16)*1000000/'DCF Model'!C15,0),"")</f>
        <v>12888</v>
      </c>
      <c r="H8" s="37">
        <f>IFERROR(ROUND(('DCF Model'!C45/(1+$B8)^('DCF Model'!C19+0)+'DCF Model'!D45/(1+$B8)^('DCF Model'!C19+1)+'DCF Model'!E45/(1+$B8)^('DCF Model'!C19+2)+'DCF Model'!F45/(1+$B8)^('DCF Model'!C19+3)+'DCF Model'!G45/(1+$B8)^('DCF Model'!C19+4)+'DCF Model'!G45*(1+H$6)/($B8-H$6)/(1+$B8)^('DCF Model'!C19+4)-'DCF Model'!C16)*1000000/'DCF Model'!C15,0),"")</f>
        <v>13485</v>
      </c>
      <c r="I8" s="37">
        <f>IFERROR(ROUND(('DCF Model'!C45/(1+$B8)^('DCF Model'!C19+0)+'DCF Model'!D45/(1+$B8)^('DCF Model'!C19+1)+'DCF Model'!E45/(1+$B8)^('DCF Model'!C19+2)+'DCF Model'!F45/(1+$B8)^('DCF Model'!C19+3)+'DCF Model'!G45/(1+$B8)^('DCF Model'!C19+4)+'DCF Model'!G45*(1+I$6)/($B8-I$6)/(1+$B8)^('DCF Model'!C19+4)-'DCF Model'!C16)*1000000/'DCF Model'!C15,0),"")</f>
        <v>14147</v>
      </c>
    </row>
    <row r="9" spans="2:9" ht="13.5" x14ac:dyDescent="0.25">
      <c r="B9" s="39">
        <f>$C$3-0.005</f>
        <v>6.7829073072338861E-2</v>
      </c>
      <c r="C9" s="37">
        <f>IFERROR(ROUND(('DCF Model'!C45/(1+$B9)^('DCF Model'!C19+0)+'DCF Model'!D45/(1+$B9)^('DCF Model'!C19+1)+'DCF Model'!E45/(1+$B9)^('DCF Model'!C19+2)+'DCF Model'!F45/(1+$B9)^('DCF Model'!C19+3)+'DCF Model'!G45/(1+$B9)^('DCF Model'!C19+4)+'DCF Model'!G45*(1+C$6)/($B9-C$6)/(1+$B9)^('DCF Model'!C19+4)-'DCF Model'!C16)*1000000/'DCF Model'!C15,0),"")</f>
        <v>10078</v>
      </c>
      <c r="D9" s="37">
        <f>IFERROR(ROUND(('DCF Model'!C45/(1+$B9)^('DCF Model'!C19+0)+'DCF Model'!D45/(1+$B9)^('DCF Model'!C19+1)+'DCF Model'!E45/(1+$B9)^('DCF Model'!C19+2)+'DCF Model'!F45/(1+$B9)^('DCF Model'!C19+3)+'DCF Model'!G45/(1+$B9)^('DCF Model'!C19+4)+'DCF Model'!G45*(1+D$6)/($B9-D$6)/(1+$B9)^('DCF Model'!C19+4)-'DCF Model'!C16)*1000000/'DCF Model'!C15,0),"")</f>
        <v>10421</v>
      </c>
      <c r="E9" s="37">
        <f>IFERROR(ROUND(('DCF Model'!C45/(1+$B9)^('DCF Model'!C19+0)+'DCF Model'!D45/(1+$B9)^('DCF Model'!C19+1)+'DCF Model'!E45/(1+$B9)^('DCF Model'!C19+2)+'DCF Model'!F45/(1+$B9)^('DCF Model'!C19+3)+'DCF Model'!G45/(1+$B9)^('DCF Model'!C19+4)+'DCF Model'!G45*(1+E$6)/($B9-E$6)/(1+$B9)^('DCF Model'!C19+4)-'DCF Model'!C16)*1000000/'DCF Model'!C15,0),"")</f>
        <v>10793</v>
      </c>
      <c r="F9" s="37">
        <f>IFERROR(ROUND(('DCF Model'!C45/(1+$B9)^('DCF Model'!C19+0)+'DCF Model'!D45/(1+$B9)^('DCF Model'!C19+1)+'DCF Model'!E45/(1+$B9)^('DCF Model'!C19+2)+'DCF Model'!F45/(1+$B9)^('DCF Model'!C19+3)+'DCF Model'!G45/(1+$B9)^('DCF Model'!C19+4)+'DCF Model'!G45*(1+F$6)/($B9-F$6)/(1+$B9)^('DCF Model'!C19+4)-'DCF Model'!C16)*1000000/'DCF Model'!C15,0),"")</f>
        <v>11197</v>
      </c>
      <c r="G9" s="37">
        <f>IFERROR(ROUND(('DCF Model'!C45/(1+$B9)^('DCF Model'!C19+0)+'DCF Model'!D45/(1+$B9)^('DCF Model'!C19+1)+'DCF Model'!E45/(1+$B9)^('DCF Model'!C19+2)+'DCF Model'!F45/(1+$B9)^('DCF Model'!C19+3)+'DCF Model'!G45/(1+$B9)^('DCF Model'!C19+4)+'DCF Model'!G45*(1+G$6)/($B9-G$6)/(1+$B9)^('DCF Model'!C19+4)-'DCF Model'!C16)*1000000/'DCF Model'!C15,0),"")</f>
        <v>11637</v>
      </c>
      <c r="H9" s="37">
        <f>IFERROR(ROUND(('DCF Model'!C45/(1+$B9)^('DCF Model'!C19+0)+'DCF Model'!D45/(1+$B9)^('DCF Model'!C19+1)+'DCF Model'!E45/(1+$B9)^('DCF Model'!C19+2)+'DCF Model'!F45/(1+$B9)^('DCF Model'!C19+3)+'DCF Model'!G45/(1+$B9)^('DCF Model'!C19+4)+'DCF Model'!G45*(1+H$6)/($B9-H$6)/(1+$B9)^('DCF Model'!C19+4)-'DCF Model'!C16)*1000000/'DCF Model'!C15,0),"")</f>
        <v>12120</v>
      </c>
      <c r="I9" s="37">
        <f>IFERROR(ROUND(('DCF Model'!C45/(1+$B9)^('DCF Model'!C19+0)+'DCF Model'!D45/(1+$B9)^('DCF Model'!C19+1)+'DCF Model'!E45/(1+$B9)^('DCF Model'!C19+2)+'DCF Model'!F45/(1+$B9)^('DCF Model'!C19+3)+'DCF Model'!G45/(1+$B9)^('DCF Model'!C19+4)+'DCF Model'!G45*(1+I$6)/($B9-I$6)/(1+$B9)^('DCF Model'!C19+4)-'DCF Model'!C16)*1000000/'DCF Model'!C15,0),"")</f>
        <v>12650</v>
      </c>
    </row>
    <row r="10" spans="2:9" ht="13.5" x14ac:dyDescent="0.25">
      <c r="B10" s="39">
        <f>$C$3</f>
        <v>7.2829073072338865E-2</v>
      </c>
      <c r="C10" s="37">
        <f>IFERROR(ROUND(('DCF Model'!C45/(1+$B10)^('DCF Model'!C19+0)+'DCF Model'!D45/(1+$B10)^('DCF Model'!C19+1)+'DCF Model'!E45/(1+$B10)^('DCF Model'!C19+2)+'DCF Model'!F45/(1+$B10)^('DCF Model'!C19+3)+'DCF Model'!G45/(1+$B10)^('DCF Model'!C19+4)+'DCF Model'!G45*(1+C$6)/($B10-C$6)/(1+$B10)^('DCF Model'!C19+4)-'DCF Model'!C16)*1000000/'DCF Model'!C15,0),"")</f>
        <v>9290</v>
      </c>
      <c r="D10" s="37">
        <f>IFERROR(ROUND(('DCF Model'!C45/(1+$B10)^('DCF Model'!C19+0)+'DCF Model'!D45/(1+$B10)^('DCF Model'!C19+1)+'DCF Model'!E45/(1+$B10)^('DCF Model'!C19+2)+'DCF Model'!F45/(1+$B10)^('DCF Model'!C19+3)+'DCF Model'!G45/(1+$B10)^('DCF Model'!C19+4)+'DCF Model'!G45*(1+D$6)/($B10-D$6)/(1+$B10)^('DCF Model'!C19+4)-'DCF Model'!C16)*1000000/'DCF Model'!C15,0),"")</f>
        <v>9580</v>
      </c>
      <c r="E10" s="37">
        <f>IFERROR(ROUND(('DCF Model'!C45/(1+$B10)^('DCF Model'!C19+0)+'DCF Model'!D45/(1+$B10)^('DCF Model'!C19+1)+'DCF Model'!E45/(1+$B10)^('DCF Model'!C19+2)+'DCF Model'!F45/(1+$B10)^('DCF Model'!C19+3)+'DCF Model'!G45/(1+$B10)^('DCF Model'!C19+4)+'DCF Model'!G45*(1+E$6)/($B10-E$6)/(1+$B10)^('DCF Model'!C19+4)-'DCF Model'!C16)*1000000/'DCF Model'!C15,0),"")</f>
        <v>9893</v>
      </c>
      <c r="F10" s="37">
        <f>IFERROR(ROUND(('DCF Model'!C45/(1+$B10)^('DCF Model'!C19+0)+'DCF Model'!D45/(1+$B10)^('DCF Model'!C19+1)+'DCF Model'!E45/(1+$B10)^('DCF Model'!C19+2)+'DCF Model'!F45/(1+$B10)^('DCF Model'!C19+3)+'DCF Model'!G45/(1+$B10)^('DCF Model'!C19+4)+'DCF Model'!G45*(1+F$6)/($B10-F$6)/(1+$B10)^('DCF Model'!C19+4)-'DCF Model'!C16)*1000000/'DCF Model'!C15,0),"")</f>
        <v>10230</v>
      </c>
      <c r="G10" s="37">
        <f>IFERROR(ROUND(('DCF Model'!C45/(1+$B10)^('DCF Model'!C19+0)+'DCF Model'!D45/(1+$B10)^('DCF Model'!C19+1)+'DCF Model'!E45/(1+$B10)^('DCF Model'!C19+2)+'DCF Model'!F45/(1+$B10)^('DCF Model'!C19+3)+'DCF Model'!G45/(1+$B10)^('DCF Model'!C19+4)+'DCF Model'!G45*(1+G$6)/($B10-G$6)/(1+$B10)^('DCF Model'!C19+4)-'DCF Model'!C16)*1000000/'DCF Model'!C15,0),"")</f>
        <v>10594</v>
      </c>
      <c r="H10" s="37">
        <f>IFERROR(ROUND(('DCF Model'!C45/(1+$B10)^('DCF Model'!C19+0)+'DCF Model'!D45/(1+$B10)^('DCF Model'!C19+1)+'DCF Model'!E45/(1+$B10)^('DCF Model'!C19+2)+'DCF Model'!F45/(1+$B10)^('DCF Model'!C19+3)+'DCF Model'!G45/(1+$B10)^('DCF Model'!C19+4)+'DCF Model'!G45*(1+H$6)/($B10-H$6)/(1+$B10)^('DCF Model'!C19+4)-'DCF Model'!C16)*1000000/'DCF Model'!C15,0),"")</f>
        <v>10991</v>
      </c>
      <c r="I10" s="37">
        <f>IFERROR(ROUND(('DCF Model'!C45/(1+$B10)^('DCF Model'!C19+0)+'DCF Model'!D45/(1+$B10)^('DCF Model'!C19+1)+'DCF Model'!E45/(1+$B10)^('DCF Model'!C19+2)+'DCF Model'!F45/(1+$B10)^('DCF Model'!C19+3)+'DCF Model'!G45/(1+$B10)^('DCF Model'!C19+4)+'DCF Model'!G45*(1+I$6)/($B10-I$6)/(1+$B10)^('DCF Model'!C19+4)-'DCF Model'!C16)*1000000/'DCF Model'!C15,0),"")</f>
        <v>11423</v>
      </c>
    </row>
    <row r="11" spans="2:9" ht="13.5" x14ac:dyDescent="0.25">
      <c r="B11" s="39">
        <f>$C$3+0.005</f>
        <v>7.782907307233887E-2</v>
      </c>
      <c r="C11" s="37">
        <f>IFERROR(ROUND(('DCF Model'!C45/(1+$B11)^('DCF Model'!C19+0)+'DCF Model'!D45/(1+$B11)^('DCF Model'!C19+1)+'DCF Model'!E45/(1+$B11)^('DCF Model'!C19+2)+'DCF Model'!F45/(1+$B11)^('DCF Model'!C19+3)+'DCF Model'!G45/(1+$B11)^('DCF Model'!C19+4)+'DCF Model'!G45*(1+C$6)/($B11-C$6)/(1+$B11)^('DCF Model'!C19+4)-'DCF Model'!C16)*1000000/'DCF Model'!C15,0),"")</f>
        <v>8608</v>
      </c>
      <c r="D11" s="37">
        <f>IFERROR(ROUND(('DCF Model'!C45/(1+$B11)^('DCF Model'!C19+0)+'DCF Model'!D45/(1+$B11)^('DCF Model'!C19+1)+'DCF Model'!E45/(1+$B11)^('DCF Model'!C19+2)+'DCF Model'!F45/(1+$B11)^('DCF Model'!C19+3)+'DCF Model'!G45/(1+$B11)^('DCF Model'!C19+4)+'DCF Model'!G45*(1+D$6)/($B11-D$6)/(1+$B11)^('DCF Model'!C19+4)-'DCF Model'!C16)*1000000/'DCF Model'!C15,0),"")</f>
        <v>8855</v>
      </c>
      <c r="E11" s="37">
        <f>IFERROR(ROUND(('DCF Model'!C45/(1+$B11)^('DCF Model'!C19+0)+'DCF Model'!D45/(1+$B11)^('DCF Model'!C19+1)+'DCF Model'!E45/(1+$B11)^('DCF Model'!C19+2)+'DCF Model'!F45/(1+$B11)^('DCF Model'!C19+3)+'DCF Model'!G45/(1+$B11)^('DCF Model'!C19+4)+'DCF Model'!G45*(1+E$6)/($B11-E$6)/(1+$B11)^('DCF Model'!C19+4)-'DCF Model'!C16)*1000000/'DCF Model'!C15,0),"")</f>
        <v>9120</v>
      </c>
      <c r="F11" s="37">
        <f>IFERROR(ROUND(('DCF Model'!C45/(1+$B11)^('DCF Model'!C19+0)+'DCF Model'!D45/(1+$B11)^('DCF Model'!C19+1)+'DCF Model'!E45/(1+$B11)^('DCF Model'!C19+2)+'DCF Model'!F45/(1+$B11)^('DCF Model'!C19+3)+'DCF Model'!G45/(1+$B11)^('DCF Model'!C19+4)+'DCF Model'!G45*(1+F$6)/($B11-F$6)/(1+$B11)^('DCF Model'!C19+4)-'DCF Model'!C16)*1000000/'DCF Model'!C15,0),"")</f>
        <v>9405</v>
      </c>
      <c r="G11" s="37">
        <f>IFERROR(ROUND(('DCF Model'!C45/(1+$B11)^('DCF Model'!C19+0)+'DCF Model'!D45/(1+$B11)^('DCF Model'!C19+1)+'DCF Model'!E45/(1+$B11)^('DCF Model'!C19+2)+'DCF Model'!F45/(1+$B11)^('DCF Model'!C19+3)+'DCF Model'!G45/(1+$B11)^('DCF Model'!C19+4)+'DCF Model'!G45*(1+G$6)/($B11-G$6)/(1+$B11)^('DCF Model'!C19+4)-'DCF Model'!C16)*1000000/'DCF Model'!C15,0),"")</f>
        <v>9711</v>
      </c>
      <c r="H11" s="37">
        <f>IFERROR(ROUND(('DCF Model'!C45/(1+$B11)^('DCF Model'!C19+0)+'DCF Model'!D45/(1+$B11)^('DCF Model'!C19+1)+'DCF Model'!E45/(1+$B11)^('DCF Model'!C19+2)+'DCF Model'!F45/(1+$B11)^('DCF Model'!C19+3)+'DCF Model'!G45/(1+$B11)^('DCF Model'!C19+4)+'DCF Model'!G45*(1+H$6)/($B11-H$6)/(1+$B11)^('DCF Model'!C19+4)-'DCF Model'!C16)*1000000/'DCF Model'!C15,0),"")</f>
        <v>10042</v>
      </c>
      <c r="I11" s="37">
        <f>IFERROR(ROUND(('DCF Model'!C45/(1+$B11)^('DCF Model'!C19+0)+'DCF Model'!D45/(1+$B11)^('DCF Model'!C19+1)+'DCF Model'!E45/(1+$B11)^('DCF Model'!C19+2)+'DCF Model'!F45/(1+$B11)^('DCF Model'!C19+3)+'DCF Model'!G45/(1+$B11)^('DCF Model'!C19+4)+'DCF Model'!G45*(1+I$6)/($B11-I$6)/(1+$B11)^('DCF Model'!C19+4)-'DCF Model'!C16)*1000000/'DCF Model'!C15,0),"")</f>
        <v>10400</v>
      </c>
    </row>
    <row r="12" spans="2:9" ht="13.5" x14ac:dyDescent="0.25">
      <c r="B12" s="39">
        <f>$C$3+0.01</f>
        <v>8.282907307233886E-2</v>
      </c>
      <c r="C12" s="37">
        <f>IFERROR(ROUND(('DCF Model'!C45/(1+$B12)^('DCF Model'!C19+0)+'DCF Model'!D45/(1+$B12)^('DCF Model'!C19+1)+'DCF Model'!E45/(1+$B12)^('DCF Model'!C19+2)+'DCF Model'!F45/(1+$B12)^('DCF Model'!C19+3)+'DCF Model'!G45/(1+$B12)^('DCF Model'!C19+4)+'DCF Model'!G45*(1+C$6)/($B12-C$6)/(1+$B12)^('DCF Model'!C19+4)-'DCF Model'!C16)*1000000/'DCF Model'!C15,0),"")</f>
        <v>8010</v>
      </c>
      <c r="D12" s="37">
        <f>IFERROR(ROUND(('DCF Model'!C45/(1+$B12)^('DCF Model'!C19+0)+'DCF Model'!D45/(1+$B12)^('DCF Model'!C19+1)+'DCF Model'!E45/(1+$B12)^('DCF Model'!C19+2)+'DCF Model'!F45/(1+$B12)^('DCF Model'!C19+3)+'DCF Model'!G45/(1+$B12)^('DCF Model'!C19+4)+'DCF Model'!G45*(1+D$6)/($B12-D$6)/(1+$B12)^('DCF Model'!C19+4)-'DCF Model'!C16)*1000000/'DCF Model'!C15,0),"")</f>
        <v>8224</v>
      </c>
      <c r="E12" s="37">
        <f>IFERROR(ROUND(('DCF Model'!C45/(1+$B12)^('DCF Model'!C19+0)+'DCF Model'!D45/(1+$B12)^('DCF Model'!C19+1)+'DCF Model'!E45/(1+$B12)^('DCF Model'!C19+2)+'DCF Model'!F45/(1+$B12)^('DCF Model'!C19+3)+'DCF Model'!G45/(1+$B12)^('DCF Model'!C19+4)+'DCF Model'!G45*(1+E$6)/($B12-E$6)/(1+$B12)^('DCF Model'!C19+4)-'DCF Model'!C16)*1000000/'DCF Model'!C15,0),"")</f>
        <v>8451</v>
      </c>
      <c r="F12" s="37">
        <f>IFERROR(ROUND(('DCF Model'!C45/(1+$B12)^('DCF Model'!C19+0)+'DCF Model'!D45/(1+$B12)^('DCF Model'!C19+1)+'DCF Model'!E45/(1+$B12)^('DCF Model'!C19+2)+'DCF Model'!F45/(1+$B12)^('DCF Model'!C19+3)+'DCF Model'!G45/(1+$B12)^('DCF Model'!C19+4)+'DCF Model'!G45*(1+F$6)/($B12-F$6)/(1+$B12)^('DCF Model'!C19+4)-'DCF Model'!C16)*1000000/'DCF Model'!C15,0),"")</f>
        <v>8694</v>
      </c>
      <c r="G12" s="37">
        <f>IFERROR(ROUND(('DCF Model'!C45/(1+$B12)^('DCF Model'!C19+0)+'DCF Model'!D45/(1+$B12)^('DCF Model'!C19+1)+'DCF Model'!E45/(1+$B12)^('DCF Model'!C19+2)+'DCF Model'!F45/(1+$B12)^('DCF Model'!C19+3)+'DCF Model'!G45/(1+$B12)^('DCF Model'!C19+4)+'DCF Model'!G45*(1+G$6)/($B12-G$6)/(1+$B12)^('DCF Model'!C19+4)-'DCF Model'!C16)*1000000/'DCF Model'!C15,0),"")</f>
        <v>8954</v>
      </c>
      <c r="H12" s="37">
        <f>IFERROR(ROUND(('DCF Model'!C45/(1+$B12)^('DCF Model'!C19+0)+'DCF Model'!D45/(1+$B12)^('DCF Model'!C19+1)+'DCF Model'!E45/(1+$B12)^('DCF Model'!C19+2)+'DCF Model'!F45/(1+$B12)^('DCF Model'!C19+3)+'DCF Model'!G45/(1+$B12)^('DCF Model'!C19+4)+'DCF Model'!G45*(1+H$6)/($B12-H$6)/(1+$B12)^('DCF Model'!C19+4)-'DCF Model'!C16)*1000000/'DCF Model'!C15,0),"")</f>
        <v>9233</v>
      </c>
      <c r="I12" s="37">
        <f>IFERROR(ROUND(('DCF Model'!C45/(1+$B12)^('DCF Model'!C19+0)+'DCF Model'!D45/(1+$B12)^('DCF Model'!C19+1)+'DCF Model'!E45/(1+$B12)^('DCF Model'!C19+2)+'DCF Model'!F45/(1+$B12)^('DCF Model'!C19+3)+'DCF Model'!G45/(1+$B12)^('DCF Model'!C19+4)+'DCF Model'!G45*(1+I$6)/($B12-I$6)/(1+$B12)^('DCF Model'!C19+4)-'DCF Model'!C16)*1000000/'DCF Model'!C15,0),"")</f>
        <v>9534</v>
      </c>
    </row>
    <row r="13" spans="2:9" ht="13.5" x14ac:dyDescent="0.25">
      <c r="B13" s="39">
        <f>$C$3+0.015</f>
        <v>8.7829073072338865E-2</v>
      </c>
      <c r="C13" s="37">
        <f>IFERROR(ROUND(('DCF Model'!C45/(1+$B13)^('DCF Model'!C19+0)+'DCF Model'!D45/(1+$B13)^('DCF Model'!C19+1)+'DCF Model'!E45/(1+$B13)^('DCF Model'!C19+2)+'DCF Model'!F45/(1+$B13)^('DCF Model'!C19+3)+'DCF Model'!G45/(1+$B13)^('DCF Model'!C19+4)+'DCF Model'!G45*(1+C$6)/($B13-C$6)/(1+$B13)^('DCF Model'!C19+4)-'DCF Model'!C16)*1000000/'DCF Model'!C15,0),"")</f>
        <v>7483</v>
      </c>
      <c r="D13" s="37">
        <f>IFERROR(ROUND(('DCF Model'!C45/(1+$B13)^('DCF Model'!C19+0)+'DCF Model'!D45/(1+$B13)^('DCF Model'!C19+1)+'DCF Model'!E45/(1+$B13)^('DCF Model'!C19+2)+'DCF Model'!F45/(1+$B13)^('DCF Model'!C19+3)+'DCF Model'!G45/(1+$B13)^('DCF Model'!C19+4)+'DCF Model'!G45*(1+D$6)/($B13-D$6)/(1+$B13)^('DCF Model'!C19+4)-'DCF Model'!C16)*1000000/'DCF Model'!C15,0),"")</f>
        <v>7668</v>
      </c>
      <c r="E13" s="37">
        <f>IFERROR(ROUND(('DCF Model'!C45/(1+$B13)^('DCF Model'!C19+0)+'DCF Model'!D45/(1+$B13)^('DCF Model'!C19+1)+'DCF Model'!E45/(1+$B13)^('DCF Model'!C19+2)+'DCF Model'!F45/(1+$B13)^('DCF Model'!C19+3)+'DCF Model'!G45/(1+$B13)^('DCF Model'!C19+4)+'DCF Model'!G45*(1+E$6)/($B13-E$6)/(1+$B13)^('DCF Model'!C19+4)-'DCF Model'!C16)*1000000/'DCF Model'!C15,0),"")</f>
        <v>7865</v>
      </c>
      <c r="F13" s="37">
        <f>IFERROR(ROUND(('DCF Model'!C45/(1+$B13)^('DCF Model'!C19+0)+'DCF Model'!D45/(1+$B13)^('DCF Model'!C19+1)+'DCF Model'!E45/(1+$B13)^('DCF Model'!C19+2)+'DCF Model'!F45/(1+$B13)^('DCF Model'!C19+3)+'DCF Model'!G45/(1+$B13)^('DCF Model'!C19+4)+'DCF Model'!G45*(1+F$6)/($B13-F$6)/(1+$B13)^('DCF Model'!C19+4)-'DCF Model'!C16)*1000000/'DCF Model'!C15,0),"")</f>
        <v>8074</v>
      </c>
      <c r="G13" s="37">
        <f>IFERROR(ROUND(('DCF Model'!C45/(1+$B13)^('DCF Model'!C19+0)+'DCF Model'!D45/(1+$B13)^('DCF Model'!C19+1)+'DCF Model'!E45/(1+$B13)^('DCF Model'!C19+2)+'DCF Model'!F45/(1+$B13)^('DCF Model'!C19+3)+'DCF Model'!G45/(1+$B13)^('DCF Model'!C19+4)+'DCF Model'!G45*(1+G$6)/($B13-G$6)/(1+$B13)^('DCF Model'!C19+4)-'DCF Model'!C16)*1000000/'DCF Model'!C15,0),"")</f>
        <v>8297</v>
      </c>
      <c r="H13" s="37">
        <f>IFERROR(ROUND(('DCF Model'!C45/(1+$B13)^('DCF Model'!C19+0)+'DCF Model'!D45/(1+$B13)^('DCF Model'!C19+1)+'DCF Model'!E45/(1+$B13)^('DCF Model'!C19+2)+'DCF Model'!F45/(1+$B13)^('DCF Model'!C19+3)+'DCF Model'!G45/(1+$B13)^('DCF Model'!C19+4)+'DCF Model'!G45*(1+H$6)/($B13-H$6)/(1+$B13)^('DCF Model'!C19+4)-'DCF Model'!C16)*1000000/'DCF Model'!C15,0),"")</f>
        <v>8536</v>
      </c>
      <c r="I13" s="37">
        <f>IFERROR(ROUND(('DCF Model'!C45/(1+$B13)^('DCF Model'!C19+0)+'DCF Model'!D45/(1+$B13)^('DCF Model'!C19+1)+'DCF Model'!E45/(1+$B13)^('DCF Model'!C19+2)+'DCF Model'!F45/(1+$B13)^('DCF Model'!C19+3)+'DCF Model'!G45/(1+$B13)^('DCF Model'!C19+4)+'DCF Model'!G45*(1+I$6)/($B13-I$6)/(1+$B13)^('DCF Model'!C19+4)-'DCF Model'!C16)*1000000/'DCF Model'!C15,0),"")</f>
        <v>8791</v>
      </c>
    </row>
    <row r="16" spans="2:9" ht="14" x14ac:dyDescent="0.3">
      <c r="B16" s="3" t="s">
        <v>242</v>
      </c>
    </row>
    <row r="17" spans="2:9" ht="14" x14ac:dyDescent="0.3">
      <c r="B17" s="40" t="s">
        <v>243</v>
      </c>
      <c r="C17" s="42">
        <f>$I$3-3</f>
        <v>6.5</v>
      </c>
      <c r="D17" s="42">
        <f>$I$3-2</f>
        <v>7.5</v>
      </c>
      <c r="E17" s="42">
        <f>$I$3-1</f>
        <v>8.5</v>
      </c>
      <c r="F17" s="42">
        <f>$I$3</f>
        <v>9.5</v>
      </c>
      <c r="G17" s="42">
        <f>$I$3+1</f>
        <v>10.5</v>
      </c>
      <c r="H17" s="42">
        <f>$I$3+2</f>
        <v>11.5</v>
      </c>
      <c r="I17" s="42">
        <f>$I$3+3</f>
        <v>12.5</v>
      </c>
    </row>
    <row r="18" spans="2:9" ht="13.5" x14ac:dyDescent="0.25">
      <c r="B18" s="39">
        <f>$C$3-0.015</f>
        <v>5.7829073072338866E-2</v>
      </c>
      <c r="C18" s="37">
        <f>IFERROR(ROUND(('DCF Model'!C45/(1+$B18)^('DCF Model'!C19+0)+'DCF Model'!D45/(1+$B18)^('DCF Model'!C19+1)+'DCF Model'!E45/(1+$B18)^('DCF Model'!C19+2)+'DCF Model'!F45/(1+$B18)^('DCF Model'!C19+3)+'DCF Model'!G45/(1+$B18)^('DCF Model'!C19+4)+('DCF Model'!G39+'DCF Model'!G42)*C$17/(1+$B18)^('DCF Model'!C19+4)-'DCF Model'!C16)*1000000/'DCF Model'!C15,0),"")</f>
        <v>7855</v>
      </c>
      <c r="D18" s="37">
        <f>IFERROR(ROUND(('DCF Model'!C45/(1+$B18)^('DCF Model'!C19+0)+'DCF Model'!D45/(1+$B18)^('DCF Model'!C19+1)+'DCF Model'!E45/(1+$B18)^('DCF Model'!C19+2)+'DCF Model'!F45/(1+$B18)^('DCF Model'!C19+3)+'DCF Model'!G45/(1+$B18)^('DCF Model'!C19+4)+('DCF Model'!G39+'DCF Model'!G42)*D$17/(1+$B18)^('DCF Model'!C19+4)-'DCF Model'!C16)*1000000/'DCF Model'!C15,0),"")</f>
        <v>8748</v>
      </c>
      <c r="E18" s="37">
        <f>IFERROR(ROUND(('DCF Model'!C45/(1+$B18)^('DCF Model'!C19+0)+'DCF Model'!D45/(1+$B18)^('DCF Model'!C19+1)+'DCF Model'!E45/(1+$B18)^('DCF Model'!C19+2)+'DCF Model'!F45/(1+$B18)^('DCF Model'!C19+3)+'DCF Model'!G45/(1+$B18)^('DCF Model'!C19+4)+('DCF Model'!G39+'DCF Model'!G42)*E$17/(1+$B18)^('DCF Model'!C19+4)-'DCF Model'!C16)*1000000/'DCF Model'!C15,0),"")</f>
        <v>9640</v>
      </c>
      <c r="F18" s="37">
        <f>IFERROR(ROUND(('DCF Model'!C45/(1+$B18)^('DCF Model'!C19+0)+'DCF Model'!D45/(1+$B18)^('DCF Model'!C19+1)+'DCF Model'!E45/(1+$B18)^('DCF Model'!C19+2)+'DCF Model'!F45/(1+$B18)^('DCF Model'!C19+3)+'DCF Model'!G45/(1+$B18)^('DCF Model'!C19+4)+('DCF Model'!G39+'DCF Model'!G42)*F$17/(1+$B18)^('DCF Model'!C19+4)-'DCF Model'!C16)*1000000/'DCF Model'!C15,0),"")</f>
        <v>10533</v>
      </c>
      <c r="G18" s="37">
        <f>IFERROR(ROUND(('DCF Model'!C45/(1+$B18)^('DCF Model'!C19+0)+'DCF Model'!D45/(1+$B18)^('DCF Model'!C19+1)+'DCF Model'!E45/(1+$B18)^('DCF Model'!C19+2)+'DCF Model'!F45/(1+$B18)^('DCF Model'!C19+3)+'DCF Model'!G45/(1+$B18)^('DCF Model'!C19+4)+('DCF Model'!G39+'DCF Model'!G42)*G$17/(1+$B18)^('DCF Model'!C19+4)-'DCF Model'!C16)*1000000/'DCF Model'!C15,0),"")</f>
        <v>11425</v>
      </c>
      <c r="H18" s="37">
        <f>IFERROR(ROUND(('DCF Model'!C45/(1+$B18)^('DCF Model'!C19+0)+'DCF Model'!D45/(1+$B18)^('DCF Model'!C19+1)+'DCF Model'!E45/(1+$B18)^('DCF Model'!C19+2)+'DCF Model'!F45/(1+$B18)^('DCF Model'!C19+3)+'DCF Model'!G45/(1+$B18)^('DCF Model'!C19+4)+('DCF Model'!G39+'DCF Model'!G42)*H$17/(1+$B18)^('DCF Model'!C19+4)-'DCF Model'!C16)*1000000/'DCF Model'!C15,0),"")</f>
        <v>12317</v>
      </c>
      <c r="I18" s="37">
        <f>IFERROR(ROUND(('DCF Model'!C45/(1+$B18)^('DCF Model'!C19+0)+'DCF Model'!D45/(1+$B18)^('DCF Model'!C19+1)+'DCF Model'!E45/(1+$B18)^('DCF Model'!C19+2)+'DCF Model'!F45/(1+$B18)^('DCF Model'!C19+3)+'DCF Model'!G45/(1+$B18)^('DCF Model'!C19+4)+('DCF Model'!G39+'DCF Model'!G42)*I$17/(1+$B18)^('DCF Model'!C19+4)-'DCF Model'!C16)*1000000/'DCF Model'!C15,0),"")</f>
        <v>13210</v>
      </c>
    </row>
    <row r="19" spans="2:9" ht="13.5" x14ac:dyDescent="0.25">
      <c r="B19" s="39">
        <f>$C$3-0.01</f>
        <v>6.282907307233887E-2</v>
      </c>
      <c r="C19" s="37">
        <f>IFERROR(ROUND(('DCF Model'!C45/(1+$B19)^('DCF Model'!C19+0)+'DCF Model'!D45/(1+$B19)^('DCF Model'!C19+1)+'DCF Model'!E45/(1+$B19)^('DCF Model'!C19+2)+'DCF Model'!F45/(1+$B19)^('DCF Model'!C19+3)+'DCF Model'!G45/(1+$B19)^('DCF Model'!C19+4)+('DCF Model'!G39+'DCF Model'!G42)*C$17/(1+$B19)^('DCF Model'!C19+4)-'DCF Model'!C16)*1000000/'DCF Model'!C15,0),"")</f>
        <v>7681</v>
      </c>
      <c r="D19" s="37">
        <f>IFERROR(ROUND(('DCF Model'!C45/(1+$B19)^('DCF Model'!C19+0)+'DCF Model'!D45/(1+$B19)^('DCF Model'!C19+1)+'DCF Model'!E45/(1+$B19)^('DCF Model'!C19+2)+'DCF Model'!F45/(1+$B19)^('DCF Model'!C19+3)+'DCF Model'!G45/(1+$B19)^('DCF Model'!C19+4)+('DCF Model'!G39+'DCF Model'!G42)*D$17/(1+$B19)^('DCF Model'!C19+4)-'DCF Model'!C16)*1000000/'DCF Model'!C15,0),"")</f>
        <v>8552</v>
      </c>
      <c r="E19" s="37">
        <f>IFERROR(ROUND(('DCF Model'!C45/(1+$B19)^('DCF Model'!C19+0)+'DCF Model'!D45/(1+$B19)^('DCF Model'!C19+1)+'DCF Model'!E45/(1+$B19)^('DCF Model'!C19+2)+'DCF Model'!F45/(1+$B19)^('DCF Model'!C19+3)+'DCF Model'!G45/(1+$B19)^('DCF Model'!C19+4)+('DCF Model'!G39+'DCF Model'!G42)*E$17/(1+$B19)^('DCF Model'!C19+4)-'DCF Model'!C16)*1000000/'DCF Model'!C15,0),"")</f>
        <v>9424</v>
      </c>
      <c r="F19" s="37">
        <f>IFERROR(ROUND(('DCF Model'!C45/(1+$B19)^('DCF Model'!C19+0)+'DCF Model'!D45/(1+$B19)^('DCF Model'!C19+1)+'DCF Model'!E45/(1+$B19)^('DCF Model'!C19+2)+'DCF Model'!F45/(1+$B19)^('DCF Model'!C19+3)+'DCF Model'!G45/(1+$B19)^('DCF Model'!C19+4)+('DCF Model'!G39+'DCF Model'!G42)*F$17/(1+$B19)^('DCF Model'!C19+4)-'DCF Model'!C16)*1000000/'DCF Model'!C15,0),"")</f>
        <v>10296</v>
      </c>
      <c r="G19" s="37">
        <f>IFERROR(ROUND(('DCF Model'!C45/(1+$B19)^('DCF Model'!C19+0)+'DCF Model'!D45/(1+$B19)^('DCF Model'!C19+1)+'DCF Model'!E45/(1+$B19)^('DCF Model'!C19+2)+'DCF Model'!F45/(1+$B19)^('DCF Model'!C19+3)+'DCF Model'!G45/(1+$B19)^('DCF Model'!C19+4)+('DCF Model'!G39+'DCF Model'!G42)*G$17/(1+$B19)^('DCF Model'!C19+4)-'DCF Model'!C16)*1000000/'DCF Model'!C15,0),"")</f>
        <v>11167</v>
      </c>
      <c r="H19" s="37">
        <f>IFERROR(ROUND(('DCF Model'!C45/(1+$B19)^('DCF Model'!C19+0)+'DCF Model'!D45/(1+$B19)^('DCF Model'!C19+1)+'DCF Model'!E45/(1+$B19)^('DCF Model'!C19+2)+'DCF Model'!F45/(1+$B19)^('DCF Model'!C19+3)+'DCF Model'!G45/(1+$B19)^('DCF Model'!C19+4)+('DCF Model'!G39+'DCF Model'!G42)*H$17/(1+$B19)^('DCF Model'!C19+4)-'DCF Model'!C16)*1000000/'DCF Model'!C15,0),"")</f>
        <v>12039</v>
      </c>
      <c r="I19" s="37">
        <f>IFERROR(ROUND(('DCF Model'!C45/(1+$B19)^('DCF Model'!C19+0)+'DCF Model'!D45/(1+$B19)^('DCF Model'!C19+1)+'DCF Model'!E45/(1+$B19)^('DCF Model'!C19+2)+'DCF Model'!F45/(1+$B19)^('DCF Model'!C19+3)+'DCF Model'!G45/(1+$B19)^('DCF Model'!C19+4)+('DCF Model'!G39+'DCF Model'!G42)*I$17/(1+$B19)^('DCF Model'!C19+4)-'DCF Model'!C16)*1000000/'DCF Model'!C15,0),"")</f>
        <v>12910</v>
      </c>
    </row>
    <row r="20" spans="2:9" ht="13.5" x14ac:dyDescent="0.25">
      <c r="B20" s="39">
        <f>$C$3-0.005</f>
        <v>6.7829073072338861E-2</v>
      </c>
      <c r="C20" s="37">
        <f>IFERROR(ROUND(('DCF Model'!C45/(1+$B20)^('DCF Model'!C19+0)+'DCF Model'!D45/(1+$B20)^('DCF Model'!C19+1)+'DCF Model'!E45/(1+$B20)^('DCF Model'!C19+2)+'DCF Model'!F45/(1+$B20)^('DCF Model'!C19+3)+'DCF Model'!G45/(1+$B20)^('DCF Model'!C19+4)+('DCF Model'!G39+'DCF Model'!G42)*C$17/(1+$B20)^('DCF Model'!C19+4)-'DCF Model'!C16)*1000000/'DCF Model'!C15,0),"")</f>
        <v>7511</v>
      </c>
      <c r="D20" s="37">
        <f>IFERROR(ROUND(('DCF Model'!C45/(1+$B20)^('DCF Model'!C19+0)+'DCF Model'!D45/(1+$B20)^('DCF Model'!C19+1)+'DCF Model'!E45/(1+$B20)^('DCF Model'!C19+2)+'DCF Model'!F45/(1+$B20)^('DCF Model'!C19+3)+'DCF Model'!G45/(1+$B20)^('DCF Model'!C19+4)+('DCF Model'!G39+'DCF Model'!G42)*D$17/(1+$B20)^('DCF Model'!C19+4)-'DCF Model'!C16)*1000000/'DCF Model'!C15,0),"")</f>
        <v>8362</v>
      </c>
      <c r="E20" s="37">
        <f>IFERROR(ROUND(('DCF Model'!C45/(1+$B20)^('DCF Model'!C19+0)+'DCF Model'!D45/(1+$B20)^('DCF Model'!C19+1)+'DCF Model'!E45/(1+$B20)^('DCF Model'!C19+2)+'DCF Model'!F45/(1+$B20)^('DCF Model'!C19+3)+'DCF Model'!G45/(1+$B20)^('DCF Model'!C19+4)+('DCF Model'!G39+'DCF Model'!G42)*E$17/(1+$B20)^('DCF Model'!C19+4)-'DCF Model'!C16)*1000000/'DCF Model'!C15,0),"")</f>
        <v>9214</v>
      </c>
      <c r="F20" s="37">
        <f>IFERROR(ROUND(('DCF Model'!C45/(1+$B20)^('DCF Model'!C19+0)+'DCF Model'!D45/(1+$B20)^('DCF Model'!C19+1)+'DCF Model'!E45/(1+$B20)^('DCF Model'!C19+2)+'DCF Model'!F45/(1+$B20)^('DCF Model'!C19+3)+'DCF Model'!G45/(1+$B20)^('DCF Model'!C19+4)+('DCF Model'!G39+'DCF Model'!G42)*F$17/(1+$B20)^('DCF Model'!C19+4)-'DCF Model'!C16)*1000000/'DCF Model'!C15,0),"")</f>
        <v>10065</v>
      </c>
      <c r="G20" s="37">
        <f>IFERROR(ROUND(('DCF Model'!C45/(1+$B20)^('DCF Model'!C19+0)+'DCF Model'!D45/(1+$B20)^('DCF Model'!C19+1)+'DCF Model'!E45/(1+$B20)^('DCF Model'!C19+2)+'DCF Model'!F45/(1+$B20)^('DCF Model'!C19+3)+'DCF Model'!G45/(1+$B20)^('DCF Model'!C19+4)+('DCF Model'!G39+'DCF Model'!G42)*G$17/(1+$B20)^('DCF Model'!C19+4)-'DCF Model'!C16)*1000000/'DCF Model'!C15,0),"")</f>
        <v>10916</v>
      </c>
      <c r="H20" s="37">
        <f>IFERROR(ROUND(('DCF Model'!C45/(1+$B20)^('DCF Model'!C19+0)+'DCF Model'!D45/(1+$B20)^('DCF Model'!C19+1)+'DCF Model'!E45/(1+$B20)^('DCF Model'!C19+2)+'DCF Model'!F45/(1+$B20)^('DCF Model'!C19+3)+'DCF Model'!G45/(1+$B20)^('DCF Model'!C19+4)+('DCF Model'!G39+'DCF Model'!G42)*H$17/(1+$B20)^('DCF Model'!C19+4)-'DCF Model'!C16)*1000000/'DCF Model'!C15,0),"")</f>
        <v>11768</v>
      </c>
      <c r="I20" s="37">
        <f>IFERROR(ROUND(('DCF Model'!C45/(1+$B20)^('DCF Model'!C19+0)+'DCF Model'!D45/(1+$B20)^('DCF Model'!C19+1)+'DCF Model'!E45/(1+$B20)^('DCF Model'!C19+2)+'DCF Model'!F45/(1+$B20)^('DCF Model'!C19+3)+'DCF Model'!G45/(1+$B20)^('DCF Model'!C19+4)+('DCF Model'!G39+'DCF Model'!G42)*I$17/(1+$B20)^('DCF Model'!C19+4)-'DCF Model'!C16)*1000000/'DCF Model'!C15,0),"")</f>
        <v>12619</v>
      </c>
    </row>
    <row r="21" spans="2:9" ht="13.5" x14ac:dyDescent="0.25">
      <c r="B21" s="39">
        <f>$C$3</f>
        <v>7.2829073072338865E-2</v>
      </c>
      <c r="C21" s="37">
        <f>IFERROR(ROUND(('DCF Model'!C45/(1+$B21)^('DCF Model'!C19+0)+'DCF Model'!D45/(1+$B21)^('DCF Model'!C19+1)+'DCF Model'!E45/(1+$B21)^('DCF Model'!C19+2)+'DCF Model'!F45/(1+$B21)^('DCF Model'!C19+3)+'DCF Model'!G45/(1+$B21)^('DCF Model'!C19+4)+('DCF Model'!G39+'DCF Model'!G42)*C$17/(1+$B21)^('DCF Model'!C19+4)-'DCF Model'!C16)*1000000/'DCF Model'!C15,0),"")</f>
        <v>7345</v>
      </c>
      <c r="D21" s="37">
        <f>IFERROR(ROUND(('DCF Model'!C45/(1+$B21)^('DCF Model'!C19+0)+'DCF Model'!D45/(1+$B21)^('DCF Model'!C19+1)+'DCF Model'!E45/(1+$B21)^('DCF Model'!C19+2)+'DCF Model'!F45/(1+$B21)^('DCF Model'!C19+3)+'DCF Model'!G45/(1+$B21)^('DCF Model'!C19+4)+('DCF Model'!G39+'DCF Model'!G42)*D$17/(1+$B21)^('DCF Model'!C19+4)-'DCF Model'!C16)*1000000/'DCF Model'!C15,0),"")</f>
        <v>8177</v>
      </c>
      <c r="E21" s="37">
        <f>IFERROR(ROUND(('DCF Model'!C45/(1+$B21)^('DCF Model'!C19+0)+'DCF Model'!D45/(1+$B21)^('DCF Model'!C19+1)+'DCF Model'!E45/(1+$B21)^('DCF Model'!C19+2)+'DCF Model'!F45/(1+$B21)^('DCF Model'!C19+3)+'DCF Model'!G45/(1+$B21)^('DCF Model'!C19+4)+('DCF Model'!G39+'DCF Model'!G42)*E$17/(1+$B21)^('DCF Model'!C19+4)-'DCF Model'!C16)*1000000/'DCF Model'!C15,0),"")</f>
        <v>9009</v>
      </c>
      <c r="F21" s="37">
        <f>IFERROR(ROUND(('DCF Model'!C45/(1+$B21)^('DCF Model'!C19+0)+'DCF Model'!D45/(1+$B21)^('DCF Model'!C19+1)+'DCF Model'!E45/(1+$B21)^('DCF Model'!C19+2)+'DCF Model'!F45/(1+$B21)^('DCF Model'!C19+3)+'DCF Model'!G45/(1+$B21)^('DCF Model'!C19+4)+('DCF Model'!G39+'DCF Model'!G42)*F$17/(1+$B21)^('DCF Model'!C19+4)-'DCF Model'!C16)*1000000/'DCF Model'!C15,0),"")</f>
        <v>9840</v>
      </c>
      <c r="G21" s="37">
        <f>IFERROR(ROUND(('DCF Model'!C45/(1+$B21)^('DCF Model'!C19+0)+'DCF Model'!D45/(1+$B21)^('DCF Model'!C19+1)+'DCF Model'!E45/(1+$B21)^('DCF Model'!C19+2)+'DCF Model'!F45/(1+$B21)^('DCF Model'!C19+3)+'DCF Model'!G45/(1+$B21)^('DCF Model'!C19+4)+('DCF Model'!G39+'DCF Model'!G42)*G$17/(1+$B21)^('DCF Model'!C19+4)-'DCF Model'!C16)*1000000/'DCF Model'!C15,0),"")</f>
        <v>10672</v>
      </c>
      <c r="H21" s="37">
        <f>IFERROR(ROUND(('DCF Model'!C45/(1+$B21)^('DCF Model'!C19+0)+'DCF Model'!D45/(1+$B21)^('DCF Model'!C19+1)+'DCF Model'!E45/(1+$B21)^('DCF Model'!C19+2)+'DCF Model'!F45/(1+$B21)^('DCF Model'!C19+3)+'DCF Model'!G45/(1+$B21)^('DCF Model'!C19+4)+('DCF Model'!G39+'DCF Model'!G42)*H$17/(1+$B21)^('DCF Model'!C19+4)-'DCF Model'!C16)*1000000/'DCF Model'!C15,0),"")</f>
        <v>11504</v>
      </c>
      <c r="I21" s="37">
        <f>IFERROR(ROUND(('DCF Model'!C45/(1+$B21)^('DCF Model'!C19+0)+'DCF Model'!D45/(1+$B21)^('DCF Model'!C19+1)+'DCF Model'!E45/(1+$B21)^('DCF Model'!C19+2)+'DCF Model'!F45/(1+$B21)^('DCF Model'!C19+3)+'DCF Model'!G45/(1+$B21)^('DCF Model'!C19+4)+('DCF Model'!G39+'DCF Model'!G42)*I$17/(1+$B21)^('DCF Model'!C19+4)-'DCF Model'!C16)*1000000/'DCF Model'!C15,0),"")</f>
        <v>12336</v>
      </c>
    </row>
    <row r="22" spans="2:9" ht="13.5" x14ac:dyDescent="0.25">
      <c r="B22" s="39">
        <f>$C$3+0.005</f>
        <v>7.782907307233887E-2</v>
      </c>
      <c r="C22" s="37">
        <f>IFERROR(ROUND(('DCF Model'!C45/(1+$B22)^('DCF Model'!C19+0)+'DCF Model'!D45/(1+$B22)^('DCF Model'!C19+1)+'DCF Model'!E45/(1+$B22)^('DCF Model'!C19+2)+'DCF Model'!F45/(1+$B22)^('DCF Model'!C19+3)+'DCF Model'!G45/(1+$B22)^('DCF Model'!C19+4)+('DCF Model'!G39+'DCF Model'!G42)*C$17/(1+$B22)^('DCF Model'!C19+4)-'DCF Model'!C16)*1000000/'DCF Model'!C15,0),"")</f>
        <v>7184</v>
      </c>
      <c r="D22" s="37">
        <f>IFERROR(ROUND(('DCF Model'!C45/(1+$B22)^('DCF Model'!C19+0)+'DCF Model'!D45/(1+$B22)^('DCF Model'!C19+1)+'DCF Model'!E45/(1+$B22)^('DCF Model'!C19+2)+'DCF Model'!F45/(1+$B22)^('DCF Model'!C19+3)+'DCF Model'!G45/(1+$B22)^('DCF Model'!C19+4)+('DCF Model'!G39+'DCF Model'!G42)*D$17/(1+$B22)^('DCF Model'!C19+4)-'DCF Model'!C16)*1000000/'DCF Model'!C15,0),"")</f>
        <v>7997</v>
      </c>
      <c r="E22" s="37">
        <f>IFERROR(ROUND(('DCF Model'!C45/(1+$B22)^('DCF Model'!C19+0)+'DCF Model'!D45/(1+$B22)^('DCF Model'!C19+1)+'DCF Model'!E45/(1+$B22)^('DCF Model'!C19+2)+'DCF Model'!F45/(1+$B22)^('DCF Model'!C19+3)+'DCF Model'!G45/(1+$B22)^('DCF Model'!C19+4)+('DCF Model'!G39+'DCF Model'!G42)*E$17/(1+$B22)^('DCF Model'!C19+4)-'DCF Model'!C16)*1000000/'DCF Model'!C15,0),"")</f>
        <v>8809</v>
      </c>
      <c r="F22" s="37">
        <f>IFERROR(ROUND(('DCF Model'!C45/(1+$B22)^('DCF Model'!C19+0)+'DCF Model'!D45/(1+$B22)^('DCF Model'!C19+1)+'DCF Model'!E45/(1+$B22)^('DCF Model'!C19+2)+'DCF Model'!F45/(1+$B22)^('DCF Model'!C19+3)+'DCF Model'!G45/(1+$B22)^('DCF Model'!C19+4)+('DCF Model'!G39+'DCF Model'!G42)*F$17/(1+$B22)^('DCF Model'!C19+4)-'DCF Model'!C16)*1000000/'DCF Model'!C15,0),"")</f>
        <v>9622</v>
      </c>
      <c r="G22" s="37">
        <f>IFERROR(ROUND(('DCF Model'!C45/(1+$B22)^('DCF Model'!C19+0)+'DCF Model'!D45/(1+$B22)^('DCF Model'!C19+1)+'DCF Model'!E45/(1+$B22)^('DCF Model'!C19+2)+'DCF Model'!F45/(1+$B22)^('DCF Model'!C19+3)+'DCF Model'!G45/(1+$B22)^('DCF Model'!C19+4)+('DCF Model'!G39+'DCF Model'!G42)*G$17/(1+$B22)^('DCF Model'!C19+4)-'DCF Model'!C16)*1000000/'DCF Model'!C15,0),"")</f>
        <v>10435</v>
      </c>
      <c r="H22" s="37">
        <f>IFERROR(ROUND(('DCF Model'!C45/(1+$B22)^('DCF Model'!C19+0)+'DCF Model'!D45/(1+$B22)^('DCF Model'!C19+1)+'DCF Model'!E45/(1+$B22)^('DCF Model'!C19+2)+'DCF Model'!F45/(1+$B22)^('DCF Model'!C19+3)+'DCF Model'!G45/(1+$B22)^('DCF Model'!C19+4)+('DCF Model'!G39+'DCF Model'!G42)*H$17/(1+$B22)^('DCF Model'!C19+4)-'DCF Model'!C16)*1000000/'DCF Model'!C15,0),"")</f>
        <v>11247</v>
      </c>
      <c r="I22" s="37">
        <f>IFERROR(ROUND(('DCF Model'!C45/(1+$B22)^('DCF Model'!C19+0)+'DCF Model'!D45/(1+$B22)^('DCF Model'!C19+1)+'DCF Model'!E45/(1+$B22)^('DCF Model'!C19+2)+'DCF Model'!F45/(1+$B22)^('DCF Model'!C19+3)+'DCF Model'!G45/(1+$B22)^('DCF Model'!C19+4)+('DCF Model'!G39+'DCF Model'!G42)*I$17/(1+$B22)^('DCF Model'!C19+4)-'DCF Model'!C16)*1000000/'DCF Model'!C15,0),"")</f>
        <v>12060</v>
      </c>
    </row>
    <row r="23" spans="2:9" ht="13.5" x14ac:dyDescent="0.25">
      <c r="B23" s="39">
        <f>$C$3+0.01</f>
        <v>8.282907307233886E-2</v>
      </c>
      <c r="C23" s="37">
        <f>IFERROR(ROUND(('DCF Model'!C45/(1+$B23)^('DCF Model'!C19+0)+'DCF Model'!D45/(1+$B23)^('DCF Model'!C19+1)+'DCF Model'!E45/(1+$B23)^('DCF Model'!C19+2)+'DCF Model'!F45/(1+$B23)^('DCF Model'!C19+3)+'DCF Model'!G45/(1+$B23)^('DCF Model'!C19+4)+('DCF Model'!G39+'DCF Model'!G42)*C$17/(1+$B23)^('DCF Model'!C19+4)-'DCF Model'!C16)*1000000/'DCF Model'!C15,0),"")</f>
        <v>7027</v>
      </c>
      <c r="D23" s="37">
        <f>IFERROR(ROUND(('DCF Model'!C45/(1+$B23)^('DCF Model'!C19+0)+'DCF Model'!D45/(1+$B23)^('DCF Model'!C19+1)+'DCF Model'!E45/(1+$B23)^('DCF Model'!C19+2)+'DCF Model'!F45/(1+$B23)^('DCF Model'!C19+3)+'DCF Model'!G45/(1+$B23)^('DCF Model'!C19+4)+('DCF Model'!G39+'DCF Model'!G42)*D$17/(1+$B23)^('DCF Model'!C19+4)-'DCF Model'!C16)*1000000/'DCF Model'!C15,0),"")</f>
        <v>7821</v>
      </c>
      <c r="E23" s="37">
        <f>IFERROR(ROUND(('DCF Model'!C45/(1+$B23)^('DCF Model'!C19+0)+'DCF Model'!D45/(1+$B23)^('DCF Model'!C19+1)+'DCF Model'!E45/(1+$B23)^('DCF Model'!C19+2)+'DCF Model'!F45/(1+$B23)^('DCF Model'!C19+3)+'DCF Model'!G45/(1+$B23)^('DCF Model'!C19+4)+('DCF Model'!G39+'DCF Model'!G42)*E$17/(1+$B23)^('DCF Model'!C19+4)-'DCF Model'!C16)*1000000/'DCF Model'!C15,0),"")</f>
        <v>8615</v>
      </c>
      <c r="F23" s="37">
        <f>IFERROR(ROUND(('DCF Model'!C45/(1+$B23)^('DCF Model'!C19+0)+'DCF Model'!D45/(1+$B23)^('DCF Model'!C19+1)+'DCF Model'!E45/(1+$B23)^('DCF Model'!C19+2)+'DCF Model'!F45/(1+$B23)^('DCF Model'!C19+3)+'DCF Model'!G45/(1+$B23)^('DCF Model'!C19+4)+('DCF Model'!G39+'DCF Model'!G42)*F$17/(1+$B23)^('DCF Model'!C19+4)-'DCF Model'!C16)*1000000/'DCF Model'!C15,0),"")</f>
        <v>9409</v>
      </c>
      <c r="G23" s="37">
        <f>IFERROR(ROUND(('DCF Model'!C45/(1+$B23)^('DCF Model'!C19+0)+'DCF Model'!D45/(1+$B23)^('DCF Model'!C19+1)+'DCF Model'!E45/(1+$B23)^('DCF Model'!C19+2)+'DCF Model'!F45/(1+$B23)^('DCF Model'!C19+3)+'DCF Model'!G45/(1+$B23)^('DCF Model'!C19+4)+('DCF Model'!G39+'DCF Model'!G42)*G$17/(1+$B23)^('DCF Model'!C19+4)-'DCF Model'!C16)*1000000/'DCF Model'!C15,0),"")</f>
        <v>10203</v>
      </c>
      <c r="H23" s="37">
        <f>IFERROR(ROUND(('DCF Model'!C45/(1+$B23)^('DCF Model'!C19+0)+'DCF Model'!D45/(1+$B23)^('DCF Model'!C19+1)+'DCF Model'!E45/(1+$B23)^('DCF Model'!C19+2)+'DCF Model'!F45/(1+$B23)^('DCF Model'!C19+3)+'DCF Model'!G45/(1+$B23)^('DCF Model'!C19+4)+('DCF Model'!G39+'DCF Model'!G42)*H$17/(1+$B23)^('DCF Model'!C19+4)-'DCF Model'!C16)*1000000/'DCF Model'!C15,0),"")</f>
        <v>10997</v>
      </c>
      <c r="I23" s="37">
        <f>IFERROR(ROUND(('DCF Model'!C45/(1+$B23)^('DCF Model'!C19+0)+'DCF Model'!D45/(1+$B23)^('DCF Model'!C19+1)+'DCF Model'!E45/(1+$B23)^('DCF Model'!C19+2)+'DCF Model'!F45/(1+$B23)^('DCF Model'!C19+3)+'DCF Model'!G45/(1+$B23)^('DCF Model'!C19+4)+('DCF Model'!G39+'DCF Model'!G42)*I$17/(1+$B23)^('DCF Model'!C19+4)-'DCF Model'!C16)*1000000/'DCF Model'!C15,0),"")</f>
        <v>11791</v>
      </c>
    </row>
    <row r="24" spans="2:9" ht="13.5" x14ac:dyDescent="0.25">
      <c r="B24" s="39">
        <f>$C$3+0.015</f>
        <v>8.7829073072338865E-2</v>
      </c>
      <c r="C24" s="37">
        <f>IFERROR(ROUND(('DCF Model'!C45/(1+$B24)^('DCF Model'!C19+0)+'DCF Model'!D45/(1+$B24)^('DCF Model'!C19+1)+'DCF Model'!E45/(1+$B24)^('DCF Model'!C19+2)+'DCF Model'!F45/(1+$B24)^('DCF Model'!C19+3)+'DCF Model'!G45/(1+$B24)^('DCF Model'!C19+4)+('DCF Model'!G39+'DCF Model'!G42)*C$17/(1+$B24)^('DCF Model'!C19+4)-'DCF Model'!C16)*1000000/'DCF Model'!C15,0),"")</f>
        <v>6874</v>
      </c>
      <c r="D24" s="37">
        <f>IFERROR(ROUND(('DCF Model'!C45/(1+$B24)^('DCF Model'!C19+0)+'DCF Model'!D45/(1+$B24)^('DCF Model'!C19+1)+'DCF Model'!E45/(1+$B24)^('DCF Model'!C19+2)+'DCF Model'!F45/(1+$B24)^('DCF Model'!C19+3)+'DCF Model'!G45/(1+$B24)^('DCF Model'!C19+4)+('DCF Model'!G39+'DCF Model'!G42)*D$17/(1+$B24)^('DCF Model'!C19+4)-'DCF Model'!C16)*1000000/'DCF Model'!C15,0),"")</f>
        <v>7650</v>
      </c>
      <c r="E24" s="37">
        <f>IFERROR(ROUND(('DCF Model'!C45/(1+$B24)^('DCF Model'!C19+0)+'DCF Model'!D45/(1+$B24)^('DCF Model'!C19+1)+'DCF Model'!E45/(1+$B24)^('DCF Model'!C19+2)+'DCF Model'!F45/(1+$B24)^('DCF Model'!C19+3)+'DCF Model'!G45/(1+$B24)^('DCF Model'!C19+4)+('DCF Model'!G39+'DCF Model'!G42)*E$17/(1+$B24)^('DCF Model'!C19+4)-'DCF Model'!C16)*1000000/'DCF Model'!C15,0),"")</f>
        <v>8426</v>
      </c>
      <c r="F24" s="37">
        <f>IFERROR(ROUND(('DCF Model'!C45/(1+$B24)^('DCF Model'!C19+0)+'DCF Model'!D45/(1+$B24)^('DCF Model'!C19+1)+'DCF Model'!E45/(1+$B24)^('DCF Model'!C19+2)+'DCF Model'!F45/(1+$B24)^('DCF Model'!C19+3)+'DCF Model'!G45/(1+$B24)^('DCF Model'!C19+4)+('DCF Model'!G39+'DCF Model'!G42)*F$17/(1+$B24)^('DCF Model'!C19+4)-'DCF Model'!C16)*1000000/'DCF Model'!C15,0),"")</f>
        <v>9202</v>
      </c>
      <c r="G24" s="37">
        <f>IFERROR(ROUND(('DCF Model'!C45/(1+$B24)^('DCF Model'!C19+0)+'DCF Model'!D45/(1+$B24)^('DCF Model'!C19+1)+'DCF Model'!E45/(1+$B24)^('DCF Model'!C19+2)+'DCF Model'!F45/(1+$B24)^('DCF Model'!C19+3)+'DCF Model'!G45/(1+$B24)^('DCF Model'!C19+4)+('DCF Model'!G39+'DCF Model'!G42)*G$17/(1+$B24)^('DCF Model'!C19+4)-'DCF Model'!C16)*1000000/'DCF Model'!C15,0),"")</f>
        <v>9978</v>
      </c>
      <c r="H24" s="37">
        <f>IFERROR(ROUND(('DCF Model'!C45/(1+$B24)^('DCF Model'!C19+0)+'DCF Model'!D45/(1+$B24)^('DCF Model'!C19+1)+'DCF Model'!E45/(1+$B24)^('DCF Model'!C19+2)+'DCF Model'!F45/(1+$B24)^('DCF Model'!C19+3)+'DCF Model'!G45/(1+$B24)^('DCF Model'!C19+4)+('DCF Model'!G39+'DCF Model'!G42)*H$17/(1+$B24)^('DCF Model'!C19+4)-'DCF Model'!C16)*1000000/'DCF Model'!C15,0),"")</f>
        <v>10754</v>
      </c>
      <c r="I24" s="37">
        <f>IFERROR(ROUND(('DCF Model'!C45/(1+$B24)^('DCF Model'!C19+0)+'DCF Model'!D45/(1+$B24)^('DCF Model'!C19+1)+'DCF Model'!E45/(1+$B24)^('DCF Model'!C19+2)+'DCF Model'!F45/(1+$B24)^('DCF Model'!C19+3)+'DCF Model'!G45/(1+$B24)^('DCF Model'!C19+4)+('DCF Model'!G39+'DCF Model'!G42)*I$17/(1+$B24)^('DCF Model'!C19+4)-'DCF Model'!C16)*1000000/'DCF Model'!C15,0),"")</f>
        <v>11530</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47</v>
      </c>
    </row>
    <row r="18" spans="2:3" ht="14" x14ac:dyDescent="0.3">
      <c r="B18" s="4" t="s">
        <v>272</v>
      </c>
      <c r="C18" t="s">
        <v>4</v>
      </c>
    </row>
    <row r="19" spans="2:3" ht="14" x14ac:dyDescent="0.3">
      <c r="B19" s="4" t="s">
        <v>273</v>
      </c>
      <c r="C19" t="s">
        <v>252</v>
      </c>
    </row>
    <row r="20" spans="2:3" ht="14" x14ac:dyDescent="0.3">
      <c r="B20" s="4" t="s">
        <v>274</v>
      </c>
      <c r="C20" t="s">
        <v>275</v>
      </c>
    </row>
    <row r="21" spans="2:3" ht="14" x14ac:dyDescent="0.3">
      <c r="B21" s="4" t="s">
        <v>276</v>
      </c>
      <c r="C21" t="s">
        <v>277</v>
      </c>
    </row>
    <row r="22" spans="2:3" ht="14" x14ac:dyDescent="0.3">
      <c r="B22" s="4" t="s">
        <v>278</v>
      </c>
      <c r="C22" t="s">
        <v>279</v>
      </c>
    </row>
    <row r="23" spans="2:3" ht="14" x14ac:dyDescent="0.3">
      <c r="B23" s="4" t="s">
        <v>280</v>
      </c>
      <c r="C23" t="s">
        <v>281</v>
      </c>
    </row>
    <row r="24" spans="2:3" ht="14" x14ac:dyDescent="0.3">
      <c r="B24" s="4" t="s">
        <v>282</v>
      </c>
      <c r="C24" t="s">
        <v>283</v>
      </c>
    </row>
    <row r="25" spans="2:3" ht="14" x14ac:dyDescent="0.3">
      <c r="B25" s="4" t="s">
        <v>284</v>
      </c>
      <c r="C25" t="s">
        <v>279</v>
      </c>
    </row>
    <row r="26" spans="2:3" ht="14" x14ac:dyDescent="0.3">
      <c r="B26" s="4" t="s">
        <v>285</v>
      </c>
      <c r="C26" t="s">
        <v>275</v>
      </c>
    </row>
    <row r="27" spans="2:3" ht="14" x14ac:dyDescent="0.3">
      <c r="B27" s="4" t="s">
        <v>286</v>
      </c>
      <c r="C27" t="s">
        <v>287</v>
      </c>
    </row>
    <row r="28" spans="2:3" ht="14" x14ac:dyDescent="0.3">
      <c r="B28" s="4" t="s">
        <v>288</v>
      </c>
      <c r="C28" t="s">
        <v>289</v>
      </c>
    </row>
    <row r="29" spans="2:3" ht="14" x14ac:dyDescent="0.3">
      <c r="B29" s="4" t="s">
        <v>290</v>
      </c>
      <c r="C29" t="s">
        <v>291</v>
      </c>
    </row>
    <row r="30" spans="2:3" ht="14" x14ac:dyDescent="0.3">
      <c r="B30" s="4" t="s">
        <v>292</v>
      </c>
      <c r="C30" t="s">
        <v>293</v>
      </c>
    </row>
    <row r="31" spans="2:3" ht="14" x14ac:dyDescent="0.3">
      <c r="B31" s="4" t="s">
        <v>294</v>
      </c>
      <c r="C31" t="s">
        <v>295</v>
      </c>
    </row>
    <row r="32" spans="2:3" ht="14" x14ac:dyDescent="0.3">
      <c r="B32" s="4" t="s">
        <v>296</v>
      </c>
      <c r="C32" t="s">
        <v>297</v>
      </c>
    </row>
    <row r="33" spans="2:3" ht="14" x14ac:dyDescent="0.3">
      <c r="B33" s="4" t="s">
        <v>298</v>
      </c>
      <c r="C33" t="s">
        <v>299</v>
      </c>
    </row>
    <row r="34" spans="2:3" ht="14" x14ac:dyDescent="0.3">
      <c r="B34" s="4" t="s">
        <v>300</v>
      </c>
      <c r="C34" t="s">
        <v>301</v>
      </c>
    </row>
    <row r="35" spans="2:3" ht="14" x14ac:dyDescent="0.3">
      <c r="B35" s="4" t="s">
        <v>302</v>
      </c>
      <c r="C35" t="s">
        <v>268</v>
      </c>
    </row>
    <row r="36" spans="2:3" ht="14" x14ac:dyDescent="0.3">
      <c r="B36" s="4" t="s">
        <v>303</v>
      </c>
      <c r="C36" t="s">
        <v>304</v>
      </c>
    </row>
    <row r="37" spans="2:3" ht="14" x14ac:dyDescent="0.3">
      <c r="B37" s="4" t="s">
        <v>305</v>
      </c>
      <c r="C37" t="s">
        <v>306</v>
      </c>
    </row>
    <row r="38" spans="2:3" ht="14" x14ac:dyDescent="0.3">
      <c r="B38" s="4" t="s">
        <v>307</v>
      </c>
      <c r="C38" t="s">
        <v>308</v>
      </c>
    </row>
    <row r="39" spans="2:3" ht="14" x14ac:dyDescent="0.3">
      <c r="B39" s="4" t="s">
        <v>309</v>
      </c>
      <c r="C39" t="s">
        <v>310</v>
      </c>
    </row>
    <row r="40" spans="2:3" ht="14" x14ac:dyDescent="0.3">
      <c r="B40" s="4" t="s">
        <v>311</v>
      </c>
      <c r="C40" t="s">
        <v>312</v>
      </c>
    </row>
    <row r="41" spans="2:3" ht="14" x14ac:dyDescent="0.3">
      <c r="B41" s="4" t="s">
        <v>313</v>
      </c>
      <c r="C41" t="s">
        <v>314</v>
      </c>
    </row>
    <row r="42" spans="2:3" ht="14" x14ac:dyDescent="0.3">
      <c r="B42" s="4" t="s">
        <v>315</v>
      </c>
      <c r="C42" t="s">
        <v>316</v>
      </c>
    </row>
    <row r="43" spans="2:3" ht="14" x14ac:dyDescent="0.3">
      <c r="B43" s="4" t="s">
        <v>317</v>
      </c>
      <c r="C43" t="s">
        <v>318</v>
      </c>
    </row>
    <row r="44" spans="2:3" ht="14" x14ac:dyDescent="0.3">
      <c r="B44" s="4" t="s">
        <v>319</v>
      </c>
      <c r="C44" t="s">
        <v>320</v>
      </c>
    </row>
    <row r="45" spans="2:3" ht="14" x14ac:dyDescent="0.3">
      <c r="B45" s="4" t="s">
        <v>321</v>
      </c>
      <c r="C45" t="s">
        <v>275</v>
      </c>
    </row>
    <row r="46" spans="2:3" ht="14" x14ac:dyDescent="0.3">
      <c r="B46" s="4" t="s">
        <v>322</v>
      </c>
      <c r="C46" t="s">
        <v>323</v>
      </c>
    </row>
    <row r="47" spans="2:3" ht="14" x14ac:dyDescent="0.3">
      <c r="B47" s="4" t="s">
        <v>324</v>
      </c>
      <c r="C47" t="s">
        <v>325</v>
      </c>
    </row>
    <row r="48" spans="2:3" ht="14" x14ac:dyDescent="0.3">
      <c r="B48" s="4" t="s">
        <v>326</v>
      </c>
      <c r="C48" t="s">
        <v>327</v>
      </c>
    </row>
    <row r="49" spans="2:3" ht="14" x14ac:dyDescent="0.3">
      <c r="B49" s="4" t="s">
        <v>328</v>
      </c>
      <c r="C49" t="s">
        <v>329</v>
      </c>
    </row>
    <row r="50" spans="2:3" ht="14" x14ac:dyDescent="0.3">
      <c r="B50" s="4" t="s">
        <v>330</v>
      </c>
      <c r="C50"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2026-09-05T17:53:04Z</dcterms:created>
  <dcterms:modified xsi:type="dcterms:W3CDTF">2026-09-05T17:53:07Z</dcterms:modified>
</cp:coreProperties>
</file>