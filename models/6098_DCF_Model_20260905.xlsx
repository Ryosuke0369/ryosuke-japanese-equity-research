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E100924D-0A03-47D0-82D1-27171EC286D1}" xr6:coauthVersionLast="47" xr6:coauthVersionMax="47" xr10:uidLastSave="{00000000-0000-0000-0000-000000000000}"/>
  <bookViews>
    <workbookView xWindow="9720" yWindow="5480" windowWidth="4820" windowHeight="46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10" i="6"/>
  <c r="N10" i="6"/>
  <c r="M10" i="6"/>
  <c r="L10" i="6"/>
  <c r="K10" i="6"/>
  <c r="J10" i="6"/>
  <c r="O9" i="6"/>
  <c r="N9" i="6"/>
  <c r="M9" i="6"/>
  <c r="L9" i="6"/>
  <c r="K9" i="6"/>
  <c r="J9" i="6"/>
  <c r="O8" i="6"/>
  <c r="N8" i="6"/>
  <c r="H16" i="6" s="1"/>
  <c r="M8" i="6"/>
  <c r="L8" i="6"/>
  <c r="K8" i="6"/>
  <c r="J8" i="6"/>
  <c r="O7" i="6"/>
  <c r="N7" i="6"/>
  <c r="M7" i="6"/>
  <c r="L7" i="6"/>
  <c r="K7" i="6"/>
  <c r="J7" i="6"/>
  <c r="O6" i="6"/>
  <c r="I16" i="6" s="1"/>
  <c r="N6" i="6"/>
  <c r="M6" i="6"/>
  <c r="L6" i="6"/>
  <c r="K6" i="6"/>
  <c r="J6" i="6"/>
  <c r="O5" i="6"/>
  <c r="N5" i="6"/>
  <c r="D5" i="6"/>
  <c r="E5" i="6" s="1"/>
  <c r="C16" i="5"/>
  <c r="C14" i="5"/>
  <c r="C18" i="5" s="1"/>
  <c r="C7" i="5"/>
  <c r="C6" i="5"/>
  <c r="C5" i="5"/>
  <c r="C13" i="4"/>
  <c r="C12" i="4"/>
  <c r="C9" i="4"/>
  <c r="C7" i="4"/>
  <c r="C6" i="4"/>
  <c r="C8" i="4" s="1"/>
  <c r="D27" i="3"/>
  <c r="G5" i="5" s="1"/>
  <c r="C25" i="3"/>
  <c r="C24" i="3"/>
  <c r="C23" i="3"/>
  <c r="D28" i="2"/>
  <c r="C28" i="2"/>
  <c r="F16" i="2"/>
  <c r="E16" i="2"/>
  <c r="D16" i="2"/>
  <c r="F15" i="2"/>
  <c r="E15" i="2"/>
  <c r="D15" i="2"/>
  <c r="F14" i="2"/>
  <c r="E14" i="2"/>
  <c r="D14" i="2"/>
  <c r="C14" i="2"/>
  <c r="F13" i="2"/>
  <c r="E13" i="2"/>
  <c r="D13" i="2"/>
  <c r="C13" i="2"/>
  <c r="C9" i="2"/>
  <c r="F8" i="2"/>
  <c r="F9" i="2" s="1"/>
  <c r="E8" i="2"/>
  <c r="E9" i="2" s="1"/>
  <c r="D8" i="2"/>
  <c r="D9" i="2" s="1"/>
  <c r="C8" i="2"/>
  <c r="E15" i="6" l="1"/>
  <c r="D17" i="6"/>
  <c r="F16" i="6"/>
  <c r="C28" i="6" s="1"/>
  <c r="C19" i="1" s="1"/>
  <c r="D19" i="1" s="1"/>
  <c r="C10" i="4"/>
  <c r="C71" i="4" s="1"/>
  <c r="G15" i="6"/>
  <c r="F15" i="6"/>
  <c r="H15" i="6"/>
  <c r="C26" i="3"/>
  <c r="F36" i="4" s="1"/>
  <c r="C70" i="4"/>
  <c r="J5" i="6"/>
  <c r="K5" i="6"/>
  <c r="E36" i="4"/>
  <c r="H36" i="4"/>
  <c r="E5" i="5"/>
  <c r="C30" i="3"/>
  <c r="C33" i="3" s="1"/>
  <c r="F31" i="3"/>
  <c r="H5" i="5"/>
  <c r="D7" i="5"/>
  <c r="I15" i="6"/>
  <c r="E17" i="6"/>
  <c r="I6" i="7"/>
  <c r="F32" i="3"/>
  <c r="G6" i="5"/>
  <c r="D30" i="3"/>
  <c r="G31" i="3"/>
  <c r="E7" i="5"/>
  <c r="L5" i="6"/>
  <c r="D16" i="6"/>
  <c r="F17" i="6"/>
  <c r="C17" i="7"/>
  <c r="E30" i="3"/>
  <c r="C32" i="3"/>
  <c r="D6" i="5"/>
  <c r="F7" i="5"/>
  <c r="M5" i="6"/>
  <c r="E16" i="6"/>
  <c r="G17" i="6"/>
  <c r="C6" i="7"/>
  <c r="D17" i="7"/>
  <c r="C31" i="3"/>
  <c r="F30" i="3"/>
  <c r="D32" i="3"/>
  <c r="E6" i="5"/>
  <c r="G7" i="5"/>
  <c r="D15" i="6"/>
  <c r="H17" i="6"/>
  <c r="D6" i="7"/>
  <c r="E17" i="7"/>
  <c r="G30" i="3"/>
  <c r="E32" i="3"/>
  <c r="D5" i="5"/>
  <c r="F6" i="5"/>
  <c r="H7" i="5"/>
  <c r="G16" i="6"/>
  <c r="I17" i="6"/>
  <c r="E6" i="7"/>
  <c r="F17" i="7"/>
  <c r="F6" i="7"/>
  <c r="G17" i="7"/>
  <c r="D31" i="3"/>
  <c r="G32" i="3"/>
  <c r="F5" i="5"/>
  <c r="H6" i="5"/>
  <c r="G6" i="7"/>
  <c r="H17" i="7"/>
  <c r="E31" i="3"/>
  <c r="C46" i="3" l="1"/>
  <c r="C11" i="4"/>
  <c r="C24" i="4" s="1"/>
  <c r="C25" i="4" s="1"/>
  <c r="G46" i="3"/>
  <c r="D46" i="3"/>
  <c r="G36" i="4"/>
  <c r="G44" i="4" s="1"/>
  <c r="D36" i="4"/>
  <c r="D46" i="4" s="1"/>
  <c r="C3" i="7"/>
  <c r="B11" i="7" s="1"/>
  <c r="E46" i="3"/>
  <c r="F46" i="3"/>
  <c r="C29" i="4"/>
  <c r="C27" i="4"/>
  <c r="C26" i="4"/>
  <c r="C27" i="6"/>
  <c r="C18" i="1" s="1"/>
  <c r="D18" i="1" s="1"/>
  <c r="C74" i="4"/>
  <c r="H40" i="4"/>
  <c r="H44" i="4"/>
  <c r="H41" i="4"/>
  <c r="H45" i="4"/>
  <c r="H39" i="4"/>
  <c r="H43" i="4"/>
  <c r="H38" i="4"/>
  <c r="H48" i="4" s="1"/>
  <c r="H53" i="4" s="1"/>
  <c r="H46" i="4"/>
  <c r="G46" i="4"/>
  <c r="G40" i="4"/>
  <c r="G38" i="4"/>
  <c r="G41" i="4"/>
  <c r="G51" i="4" s="1"/>
  <c r="G56" i="4" s="1"/>
  <c r="G45" i="4"/>
  <c r="G39" i="4"/>
  <c r="G43" i="4"/>
  <c r="D39" i="4"/>
  <c r="D41" i="4"/>
  <c r="B13" i="7"/>
  <c r="B12" i="7"/>
  <c r="B10" i="7"/>
  <c r="B9" i="7"/>
  <c r="B8" i="7"/>
  <c r="B7" i="7"/>
  <c r="B24" i="7"/>
  <c r="B23" i="7"/>
  <c r="B22" i="7"/>
  <c r="B21" i="7"/>
  <c r="B20" i="7"/>
  <c r="B19" i="7"/>
  <c r="B18" i="7"/>
  <c r="E39" i="4"/>
  <c r="E49" i="4" s="1"/>
  <c r="E54" i="4" s="1"/>
  <c r="E43" i="4"/>
  <c r="E46" i="4"/>
  <c r="E40" i="4"/>
  <c r="E44" i="4"/>
  <c r="E38" i="4"/>
  <c r="E41" i="4"/>
  <c r="E51" i="4" s="1"/>
  <c r="E56" i="4" s="1"/>
  <c r="E45" i="4"/>
  <c r="D9" i="5"/>
  <c r="D12" i="5" s="1"/>
  <c r="C42" i="3"/>
  <c r="C34" i="3"/>
  <c r="D10" i="5" s="1"/>
  <c r="C37" i="3"/>
  <c r="D33" i="3"/>
  <c r="F43" i="4"/>
  <c r="F46" i="4"/>
  <c r="F44" i="4"/>
  <c r="F38" i="4"/>
  <c r="F41" i="4"/>
  <c r="F45" i="4"/>
  <c r="F39" i="4"/>
  <c r="F40" i="4"/>
  <c r="D45" i="4" l="1"/>
  <c r="G49" i="4"/>
  <c r="G54" i="4" s="1"/>
  <c r="D44" i="4"/>
  <c r="D38" i="4"/>
  <c r="D43" i="4"/>
  <c r="H49" i="4"/>
  <c r="H54" i="4" s="1"/>
  <c r="F50" i="4"/>
  <c r="F55" i="4" s="1"/>
  <c r="D40" i="4"/>
  <c r="D50" i="4" s="1"/>
  <c r="D55" i="4" s="1"/>
  <c r="C35" i="3"/>
  <c r="H51" i="4"/>
  <c r="H56" i="4" s="1"/>
  <c r="F48" i="4"/>
  <c r="F53" i="4" s="1"/>
  <c r="D51" i="4"/>
  <c r="D56" i="4" s="1"/>
  <c r="E9" i="5"/>
  <c r="E12" i="5" s="1"/>
  <c r="D34" i="3"/>
  <c r="E10" i="5" s="1"/>
  <c r="D37" i="3"/>
  <c r="D42" i="3"/>
  <c r="E33" i="3"/>
  <c r="E48" i="4"/>
  <c r="E53" i="4" s="1"/>
  <c r="G48" i="4"/>
  <c r="G53" i="4" s="1"/>
  <c r="E50" i="4"/>
  <c r="E55" i="4" s="1"/>
  <c r="D49" i="4"/>
  <c r="D54" i="4" s="1"/>
  <c r="G50" i="4"/>
  <c r="G55" i="4" s="1"/>
  <c r="D14" i="5"/>
  <c r="D18" i="5" s="1"/>
  <c r="D19" i="5" s="1"/>
  <c r="C44" i="3" s="1"/>
  <c r="F49" i="4"/>
  <c r="C36" i="3"/>
  <c r="C39" i="3"/>
  <c r="C38" i="3"/>
  <c r="F51" i="4"/>
  <c r="F56" i="4" s="1"/>
  <c r="D15" i="5"/>
  <c r="D16" i="5" s="1"/>
  <c r="D13" i="5"/>
  <c r="H50" i="4"/>
  <c r="H55" i="4" s="1"/>
  <c r="D48" i="4" l="1"/>
  <c r="D53" i="4" s="1"/>
  <c r="D35" i="3"/>
  <c r="D36" i="3"/>
  <c r="D39" i="3"/>
  <c r="D38" i="3"/>
  <c r="E13" i="5"/>
  <c r="E14" i="5" s="1"/>
  <c r="E15" i="5"/>
  <c r="E16" i="5" s="1"/>
  <c r="F54" i="4"/>
  <c r="C60" i="4"/>
  <c r="B78" i="4"/>
  <c r="C40" i="3"/>
  <c r="C41" i="3" s="1"/>
  <c r="C45" i="3" s="1"/>
  <c r="F9" i="5"/>
  <c r="F12" i="5" s="1"/>
  <c r="E42" i="3"/>
  <c r="E34" i="3"/>
  <c r="F10" i="5" s="1"/>
  <c r="E37" i="3"/>
  <c r="E35" i="3"/>
  <c r="F33" i="3"/>
  <c r="E18" i="5" l="1"/>
  <c r="E19" i="5" s="1"/>
  <c r="D44" i="3" s="1"/>
  <c r="C47" i="3"/>
  <c r="E39" i="3"/>
  <c r="E38" i="3"/>
  <c r="E36" i="3"/>
  <c r="C65" i="4"/>
  <c r="D65" i="4" s="1"/>
  <c r="C64" i="4"/>
  <c r="D64" i="4" s="1"/>
  <c r="C67" i="4"/>
  <c r="D67" i="4" s="1"/>
  <c r="C63" i="4"/>
  <c r="D63" i="4" s="1"/>
  <c r="C66" i="4"/>
  <c r="D66" i="4" s="1"/>
  <c r="F13" i="5"/>
  <c r="F14" i="5" s="1"/>
  <c r="F18" i="5" s="1"/>
  <c r="F19" i="5" s="1"/>
  <c r="E44" i="3" s="1"/>
  <c r="F15" i="5"/>
  <c r="F16" i="5" s="1"/>
  <c r="D40" i="3"/>
  <c r="D41" i="3" s="1"/>
  <c r="F42" i="3"/>
  <c r="F34" i="3"/>
  <c r="G10" i="5" s="1"/>
  <c r="F37" i="3"/>
  <c r="F35" i="3"/>
  <c r="G33" i="3"/>
  <c r="G9" i="5"/>
  <c r="G12" i="5" s="1"/>
  <c r="D45" i="3" l="1"/>
  <c r="D47" i="3"/>
  <c r="G37" i="3"/>
  <c r="C16" i="4"/>
  <c r="C28" i="4" s="1"/>
  <c r="H9" i="5"/>
  <c r="H12" i="5" s="1"/>
  <c r="G42" i="3"/>
  <c r="G34" i="3"/>
  <c r="H10" i="5" s="1"/>
  <c r="E40" i="3"/>
  <c r="E41" i="3" s="1"/>
  <c r="E45" i="3" s="1"/>
  <c r="E47" i="3" s="1"/>
  <c r="F38" i="3"/>
  <c r="F36" i="3"/>
  <c r="F39" i="3"/>
  <c r="G13" i="5"/>
  <c r="G14" i="5" s="1"/>
  <c r="G15" i="5"/>
  <c r="G16" i="5" s="1"/>
  <c r="G18" i="5" l="1"/>
  <c r="G19" i="5" s="1"/>
  <c r="F44" i="3" s="1"/>
  <c r="C72" i="4"/>
  <c r="C73" i="4"/>
  <c r="H15" i="5"/>
  <c r="H16" i="5" s="1"/>
  <c r="H13" i="5"/>
  <c r="H14" i="5" s="1"/>
  <c r="H18" i="5" s="1"/>
  <c r="H19" i="5" s="1"/>
  <c r="G44" i="3" s="1"/>
  <c r="F40" i="3"/>
  <c r="F41" i="3" s="1"/>
  <c r="F45" i="3" s="1"/>
  <c r="G35" i="3"/>
  <c r="F47" i="3" l="1"/>
  <c r="G38" i="3"/>
  <c r="G36" i="3"/>
  <c r="G39" i="3"/>
  <c r="G40" i="3" l="1"/>
  <c r="G41" i="3" s="1"/>
  <c r="G45" i="3" s="1"/>
  <c r="C59" i="3"/>
  <c r="C60" i="3" s="1"/>
  <c r="C61" i="3" s="1"/>
  <c r="C51" i="3" l="1"/>
  <c r="C52" i="3" s="1"/>
  <c r="G47" i="3"/>
  <c r="C50" i="3" s="1"/>
  <c r="F20" i="7"/>
  <c r="D23" i="7"/>
  <c r="F7" i="7"/>
  <c r="H22" i="7"/>
  <c r="H24" i="7"/>
  <c r="H23" i="7"/>
  <c r="G13" i="7"/>
  <c r="E20" i="7"/>
  <c r="E7" i="7"/>
  <c r="F12" i="7"/>
  <c r="G20" i="7"/>
  <c r="F11" i="7"/>
  <c r="E24" i="7"/>
  <c r="D11" i="7"/>
  <c r="H21" i="7"/>
  <c r="C11" i="7"/>
  <c r="I24" i="7"/>
  <c r="D22" i="7"/>
  <c r="C22" i="7"/>
  <c r="E18" i="7"/>
  <c r="C20" i="7"/>
  <c r="G10" i="7"/>
  <c r="G21" i="7"/>
  <c r="I11" i="7"/>
  <c r="I12" i="7"/>
  <c r="E19" i="7"/>
  <c r="G12" i="7"/>
  <c r="I22" i="7"/>
  <c r="H10" i="7"/>
  <c r="G22" i="7"/>
  <c r="C8" i="7"/>
  <c r="F24" i="7"/>
  <c r="C23" i="7"/>
  <c r="G8" i="7"/>
  <c r="G24" i="7"/>
  <c r="H11" i="7"/>
  <c r="I21" i="7"/>
  <c r="I18" i="7"/>
  <c r="I9" i="7"/>
  <c r="E21" i="7"/>
  <c r="E12" i="7"/>
  <c r="D9" i="7"/>
  <c r="C19" i="7"/>
  <c r="G7" i="7"/>
  <c r="C10" i="7"/>
  <c r="I10" i="7"/>
  <c r="I13" i="7"/>
  <c r="H12" i="7"/>
  <c r="D24" i="7"/>
  <c r="D10" i="7"/>
  <c r="D8" i="7"/>
  <c r="E9" i="7"/>
  <c r="F19" i="7"/>
  <c r="C18" i="7"/>
  <c r="H18" i="7"/>
  <c r="H9" i="7"/>
  <c r="D12" i="7"/>
  <c r="H7" i="7"/>
  <c r="I7" i="7"/>
  <c r="G11" i="7"/>
  <c r="G18" i="7"/>
  <c r="E23" i="7"/>
  <c r="F9" i="7"/>
  <c r="I23" i="7"/>
  <c r="F21" i="7"/>
  <c r="F13" i="7"/>
  <c r="I19" i="7"/>
  <c r="C9" i="7"/>
  <c r="F18" i="7"/>
  <c r="G9" i="7"/>
  <c r="H20" i="7"/>
  <c r="D20" i="7"/>
  <c r="D18" i="7"/>
  <c r="D13" i="7"/>
  <c r="E8" i="7"/>
  <c r="C7" i="7"/>
  <c r="C12" i="7"/>
  <c r="E10" i="7"/>
  <c r="I8" i="7"/>
  <c r="H19" i="7"/>
  <c r="G23" i="7"/>
  <c r="H8" i="7"/>
  <c r="H13" i="7"/>
  <c r="D7" i="7"/>
  <c r="C13" i="7"/>
  <c r="E11" i="7"/>
  <c r="F22" i="7"/>
  <c r="F8" i="7"/>
  <c r="E22" i="7"/>
  <c r="D21" i="7"/>
  <c r="I20" i="7"/>
  <c r="F23" i="7"/>
  <c r="C24" i="7"/>
  <c r="G19" i="7"/>
  <c r="F10" i="7"/>
  <c r="E13" i="7"/>
  <c r="D19" i="7"/>
  <c r="C21" i="7"/>
  <c r="C58" i="3" l="1"/>
  <c r="C62" i="3" s="1"/>
  <c r="C53" i="3"/>
  <c r="C17" i="4" l="1"/>
  <c r="C54" i="3"/>
  <c r="C55" i="3" s="1"/>
  <c r="C16" i="1" s="1"/>
  <c r="C63" i="3"/>
  <c r="C64" i="3" s="1"/>
  <c r="C17" i="1" s="1"/>
  <c r="D17" i="1" s="1"/>
  <c r="D16" i="1" l="1"/>
  <c r="C10" i="1"/>
  <c r="C12" i="1" s="1"/>
  <c r="C11" i="1" s="1"/>
  <c r="C21" i="1"/>
  <c r="C19" i="4"/>
  <c r="C20" i="4" s="1"/>
  <c r="B79" i="4"/>
</calcChain>
</file>

<file path=xl/sharedStrings.xml><?xml version="1.0" encoding="utf-8"?>
<sst xmlns="http://schemas.openxmlformats.org/spreadsheetml/2006/main" count="513" uniqueCount="395">
  <si>
    <t>DISCLAIMER: This is a sample analysis for demonstration purposes only. It does not constitute investment advice.</t>
  </si>
  <si>
    <t>リクルートホールディングス (6098.T)</t>
  </si>
  <si>
    <t>Equity Research Report</t>
  </si>
  <si>
    <t>Company</t>
  </si>
  <si>
    <t>リクルートホールディングス</t>
  </si>
  <si>
    <t>Ticker</t>
  </si>
  <si>
    <t>6098.T (TSE Prime)</t>
  </si>
  <si>
    <t>Sector</t>
  </si>
  <si>
    <t>サービス業</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</si>
  <si>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</si>
  <si>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</si>
  <si>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</si>
  <si>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</si>
  <si>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</si>
  <si>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</si>
  <si>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</si>
  <si>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</si>
  <si>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</si>
  <si>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</si>
  <si>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</si>
  <si>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</si>
  <si>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</si>
  <si>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</si>
  <si>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</si>
  <si>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1. [Edit] Describe key competitive advantage</t>
  </si>
  <si>
    <t>2. [Edit] Describe growth driver</t>
  </si>
  <si>
    <t>3. [Edit] Describe margin expansion opportunity</t>
  </si>
  <si>
    <t>Key Risks</t>
  </si>
  <si>
    <t>1. [Edit] Describe primary risk factor</t>
  </si>
  <si>
    <t>2. [Edit] Describe secondary risk factor</t>
  </si>
  <si>
    <t>3. [Edit] Describe tertiary risk factor</t>
  </si>
  <si>
    <t>リクルートホールディングス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</si>
  <si>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</si>
  <si>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</si>
  <si>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</si>
  <si>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</si>
  <si>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</si>
  <si>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</si>
  <si>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</si>
  <si>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</si>
  <si>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</si>
  <si>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</si>
  <si>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</si>
  <si>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</si>
  <si>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</si>
  <si>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</si>
  <si>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</si>
  <si>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</si>
  <si>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</si>
  <si>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</si>
  <si>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</si>
  <si>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</si>
  <si>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</si>
  <si>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</si>
  <si>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</si>
  <si>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</si>
  <si>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</si>
  <si>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</si>
  <si>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</si>
  <si>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2/4 — blank cells are years with no year-key match in the source data (verify against 決算短信 or set hist_ocf / hist_cash / hist_debt in overrides).</t>
  </si>
  <si>
    <t>DCF Valuation Model - リクルートホールディングス</t>
  </si>
  <si>
    <t>Assumptions</t>
  </si>
  <si>
    <t>Capex / Revenue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</si>
  <si>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</si>
  <si>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</si>
  <si>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</si>
  <si>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</si>
  <si>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</si>
  <si>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</si>
  <si>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</si>
  <si>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</si>
  <si>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</si>
  <si>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</si>
  <si>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</si>
  <si>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</si>
  <si>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</si>
  <si>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</si>
  <si>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</si>
  <si>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</si>
  <si>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</si>
  <si>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</si>
  <si>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</si>
  <si>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</si>
  <si>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</si>
  <si>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</si>
  <si>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</si>
  <si>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</si>
  <si>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</si>
  <si>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</si>
  <si>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</si>
  <si>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</si>
  <si>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</si>
  <si>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</si>
  <si>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</si>
  <si>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</si>
  <si>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</si>
  <si>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</si>
  <si>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</si>
  <si>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</si>
  <si>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</si>
  <si>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</si>
  <si>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</si>
  <si>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</si>
  <si>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</si>
  <si>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</si>
  <si>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</si>
  <si>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</si>
  <si>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</si>
  <si>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</si>
  <si>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</si>
  <si>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</si>
  <si>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</si>
  <si>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</si>
  <si>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</si>
  <si>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</si>
  <si>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</si>
  <si>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</si>
  <si>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</si>
  <si>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</si>
  <si>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</si>
  <si>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</si>
  <si>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</si>
  <si>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</si>
  <si>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</si>
  <si>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</si>
  <si>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リクルートホールディングス (6098.T)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</si>
  <si>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</si>
  <si>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</si>
  <si>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</si>
  <si>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</si>
  <si>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</si>
  <si>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</si>
  <si>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</si>
  <si>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</si>
  <si>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</si>
  <si>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(FY2026 actual)</t>
  </si>
  <si>
    <t>Terminal-year Revenue, active scenario (JPY mn)</t>
  </si>
  <si>
    <t>Base-case DCF Enterprise Value, PGM (JPY mn)</t>
  </si>
  <si>
    <t>Cycle-peak Operating Margin (FY2026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</si>
  <si>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</si>
  <si>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</si>
  <si>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</si>
  <si>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</si>
  <si>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</si>
  <si>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</si>
  <si>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FY2026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</si>
  <si>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</si>
  <si>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</si>
  <si>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</si>
  <si>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</si>
  <si>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</si>
  <si>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</si>
  <si>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</si>
  <si>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</si>
  <si>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</si>
  <si>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</si>
  <si>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</si>
  <si>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</si>
  <si>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</si>
  <si>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</si>
  <si>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</si>
  <si>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FY2026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</si>
  <si>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</si>
  <si>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</si>
  <si>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</si>
  <si>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</si>
  <si>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</si>
  <si>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</si>
  <si>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(FY2026)</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</si>
  <si>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</si>
  <si>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</si>
  <si>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</si>
  <si>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</si>
  <si>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</si>
  <si>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</si>
  <si>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</si>
  <si>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</si>
  <si>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リクルートホールディングス</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</si>
  <si>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</si>
  <si>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</si>
  <si>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</si>
  <si>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</si>
  <si>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</si>
  <si>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</si>
  <si>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</si>
  <si>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</si>
  <si>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</si>
  <si>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</si>
  <si>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</si>
  <si>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</si>
  <si>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</si>
  <si>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</si>
  <si>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</si>
  <si>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</si>
  <si>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</si>
  <si>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</si>
  <si>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</si>
  <si>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</si>
  <si>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</si>
  <si>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</si>
  <si>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</si>
  <si>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</si>
  <si>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</si>
  <si>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</si>
  <si>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</si>
  <si>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</si>
  <si>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</si>
  <si>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</si>
  <si>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</si>
  <si>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</si>
  <si>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</si>
  <si>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</si>
  <si>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Recruit Holdings Co., Ltd.</t>
  </si>
  <si>
    <t>6098.T</t>
  </si>
  <si>
    <t>Persol Holdings Co.,Ltd.</t>
  </si>
  <si>
    <t>2181.T</t>
  </si>
  <si>
    <t>Nomura Research Institute, Ltd.</t>
  </si>
  <si>
    <t>4307.T</t>
  </si>
  <si>
    <t>OBIC Co.,Ltd.</t>
  </si>
  <si>
    <t>4684.T</t>
  </si>
  <si>
    <t>TISI Inc.</t>
  </si>
  <si>
    <t>3626.T</t>
  </si>
  <si>
    <t>MEITEC Group Holdings Inc.</t>
  </si>
  <si>
    <t>9744.T</t>
  </si>
  <si>
    <t>Statistics</t>
  </si>
  <si>
    <t>25th Percentile</t>
  </si>
  <si>
    <t>Median (50th)</t>
  </si>
  <si>
    <t>75th Percentile</t>
  </si>
  <si>
    <t>Implied Valuation for リクルートホールディングス</t>
  </si>
  <si>
    <t>リクルートホールディングス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</si>
  <si>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</si>
  <si>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</si>
  <si>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</si>
  <si>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</si>
  <si>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</si>
  <si>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</si>
  <si>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</si>
  <si>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</si>
  <si>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</si>
  <si>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</si>
  <si>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</si>
  <si>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</si>
  <si>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</si>
  <si>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</si>
  <si>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</si>
  <si>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リクルートホールディングス</t>
  </si>
  <si>
    <t>日付</t>
  </si>
  <si>
    <t>セル</t>
  </si>
  <si>
    <t>変更内容</t>
  </si>
  <si>
    <t>理由</t>
  </si>
  <si>
    <t>元の値</t>
  </si>
  <si>
    <t>状態</t>
  </si>
  <si>
    <t>2026-09-06</t>
  </si>
  <si>
    <t>-</t>
  </si>
  <si>
    <t>Generated by pipeline on 2026-09-06 13:16, template rev c9b5dd9</t>
  </si>
  <si>
    <t>初期生成（手修正なし）</t>
  </si>
  <si>
    <t>generated</t>
  </si>
  <si>
    <t>2026-09-05</t>
  </si>
  <si>
    <t>DCF Model!C7</t>
  </si>
  <si>
    <t>Risk-Free Rate = 2.97%</t>
  </si>
  <si>
    <t>財務省 国債金利情報 jgbcm.csv 10年物 R8.9.3(2026-09-03) 2.966% を四捨五入。バッチ全銘柄共通の一次ソース。yfinance は日本国債利回りを返さないため使用しない。</t>
  </si>
  <si>
    <t>テンプレ既定 2.2%</t>
  </si>
  <si>
    <t>確定</t>
  </si>
  <si>
    <t>DCF Model!C9</t>
  </si>
  <si>
    <t>Equity Risk Premium = 6.5%</t>
  </si>
  <si>
    <t>バッチ共通の固定前提(v2 §1-3)。銘柄固有の調整はしていない。</t>
  </si>
  <si>
    <t>テンプレ既定 6.5%(同値)</t>
  </si>
  <si>
    <t>設計判断</t>
  </si>
  <si>
    <t>DCF Model!C10</t>
  </si>
  <si>
    <t>Size Premium = 1.0%</t>
  </si>
  <si>
    <t>時価総額バンドによる機械決定(&gt;3,000億円 -&gt; 1.0%)。当社時価総額 22,523,367百万円。■テンプレートの自動規則(&gt;=1兆円 -&gt; 0.0%、&gt;=1,000億円 -&gt; 1.5%)とは異なる値であり、明示指定で上書きしている。</t>
  </si>
  <si>
    <t>テンプレ自動値</t>
  </si>
  <si>
    <t>DCF Model!C8</t>
  </si>
  <si>
    <t>Beta = 0.95</t>
  </si>
  <si>
    <t>yfinance実測 **0.946** はクランプ域 [0.6, 1.75] の**内側**のため素通し（置換なし）。</t>
  </si>
  <si>
    <t>yfinance実測 0.946</t>
  </si>
  <si>
    <t>DCF Model!C6</t>
  </si>
  <si>
    <t>Effective Tax Rate = 25%</t>
  </si>
  <si>
    <t>バッチ共通の既定値(v2 §1-3)。当社の実績税負担率を個別に検証したものではない。</t>
  </si>
  <si>
    <t>テンプレ既定 30%</t>
  </si>
  <si>
    <t>推定</t>
  </si>
  <si>
    <t>DCF Model!C11</t>
  </si>
  <si>
    <t>After-tax Cost of Debt = 4.00%(実績ベース)</t>
  </si>
  <si>
    <t>支払利息 10,521百万円 ÷ 平均有利子負債 ((208,940 + 186,275)/2) から算出（validate チェック17 PASS）。■出所は yfinance の Interest Expense で EDINET 有報の支払利息と未突合。</t>
  </si>
  <si>
    <t>テンプレ既定(推定値)</t>
  </si>
  <si>
    <t>推定(出所が二次ソース・要確認)</t>
  </si>
  <si>
    <t>DCF Model!C13</t>
  </si>
  <si>
    <t>Terminal Growth = 1.0%</t>
  </si>
  <si>
    <t>バッチ共通の固定前提(v2 §1-3)。</t>
  </si>
  <si>
    <t>テンプレ既定 2.0%</t>
  </si>
  <si>
    <t>DCF Model!C14</t>
  </si>
  <si>
    <t>Exit Multiple (EV/EBITDA) = 10.2x</t>
  </si>
  <si>
    <t>Peer 5社の実測EV/EBITDA中央値。 自社の現在倍率 29.80x は算式に入れていない(市場価格への循環参照回避)。■マージン品質調整式はバッチ全体で棄却済み(EV/EBITDA が既に資本集約度を織り込むため、営業利益率による上方調整は資本集約型で逆方向に働く)。</t>
  </si>
  <si>
    <t>テンプレ既定 10.0x</t>
  </si>
  <si>
    <t>全体(型判定・プレスクリーン)</t>
  </si>
  <si>
    <t>型A（通常の事業会社）として処理</t>
  </si>
  <si>
    <t>追補1 §B に従い、型判定の前に batch/prescreen.py で EDINET有報XBRL の金融事業専用科目(ForFinancialBusiness / Banking / Deposits / CallLoan / InstallmentReceivable 系)を機械チェックした。検出結果: **CLEAN**（金融事業専用科目は1件も検出されず）。銀行・captive finance なし。プレスクリーン CLEAN。赤字年なし。</t>
  </si>
  <si>
    <t>DCF Model シナリオ5本</t>
  </si>
  <si>
    <t>実績OPM分布からの導出（追補7 §Y の単調性判定: ****単調増加****）</t>
  </si>
  <si>
    <t>p25 11.35 / med 12.79 / p75 14.61。**適用ルール: **追補7 §Y / 追補8 §AE-2 トレンド整合（直近水準の維持）**** により Base 到達OPM = **17.05%**。**4期連続の単調増加**（10.04 → 11.78 → 13.79 → 17.05%、Indeed を中心とする HR テクノロジー）。追補8 §AE-2 により **Base = 直近水準の維持 17.05%**。■**beta 実測 0.946 はクランプ域の内側で素通し**。 Upside / Downside 1 / Downside 2 は本バッチ共通の機械規則による。COGS% は直近実績に固定し SGA% = 100% − COGS% − 目標OPM で逆算。他銘柄からの流用なし。</t>
  </si>
  <si>
    <t>テンプレ自動生成シナリオ</t>
  </si>
  <si>
    <t>DCF Model Management シナリオ</t>
  </si>
  <si>
    <t>Management = Base と同一</t>
  </si>
  <si>
    <t>EDINET XBRL・TDnet短信のいずれからも会社業績予想を取得できなかった(生成ログ Step 3: 'No guidance data found')。v2 §7-2 に従い Management=Base で続行。■本バッチではここまで生成した全銘柄で同じ結果になっており、銘柄固有ではなくパイプラインの構造的な取得失敗である。</t>
  </si>
  <si>
    <t>フォールバック使用(会社予想未取得)</t>
  </si>
  <si>
    <t>DCF Model NWC(dso/dih/dpo)</t>
  </si>
  <si>
    <t>Base: DSO 59 / DIH 0 / DPO 94 日</t>
  </si>
  <si>
    <t>実績4期の平均。Downside では運転資本の悪化を織り込み DSO/DIH を延ばし DPO を縮めた。</t>
  </si>
  <si>
    <t>Comps Analysis</t>
  </si>
  <si>
    <t>Peer 5社 = 2181 パーソルHD / 4307 野村総合研究所 / 4684 オービック / 3626 TIS / 9744 メイテック</t>
  </si>
  <si>
    <t>人材・情報サービスで構成。■**ただし当社は Indeed を中心とするグローバル HR テクノロジー企業**であり、国内人材・SI の Peer では捕捉しきれていない。自社倍率 **29.80x** に対し Peer中央値 **10.20x** と約3倍開いている。</t>
  </si>
  <si>
    <t>Executive Summary!C10 / Target</t>
  </si>
  <si>
    <t>Target Price = 5,333円 = PGM 4,664円 と Exit 6,001円 の2本平均。Comps 2本(EV/EBITDA —円 / PER —円)は [参考・Target不算入]</t>
  </si>
  <si>
    <t>メモ§2 の規約どおり。validate チェック14 PASS(C10 が C16:C17 のみを平均)。</t>
  </si>
  <si>
    <t>全体(納品状態)</t>
  </si>
  <si>
    <t>本ファイルは DRAFT。_FINAL は付けない</t>
  </si>
  <si>
    <t>バッチモードでの機械生成物であり人間の検証を経ていない。FINAL化は手順書v2 §6 に従い検証後に行う。</t>
  </si>
  <si>
    <t>DRAFT</t>
  </si>
  <si>
    <t>全体(未解決)</t>
  </si>
  <si>
    <t>自社倍率 29.80x に対し Peer中央値 10.20x で約3倍開いている</t>
  </si>
  <si>
    <t>**国内人材・SI の Peer ではグローバル HR テクノロジー（Indeed）のフランチャイズを捕捉できていない**。Target −67.2% はこのギャップをそのまま反映しており、**『プレミアムが剥落した場合の水準』として読むこと**。単独のスクリーナー・シグナルにしないこと。</t>
  </si>
  <si>
    <t>未解決</t>
  </si>
  <si>
    <t>**D&amp;A・capex を EDINET 一次ソースから補完した**</t>
  </si>
  <si>
    <t>yfinance に直近期の D&amp;A・capex がなく core_ebitda が 0 になっていた（生成前チェック §F で検出）。EDINET 有報 docID **S100YDHL**（FY2026/3）より D&amp;A **107,077**、capex = PP&amp;E 10,702 + 無形資産 51,589 = **62,291**（CF計算書ベース）を採用。**検証**: D&amp;A の前期 109,237 が yfinance の前期と完全一致、capex も前期 65,257 で一致し同一定義を確認した。</t>
  </si>
  <si>
    <t>beta 実測 0.946 はクランプ域内で素通し</t>
  </si>
  <si>
    <t>WACC 10.14% は本ウェーブで最も高い。</t>
  </si>
  <si>
    <t>Pipeline Metadata (do not edit — read by scripts/validate_output.py)</t>
  </si>
  <si>
    <t>key</t>
  </si>
  <si>
    <t>value</t>
  </si>
  <si>
    <t>auto_log_entries</t>
  </si>
  <si>
    <t>1</t>
  </si>
  <si>
    <t>capex_pct_basis</t>
  </si>
  <si>
    <t>assumption</t>
  </si>
  <si>
    <t>capex_pct_c5</t>
  </si>
  <si>
    <t>0.03192</t>
  </si>
  <si>
    <t>capex_pct_hist3yr</t>
  </si>
  <si>
    <t>company_name</t>
  </si>
  <si>
    <t>comps_asof</t>
  </si>
  <si>
    <t>comps_da_missing</t>
  </si>
  <si>
    <t>none</t>
  </si>
  <si>
    <t>comps_ev_ebitda_invalid</t>
  </si>
  <si>
    <t>no</t>
  </si>
  <si>
    <t>comps_ev_ebitda_rows</t>
  </si>
  <si>
    <t>6,7,8,9,10</t>
  </si>
  <si>
    <t>comps_impl_mult_row</t>
  </si>
  <si>
    <t>27</t>
  </si>
  <si>
    <t>comps_impl_per_row</t>
  </si>
  <si>
    <t>28</t>
  </si>
  <si>
    <t>comps_peer_rows</t>
  </si>
  <si>
    <t>comps_stale_excluded</t>
  </si>
  <si>
    <t>comps_stat_median_row</t>
  </si>
  <si>
    <t>16</t>
  </si>
  <si>
    <t>comps_subject_row</t>
  </si>
  <si>
    <t>5</t>
  </si>
  <si>
    <t>cost_of_debt_actual</t>
  </si>
  <si>
    <t>interest 10,521 (expense 10,521 + fees 0) / avg debt 197,608 (debt_beginning/debt_ending) = 0.053242 pre-tax -&gt; 0.039900 after-tax</t>
  </si>
  <si>
    <t>cost_of_debt_at_c11</t>
  </si>
  <si>
    <t>0.0399</t>
  </si>
  <si>
    <t>cost_of_debt_avg_debt</t>
  </si>
  <si>
    <t>197607.5</t>
  </si>
  <si>
    <t>cost_of_debt_basis</t>
  </si>
  <si>
    <t>actual</t>
  </si>
  <si>
    <t>cost_of_debt_interest</t>
  </si>
  <si>
    <t>10521.0</t>
  </si>
  <si>
    <t>cost_of_debt_pretax</t>
  </si>
  <si>
    <t>0.053241906304163554</t>
  </si>
  <si>
    <t>da_pct_basis</t>
  </si>
  <si>
    <t>da_pct_c18</t>
  </si>
  <si>
    <t>0.0304</t>
  </si>
  <si>
    <t>da_pct_hist3yr</t>
  </si>
  <si>
    <t>0.020411</t>
  </si>
  <si>
    <t>fs_year_coverage</t>
  </si>
  <si>
    <t>OCF 4/4, Cash 4/4, Debt 2/4</t>
  </si>
  <si>
    <t>fs_year_map</t>
  </si>
  <si>
    <t>FY2023&lt;-FY2023[ocf+cash+debt]; FY2024&lt;-FY2024[ocf+cash+debt]; FY2025&lt;-FY2025[ocf+cash]; FY2026&lt;-FY2026[ocf+cash]</t>
  </si>
  <si>
    <t>fs_year_sources</t>
  </si>
  <si>
    <t>overrides: none | EDINET year-key match: hist_ocf, hist_cash, hist_debt, hist_capex, hist_depreciation</t>
  </si>
  <si>
    <t>fx_sensitivity</t>
  </si>
  <si>
    <t>not enabled</t>
  </si>
  <si>
    <t>generated_at</t>
  </si>
  <si>
    <t>2026-09-06 13:16:19</t>
  </si>
  <si>
    <t>ltm_revenue_c20</t>
  </si>
  <si>
    <t>3697351.0</t>
  </si>
  <si>
    <t>ltm_revenue_source</t>
  </si>
  <si>
    <t>latest FY (no LTM)</t>
  </si>
  <si>
    <t>narrative_tokens_used</t>
  </si>
  <si>
    <t>reverse_dcf_sheet</t>
  </si>
  <si>
    <t>op0=630,567(FY2026) peak=630,567(FY2026) peak_opm=0.1705 N=3/5/7/10</t>
  </si>
  <si>
    <t>scenario_index_range</t>
  </si>
  <si>
    <t>B69:B73</t>
  </si>
  <si>
    <t>tax_rate_c6</t>
  </si>
  <si>
    <t>0.25</t>
  </si>
  <si>
    <t>template_rev</t>
  </si>
  <si>
    <t>c9b5dd9</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</si>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</sst>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10"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
      <sz val="10"/>
      <name val="Arial"/>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9" fillId="0" borderId="0" xfId="0" applyFont="1"/>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customHeight="1" x14ac:dyDescent="0.3">
      <c r="B1" s="46" t="s">
        <v>0</v>
      </c>
      <c r="C1" s="45"/>
      <c r="D1" s="45"/>
      <c r="E1" s="45"/>
    </row>
    <row r="3" spans="2:5" ht="18" customHeight="1" x14ac:dyDescent="0.4">
      <c r="B3" s="44" t="s">
        <v>1</v>
      </c>
      <c r="C3" s="45"/>
      <c r="D3" s="45"/>
    </row>
    <row r="4" spans="2:5" ht="14" customHeight="1" x14ac:dyDescent="0.3">
      <c r="B4" s="3" t="s">
        <v>2</v>
      </c>
    </row>
    <row r="6" spans="2:5" ht="14" customHeight="1" x14ac:dyDescent="0.3">
      <c r="B6" s="4" t="s">
        <v>3</v>
      </c>
      <c r="C6" t="s">
        <v>4</v>
      </c>
    </row>
    <row r="7" spans="2:5" ht="14" customHeight="1" x14ac:dyDescent="0.3">
      <c r="B7" s="4" t="s">
        <v>5</v>
      </c>
      <c r="C7" t="s">
        <v>6</v>
      </c>
    </row>
    <row r="8" spans="2:5" ht="14" customHeight="1" x14ac:dyDescent="0.3">
      <c r="B8" s="4" t="s">
        <v>7</v>
      </c>
      <c r="C8" t="s">
        <v>8</v>
      </c>
    </row>
    <row r="9" spans="2:5" ht="14" customHeight="1" x14ac:dyDescent="0.3">
      <c r="B9" s="4" t="s">
        <v>9</v>
      </c>
      <c r="C9" s="5">
        <v>16235</v>
      </c>
    </row>
    <row r="10" spans="2:5" ht="14" customHeight="1" x14ac:dyDescent="0.3">
      <c r="B10" s="4" t="s">
        <v>10</v>
      </c>
      <c r="C10" s="5">
        <f>IF(COUNT(C16:C17)=0,"N/A",ROUND(AVERAGE(C16:C17),0))</f>
        <v>5333</v>
      </c>
    </row>
    <row r="11" spans="2:5" ht="14" customHeight="1" x14ac:dyDescent="0.3">
      <c r="B11" s="4" t="s">
        <v>11</v>
      </c>
      <c r="C11" s="6" t="str">
        <f>IF(NOT(ISNUMBER(C12)),"N/A",IF(C12&gt;0.15,"BUY",IF(C12&gt;0.05,"HOLD","SELL")))</f>
        <v>SELL</v>
      </c>
    </row>
    <row r="12" spans="2:5" ht="14" customHeight="1" x14ac:dyDescent="0.3">
      <c r="B12" s="4" t="s">
        <v>12</v>
      </c>
      <c r="C12" s="7">
        <f>IF(ISNUMBER(C10),(C10-C9)/C9,"N/A")</f>
        <v>-0.6715121650754543</v>
      </c>
    </row>
    <row r="14" spans="2:5" ht="14" customHeight="1" x14ac:dyDescent="0.3">
      <c r="B14" s="8" t="s">
        <v>13</v>
      </c>
      <c r="C14" s="9"/>
      <c r="D14" s="9"/>
    </row>
    <row r="15" spans="2:5" ht="14" customHeight="1" x14ac:dyDescent="0.3">
      <c r="B15" s="10" t="s">
        <v>14</v>
      </c>
      <c r="C15" s="10" t="s">
        <v>15</v>
      </c>
      <c r="D15" s="10" t="s">
        <v>16</v>
      </c>
    </row>
    <row r="16" spans="2:5" ht="13.5" customHeight="1" x14ac:dyDescent="0.25">
      <c r="B16" t="s">
        <v>17</v>
      </c>
      <c r="C16" s="11">
        <f>IF('DCF Model'!C53&lt;'DCF Model'!C16,"INVALID (EV &lt; net debt)",'DCF Model'!C55)</f>
        <v>4664</v>
      </c>
      <c r="D16" s="7">
        <f>IF(ISNUMBER(C16),(C16-C9)/C9,"N/A")</f>
        <v>-0.71271943332306742</v>
      </c>
    </row>
    <row r="17" spans="2:5" ht="13.5" customHeight="1" x14ac:dyDescent="0.25">
      <c r="B17" t="s">
        <v>18</v>
      </c>
      <c r="C17" s="11">
        <f>IF('DCF Model'!C62&lt;'DCF Model'!C16,"INVALID (EV &lt; net debt)",'DCF Model'!C64)</f>
        <v>6001</v>
      </c>
      <c r="D17" s="7">
        <f>IF(ISNUMBER(C17),(C17-C9)/C9,"N/A")</f>
        <v>-0.6303664921465969</v>
      </c>
    </row>
    <row r="18" spans="2:5" ht="13.5" customHeight="1" x14ac:dyDescent="0.25">
      <c r="B18" t="s">
        <v>19</v>
      </c>
      <c r="C18" s="11">
        <f>'Comps Analysis'!C27</f>
        <v>5811</v>
      </c>
      <c r="D18" s="7">
        <f>IF(ISNUMBER(C18),(C18-C9)/C9,"N/A")</f>
        <v>-0.64206960271019398</v>
      </c>
    </row>
    <row r="19" spans="2:5" ht="13.5" customHeight="1" x14ac:dyDescent="0.25">
      <c r="B19" t="s">
        <v>20</v>
      </c>
      <c r="C19" s="11">
        <f>'Comps Analysis'!C28</f>
        <v>6519</v>
      </c>
      <c r="D19" s="7">
        <f>IF(ISNUMBER(C19),(C19-C9)/C9,"N/A")</f>
        <v>-0.59846011703110569</v>
      </c>
    </row>
    <row r="20" spans="2:5" ht="14" customHeight="1" x14ac:dyDescent="0.3">
      <c r="B20" s="46" t="s">
        <v>21</v>
      </c>
      <c r="C20" s="45"/>
      <c r="D20" s="45"/>
      <c r="E20" s="45"/>
    </row>
    <row r="21" spans="2:5" ht="14" customHeight="1" x14ac:dyDescent="0.3">
      <c r="B21" s="4" t="s">
        <v>22</v>
      </c>
      <c r="C21" s="6" t="str">
        <f>IF(COUNT(C16:C17)=0,"N/A",MIN(C16:C17)&amp;" - "&amp;MAX(C16:C17))</f>
        <v>4664 - 6001</v>
      </c>
    </row>
    <row r="23" spans="2:5" ht="14" customHeight="1" x14ac:dyDescent="0.3">
      <c r="B23" s="8" t="s">
        <v>23</v>
      </c>
      <c r="C23" s="9"/>
      <c r="D23" s="9"/>
    </row>
    <row r="24" spans="2:5" x14ac:dyDescent="0.2">
      <c r="B24" t="s">
        <v>24</v>
      </c>
    </row>
    <row r="25" spans="2:5" x14ac:dyDescent="0.2">
      <c r="B25" t="s">
        <v>25</v>
      </c>
    </row>
    <row r="26" spans="2:5" x14ac:dyDescent="0.2">
      <c r="B26" t="s">
        <v>26</v>
      </c>
    </row>
    <row r="28" spans="2:5" ht="14" customHeight="1" x14ac:dyDescent="0.3">
      <c r="B28" s="8" t="s">
        <v>27</v>
      </c>
      <c r="C28" s="9"/>
      <c r="D28" s="9"/>
    </row>
    <row r="29" spans="2:5" x14ac:dyDescent="0.2">
      <c r="B29" t="s">
        <v>28</v>
      </c>
    </row>
    <row r="30" spans="2:5" x14ac:dyDescent="0.2">
      <c r="B30" t="s">
        <v>29</v>
      </c>
    </row>
    <row r="31" spans="2:5" x14ac:dyDescent="0.2">
      <c r="B31" t="s">
        <v>30</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customHeight="1" x14ac:dyDescent="0.4">
      <c r="B2" s="2" t="s">
        <v>31</v>
      </c>
    </row>
    <row r="4" spans="2:6" ht="14" customHeight="1" x14ac:dyDescent="0.3">
      <c r="C4" s="10" t="s">
        <v>32</v>
      </c>
      <c r="D4" s="10" t="s">
        <v>33</v>
      </c>
      <c r="E4" s="10" t="s">
        <v>34</v>
      </c>
      <c r="F4" s="10" t="s">
        <v>35</v>
      </c>
    </row>
    <row r="5" spans="2:6" ht="14" customHeight="1" x14ac:dyDescent="0.3">
      <c r="B5" s="3" t="s">
        <v>36</v>
      </c>
    </row>
    <row r="6" spans="2:6" ht="14" customHeight="1" x14ac:dyDescent="0.3">
      <c r="B6" s="4" t="s">
        <v>37</v>
      </c>
      <c r="C6" s="5">
        <v>3429519</v>
      </c>
      <c r="D6" s="5">
        <v>3416492</v>
      </c>
      <c r="E6" s="5">
        <v>3557478</v>
      </c>
      <c r="F6" s="5">
        <v>3697351</v>
      </c>
    </row>
    <row r="7" spans="2:6" ht="14" customHeight="1" x14ac:dyDescent="0.3">
      <c r="B7" s="4" t="s">
        <v>38</v>
      </c>
      <c r="C7" s="5">
        <v>1432643</v>
      </c>
      <c r="D7" s="5">
        <v>1451961</v>
      </c>
      <c r="E7" s="5">
        <v>1471834</v>
      </c>
      <c r="F7" s="5">
        <v>1509156</v>
      </c>
    </row>
    <row r="8" spans="2:6" ht="14" customHeight="1" x14ac:dyDescent="0.3">
      <c r="B8" s="4" t="s">
        <v>39</v>
      </c>
      <c r="C8" s="5">
        <f>C6-C7</f>
        <v>1996876</v>
      </c>
      <c r="D8" s="5">
        <f>D6-D7</f>
        <v>1964531</v>
      </c>
      <c r="E8" s="5">
        <f>E6-E7</f>
        <v>2085644</v>
      </c>
      <c r="F8" s="5">
        <f>F6-F7</f>
        <v>2188195</v>
      </c>
    </row>
    <row r="9" spans="2:6" ht="13.5" customHeight="1" x14ac:dyDescent="0.25">
      <c r="B9" t="s">
        <v>40</v>
      </c>
      <c r="C9" s="7">
        <f>C8/C6</f>
        <v>0.58226124421529668</v>
      </c>
      <c r="D9" s="7">
        <f>D8/D6</f>
        <v>0.57501407876851462</v>
      </c>
      <c r="E9" s="7">
        <f>E8/E6</f>
        <v>0.58627038593070713</v>
      </c>
      <c r="F9" s="7">
        <f>F8/F6</f>
        <v>0.59182777074721871</v>
      </c>
    </row>
    <row r="10" spans="2:6" ht="14" customHeight="1" x14ac:dyDescent="0.3">
      <c r="B10" s="4" t="s">
        <v>41</v>
      </c>
      <c r="C10" s="5">
        <v>1652572</v>
      </c>
      <c r="D10" s="5">
        <v>1562004</v>
      </c>
      <c r="E10" s="5">
        <v>1595101</v>
      </c>
      <c r="F10" s="5">
        <v>1557628</v>
      </c>
    </row>
    <row r="11" spans="2:6" ht="14" customHeight="1" x14ac:dyDescent="0.3">
      <c r="B11" s="4" t="s">
        <v>42</v>
      </c>
      <c r="C11" s="5">
        <v>344304</v>
      </c>
      <c r="D11" s="5">
        <v>402527</v>
      </c>
      <c r="E11" s="5">
        <v>490543</v>
      </c>
      <c r="F11" s="5">
        <v>630567</v>
      </c>
    </row>
    <row r="12" spans="2:6" ht="14" customHeight="1" x14ac:dyDescent="0.3">
      <c r="B12" s="4" t="s">
        <v>43</v>
      </c>
      <c r="C12" s="5">
        <v>269799</v>
      </c>
      <c r="D12" s="5">
        <v>353654</v>
      </c>
      <c r="E12" s="5">
        <v>408504</v>
      </c>
      <c r="F12" s="5">
        <v>496912</v>
      </c>
    </row>
    <row r="13" spans="2:6" ht="13.5" customHeight="1" x14ac:dyDescent="0.25">
      <c r="B13" t="s">
        <v>44</v>
      </c>
      <c r="C13" s="7">
        <f>C11/C6</f>
        <v>0.10039425353817838</v>
      </c>
      <c r="D13" s="7">
        <f>D11/D6</f>
        <v>0.11781880361493602</v>
      </c>
      <c r="E13" s="7">
        <f>E11/E6</f>
        <v>0.13789066299215344</v>
      </c>
      <c r="F13" s="7">
        <f>F11/F6</f>
        <v>0.17054561495513951</v>
      </c>
    </row>
    <row r="14" spans="2:6" ht="13.5" customHeight="1" x14ac:dyDescent="0.25">
      <c r="B14" t="s">
        <v>45</v>
      </c>
      <c r="C14" s="7">
        <f>C12/C6</f>
        <v>7.8669632680267984E-2</v>
      </c>
      <c r="D14" s="7">
        <f>D12/D6</f>
        <v>0.10351377963127091</v>
      </c>
      <c r="E14" s="7">
        <f>E12/E6</f>
        <v>0.11482966303656691</v>
      </c>
      <c r="F14" s="7">
        <f>F12/F6</f>
        <v>0.13439676135698234</v>
      </c>
    </row>
    <row r="15" spans="2:6" ht="13.5" customHeight="1" x14ac:dyDescent="0.25">
      <c r="B15" t="s">
        <v>46</v>
      </c>
      <c r="C15" t="s">
        <v>47</v>
      </c>
      <c r="D15" s="7">
        <f>(D6-C6)/C6</f>
        <v>-3.7984918584792796E-3</v>
      </c>
      <c r="E15" s="7">
        <f>(E6-D6)/D6</f>
        <v>4.1266304735968942E-2</v>
      </c>
      <c r="F15" s="7">
        <f>(F6-E6)/E6</f>
        <v>3.9318022486716717E-2</v>
      </c>
    </row>
    <row r="16" spans="2:6" ht="13.5" customHeight="1" x14ac:dyDescent="0.25">
      <c r="B16" t="s">
        <v>48</v>
      </c>
      <c r="C16" t="s">
        <v>47</v>
      </c>
      <c r="D16" s="7">
        <f>(D11-C11)/C11</f>
        <v>0.1691034667038431</v>
      </c>
      <c r="E16" s="7">
        <f>(E11-D11)/D11</f>
        <v>0.21865862414198303</v>
      </c>
      <c r="F16" s="7">
        <f>(F11-E11)/E11</f>
        <v>0.28544694348915384</v>
      </c>
    </row>
    <row r="18" spans="2:6" ht="14" customHeight="1" x14ac:dyDescent="0.3">
      <c r="B18" s="3" t="s">
        <v>49</v>
      </c>
    </row>
    <row r="19" spans="2:6" ht="14" customHeight="1" x14ac:dyDescent="0.3">
      <c r="B19" s="4" t="s">
        <v>50</v>
      </c>
      <c r="C19" s="5">
        <v>438193</v>
      </c>
      <c r="D19" s="5">
        <v>535362</v>
      </c>
      <c r="E19" s="5">
        <v>610363</v>
      </c>
      <c r="F19" s="5">
        <v>669431</v>
      </c>
    </row>
    <row r="20" spans="2:6" ht="14" customHeight="1" x14ac:dyDescent="0.3">
      <c r="B20" s="4" t="s">
        <v>51</v>
      </c>
      <c r="C20" s="5"/>
      <c r="D20" s="5"/>
      <c r="E20" s="5"/>
      <c r="F20" s="5"/>
    </row>
    <row r="21" spans="2:6" ht="14" customHeight="1" x14ac:dyDescent="0.3">
      <c r="B21" s="4" t="s">
        <v>52</v>
      </c>
    </row>
    <row r="22" spans="2:6" x14ac:dyDescent="0.2">
      <c r="B22" t="s">
        <v>53</v>
      </c>
    </row>
    <row r="23" spans="2:6" x14ac:dyDescent="0.2">
      <c r="B23" t="s">
        <v>54</v>
      </c>
    </row>
    <row r="25" spans="2:6" ht="14" customHeight="1" x14ac:dyDescent="0.3">
      <c r="B25" s="3" t="s">
        <v>55</v>
      </c>
    </row>
    <row r="26" spans="2:6" ht="14" customHeight="1" x14ac:dyDescent="0.3">
      <c r="B26" s="4" t="s">
        <v>56</v>
      </c>
      <c r="C26" s="5">
        <v>877370</v>
      </c>
      <c r="D26" s="5">
        <v>1136858</v>
      </c>
      <c r="E26" s="5">
        <v>808625</v>
      </c>
      <c r="F26" s="5">
        <v>725578</v>
      </c>
    </row>
    <row r="27" spans="2:6" ht="14" customHeight="1" x14ac:dyDescent="0.3">
      <c r="B27" s="4" t="s">
        <v>57</v>
      </c>
      <c r="C27" s="5">
        <v>33845</v>
      </c>
      <c r="D27" s="5">
        <v>374</v>
      </c>
      <c r="E27" s="5"/>
      <c r="F27" s="5"/>
    </row>
    <row r="28" spans="2:6" ht="14" customHeight="1" x14ac:dyDescent="0.3">
      <c r="B28" s="4" t="s">
        <v>58</v>
      </c>
      <c r="C28" s="5">
        <f>C27-C26</f>
        <v>-843525</v>
      </c>
      <c r="D28" s="5">
        <f>D27-D26</f>
        <v>-1136484</v>
      </c>
    </row>
    <row r="30" spans="2:6" ht="14" customHeight="1" x14ac:dyDescent="0.3">
      <c r="B30" s="1" t="s">
        <v>59</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customHeight="1" x14ac:dyDescent="0.4">
      <c r="B2" s="2" t="s">
        <v>60</v>
      </c>
    </row>
    <row r="4" spans="2:7" ht="14" customHeight="1" x14ac:dyDescent="0.3">
      <c r="B4" s="8" t="s">
        <v>61</v>
      </c>
      <c r="C4" s="9"/>
      <c r="D4" s="9"/>
      <c r="E4" s="9"/>
      <c r="F4" s="9"/>
      <c r="G4" s="9"/>
    </row>
    <row r="5" spans="2:7" ht="14" customHeight="1" x14ac:dyDescent="0.3">
      <c r="B5" s="4" t="s">
        <v>62</v>
      </c>
      <c r="C5" s="7">
        <v>3.1919999999999997E-2</v>
      </c>
    </row>
    <row r="6" spans="2:7" ht="14" customHeight="1" x14ac:dyDescent="0.3">
      <c r="B6" s="4" t="s">
        <v>63</v>
      </c>
      <c r="C6" s="7">
        <v>0.25</v>
      </c>
    </row>
    <row r="7" spans="2:7" ht="14" customHeight="1" x14ac:dyDescent="0.3">
      <c r="B7" s="4" t="s">
        <v>64</v>
      </c>
      <c r="C7" s="7">
        <v>2.9700000000000001E-2</v>
      </c>
    </row>
    <row r="8" spans="2:7" ht="14" customHeight="1" x14ac:dyDescent="0.3">
      <c r="B8" s="4" t="s">
        <v>65</v>
      </c>
      <c r="C8" s="12">
        <v>0.95</v>
      </c>
    </row>
    <row r="9" spans="2:7" ht="14" customHeight="1" x14ac:dyDescent="0.3">
      <c r="B9" s="4" t="s">
        <v>66</v>
      </c>
      <c r="C9" s="7">
        <v>6.5000000000000002E-2</v>
      </c>
    </row>
    <row r="10" spans="2:7" ht="14" customHeight="1" x14ac:dyDescent="0.3">
      <c r="B10" s="4" t="s">
        <v>67</v>
      </c>
      <c r="C10" s="7">
        <v>0.01</v>
      </c>
    </row>
    <row r="11" spans="2:7" ht="14" customHeight="1" x14ac:dyDescent="0.3">
      <c r="B11" s="4" t="s">
        <v>68</v>
      </c>
      <c r="C11" s="7">
        <v>3.9899999999999998E-2</v>
      </c>
    </row>
    <row r="12" spans="2:7" ht="14" customHeight="1" x14ac:dyDescent="0.3">
      <c r="B12" s="4" t="s">
        <v>69</v>
      </c>
      <c r="C12" s="13">
        <v>0</v>
      </c>
    </row>
    <row r="13" spans="2:7" ht="14" customHeight="1" x14ac:dyDescent="0.3">
      <c r="B13" s="4" t="s">
        <v>70</v>
      </c>
      <c r="C13" s="7">
        <v>0.01</v>
      </c>
    </row>
    <row r="14" spans="2:7" ht="14" customHeight="1" x14ac:dyDescent="0.3">
      <c r="B14" s="4" t="s">
        <v>71</v>
      </c>
      <c r="C14" s="14">
        <v>10.199999999999999</v>
      </c>
    </row>
    <row r="15" spans="2:7" ht="14" customHeight="1" x14ac:dyDescent="0.3">
      <c r="B15" s="4" t="s">
        <v>72</v>
      </c>
      <c r="C15" s="15">
        <v>1387337063</v>
      </c>
    </row>
    <row r="16" spans="2:7" ht="14" customHeight="1" x14ac:dyDescent="0.3">
      <c r="B16" s="4" t="s">
        <v>73</v>
      </c>
      <c r="C16" s="5">
        <v>-539303</v>
      </c>
    </row>
    <row r="17" spans="2:7" ht="14" customHeight="1" x14ac:dyDescent="0.3">
      <c r="B17" s="4" t="s">
        <v>74</v>
      </c>
      <c r="C17" s="5">
        <v>3697351</v>
      </c>
    </row>
    <row r="18" spans="2:7" ht="14" customHeight="1" x14ac:dyDescent="0.3">
      <c r="B18" s="4" t="s">
        <v>75</v>
      </c>
      <c r="C18" s="7">
        <v>3.04E-2</v>
      </c>
    </row>
    <row r="19" spans="2:7" ht="14" customHeight="1" x14ac:dyDescent="0.3">
      <c r="B19" s="4" t="s">
        <v>76</v>
      </c>
      <c r="C19" s="12">
        <v>1</v>
      </c>
    </row>
    <row r="20" spans="2:7" ht="14" customHeight="1" x14ac:dyDescent="0.3">
      <c r="B20" s="4" t="s">
        <v>77</v>
      </c>
      <c r="C20" s="5">
        <v>3697351</v>
      </c>
    </row>
    <row r="22" spans="2:7" ht="14" customHeight="1" x14ac:dyDescent="0.3">
      <c r="B22" s="8" t="s">
        <v>78</v>
      </c>
      <c r="C22" s="9"/>
      <c r="D22" s="9"/>
      <c r="E22" s="9"/>
      <c r="F22" s="9"/>
      <c r="G22" s="9"/>
    </row>
    <row r="23" spans="2:7" ht="14" customHeight="1" x14ac:dyDescent="0.3">
      <c r="B23" s="4" t="s">
        <v>79</v>
      </c>
      <c r="C23" s="16">
        <f>C7+C8*C9+C10</f>
        <v>0.10145</v>
      </c>
    </row>
    <row r="24" spans="2:7" ht="14" customHeight="1" x14ac:dyDescent="0.3">
      <c r="B24" s="4" t="s">
        <v>80</v>
      </c>
      <c r="C24" s="16">
        <f>1/(1+C12)</f>
        <v>1</v>
      </c>
    </row>
    <row r="25" spans="2:7" ht="14" customHeight="1" x14ac:dyDescent="0.3">
      <c r="B25" s="4" t="s">
        <v>81</v>
      </c>
      <c r="C25" s="16">
        <f>C12/(1+C12)</f>
        <v>0</v>
      </c>
    </row>
    <row r="26" spans="2:7" ht="14" customHeight="1" x14ac:dyDescent="0.3">
      <c r="B26" s="4" t="s">
        <v>82</v>
      </c>
      <c r="C26" s="16">
        <f>C23*C24+C11*C25</f>
        <v>0.10145</v>
      </c>
    </row>
    <row r="27" spans="2:7" ht="14" customHeight="1" x14ac:dyDescent="0.3">
      <c r="B27" s="4" t="s">
        <v>83</v>
      </c>
      <c r="C27" s="17" t="s">
        <v>84</v>
      </c>
      <c r="D27" s="6">
        <f>MATCH(C27,B69:B73,0)</f>
        <v>1</v>
      </c>
    </row>
    <row r="28" spans="2:7" ht="14" customHeight="1" x14ac:dyDescent="0.3">
      <c r="B28" s="8" t="s">
        <v>85</v>
      </c>
      <c r="C28" s="9"/>
      <c r="D28" s="9"/>
      <c r="E28" s="9"/>
      <c r="F28" s="9"/>
      <c r="G28" s="9"/>
    </row>
    <row r="29" spans="2:7" ht="14" customHeight="1" x14ac:dyDescent="0.3">
      <c r="C29" s="10" t="s">
        <v>86</v>
      </c>
      <c r="D29" s="10" t="s">
        <v>87</v>
      </c>
      <c r="E29" s="10" t="s">
        <v>88</v>
      </c>
      <c r="F29" s="10" t="s">
        <v>89</v>
      </c>
      <c r="G29" s="10" t="s">
        <v>90</v>
      </c>
    </row>
    <row r="30" spans="2:7" ht="14" customHeight="1" x14ac:dyDescent="0.3">
      <c r="B30" s="4" t="s">
        <v>46</v>
      </c>
      <c r="C30" s="18">
        <f>CHOOSE($D$27,C69,C70,C71,C72,C73)</f>
        <v>0.05</v>
      </c>
      <c r="D30" s="18">
        <f>CHOOSE($D$27,D69,D70,D71,D72,D73)</f>
        <v>4.4999999999999998E-2</v>
      </c>
      <c r="E30" s="18">
        <f>CHOOSE($D$27,E69,E70,E71,E72,E73)</f>
        <v>0.04</v>
      </c>
      <c r="F30" s="18">
        <f>CHOOSE($D$27,F69,F70,F71,F72,F73)</f>
        <v>3.5000000000000003E-2</v>
      </c>
      <c r="G30" s="18">
        <f>CHOOSE($D$27,G69,G70,G71,G72,G73)</f>
        <v>0.03</v>
      </c>
    </row>
    <row r="31" spans="2:7" ht="14" customHeight="1" x14ac:dyDescent="0.3">
      <c r="B31" s="4" t="s">
        <v>91</v>
      </c>
      <c r="C31" s="18">
        <f>CHOOSE($D$27,C76,C77,C78,C79,C80)</f>
        <v>0.45</v>
      </c>
      <c r="D31" s="18">
        <f>CHOOSE($D$27,D76,D77,D78,D79,D80)</f>
        <v>0.45</v>
      </c>
      <c r="E31" s="18">
        <f>CHOOSE($D$27,E76,E77,E78,E79,E80)</f>
        <v>0.45</v>
      </c>
      <c r="F31" s="18">
        <f>CHOOSE($D$27,F76,F77,F78,F79,F80)</f>
        <v>0.45</v>
      </c>
      <c r="G31" s="18">
        <f>CHOOSE($D$27,G76,G77,G78,G79,G80)</f>
        <v>0.45</v>
      </c>
    </row>
    <row r="32" spans="2:7" ht="14" customHeight="1" x14ac:dyDescent="0.3">
      <c r="B32" s="4" t="s">
        <v>92</v>
      </c>
      <c r="C32" s="18">
        <f>CHOOSE($D$27,C83,C84,C85,C86,C87)</f>
        <v>0.3795</v>
      </c>
      <c r="D32" s="18">
        <f>CHOOSE($D$27,D83,D84,D85,D86,D87)</f>
        <v>0.3795</v>
      </c>
      <c r="E32" s="18">
        <f>CHOOSE($D$27,E83,E84,E85,E86,E87)</f>
        <v>0.3795</v>
      </c>
      <c r="F32" s="18">
        <f>CHOOSE($D$27,F83,F84,F85,F86,F87)</f>
        <v>0.3795</v>
      </c>
      <c r="G32" s="18">
        <f>CHOOSE($D$27,G83,G84,G85,G86,G87)</f>
        <v>0.3795</v>
      </c>
    </row>
    <row r="33" spans="2:7" ht="14" customHeight="1" x14ac:dyDescent="0.3">
      <c r="B33" s="4" t="s">
        <v>37</v>
      </c>
      <c r="C33" s="5">
        <f>C17*(1+C30)</f>
        <v>3882218.5500000003</v>
      </c>
      <c r="D33" s="5">
        <f>C33*(1+D30)</f>
        <v>4056918.3847500002</v>
      </c>
      <c r="E33" s="5">
        <f>D33*(1+E30)</f>
        <v>4219195.1201400002</v>
      </c>
      <c r="F33" s="5">
        <f>E33*(1+F30)</f>
        <v>4366866.9493448995</v>
      </c>
      <c r="G33" s="5">
        <f>F33*(1+G30)</f>
        <v>4497872.9578252463</v>
      </c>
    </row>
    <row r="34" spans="2:7" ht="14" customHeight="1" x14ac:dyDescent="0.3">
      <c r="B34" s="4" t="s">
        <v>38</v>
      </c>
      <c r="C34" s="5">
        <f>C33*C31</f>
        <v>1746998.3475000001</v>
      </c>
      <c r="D34" s="5">
        <f>D33*D31</f>
        <v>1825613.2731375</v>
      </c>
      <c r="E34" s="5">
        <f>E33*E31</f>
        <v>1898637.8040630003</v>
      </c>
      <c r="F34" s="5">
        <f>F33*F31</f>
        <v>1965090.1272052049</v>
      </c>
      <c r="G34" s="5">
        <f>G33*G31</f>
        <v>2024042.8310213608</v>
      </c>
    </row>
    <row r="35" spans="2:7" ht="14" customHeight="1" x14ac:dyDescent="0.3">
      <c r="B35" s="4" t="s">
        <v>39</v>
      </c>
      <c r="C35" s="19">
        <f>C33-C34</f>
        <v>2135220.2025000001</v>
      </c>
      <c r="D35" s="19">
        <f>D33-D34</f>
        <v>2231305.1116125002</v>
      </c>
      <c r="E35" s="19">
        <f>E33-E34</f>
        <v>2320557.316077</v>
      </c>
      <c r="F35" s="19">
        <f>F33-F34</f>
        <v>2401776.8221396944</v>
      </c>
      <c r="G35" s="19">
        <f>G33-G34</f>
        <v>2473830.1268038852</v>
      </c>
    </row>
    <row r="36" spans="2:7" ht="14" customHeight="1" x14ac:dyDescent="0.3">
      <c r="B36" s="4" t="s">
        <v>40</v>
      </c>
      <c r="C36" s="7">
        <f>C35/C33</f>
        <v>0.55000000000000004</v>
      </c>
      <c r="D36" s="7">
        <f>D35/D33</f>
        <v>0.55000000000000004</v>
      </c>
      <c r="E36" s="7">
        <f>E35/E33</f>
        <v>0.54999999999999993</v>
      </c>
      <c r="F36" s="7">
        <f>F35/F33</f>
        <v>0.54999999999999993</v>
      </c>
      <c r="G36" s="7">
        <f>G35/G33</f>
        <v>0.54999999999999993</v>
      </c>
    </row>
    <row r="37" spans="2:7" ht="14" customHeight="1" x14ac:dyDescent="0.3">
      <c r="B37" s="4" t="s">
        <v>93</v>
      </c>
      <c r="C37" s="5">
        <f>C33*C32</f>
        <v>1473301.9397250002</v>
      </c>
      <c r="D37" s="5">
        <f>D33*D32</f>
        <v>1539600.527012625</v>
      </c>
      <c r="E37" s="5">
        <f>E33*E32</f>
        <v>1601184.5480931301</v>
      </c>
      <c r="F37" s="5">
        <f>F33*F32</f>
        <v>1657226.0072763893</v>
      </c>
      <c r="G37" s="5">
        <f>G33*G32</f>
        <v>1706942.7874946811</v>
      </c>
    </row>
    <row r="38" spans="2:7" ht="14" customHeight="1" x14ac:dyDescent="0.3">
      <c r="B38" s="4" t="s">
        <v>94</v>
      </c>
      <c r="C38" s="7">
        <f>(C35-C37)/C33</f>
        <v>0.17049999999999998</v>
      </c>
      <c r="D38" s="7">
        <f>(D35-D37)/D33</f>
        <v>0.17050000000000004</v>
      </c>
      <c r="E38" s="7">
        <f>(E35-E37)/E33</f>
        <v>0.17049999999999996</v>
      </c>
      <c r="F38" s="7">
        <f>(F35-F37)/F33</f>
        <v>0.17049999999999993</v>
      </c>
      <c r="G38" s="7">
        <f>(G35-G37)/G33</f>
        <v>0.17049999999999993</v>
      </c>
    </row>
    <row r="39" spans="2:7" ht="14" customHeight="1" x14ac:dyDescent="0.3">
      <c r="B39" s="4" t="s">
        <v>95</v>
      </c>
      <c r="C39" s="19">
        <f>C35-C37</f>
        <v>661918.26277499995</v>
      </c>
      <c r="D39" s="19">
        <f>D35-D37</f>
        <v>691704.58459987515</v>
      </c>
      <c r="E39" s="19">
        <f>E35-E37</f>
        <v>719372.76798386988</v>
      </c>
      <c r="F39" s="19">
        <f>F35-F37</f>
        <v>744550.81486330507</v>
      </c>
      <c r="G39" s="19">
        <f>G35-G37</f>
        <v>766887.33930920414</v>
      </c>
    </row>
    <row r="40" spans="2:7" ht="14" customHeight="1" x14ac:dyDescent="0.3">
      <c r="B40" s="4" t="s">
        <v>96</v>
      </c>
      <c r="C40" s="5">
        <f>MAX(0,C39*C6)</f>
        <v>165479.56569374999</v>
      </c>
      <c r="D40" s="5">
        <f>MAX(0,D39*C6)</f>
        <v>172926.14614996879</v>
      </c>
      <c r="E40" s="5">
        <f>MAX(0,E39*C6)</f>
        <v>179843.19199596747</v>
      </c>
      <c r="F40" s="5">
        <f>MAX(0,F39*C6)</f>
        <v>186137.70371582627</v>
      </c>
      <c r="G40" s="5">
        <f>MAX(0,G39*C6)</f>
        <v>191721.83482730103</v>
      </c>
    </row>
    <row r="41" spans="2:7" ht="14" customHeight="1" x14ac:dyDescent="0.3">
      <c r="B41" s="4" t="s">
        <v>97</v>
      </c>
      <c r="C41" s="19">
        <f>C39-C40</f>
        <v>496438.69708124996</v>
      </c>
      <c r="D41" s="19">
        <f>D39-D40</f>
        <v>518778.43844990636</v>
      </c>
      <c r="E41" s="19">
        <f>E39-E40</f>
        <v>539529.57598790247</v>
      </c>
      <c r="F41" s="19">
        <f>F39-F40</f>
        <v>558413.1111474788</v>
      </c>
      <c r="G41" s="19">
        <f>G39-G40</f>
        <v>575165.50448190304</v>
      </c>
    </row>
    <row r="42" spans="2:7" ht="14" customHeight="1" x14ac:dyDescent="0.3">
      <c r="B42" s="4" t="s">
        <v>98</v>
      </c>
      <c r="C42" s="5">
        <f>C33*C18</f>
        <v>118019.44392000001</v>
      </c>
      <c r="D42" s="5">
        <f>D33*C18</f>
        <v>123330.3188964</v>
      </c>
      <c r="E42" s="5">
        <f>E33*C18</f>
        <v>128263.531652256</v>
      </c>
      <c r="F42" s="5">
        <f>F33*C18</f>
        <v>132752.75526008493</v>
      </c>
      <c r="G42" s="5">
        <f>G33*C18</f>
        <v>136735.33791788749</v>
      </c>
    </row>
    <row r="43" spans="2:7" ht="14" customHeight="1" x14ac:dyDescent="0.3">
      <c r="B43" s="4" t="s">
        <v>99</v>
      </c>
      <c r="C43" s="5">
        <v>78600</v>
      </c>
      <c r="D43" s="5">
        <v>94800</v>
      </c>
      <c r="E43" s="5">
        <v>111100</v>
      </c>
      <c r="F43" s="5">
        <v>127300</v>
      </c>
      <c r="G43" s="5">
        <v>143600</v>
      </c>
    </row>
    <row r="44" spans="2:7" ht="14" customHeight="1" x14ac:dyDescent="0.3">
      <c r="B44" s="4" t="s">
        <v>100</v>
      </c>
      <c r="C44" s="5">
        <f>'NWC Schedule'!D19</f>
        <v>-36102.206068493193</v>
      </c>
      <c r="D44" s="5">
        <f>'NWC Schedule'!E19</f>
        <v>7993.1157269178657</v>
      </c>
      <c r="E44" s="5">
        <f>'NWC Schedule'!F19</f>
        <v>7424.7163863369497</v>
      </c>
      <c r="F44" s="5">
        <f>'NWC Schedule'!G19</f>
        <v>6756.4919115666999</v>
      </c>
      <c r="G44" s="5">
        <f>'NWC Schedule'!H19</f>
        <v>5993.9735386898392</v>
      </c>
    </row>
    <row r="45" spans="2:7" ht="14" customHeight="1" x14ac:dyDescent="0.3">
      <c r="B45" s="4" t="s">
        <v>101</v>
      </c>
      <c r="C45" s="20">
        <f>C41+C42-C43-C44</f>
        <v>571960.34706974321</v>
      </c>
      <c r="D45" s="20">
        <f>D41+D42-D43-D44</f>
        <v>539315.64161938848</v>
      </c>
      <c r="E45" s="20">
        <f>E41+E42-E43-E44</f>
        <v>549268.39125382155</v>
      </c>
      <c r="F45" s="20">
        <f>F41+F42-F43-F44</f>
        <v>557109.37449599698</v>
      </c>
      <c r="G45" s="20">
        <f>G41+G42-G43-G44</f>
        <v>562306.86886110064</v>
      </c>
    </row>
    <row r="46" spans="2:7" ht="14" customHeight="1" x14ac:dyDescent="0.3">
      <c r="B46" s="4" t="s">
        <v>102</v>
      </c>
      <c r="C46" s="21">
        <f>1/(1+C26)^(C19+0)</f>
        <v>0.9078941395433292</v>
      </c>
      <c r="D46" s="21">
        <f>1/(1+C26)^(C19+1)</f>
        <v>0.82427176861712215</v>
      </c>
      <c r="E46" s="21">
        <f>1/(1+C26)^(C19+2)</f>
        <v>0.74835150811850026</v>
      </c>
      <c r="F46" s="21">
        <f>1/(1+C26)^(C19+3)</f>
        <v>0.67942394853919863</v>
      </c>
      <c r="G46" s="21">
        <f>1/(1+C26)^(C19+4)</f>
        <v>0.61684502114412687</v>
      </c>
    </row>
    <row r="47" spans="2:7" ht="14" customHeight="1" x14ac:dyDescent="0.3">
      <c r="B47" s="4" t="s">
        <v>103</v>
      </c>
      <c r="C47" s="19">
        <f>C45*C46</f>
        <v>519279.44715578842</v>
      </c>
      <c r="D47" s="19">
        <f>D45*D46</f>
        <v>444542.65776049136</v>
      </c>
      <c r="E47" s="19">
        <f>E45*E46</f>
        <v>411045.82895661984</v>
      </c>
      <c r="F47" s="19">
        <f>F45*F46</f>
        <v>378513.45098827337</v>
      </c>
      <c r="G47" s="19">
        <f>G45*G46</f>
        <v>346856.19241211342</v>
      </c>
    </row>
    <row r="49" spans="2:7" ht="14" customHeight="1" x14ac:dyDescent="0.3">
      <c r="B49" s="22" t="s">
        <v>104</v>
      </c>
      <c r="C49" s="23"/>
      <c r="D49" s="23"/>
      <c r="E49" s="23"/>
      <c r="F49" s="23"/>
      <c r="G49" s="23"/>
    </row>
    <row r="50" spans="2:7" ht="14" customHeight="1" x14ac:dyDescent="0.3">
      <c r="B50" s="4" t="s">
        <v>105</v>
      </c>
      <c r="C50" s="5">
        <f>SUM(C47:G47)</f>
        <v>2100237.5772732864</v>
      </c>
    </row>
    <row r="51" spans="2:7" ht="14" customHeight="1" x14ac:dyDescent="0.3">
      <c r="B51" s="4" t="s">
        <v>106</v>
      </c>
      <c r="C51" s="5">
        <f>G45*(1+C13)/(C26-C13)</f>
        <v>6210278.1580066886</v>
      </c>
    </row>
    <row r="52" spans="2:7" ht="14" customHeight="1" x14ac:dyDescent="0.3">
      <c r="B52" s="4" t="s">
        <v>107</v>
      </c>
      <c r="C52" s="5">
        <f>C51*G46</f>
        <v>3830779.1616865452</v>
      </c>
    </row>
    <row r="53" spans="2:7" ht="14" customHeight="1" x14ac:dyDescent="0.3">
      <c r="B53" s="4" t="s">
        <v>108</v>
      </c>
      <c r="C53" s="5">
        <f>C50+C52</f>
        <v>5931016.7389598321</v>
      </c>
    </row>
    <row r="54" spans="2:7" ht="14" customHeight="1" x14ac:dyDescent="0.3">
      <c r="B54" s="4" t="s">
        <v>109</v>
      </c>
      <c r="C54" s="5">
        <f>C53-C16</f>
        <v>6470319.7389598321</v>
      </c>
    </row>
    <row r="55" spans="2:7" ht="14" customHeight="1" x14ac:dyDescent="0.3">
      <c r="B55" s="4" t="s">
        <v>110</v>
      </c>
      <c r="C55" s="24">
        <f>ROUND(C54*1000000/C15,0)</f>
        <v>4664</v>
      </c>
    </row>
    <row r="57" spans="2:7" ht="14" customHeight="1" x14ac:dyDescent="0.3">
      <c r="B57" s="22" t="s">
        <v>111</v>
      </c>
      <c r="C57" s="23"/>
      <c r="D57" s="23"/>
      <c r="E57" s="23"/>
      <c r="F57" s="23"/>
      <c r="G57" s="23"/>
    </row>
    <row r="58" spans="2:7" ht="14" customHeight="1" x14ac:dyDescent="0.3">
      <c r="B58" s="4" t="s">
        <v>105</v>
      </c>
      <c r="C58" s="5">
        <f>C50</f>
        <v>2100237.5772732864</v>
      </c>
    </row>
    <row r="59" spans="2:7" ht="14" customHeight="1" x14ac:dyDescent="0.3">
      <c r="B59" s="4" t="s">
        <v>112</v>
      </c>
      <c r="C59" s="5">
        <f>G39+G42</f>
        <v>903622.67722709163</v>
      </c>
    </row>
    <row r="60" spans="2:7" ht="14" customHeight="1" x14ac:dyDescent="0.3">
      <c r="B60" s="4" t="s">
        <v>113</v>
      </c>
      <c r="C60" s="5">
        <f>C59*C14</f>
        <v>9216951.3077163342</v>
      </c>
    </row>
    <row r="61" spans="2:7" ht="14" customHeight="1" x14ac:dyDescent="0.3">
      <c r="B61" s="4" t="s">
        <v>107</v>
      </c>
      <c r="C61" s="5">
        <f>C60*G46</f>
        <v>5685430.5242926702</v>
      </c>
    </row>
    <row r="62" spans="2:7" ht="14" customHeight="1" x14ac:dyDescent="0.3">
      <c r="B62" s="4" t="s">
        <v>108</v>
      </c>
      <c r="C62" s="5">
        <f>C58+C61</f>
        <v>7785668.1015659571</v>
      </c>
    </row>
    <row r="63" spans="2:7" ht="14" customHeight="1" x14ac:dyDescent="0.3">
      <c r="B63" s="4" t="s">
        <v>109</v>
      </c>
      <c r="C63" s="5">
        <f>C62-C16</f>
        <v>8324971.1015659571</v>
      </c>
    </row>
    <row r="64" spans="2:7" ht="14" customHeight="1" x14ac:dyDescent="0.3">
      <c r="B64" s="4" t="s">
        <v>114</v>
      </c>
      <c r="C64" s="24">
        <f>ROUND(C63*1000000/C15,0)</f>
        <v>6001</v>
      </c>
    </row>
    <row r="66" spans="2:7" ht="14" customHeight="1" x14ac:dyDescent="0.3">
      <c r="B66" s="22" t="s">
        <v>115</v>
      </c>
      <c r="C66" s="23"/>
      <c r="D66" s="23"/>
      <c r="E66" s="23"/>
      <c r="F66" s="23"/>
      <c r="G66" s="23"/>
    </row>
    <row r="67" spans="2:7" ht="14" customHeight="1" x14ac:dyDescent="0.3">
      <c r="C67" s="25" t="s">
        <v>116</v>
      </c>
      <c r="D67" s="25" t="s">
        <v>117</v>
      </c>
      <c r="E67" s="25" t="s">
        <v>118</v>
      </c>
      <c r="F67" s="25" t="s">
        <v>119</v>
      </c>
      <c r="G67" s="25" t="s">
        <v>120</v>
      </c>
    </row>
    <row r="68" spans="2:7" ht="14" customHeight="1" x14ac:dyDescent="0.3">
      <c r="B68" s="3" t="s">
        <v>46</v>
      </c>
    </row>
    <row r="69" spans="2:7" ht="14" customHeight="1" x14ac:dyDescent="0.3">
      <c r="B69" s="4" t="s">
        <v>84</v>
      </c>
      <c r="C69" s="26">
        <v>0.05</v>
      </c>
      <c r="D69" s="26">
        <v>4.4999999999999998E-2</v>
      </c>
      <c r="E69" s="26">
        <v>0.04</v>
      </c>
      <c r="F69" s="26">
        <v>3.5000000000000003E-2</v>
      </c>
      <c r="G69" s="26">
        <v>0.03</v>
      </c>
    </row>
    <row r="70" spans="2:7" ht="14" customHeight="1" x14ac:dyDescent="0.3">
      <c r="B70" s="4" t="s">
        <v>121</v>
      </c>
      <c r="C70" s="26">
        <v>0.08</v>
      </c>
      <c r="D70" s="26">
        <v>7.0000000000000007E-2</v>
      </c>
      <c r="E70" s="26">
        <v>0.06</v>
      </c>
      <c r="F70" s="26">
        <v>0.05</v>
      </c>
      <c r="G70" s="26">
        <v>4.4999999999999998E-2</v>
      </c>
    </row>
    <row r="71" spans="2:7" ht="14" customHeight="1" x14ac:dyDescent="0.3">
      <c r="B71" s="4" t="s">
        <v>122</v>
      </c>
      <c r="C71" s="26">
        <v>0.05</v>
      </c>
      <c r="D71" s="26">
        <v>4.4999999999999998E-2</v>
      </c>
      <c r="E71" s="26">
        <v>0.04</v>
      </c>
      <c r="F71" s="26">
        <v>3.5000000000000003E-2</v>
      </c>
      <c r="G71" s="26">
        <v>0.03</v>
      </c>
    </row>
    <row r="72" spans="2:7" ht="14" customHeight="1" x14ac:dyDescent="0.3">
      <c r="B72" s="4" t="s">
        <v>123</v>
      </c>
      <c r="C72" s="26">
        <v>0.02</v>
      </c>
      <c r="D72" s="26">
        <v>2.5000000000000001E-2</v>
      </c>
      <c r="E72" s="26">
        <v>2.5000000000000001E-2</v>
      </c>
      <c r="F72" s="26">
        <v>2.5000000000000001E-2</v>
      </c>
      <c r="G72" s="26">
        <v>0.02</v>
      </c>
    </row>
    <row r="73" spans="2:7" ht="14" customHeight="1" x14ac:dyDescent="0.3">
      <c r="B73" s="4" t="s">
        <v>124</v>
      </c>
      <c r="C73" s="26">
        <v>-0.05</v>
      </c>
      <c r="D73" s="26">
        <v>0</v>
      </c>
      <c r="E73" s="26">
        <v>0.02</v>
      </c>
      <c r="F73" s="26">
        <v>2.5000000000000001E-2</v>
      </c>
      <c r="G73" s="26">
        <v>2.5000000000000001E-2</v>
      </c>
    </row>
    <row r="75" spans="2:7" ht="14" customHeight="1" x14ac:dyDescent="0.3">
      <c r="B75" s="3" t="s">
        <v>91</v>
      </c>
    </row>
    <row r="76" spans="2:7" ht="14" customHeight="1" x14ac:dyDescent="0.3">
      <c r="B76" s="4" t="s">
        <v>84</v>
      </c>
      <c r="C76" s="26">
        <v>0.45</v>
      </c>
      <c r="D76" s="26">
        <v>0.45</v>
      </c>
      <c r="E76" s="26">
        <v>0.45</v>
      </c>
      <c r="F76" s="26">
        <v>0.45</v>
      </c>
      <c r="G76" s="26">
        <v>0.45</v>
      </c>
    </row>
    <row r="77" spans="2:7" ht="14" customHeight="1" x14ac:dyDescent="0.3">
      <c r="B77" s="4" t="s">
        <v>121</v>
      </c>
      <c r="C77" s="26">
        <v>0.44</v>
      </c>
      <c r="D77" s="26">
        <v>0.44</v>
      </c>
      <c r="E77" s="26">
        <v>0.44</v>
      </c>
      <c r="F77" s="26">
        <v>0.44</v>
      </c>
      <c r="G77" s="26">
        <v>0.44</v>
      </c>
    </row>
    <row r="78" spans="2:7" ht="14" customHeight="1" x14ac:dyDescent="0.3">
      <c r="B78" s="4" t="s">
        <v>122</v>
      </c>
      <c r="C78" s="26">
        <v>0.45</v>
      </c>
      <c r="D78" s="26">
        <v>0.45</v>
      </c>
      <c r="E78" s="26">
        <v>0.45</v>
      </c>
      <c r="F78" s="26">
        <v>0.45</v>
      </c>
      <c r="G78" s="26">
        <v>0.45</v>
      </c>
    </row>
    <row r="79" spans="2:7" ht="14" customHeight="1" x14ac:dyDescent="0.3">
      <c r="B79" s="4" t="s">
        <v>123</v>
      </c>
      <c r="C79" s="26">
        <v>0.46300000000000002</v>
      </c>
      <c r="D79" s="26">
        <v>0.46300000000000002</v>
      </c>
      <c r="E79" s="26">
        <v>0.46300000000000002</v>
      </c>
      <c r="F79" s="26">
        <v>0.46300000000000002</v>
      </c>
      <c r="G79" s="26">
        <v>0.46300000000000002</v>
      </c>
    </row>
    <row r="80" spans="2:7" ht="14" customHeight="1" x14ac:dyDescent="0.3">
      <c r="B80" s="4" t="s">
        <v>124</v>
      </c>
      <c r="C80" s="26">
        <v>0.48</v>
      </c>
      <c r="D80" s="26">
        <v>0.48</v>
      </c>
      <c r="E80" s="26">
        <v>0.48</v>
      </c>
      <c r="F80" s="26">
        <v>0.48</v>
      </c>
      <c r="G80" s="26">
        <v>0.48</v>
      </c>
    </row>
    <row r="82" spans="2:7" ht="14" customHeight="1" x14ac:dyDescent="0.3">
      <c r="B82" s="3" t="s">
        <v>92</v>
      </c>
    </row>
    <row r="83" spans="2:7" ht="14" customHeight="1" x14ac:dyDescent="0.3">
      <c r="B83" s="4" t="s">
        <v>84</v>
      </c>
      <c r="C83" s="26">
        <v>0.3795</v>
      </c>
      <c r="D83" s="26">
        <v>0.3795</v>
      </c>
      <c r="E83" s="26">
        <v>0.3795</v>
      </c>
      <c r="F83" s="26">
        <v>0.3795</v>
      </c>
      <c r="G83" s="26">
        <v>0.3795</v>
      </c>
    </row>
    <row r="84" spans="2:7" ht="14" customHeight="1" x14ac:dyDescent="0.3">
      <c r="B84" s="4" t="s">
        <v>121</v>
      </c>
      <c r="C84" s="26">
        <v>0.38400000000000001</v>
      </c>
      <c r="D84" s="26">
        <v>0.3795</v>
      </c>
      <c r="E84" s="26">
        <v>0.376</v>
      </c>
      <c r="F84" s="26">
        <v>0.3735</v>
      </c>
      <c r="G84" s="26">
        <v>0.3715</v>
      </c>
    </row>
    <row r="85" spans="2:7" ht="14" customHeight="1" x14ac:dyDescent="0.3">
      <c r="B85" s="4" t="s">
        <v>122</v>
      </c>
      <c r="C85" s="26">
        <v>0.3795</v>
      </c>
      <c r="D85" s="26">
        <v>0.3795</v>
      </c>
      <c r="E85" s="26">
        <v>0.3795</v>
      </c>
      <c r="F85" s="26">
        <v>0.3795</v>
      </c>
      <c r="G85" s="26">
        <v>0.3795</v>
      </c>
    </row>
    <row r="86" spans="2:7" ht="14" customHeight="1" x14ac:dyDescent="0.3">
      <c r="B86" s="4" t="s">
        <v>123</v>
      </c>
      <c r="C86" s="26">
        <v>0.379</v>
      </c>
      <c r="D86" s="26">
        <v>0.39100000000000001</v>
      </c>
      <c r="E86" s="26">
        <v>0.4</v>
      </c>
      <c r="F86" s="26">
        <v>0.40600000000000003</v>
      </c>
      <c r="G86" s="26">
        <v>0.40910000000000002</v>
      </c>
    </row>
    <row r="87" spans="2:7" ht="14" customHeight="1" x14ac:dyDescent="0.3">
      <c r="B87" s="4" t="s">
        <v>124</v>
      </c>
      <c r="C87" s="26">
        <v>0.39500000000000002</v>
      </c>
      <c r="D87" s="26">
        <v>0.41499999999999998</v>
      </c>
      <c r="E87" s="26">
        <v>0.42199999999999999</v>
      </c>
      <c r="F87" s="26">
        <v>0.42199999999999999</v>
      </c>
      <c r="G87" s="26">
        <v>0.41959999999999997</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customHeight="1" x14ac:dyDescent="0.4">
      <c r="B2" s="2" t="s">
        <v>125</v>
      </c>
    </row>
    <row r="3" spans="2:9" ht="14" customHeight="1" x14ac:dyDescent="0.3">
      <c r="B3" s="1" t="s">
        <v>126</v>
      </c>
    </row>
    <row r="5" spans="2:9" ht="14" customHeight="1" x14ac:dyDescent="0.3">
      <c r="B5" s="8" t="s">
        <v>127</v>
      </c>
      <c r="C5" s="9"/>
      <c r="D5" s="9"/>
      <c r="E5" s="9"/>
      <c r="F5" s="9"/>
      <c r="G5" s="9"/>
      <c r="H5" s="9"/>
      <c r="I5" s="9"/>
    </row>
    <row r="6" spans="2:9" ht="14" customHeight="1" x14ac:dyDescent="0.3">
      <c r="B6" s="4" t="s">
        <v>128</v>
      </c>
      <c r="C6" s="15">
        <f>'Executive Summary'!C9</f>
        <v>16235</v>
      </c>
    </row>
    <row r="7" spans="2:9" ht="14" customHeight="1" x14ac:dyDescent="0.3">
      <c r="B7" s="4" t="s">
        <v>72</v>
      </c>
      <c r="C7" s="15">
        <f>'DCF Model'!C15</f>
        <v>1387337063</v>
      </c>
    </row>
    <row r="8" spans="2:9" ht="14" customHeight="1" x14ac:dyDescent="0.3">
      <c r="B8" s="4" t="s">
        <v>129</v>
      </c>
      <c r="C8" s="5">
        <f>C6*C7/1000000</f>
        <v>22523417.217804998</v>
      </c>
    </row>
    <row r="9" spans="2:9" ht="14" customHeight="1" x14ac:dyDescent="0.3">
      <c r="B9" s="4" t="s">
        <v>73</v>
      </c>
      <c r="C9" s="5">
        <f>'DCF Model'!C16</f>
        <v>-539303</v>
      </c>
    </row>
    <row r="10" spans="2:9" ht="14" customHeight="1" x14ac:dyDescent="0.3">
      <c r="B10" s="4" t="s">
        <v>130</v>
      </c>
      <c r="C10" s="5">
        <f>C8+C9</f>
        <v>21984114.217804998</v>
      </c>
    </row>
    <row r="11" spans="2:9" ht="14" customHeight="1" x14ac:dyDescent="0.3">
      <c r="B11" s="4" t="s">
        <v>131</v>
      </c>
      <c r="C11" s="16">
        <f>'DCF Model'!C26</f>
        <v>0.10145</v>
      </c>
    </row>
    <row r="12" spans="2:9" ht="14" customHeight="1" x14ac:dyDescent="0.3">
      <c r="B12" s="4" t="s">
        <v>132</v>
      </c>
      <c r="C12" s="16">
        <f>'DCF Model'!C13</f>
        <v>0.01</v>
      </c>
    </row>
    <row r="13" spans="2:9" ht="14" customHeight="1" x14ac:dyDescent="0.3">
      <c r="B13" s="4" t="s">
        <v>133</v>
      </c>
      <c r="C13" s="16">
        <f>'DCF Model'!C6</f>
        <v>0.25</v>
      </c>
    </row>
    <row r="14" spans="2:9" ht="14" customHeight="1" x14ac:dyDescent="0.3">
      <c r="B14" s="4" t="s">
        <v>134</v>
      </c>
      <c r="C14" s="27">
        <v>630567</v>
      </c>
    </row>
    <row r="15" spans="2:9" ht="14" customHeight="1" x14ac:dyDescent="0.3">
      <c r="B15" s="4" t="s">
        <v>135</v>
      </c>
      <c r="C15" s="27">
        <v>630567</v>
      </c>
    </row>
    <row r="16" spans="2:9" ht="14" customHeight="1" x14ac:dyDescent="0.3">
      <c r="B16" s="4" t="s">
        <v>136</v>
      </c>
      <c r="C16" s="5">
        <f>'DCF Model'!G33</f>
        <v>4497872.9578252463</v>
      </c>
    </row>
    <row r="17" spans="2:9" ht="14" customHeight="1" x14ac:dyDescent="0.3">
      <c r="B17" s="4" t="s">
        <v>137</v>
      </c>
      <c r="C17" s="5">
        <f>'DCF Model'!C53</f>
        <v>5931016.7389598321</v>
      </c>
    </row>
    <row r="18" spans="2:9" ht="14" customHeight="1" x14ac:dyDescent="0.3">
      <c r="B18" s="4" t="s">
        <v>138</v>
      </c>
      <c r="C18" s="26">
        <v>0.17054561495513951</v>
      </c>
    </row>
    <row r="19" spans="2:9" ht="14" customHeight="1" x14ac:dyDescent="0.3">
      <c r="B19" s="4" t="s">
        <v>139</v>
      </c>
      <c r="C19" s="5">
        <f>C10-C17</f>
        <v>16053097.478845166</v>
      </c>
    </row>
    <row r="20" spans="2:9" ht="14" customHeight="1" x14ac:dyDescent="0.3">
      <c r="B20" s="4" t="s">
        <v>140</v>
      </c>
      <c r="C20" s="15">
        <f>IFERROR(ROUND(C19*1000000/C7,0),"N/A")</f>
        <v>11571</v>
      </c>
    </row>
    <row r="22" spans="2:9" ht="14" customHeight="1" x14ac:dyDescent="0.3">
      <c r="B22" s="8" t="s">
        <v>141</v>
      </c>
      <c r="C22" s="9"/>
      <c r="D22" s="9"/>
      <c r="E22" s="9"/>
      <c r="F22" s="9"/>
      <c r="G22" s="9"/>
      <c r="H22" s="9"/>
      <c r="I22" s="9"/>
    </row>
    <row r="23" spans="2:9" ht="14" customHeight="1" x14ac:dyDescent="0.3">
      <c r="B23" s="1" t="s">
        <v>142</v>
      </c>
    </row>
    <row r="24" spans="2:9" ht="14" customHeight="1" x14ac:dyDescent="0.3">
      <c r="B24" s="4" t="s">
        <v>143</v>
      </c>
      <c r="C24" s="5">
        <f>C10*(C11-C12)</f>
        <v>2010447.2452182672</v>
      </c>
    </row>
    <row r="25" spans="2:9" ht="14" customHeight="1" x14ac:dyDescent="0.3">
      <c r="B25" s="4" t="s">
        <v>144</v>
      </c>
      <c r="C25" s="5">
        <f>IFERROR(C24/(1-C13),"N/A")</f>
        <v>2680596.3269576896</v>
      </c>
    </row>
    <row r="26" spans="2:9" ht="13.5" customHeight="1" x14ac:dyDescent="0.25">
      <c r="B26" s="6" t="s">
        <v>145</v>
      </c>
      <c r="C26" s="14">
        <f>IFERROR(C25/C15,"N/A")</f>
        <v>4.2510888247524683</v>
      </c>
    </row>
    <row r="27" spans="2:9" ht="13.5" customHeight="1" x14ac:dyDescent="0.25">
      <c r="B27" s="6" t="s">
        <v>146</v>
      </c>
      <c r="C27" s="14">
        <f>IFERROR(C25/C14,"N/A")</f>
        <v>4.2510888247524683</v>
      </c>
    </row>
    <row r="28" spans="2:9" ht="13.5" customHeight="1" x14ac:dyDescent="0.25">
      <c r="B28" s="6" t="s">
        <v>147</v>
      </c>
      <c r="C28" s="7">
        <f>IFERROR(C25/C16,"N/A")</f>
        <v>0.5959697732889675</v>
      </c>
    </row>
    <row r="29" spans="2:9" ht="13.5" customHeight="1" x14ac:dyDescent="0.25">
      <c r="B29" s="6" t="s">
        <v>148</v>
      </c>
      <c r="C29" s="5">
        <f>IFERROR(C25/C18,"N/A")</f>
        <v>15717767.517287362</v>
      </c>
    </row>
    <row r="32" spans="2:9" ht="14" customHeight="1" x14ac:dyDescent="0.3">
      <c r="B32" s="8" t="s">
        <v>149</v>
      </c>
      <c r="C32" s="9"/>
      <c r="D32" s="9"/>
      <c r="E32" s="9"/>
      <c r="F32" s="9"/>
      <c r="G32" s="9"/>
      <c r="H32" s="9"/>
      <c r="I32" s="9"/>
    </row>
    <row r="33" spans="2:9" ht="14" customHeight="1" x14ac:dyDescent="0.3">
      <c r="B33" s="1" t="s">
        <v>150</v>
      </c>
    </row>
    <row r="34" spans="2:9" ht="14" customHeight="1" x14ac:dyDescent="0.3">
      <c r="B34" s="1" t="s">
        <v>151</v>
      </c>
    </row>
    <row r="36" spans="2:9" ht="14" customHeight="1" x14ac:dyDescent="0.3">
      <c r="B36" s="28" t="s">
        <v>152</v>
      </c>
      <c r="C36" s="28" t="s">
        <v>153</v>
      </c>
      <c r="D36" s="29">
        <f>'DCF Model'!C26-0.02</f>
        <v>8.1449999999999995E-2</v>
      </c>
      <c r="E36" s="29">
        <f>'DCF Model'!C26-0.01</f>
        <v>9.1450000000000004E-2</v>
      </c>
      <c r="F36" s="29">
        <f>'DCF Model'!C26</f>
        <v>0.10145</v>
      </c>
      <c r="G36" s="29">
        <f>'DCF Model'!C26+0.01</f>
        <v>0.11144999999999999</v>
      </c>
      <c r="H36" s="29">
        <f>'DCF Model'!C26+0.02</f>
        <v>0.12145</v>
      </c>
    </row>
    <row r="37" spans="2:9" ht="14" customHeight="1" x14ac:dyDescent="0.3">
      <c r="B37" s="3" t="s">
        <v>154</v>
      </c>
    </row>
    <row r="38" spans="2:9" ht="14" customHeight="1" x14ac:dyDescent="0.3">
      <c r="B38" s="4" t="s">
        <v>155</v>
      </c>
      <c r="C38" s="30">
        <v>3</v>
      </c>
      <c r="D38" s="13">
        <f t="shared" ref="D38:H41" si="0">IFERROR((1-(1+D$36)^(-$C38))/D$36-(1+D$36)/(D$36^2*$C38)*(1-($C38+1)/(1+D$36)^$C38+$C38/(1+D$36)^($C38+1)),"N/A")</f>
        <v>0.9014700791933723</v>
      </c>
      <c r="E38" s="13">
        <f t="shared" si="0"/>
        <v>0.89062329257080108</v>
      </c>
      <c r="F38" s="13">
        <f t="shared" si="0"/>
        <v>0.88002001590125079</v>
      </c>
      <c r="G38" s="13">
        <f t="shared" si="0"/>
        <v>0.86965243111760793</v>
      </c>
      <c r="H38" s="13">
        <f t="shared" si="0"/>
        <v>0.85951304302992249</v>
      </c>
    </row>
    <row r="39" spans="2:9" ht="14" customHeight="1" x14ac:dyDescent="0.3">
      <c r="B39" s="4" t="s">
        <v>156</v>
      </c>
      <c r="C39" s="30">
        <v>5</v>
      </c>
      <c r="D39" s="13">
        <f t="shared" si="0"/>
        <v>1.715248869808828</v>
      </c>
      <c r="E39" s="13">
        <f t="shared" si="0"/>
        <v>1.6852146023237466</v>
      </c>
      <c r="F39" s="13">
        <f t="shared" si="0"/>
        <v>1.6561037657601836</v>
      </c>
      <c r="G39" s="13">
        <f t="shared" si="0"/>
        <v>1.6278775247997217</v>
      </c>
      <c r="H39" s="13">
        <f t="shared" si="0"/>
        <v>1.60049907507398</v>
      </c>
    </row>
    <row r="40" spans="2:9" ht="14" customHeight="1" x14ac:dyDescent="0.3">
      <c r="B40" s="4" t="s">
        <v>157</v>
      </c>
      <c r="C40" s="30">
        <v>7</v>
      </c>
      <c r="D40" s="13">
        <f t="shared" si="0"/>
        <v>2.450908113893171</v>
      </c>
      <c r="E40" s="13">
        <f t="shared" si="0"/>
        <v>2.3953893943926867</v>
      </c>
      <c r="F40" s="13">
        <f t="shared" si="0"/>
        <v>2.342017368632666</v>
      </c>
      <c r="G40" s="13">
        <f t="shared" si="0"/>
        <v>2.290681182165248</v>
      </c>
      <c r="H40" s="13">
        <f t="shared" si="0"/>
        <v>2.2412769584149252</v>
      </c>
    </row>
    <row r="41" spans="2:9" ht="14" customHeight="1" x14ac:dyDescent="0.3">
      <c r="B41" s="4" t="s">
        <v>158</v>
      </c>
      <c r="C41" s="30">
        <v>10</v>
      </c>
      <c r="D41" s="13">
        <f t="shared" si="0"/>
        <v>3.4261555475794592</v>
      </c>
      <c r="E41" s="13">
        <f t="shared" si="0"/>
        <v>3.3241468200012751</v>
      </c>
      <c r="F41" s="13">
        <f t="shared" si="0"/>
        <v>3.227224757064826</v>
      </c>
      <c r="G41" s="13">
        <f t="shared" si="0"/>
        <v>3.1350569704762057</v>
      </c>
      <c r="H41" s="13">
        <f t="shared" si="0"/>
        <v>3.0473370911371416</v>
      </c>
    </row>
    <row r="42" spans="2:9" ht="14" customHeight="1" x14ac:dyDescent="0.3">
      <c r="B42" s="3" t="s">
        <v>159</v>
      </c>
    </row>
    <row r="43" spans="2:9" ht="14" customHeight="1" x14ac:dyDescent="0.3">
      <c r="B43" s="4" t="s">
        <v>155</v>
      </c>
      <c r="C43" s="30">
        <v>3</v>
      </c>
      <c r="D43" s="13">
        <f t="shared" ref="D43:H46" si="1">IFERROR((1+D$36)/(D$36^2*$C43)*(1-($C43+1)/(1+D$36)^$C43+$C43/(1+D$36)^($C43+1))+(1+$C$12)/((D$36-$C$12)*(1+D$36)^$C43),"N/A")</f>
        <v>12.845244296433064</v>
      </c>
      <c r="E43" s="13">
        <f t="shared" si="1"/>
        <v>11.171297210844399</v>
      </c>
      <c r="F43" s="13">
        <f t="shared" si="1"/>
        <v>9.8655058552676458</v>
      </c>
      <c r="G43" s="13">
        <f t="shared" si="1"/>
        <v>8.8189398104145926</v>
      </c>
      <c r="H43" s="13">
        <f t="shared" si="1"/>
        <v>7.9617667754741559</v>
      </c>
    </row>
    <row r="44" spans="2:9" ht="14" customHeight="1" x14ac:dyDescent="0.3">
      <c r="B44" s="4" t="s">
        <v>156</v>
      </c>
      <c r="C44" s="30">
        <v>5</v>
      </c>
      <c r="D44" s="13">
        <f t="shared" si="1"/>
        <v>11.818485924065161</v>
      </c>
      <c r="E44" s="13">
        <f t="shared" si="1"/>
        <v>10.195763221729358</v>
      </c>
      <c r="F44" s="13">
        <f t="shared" si="1"/>
        <v>8.9332957569496969</v>
      </c>
      <c r="G44" s="13">
        <f t="shared" si="1"/>
        <v>7.9243289562938859</v>
      </c>
      <c r="H44" s="13">
        <f t="shared" si="1"/>
        <v>7.1004343536688346</v>
      </c>
    </row>
    <row r="45" spans="2:9" ht="14" customHeight="1" x14ac:dyDescent="0.3">
      <c r="B45" s="4" t="s">
        <v>157</v>
      </c>
      <c r="C45" s="30">
        <v>7</v>
      </c>
      <c r="D45" s="13">
        <f t="shared" si="1"/>
        <v>10.90072033413149</v>
      </c>
      <c r="E45" s="13">
        <f t="shared" si="1"/>
        <v>9.333696980170906</v>
      </c>
      <c r="F45" s="13">
        <f t="shared" si="1"/>
        <v>8.1186916127051667</v>
      </c>
      <c r="G45" s="13">
        <f t="shared" si="1"/>
        <v>7.1511201903597623</v>
      </c>
      <c r="H45" s="13">
        <f t="shared" si="1"/>
        <v>6.3639649981751552</v>
      </c>
    </row>
    <row r="46" spans="2:9" ht="14" customHeight="1" x14ac:dyDescent="0.3">
      <c r="B46" s="4" t="s">
        <v>158</v>
      </c>
      <c r="C46" s="30">
        <v>10</v>
      </c>
      <c r="D46" s="13">
        <f t="shared" si="1"/>
        <v>9.7005909455630839</v>
      </c>
      <c r="E46" s="13">
        <f t="shared" si="1"/>
        <v>8.2215784429687861</v>
      </c>
      <c r="F46" s="13">
        <f t="shared" si="1"/>
        <v>7.0815800013870334</v>
      </c>
      <c r="G46" s="13">
        <f t="shared" si="1"/>
        <v>6.1792871392917323</v>
      </c>
      <c r="H46" s="13">
        <f t="shared" si="1"/>
        <v>5.4498357125583325</v>
      </c>
    </row>
    <row r="47" spans="2:9" ht="14" customHeight="1" x14ac:dyDescent="0.3">
      <c r="B47" s="22" t="s">
        <v>160</v>
      </c>
      <c r="C47" s="23"/>
      <c r="D47" s="23"/>
      <c r="E47" s="23"/>
      <c r="F47" s="23"/>
      <c r="G47" s="23"/>
      <c r="H47" s="23"/>
      <c r="I47" s="23"/>
    </row>
    <row r="48" spans="2:9" ht="14" customHeight="1" x14ac:dyDescent="0.3">
      <c r="B48" s="4" t="s">
        <v>155</v>
      </c>
      <c r="C48" s="30">
        <v>3</v>
      </c>
      <c r="D48" s="5">
        <f t="shared" ref="D48:H51" si="2">IFERROR(($C$10/(1-$C$13)-$C$14*D38)/D43,"N/A")</f>
        <v>2237693.1371372705</v>
      </c>
      <c r="E48" s="5">
        <f t="shared" si="2"/>
        <v>2573609.3212855286</v>
      </c>
      <c r="F48" s="5">
        <f t="shared" si="2"/>
        <v>2914928.1477224049</v>
      </c>
      <c r="G48" s="5">
        <f t="shared" si="2"/>
        <v>3261591.3912810679</v>
      </c>
      <c r="H48" s="5">
        <f t="shared" si="2"/>
        <v>3613541.132356145</v>
      </c>
    </row>
    <row r="49" spans="2:9" ht="14" customHeight="1" x14ac:dyDescent="0.3">
      <c r="B49" s="4" t="s">
        <v>156</v>
      </c>
      <c r="C49" s="30">
        <v>5</v>
      </c>
      <c r="D49" s="5">
        <f t="shared" si="2"/>
        <v>2388679.3230285081</v>
      </c>
      <c r="E49" s="5">
        <f t="shared" si="2"/>
        <v>2770710.8295784486</v>
      </c>
      <c r="F49" s="5">
        <f t="shared" si="2"/>
        <v>3164326.8818399357</v>
      </c>
      <c r="G49" s="5">
        <f t="shared" si="2"/>
        <v>3569471.5097308564</v>
      </c>
      <c r="H49" s="5">
        <f t="shared" si="2"/>
        <v>3986084.3689809204</v>
      </c>
    </row>
    <row r="50" spans="2:9" ht="14" customHeight="1" x14ac:dyDescent="0.3">
      <c r="B50" s="4" t="s">
        <v>157</v>
      </c>
      <c r="C50" s="30">
        <v>7</v>
      </c>
      <c r="D50" s="5">
        <f t="shared" si="2"/>
        <v>2547234.4636539733</v>
      </c>
      <c r="E50" s="5">
        <f t="shared" si="2"/>
        <v>2978637.3872235548</v>
      </c>
      <c r="F50" s="5">
        <f t="shared" si="2"/>
        <v>3428551.637650548</v>
      </c>
      <c r="G50" s="5">
        <f t="shared" si="2"/>
        <v>3896973.2835675199</v>
      </c>
      <c r="H50" s="5">
        <f t="shared" si="2"/>
        <v>4383882.8482824378</v>
      </c>
    </row>
    <row r="51" spans="2:9" ht="14" customHeight="1" x14ac:dyDescent="0.3">
      <c r="B51" s="4" t="s">
        <v>158</v>
      </c>
      <c r="C51" s="30">
        <v>10</v>
      </c>
      <c r="D51" s="5">
        <f t="shared" si="2"/>
        <v>2798977.0744487429</v>
      </c>
      <c r="E51" s="5">
        <f t="shared" si="2"/>
        <v>3310319.9332525358</v>
      </c>
      <c r="F51" s="5">
        <f t="shared" si="2"/>
        <v>3851848.1541797062</v>
      </c>
      <c r="G51" s="5">
        <f t="shared" si="2"/>
        <v>4423696.1651918888</v>
      </c>
      <c r="H51" s="5">
        <f t="shared" si="2"/>
        <v>5025950.0519881798</v>
      </c>
    </row>
    <row r="52" spans="2:9" ht="14" customHeight="1" x14ac:dyDescent="0.3">
      <c r="B52" s="22" t="s">
        <v>161</v>
      </c>
      <c r="C52" s="23"/>
      <c r="D52" s="23"/>
      <c r="E52" s="23"/>
      <c r="F52" s="23"/>
      <c r="G52" s="23"/>
      <c r="H52" s="23"/>
      <c r="I52" s="23"/>
    </row>
    <row r="53" spans="2:9" ht="14" customHeight="1" x14ac:dyDescent="0.3">
      <c r="B53" s="4" t="s">
        <v>155</v>
      </c>
      <c r="C53" s="30">
        <v>3</v>
      </c>
      <c r="D53" s="14">
        <f t="shared" ref="D53:H56" si="3">IFERROR(D48/$C$15,"N/A")</f>
        <v>3.5487000384372647</v>
      </c>
      <c r="E53" s="14">
        <f t="shared" si="3"/>
        <v>4.0814208819769009</v>
      </c>
      <c r="F53" s="14">
        <f t="shared" si="3"/>
        <v>4.62270963707648</v>
      </c>
      <c r="G53" s="14">
        <f t="shared" si="3"/>
        <v>5.1724739659402852</v>
      </c>
      <c r="H53" s="14">
        <f t="shared" si="3"/>
        <v>5.7306220153546645</v>
      </c>
    </row>
    <row r="54" spans="2:9" ht="14" customHeight="1" x14ac:dyDescent="0.3">
      <c r="B54" s="4" t="s">
        <v>156</v>
      </c>
      <c r="C54" s="30">
        <v>5</v>
      </c>
      <c r="D54" s="14">
        <f t="shared" si="3"/>
        <v>3.7881451503623058</v>
      </c>
      <c r="E54" s="14">
        <f t="shared" si="3"/>
        <v>4.39399909855487</v>
      </c>
      <c r="F54" s="14">
        <f t="shared" si="3"/>
        <v>5.0182246800735459</v>
      </c>
      <c r="G54" s="14">
        <f t="shared" si="3"/>
        <v>5.660733133403518</v>
      </c>
      <c r="H54" s="14">
        <f t="shared" si="3"/>
        <v>6.3214287601173558</v>
      </c>
    </row>
    <row r="55" spans="2:9" ht="14" customHeight="1" x14ac:dyDescent="0.3">
      <c r="B55" s="4" t="s">
        <v>157</v>
      </c>
      <c r="C55" s="30">
        <v>7</v>
      </c>
      <c r="D55" s="14">
        <f t="shared" si="3"/>
        <v>4.0395936730814856</v>
      </c>
      <c r="E55" s="14">
        <f t="shared" si="3"/>
        <v>4.7237444827013704</v>
      </c>
      <c r="F55" s="14">
        <f t="shared" si="3"/>
        <v>5.4372519298513051</v>
      </c>
      <c r="G55" s="14">
        <f t="shared" si="3"/>
        <v>6.1801097798767142</v>
      </c>
      <c r="H55" s="14">
        <f t="shared" si="3"/>
        <v>6.9522871451922441</v>
      </c>
    </row>
    <row r="56" spans="2:9" ht="14" customHeight="1" x14ac:dyDescent="0.3">
      <c r="B56" s="4" t="s">
        <v>158</v>
      </c>
      <c r="C56" s="30">
        <v>10</v>
      </c>
      <c r="D56" s="14">
        <f t="shared" si="3"/>
        <v>4.4388258098643645</v>
      </c>
      <c r="E56" s="14">
        <f t="shared" si="3"/>
        <v>5.2497513083503193</v>
      </c>
      <c r="F56" s="14">
        <f t="shared" si="3"/>
        <v>6.1085469968769477</v>
      </c>
      <c r="G56" s="14">
        <f t="shared" si="3"/>
        <v>7.0154260612938657</v>
      </c>
      <c r="H56" s="14">
        <f t="shared" si="3"/>
        <v>7.9705250226989044</v>
      </c>
    </row>
    <row r="58" spans="2:9" ht="14" customHeight="1" x14ac:dyDescent="0.3">
      <c r="B58" s="8" t="s">
        <v>162</v>
      </c>
      <c r="C58" s="9"/>
      <c r="D58" s="9"/>
      <c r="E58" s="9"/>
      <c r="F58" s="9"/>
      <c r="G58" s="9"/>
      <c r="H58" s="9"/>
      <c r="I58" s="9"/>
    </row>
    <row r="59" spans="2:9" ht="14" customHeight="1" x14ac:dyDescent="0.3">
      <c r="B59" s="1" t="s">
        <v>163</v>
      </c>
    </row>
    <row r="60" spans="2:9" ht="14" customHeight="1" x14ac:dyDescent="0.3">
      <c r="B60" s="4" t="s">
        <v>164</v>
      </c>
      <c r="C60" s="5">
        <f>F49</f>
        <v>3164326.8818399357</v>
      </c>
    </row>
    <row r="62" spans="2:9" ht="14" customHeight="1" x14ac:dyDescent="0.3">
      <c r="B62" s="28" t="s">
        <v>165</v>
      </c>
      <c r="C62" s="28" t="s">
        <v>166</v>
      </c>
      <c r="D62" s="28" t="s">
        <v>167</v>
      </c>
    </row>
    <row r="63" spans="2:9" ht="14" customHeight="1" x14ac:dyDescent="0.3">
      <c r="B63" s="31">
        <v>8.5300000000000001E-2</v>
      </c>
      <c r="C63" s="5">
        <f>IFERROR($C$60/B63,"N/A")</f>
        <v>37096446.445954695</v>
      </c>
      <c r="D63" s="14">
        <f>IFERROR(C63/'DCF Model'!C17,"N/A")</f>
        <v>10.033249871585006</v>
      </c>
    </row>
    <row r="64" spans="2:9" ht="14" customHeight="1" x14ac:dyDescent="0.3">
      <c r="B64" s="31">
        <v>0.12790000000000001</v>
      </c>
      <c r="C64" s="5">
        <f>IFERROR($C$60/B64,"N/A")</f>
        <v>24740632.383424044</v>
      </c>
      <c r="D64" s="14">
        <f>IFERROR(C64/'DCF Model'!C17,"N/A")</f>
        <v>6.6914481160766295</v>
      </c>
    </row>
    <row r="65" spans="2:9" ht="14" customHeight="1" x14ac:dyDescent="0.3">
      <c r="B65" s="4" t="s">
        <v>168</v>
      </c>
      <c r="C65" s="5">
        <f>IFERROR($C$60/$C$18,"N/A")</f>
        <v>18554138.039094605</v>
      </c>
      <c r="D65" s="14">
        <f>IFERROR(C65/'DCF Model'!C17,"N/A")</f>
        <v>5.0182246800735459</v>
      </c>
    </row>
    <row r="66" spans="2:9" ht="14" customHeight="1" x14ac:dyDescent="0.3">
      <c r="B66" s="31">
        <v>0.2132</v>
      </c>
      <c r="C66" s="5">
        <f>IFERROR($C$60/B66,"N/A")</f>
        <v>14842058.545215458</v>
      </c>
      <c r="D66" s="14">
        <f>IFERROR(C66/'DCF Model'!C17,"N/A")</f>
        <v>4.0142411540628569</v>
      </c>
    </row>
    <row r="67" spans="2:9" ht="14" customHeight="1" x14ac:dyDescent="0.3">
      <c r="B67" s="31">
        <v>0.25580000000000003</v>
      </c>
      <c r="C67" s="5">
        <f>IFERROR($C$60/B67,"N/A")</f>
        <v>12370316.191712022</v>
      </c>
      <c r="D67" s="14">
        <f>IFERROR(C67/'DCF Model'!C17,"N/A")</f>
        <v>3.3457240580383147</v>
      </c>
    </row>
    <row r="69" spans="2:9" ht="14" customHeight="1" x14ac:dyDescent="0.3">
      <c r="B69" s="8" t="s">
        <v>169</v>
      </c>
      <c r="C69" s="9"/>
      <c r="D69" s="9"/>
      <c r="E69" s="9"/>
      <c r="F69" s="9"/>
      <c r="G69" s="9"/>
      <c r="H69" s="9"/>
      <c r="I69" s="9"/>
    </row>
    <row r="70" spans="2:9" ht="13.5" customHeight="1" x14ac:dyDescent="0.25">
      <c r="B70" s="6" t="s">
        <v>170</v>
      </c>
      <c r="C70" s="14">
        <f>IFERROR(C10/'Comps Analysis'!G5,"N/A")</f>
        <v>29.803149239748439</v>
      </c>
    </row>
    <row r="71" spans="2:9" ht="13.5" customHeight="1" x14ac:dyDescent="0.25">
      <c r="B71" s="6" t="s">
        <v>171</v>
      </c>
      <c r="C71" s="14">
        <f>IFERROR(C10/'Comps Analysis'!F5,"N/A")</f>
        <v>5.9459094410579354</v>
      </c>
    </row>
    <row r="72" spans="2:9" ht="14" customHeight="1" x14ac:dyDescent="0.3">
      <c r="B72" s="4" t="s">
        <v>172</v>
      </c>
      <c r="C72" s="14">
        <f>IFERROR(C10/(C25+'DCF Model'!G42),"N/A")</f>
        <v>7.8031686832923484</v>
      </c>
    </row>
    <row r="73" spans="2:9" ht="14" customHeight="1" x14ac:dyDescent="0.3">
      <c r="B73" s="4" t="s">
        <v>173</v>
      </c>
      <c r="C73" s="14">
        <f>IFERROR(C10/(C60+'DCF Model'!G42),"N/A")</f>
        <v>6.6597091342973309</v>
      </c>
    </row>
    <row r="74" spans="2:9" ht="14" customHeight="1" x14ac:dyDescent="0.3">
      <c r="B74" s="4" t="s">
        <v>174</v>
      </c>
      <c r="C74" s="14">
        <f>IFERROR('Comps Analysis'!D16,"N/A")</f>
        <v>10.198870112493186</v>
      </c>
    </row>
    <row r="75" spans="2:9" ht="14" customHeight="1" x14ac:dyDescent="0.3">
      <c r="B75" s="1" t="s">
        <v>175</v>
      </c>
    </row>
    <row r="77" spans="2:9" ht="14" customHeight="1" x14ac:dyDescent="0.3">
      <c r="B77" s="22" t="s">
        <v>176</v>
      </c>
      <c r="C77" s="23"/>
      <c r="D77" s="23"/>
      <c r="E77" s="23"/>
      <c r="F77" s="23"/>
      <c r="G77" s="23"/>
      <c r="H77" s="23"/>
      <c r="I77" s="23"/>
    </row>
    <row r="78" spans="2:9" ht="14" customHeight="1" x14ac:dyDescent="0.3">
      <c r="B78" s="4" t="str">
        <f>"At "&amp;TEXT(C6,"#,##0")&amp;" yen the market is paying for a steady-state operating profit of "&amp;TEXT(F49,"#,##0")&amp;" mn JPY - "&amp;TEXT(F54,"0.00")&amp;"x the FY2026 cycle peak of "&amp;TEXT(C15,"#,##0")&amp;" mn - reached in 5 years and sustained for ever, against "&amp;TEXT(C14,"#,##0")&amp;" mn actually earned in FY2026."</f>
        <v>At 16,235 yen the market is paying for a steady-state operating profit of 3,164,327 mn JPY - 5.02x the FY2026 cycle peak of 630,567 mn - reached in 5 years and sustained for ever, against 630,567 mn actually earned in FY2026.</v>
      </c>
    </row>
    <row r="79" spans="2:9" ht="14" customHeight="1"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2,680,596 mn, or 4.25x the peak. The base case supports an EV of only 5,931,017 mn, leaving 11,571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customHeight="1" x14ac:dyDescent="0.4">
      <c r="B2" s="2" t="s">
        <v>177</v>
      </c>
    </row>
    <row r="4" spans="2:8" ht="14" customHeight="1" x14ac:dyDescent="0.3">
      <c r="B4" s="8" t="s">
        <v>178</v>
      </c>
      <c r="C4" s="32" t="s">
        <v>179</v>
      </c>
      <c r="D4" s="32" t="s">
        <v>86</v>
      </c>
      <c r="E4" s="32" t="s">
        <v>87</v>
      </c>
      <c r="F4" s="32" t="s">
        <v>88</v>
      </c>
      <c r="G4" s="32" t="s">
        <v>89</v>
      </c>
      <c r="H4" s="32" t="s">
        <v>90</v>
      </c>
    </row>
    <row r="5" spans="2:8" ht="14" customHeight="1" x14ac:dyDescent="0.3">
      <c r="B5" s="33" t="s">
        <v>180</v>
      </c>
      <c r="C5" s="34">
        <f>C12/C9*365</f>
        <v>63.108106317198448</v>
      </c>
      <c r="D5" s="34">
        <f>CHOOSE('DCF Model'!$D$27,D25,D26,D27,D28,D29)</f>
        <v>59</v>
      </c>
      <c r="E5" s="34">
        <f>CHOOSE('DCF Model'!$D$27,E25,E26,E27,E28,E29)</f>
        <v>59</v>
      </c>
      <c r="F5" s="34">
        <f>CHOOSE('DCF Model'!$D$27,F25,F26,F27,F28,F29)</f>
        <v>59</v>
      </c>
      <c r="G5" s="34">
        <f>CHOOSE('DCF Model'!$D$27,G25,G26,G27,G28,G29)</f>
        <v>59</v>
      </c>
      <c r="H5" s="34">
        <f>CHOOSE('DCF Model'!$D$27,H25,H26,H27,H28,H29)</f>
        <v>59</v>
      </c>
    </row>
    <row r="6" spans="2:8" ht="14" customHeight="1" x14ac:dyDescent="0.3">
      <c r="B6" s="33" t="s">
        <v>181</v>
      </c>
      <c r="C6" s="34">
        <f>C13/C10*365</f>
        <v>0</v>
      </c>
      <c r="D6" s="34">
        <f>CHOOSE('DCF Model'!$D$27,D32,D33,D34,D35,D36)</f>
        <v>0</v>
      </c>
      <c r="E6" s="34">
        <f>CHOOSE('DCF Model'!$D$27,E32,E33,E34,E35,E36)</f>
        <v>0</v>
      </c>
      <c r="F6" s="34">
        <f>CHOOSE('DCF Model'!$D$27,F32,F33,F34,F35,F36)</f>
        <v>0</v>
      </c>
      <c r="G6" s="34">
        <f>CHOOSE('DCF Model'!$D$27,G32,G33,G34,G35,G36)</f>
        <v>0</v>
      </c>
      <c r="H6" s="34">
        <f>CHOOSE('DCF Model'!$D$27,H32,H33,H34,H35,H36)</f>
        <v>0</v>
      </c>
    </row>
    <row r="7" spans="2:8" ht="14" customHeight="1" x14ac:dyDescent="0.3">
      <c r="B7" s="33" t="s">
        <v>182</v>
      </c>
      <c r="C7" s="34">
        <f>C15/C10*365</f>
        <v>102.92008579629939</v>
      </c>
      <c r="D7" s="34">
        <f>CHOOSE('DCF Model'!$D$27,D39,D40,D41,D42,D43)</f>
        <v>94</v>
      </c>
      <c r="E7" s="34">
        <f>CHOOSE('DCF Model'!$D$27,E39,E40,E41,E42,E43)</f>
        <v>94</v>
      </c>
      <c r="F7" s="34">
        <f>CHOOSE('DCF Model'!$D$27,F39,F40,F41,F42,F43)</f>
        <v>94</v>
      </c>
      <c r="G7" s="34">
        <f>CHOOSE('DCF Model'!$D$27,G39,G40,G41,G42,G43)</f>
        <v>94</v>
      </c>
      <c r="H7" s="34">
        <f>CHOOSE('DCF Model'!$D$27,H39,H40,H41,H42,H43)</f>
        <v>94</v>
      </c>
    </row>
    <row r="8" spans="2:8" ht="14" customHeight="1" x14ac:dyDescent="0.3">
      <c r="B8" s="8" t="s">
        <v>183</v>
      </c>
      <c r="C8" s="9"/>
      <c r="D8" s="9"/>
      <c r="E8" s="9"/>
      <c r="F8" s="9"/>
      <c r="G8" s="9"/>
      <c r="H8" s="9"/>
    </row>
    <row r="9" spans="2:8" ht="14" customHeight="1" x14ac:dyDescent="0.3">
      <c r="B9" s="33" t="s">
        <v>37</v>
      </c>
      <c r="C9" s="35">
        <v>3697351</v>
      </c>
      <c r="D9" s="35">
        <f>'DCF Model'!C33</f>
        <v>3882218.5500000003</v>
      </c>
      <c r="E9" s="35">
        <f>'DCF Model'!D33</f>
        <v>4056918.3847500002</v>
      </c>
      <c r="F9" s="35">
        <f>'DCF Model'!E33</f>
        <v>4219195.1201400002</v>
      </c>
      <c r="G9" s="35">
        <f>'DCF Model'!F33</f>
        <v>4366866.9493448995</v>
      </c>
      <c r="H9" s="35">
        <f>'DCF Model'!G33</f>
        <v>4497872.9578252463</v>
      </c>
    </row>
    <row r="10" spans="2:8" ht="14" customHeight="1" x14ac:dyDescent="0.3">
      <c r="B10" s="33" t="s">
        <v>38</v>
      </c>
      <c r="C10" s="35">
        <v>1509156</v>
      </c>
      <c r="D10" s="35">
        <f>'DCF Model'!C34</f>
        <v>1746998.3475000001</v>
      </c>
      <c r="E10" s="35">
        <f>'DCF Model'!D34</f>
        <v>1825613.2731375</v>
      </c>
      <c r="F10" s="35">
        <f>'DCF Model'!E34</f>
        <v>1898637.8040630003</v>
      </c>
      <c r="G10" s="35">
        <f>'DCF Model'!F34</f>
        <v>1965090.1272052049</v>
      </c>
      <c r="H10" s="35">
        <f>'DCF Model'!G34</f>
        <v>2024042.8310213608</v>
      </c>
    </row>
    <row r="11" spans="2:8" ht="14" customHeight="1" x14ac:dyDescent="0.3">
      <c r="B11" s="8" t="s">
        <v>184</v>
      </c>
      <c r="C11" s="9"/>
      <c r="D11" s="9"/>
      <c r="E11" s="9"/>
      <c r="F11" s="9"/>
      <c r="G11" s="9"/>
      <c r="H11" s="9"/>
    </row>
    <row r="12" spans="2:8" ht="14" customHeight="1" x14ac:dyDescent="0.3">
      <c r="B12" s="33" t="s">
        <v>185</v>
      </c>
      <c r="C12" s="35">
        <v>639268</v>
      </c>
      <c r="D12" s="35">
        <f t="shared" ref="D12:H13" si="0">D9*D5/365</f>
        <v>627536.69712328771</v>
      </c>
      <c r="E12" s="35">
        <f t="shared" si="0"/>
        <v>655775.84849383566</v>
      </c>
      <c r="F12" s="35">
        <f t="shared" si="0"/>
        <v>682006.88243358908</v>
      </c>
      <c r="G12" s="35">
        <f t="shared" si="0"/>
        <v>705877.12331876461</v>
      </c>
      <c r="H12" s="35">
        <f t="shared" si="0"/>
        <v>727053.43701832753</v>
      </c>
    </row>
    <row r="13" spans="2:8" ht="14" customHeight="1" x14ac:dyDescent="0.3">
      <c r="B13" s="33" t="s">
        <v>186</v>
      </c>
      <c r="C13" s="35">
        <v>0</v>
      </c>
      <c r="D13" s="35">
        <f t="shared" si="0"/>
        <v>0</v>
      </c>
      <c r="E13" s="35">
        <f t="shared" si="0"/>
        <v>0</v>
      </c>
      <c r="F13" s="35">
        <f t="shared" si="0"/>
        <v>0</v>
      </c>
      <c r="G13" s="35">
        <f t="shared" si="0"/>
        <v>0</v>
      </c>
      <c r="H13" s="35">
        <f t="shared" si="0"/>
        <v>0</v>
      </c>
    </row>
    <row r="14" spans="2:8" ht="14" customHeight="1" x14ac:dyDescent="0.3">
      <c r="B14" s="33" t="s">
        <v>187</v>
      </c>
      <c r="C14" s="35">
        <f t="shared" ref="C14:H14" si="1">C12+C13</f>
        <v>639268</v>
      </c>
      <c r="D14" s="35">
        <f t="shared" si="1"/>
        <v>627536.69712328771</v>
      </c>
      <c r="E14" s="35">
        <f t="shared" si="1"/>
        <v>655775.84849383566</v>
      </c>
      <c r="F14" s="35">
        <f t="shared" si="1"/>
        <v>682006.88243358908</v>
      </c>
      <c r="G14" s="35">
        <f t="shared" si="1"/>
        <v>705877.12331876461</v>
      </c>
      <c r="H14" s="35">
        <f t="shared" si="1"/>
        <v>727053.43701832753</v>
      </c>
    </row>
    <row r="15" spans="2:8" ht="14" customHeight="1" x14ac:dyDescent="0.3">
      <c r="B15" s="33" t="s">
        <v>188</v>
      </c>
      <c r="C15" s="35">
        <v>425541</v>
      </c>
      <c r="D15" s="35">
        <f>D10*D7/365</f>
        <v>449911.9031917809</v>
      </c>
      <c r="E15" s="35">
        <f>E10*E7/365</f>
        <v>470157.93883541098</v>
      </c>
      <c r="F15" s="35">
        <f>F10*F7/365</f>
        <v>488964.25638882746</v>
      </c>
      <c r="G15" s="35">
        <f>G10*G7/365</f>
        <v>506078.00536243629</v>
      </c>
      <c r="H15" s="35">
        <f>H10*H7/365</f>
        <v>521260.34552330937</v>
      </c>
    </row>
    <row r="16" spans="2:8" ht="14" customHeight="1" x14ac:dyDescent="0.3">
      <c r="B16" s="33" t="s">
        <v>189</v>
      </c>
      <c r="C16" s="35">
        <f t="shared" ref="C16:H16" si="2">C15</f>
        <v>425541</v>
      </c>
      <c r="D16" s="35">
        <f t="shared" si="2"/>
        <v>449911.9031917809</v>
      </c>
      <c r="E16" s="35">
        <f t="shared" si="2"/>
        <v>470157.93883541098</v>
      </c>
      <c r="F16" s="35">
        <f t="shared" si="2"/>
        <v>488964.25638882746</v>
      </c>
      <c r="G16" s="35">
        <f t="shared" si="2"/>
        <v>506078.00536243629</v>
      </c>
      <c r="H16" s="35">
        <f t="shared" si="2"/>
        <v>521260.34552330937</v>
      </c>
    </row>
    <row r="17" spans="2:8" ht="14" customHeight="1" x14ac:dyDescent="0.3">
      <c r="B17" s="22" t="s">
        <v>190</v>
      </c>
      <c r="C17" s="23"/>
      <c r="D17" s="23"/>
      <c r="E17" s="23"/>
      <c r="F17" s="23"/>
      <c r="G17" s="23"/>
      <c r="H17" s="23"/>
    </row>
    <row r="18" spans="2:8" ht="14" customHeight="1" x14ac:dyDescent="0.3">
      <c r="B18" s="33" t="s">
        <v>191</v>
      </c>
      <c r="C18" s="20">
        <f t="shared" ref="C18:H18" si="3">C14-C16</f>
        <v>213727</v>
      </c>
      <c r="D18" s="20">
        <f t="shared" si="3"/>
        <v>177624.79393150681</v>
      </c>
      <c r="E18" s="20">
        <f t="shared" si="3"/>
        <v>185617.90965842467</v>
      </c>
      <c r="F18" s="20">
        <f t="shared" si="3"/>
        <v>193042.62604476162</v>
      </c>
      <c r="G18" s="20">
        <f t="shared" si="3"/>
        <v>199799.11795632832</v>
      </c>
      <c r="H18" s="20">
        <f t="shared" si="3"/>
        <v>205793.09149501816</v>
      </c>
    </row>
    <row r="19" spans="2:8" ht="14" customHeight="1" x14ac:dyDescent="0.3">
      <c r="B19" s="33" t="s">
        <v>100</v>
      </c>
      <c r="C19" s="36" t="s">
        <v>47</v>
      </c>
      <c r="D19" s="24">
        <f>D18-C18</f>
        <v>-36102.206068493193</v>
      </c>
      <c r="E19" s="24">
        <f>E18-D18</f>
        <v>7993.1157269178657</v>
      </c>
      <c r="F19" s="24">
        <f>F18-E18</f>
        <v>7424.7163863369497</v>
      </c>
      <c r="G19" s="24">
        <f>G18-F18</f>
        <v>6756.4919115666999</v>
      </c>
      <c r="H19" s="24">
        <f>H18-G18</f>
        <v>5993.9735386898392</v>
      </c>
    </row>
    <row r="22" spans="2:8" ht="14" customHeight="1" x14ac:dyDescent="0.3">
      <c r="B22" s="22" t="s">
        <v>192</v>
      </c>
      <c r="C22" s="23"/>
      <c r="D22" s="23"/>
      <c r="E22" s="23"/>
      <c r="F22" s="23"/>
      <c r="G22" s="23"/>
      <c r="H22" s="23"/>
    </row>
    <row r="23" spans="2:8" ht="14" customHeight="1" x14ac:dyDescent="0.3">
      <c r="D23" s="25" t="s">
        <v>86</v>
      </c>
      <c r="E23" s="25" t="s">
        <v>87</v>
      </c>
      <c r="F23" s="25" t="s">
        <v>88</v>
      </c>
      <c r="G23" s="25" t="s">
        <v>89</v>
      </c>
      <c r="H23" s="25" t="s">
        <v>90</v>
      </c>
    </row>
    <row r="24" spans="2:8" ht="14" customHeight="1" x14ac:dyDescent="0.3">
      <c r="B24" s="3" t="s">
        <v>193</v>
      </c>
    </row>
    <row r="25" spans="2:8" ht="14" customHeight="1" x14ac:dyDescent="0.3">
      <c r="B25" s="4" t="s">
        <v>84</v>
      </c>
      <c r="D25" s="30">
        <v>59</v>
      </c>
      <c r="E25" s="30">
        <v>59</v>
      </c>
      <c r="F25" s="30">
        <v>59</v>
      </c>
      <c r="G25" s="30">
        <v>59</v>
      </c>
      <c r="H25" s="30">
        <v>59</v>
      </c>
    </row>
    <row r="26" spans="2:8" ht="14" customHeight="1" x14ac:dyDescent="0.3">
      <c r="B26" s="4" t="s">
        <v>121</v>
      </c>
      <c r="D26" s="30">
        <v>56</v>
      </c>
      <c r="E26" s="30">
        <v>56</v>
      </c>
      <c r="F26" s="30">
        <v>56</v>
      </c>
      <c r="G26" s="30">
        <v>56</v>
      </c>
      <c r="H26" s="30">
        <v>56</v>
      </c>
    </row>
    <row r="27" spans="2:8" ht="14" customHeight="1" x14ac:dyDescent="0.3">
      <c r="B27" s="4" t="s">
        <v>122</v>
      </c>
      <c r="D27" s="30">
        <v>59</v>
      </c>
      <c r="E27" s="30">
        <v>59</v>
      </c>
      <c r="F27" s="30">
        <v>59</v>
      </c>
      <c r="G27" s="30">
        <v>59</v>
      </c>
      <c r="H27" s="30">
        <v>59</v>
      </c>
    </row>
    <row r="28" spans="2:8" ht="14" customHeight="1" x14ac:dyDescent="0.3">
      <c r="B28" s="4" t="s">
        <v>123</v>
      </c>
      <c r="D28" s="30">
        <v>63</v>
      </c>
      <c r="E28" s="30">
        <v>63</v>
      </c>
      <c r="F28" s="30">
        <v>63</v>
      </c>
      <c r="G28" s="30">
        <v>63</v>
      </c>
      <c r="H28" s="30">
        <v>63</v>
      </c>
    </row>
    <row r="29" spans="2:8" ht="14" customHeight="1" x14ac:dyDescent="0.3">
      <c r="B29" s="4" t="s">
        <v>124</v>
      </c>
      <c r="D29" s="30">
        <v>67</v>
      </c>
      <c r="E29" s="30">
        <v>67</v>
      </c>
      <c r="F29" s="30">
        <v>67</v>
      </c>
      <c r="G29" s="30">
        <v>67</v>
      </c>
      <c r="H29" s="30">
        <v>67</v>
      </c>
    </row>
    <row r="31" spans="2:8" ht="14" customHeight="1" x14ac:dyDescent="0.3">
      <c r="B31" s="3" t="s">
        <v>194</v>
      </c>
    </row>
    <row r="32" spans="2:8" ht="14" customHeight="1" x14ac:dyDescent="0.3">
      <c r="B32" s="4" t="s">
        <v>84</v>
      </c>
      <c r="D32" s="30">
        <v>0</v>
      </c>
      <c r="E32" s="30">
        <v>0</v>
      </c>
      <c r="F32" s="30">
        <v>0</v>
      </c>
      <c r="G32" s="30">
        <v>0</v>
      </c>
      <c r="H32" s="30">
        <v>0</v>
      </c>
    </row>
    <row r="33" spans="2:8" ht="14" customHeight="1" x14ac:dyDescent="0.3">
      <c r="B33" s="4" t="s">
        <v>121</v>
      </c>
      <c r="D33" s="30">
        <v>0</v>
      </c>
      <c r="E33" s="30">
        <v>0</v>
      </c>
      <c r="F33" s="30">
        <v>0</v>
      </c>
      <c r="G33" s="30">
        <v>0</v>
      </c>
      <c r="H33" s="30">
        <v>0</v>
      </c>
    </row>
    <row r="34" spans="2:8" ht="14" customHeight="1" x14ac:dyDescent="0.3">
      <c r="B34" s="4" t="s">
        <v>122</v>
      </c>
      <c r="D34" s="30">
        <v>0</v>
      </c>
      <c r="E34" s="30">
        <v>0</v>
      </c>
      <c r="F34" s="30">
        <v>0</v>
      </c>
      <c r="G34" s="30">
        <v>0</v>
      </c>
      <c r="H34" s="30">
        <v>0</v>
      </c>
    </row>
    <row r="35" spans="2:8" ht="14" customHeight="1" x14ac:dyDescent="0.3">
      <c r="B35" s="4" t="s">
        <v>123</v>
      </c>
      <c r="D35" s="30">
        <v>7</v>
      </c>
      <c r="E35" s="30">
        <v>7</v>
      </c>
      <c r="F35" s="30">
        <v>7</v>
      </c>
      <c r="G35" s="30">
        <v>7</v>
      </c>
      <c r="H35" s="30">
        <v>7</v>
      </c>
    </row>
    <row r="36" spans="2:8" ht="14" customHeight="1" x14ac:dyDescent="0.3">
      <c r="B36" s="4" t="s">
        <v>124</v>
      </c>
      <c r="D36" s="30">
        <v>14</v>
      </c>
      <c r="E36" s="30">
        <v>14</v>
      </c>
      <c r="F36" s="30">
        <v>14</v>
      </c>
      <c r="G36" s="30">
        <v>14</v>
      </c>
      <c r="H36" s="30">
        <v>14</v>
      </c>
    </row>
    <row r="38" spans="2:8" ht="14" customHeight="1" x14ac:dyDescent="0.3">
      <c r="B38" s="3" t="s">
        <v>195</v>
      </c>
    </row>
    <row r="39" spans="2:8" ht="14" customHeight="1" x14ac:dyDescent="0.3">
      <c r="B39" s="4" t="s">
        <v>84</v>
      </c>
      <c r="D39" s="30">
        <v>94</v>
      </c>
      <c r="E39" s="30">
        <v>94</v>
      </c>
      <c r="F39" s="30">
        <v>94</v>
      </c>
      <c r="G39" s="30">
        <v>94</v>
      </c>
      <c r="H39" s="30">
        <v>94</v>
      </c>
    </row>
    <row r="40" spans="2:8" ht="14" customHeight="1" x14ac:dyDescent="0.3">
      <c r="B40" s="4" t="s">
        <v>121</v>
      </c>
      <c r="D40" s="30">
        <v>96</v>
      </c>
      <c r="E40" s="30">
        <v>96</v>
      </c>
      <c r="F40" s="30">
        <v>96</v>
      </c>
      <c r="G40" s="30">
        <v>96</v>
      </c>
      <c r="H40" s="30">
        <v>96</v>
      </c>
    </row>
    <row r="41" spans="2:8" ht="14" customHeight="1" x14ac:dyDescent="0.3">
      <c r="B41" s="4" t="s">
        <v>122</v>
      </c>
      <c r="D41" s="30">
        <v>94</v>
      </c>
      <c r="E41" s="30">
        <v>94</v>
      </c>
      <c r="F41" s="30">
        <v>94</v>
      </c>
      <c r="G41" s="30">
        <v>94</v>
      </c>
      <c r="H41" s="30">
        <v>94</v>
      </c>
    </row>
    <row r="42" spans="2:8" ht="14" customHeight="1" x14ac:dyDescent="0.3">
      <c r="B42" s="4" t="s">
        <v>123</v>
      </c>
      <c r="D42" s="30">
        <v>91</v>
      </c>
      <c r="E42" s="30">
        <v>91</v>
      </c>
      <c r="F42" s="30">
        <v>91</v>
      </c>
      <c r="G42" s="30">
        <v>91</v>
      </c>
      <c r="H42" s="30">
        <v>91</v>
      </c>
    </row>
    <row r="43" spans="2:8" ht="14" customHeight="1" x14ac:dyDescent="0.3">
      <c r="B43" s="4" t="s">
        <v>124</v>
      </c>
      <c r="D43" s="30">
        <v>88</v>
      </c>
      <c r="E43" s="30">
        <v>88</v>
      </c>
      <c r="F43" s="30">
        <v>88</v>
      </c>
      <c r="G43" s="30">
        <v>88</v>
      </c>
      <c r="H43" s="30">
        <v>88</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customHeight="1" x14ac:dyDescent="0.4">
      <c r="B2" s="2" t="s">
        <v>196</v>
      </c>
    </row>
    <row r="3" spans="2:17" ht="14" customHeight="1" x14ac:dyDescent="0.3">
      <c r="B3" s="1" t="s">
        <v>197</v>
      </c>
    </row>
    <row r="4" spans="2:17" ht="28" customHeight="1" x14ac:dyDescent="0.3">
      <c r="B4" s="10" t="s">
        <v>3</v>
      </c>
      <c r="C4" s="10" t="s">
        <v>5</v>
      </c>
      <c r="D4" s="10" t="s">
        <v>198</v>
      </c>
      <c r="E4" s="10" t="s">
        <v>199</v>
      </c>
      <c r="F4" s="10" t="s">
        <v>200</v>
      </c>
      <c r="G4" s="10" t="s">
        <v>201</v>
      </c>
      <c r="H4" s="10" t="s">
        <v>202</v>
      </c>
      <c r="I4" s="10" t="s">
        <v>203</v>
      </c>
      <c r="J4" s="10" t="s">
        <v>204</v>
      </c>
      <c r="K4" s="10" t="s">
        <v>205</v>
      </c>
      <c r="L4" s="10" t="s">
        <v>206</v>
      </c>
      <c r="M4" s="10" t="s">
        <v>207</v>
      </c>
      <c r="N4" s="10" t="s">
        <v>208</v>
      </c>
      <c r="O4" s="10" t="s">
        <v>209</v>
      </c>
      <c r="P4" s="10" t="s">
        <v>210</v>
      </c>
      <c r="Q4" s="10" t="s">
        <v>211</v>
      </c>
    </row>
    <row r="5" spans="2:17" ht="14" customHeight="1" x14ac:dyDescent="0.3">
      <c r="B5" s="4" t="s">
        <v>212</v>
      </c>
      <c r="C5" t="s">
        <v>213</v>
      </c>
      <c r="D5" s="37">
        <f>'Executive Summary'!C9*C23/1000000</f>
        <v>22523417.217804998</v>
      </c>
      <c r="E5" s="37">
        <f>D5+C24</f>
        <v>21984114.217804998</v>
      </c>
      <c r="F5" s="37">
        <v>3697351</v>
      </c>
      <c r="G5" s="37">
        <v>737644</v>
      </c>
      <c r="H5" s="37">
        <v>630567</v>
      </c>
      <c r="I5" s="37">
        <v>496912</v>
      </c>
      <c r="J5" s="38">
        <f t="shared" ref="J5:J10" si="0">IFERROR(E5/G5,"")</f>
        <v>29.803149239748439</v>
      </c>
      <c r="K5" s="38">
        <f t="shared" ref="K5:K10" si="1">IFERROR(E5/F5,"")</f>
        <v>5.9459094410579354</v>
      </c>
      <c r="L5" s="38">
        <f t="shared" ref="L5:L10" si="2">IFERROR(D5/I5,"")</f>
        <v>45.32677258308312</v>
      </c>
      <c r="M5" s="38">
        <f t="shared" ref="M5:M10" si="3">IFERROR(D5/P5,"")</f>
        <v>14.225426946149895</v>
      </c>
      <c r="N5" s="39">
        <f t="shared" ref="N5:N10" si="4">IFERROR(H5/F5,"")</f>
        <v>0.17054561495513951</v>
      </c>
      <c r="O5" s="39">
        <f t="shared" ref="O5:O10" si="5">IFERROR(I5/P5,"")</f>
        <v>0.31384160255564097</v>
      </c>
      <c r="P5" s="37">
        <v>1583321</v>
      </c>
    </row>
    <row r="6" spans="2:17" ht="14" customHeight="1" x14ac:dyDescent="0.3">
      <c r="B6" s="4" t="s">
        <v>214</v>
      </c>
      <c r="C6" t="s">
        <v>215</v>
      </c>
      <c r="D6" s="37">
        <v>667634</v>
      </c>
      <c r="E6" s="37">
        <v>666727</v>
      </c>
      <c r="F6" s="37">
        <v>1555833</v>
      </c>
      <c r="G6" s="37">
        <v>102919</v>
      </c>
      <c r="H6" s="37">
        <v>66512</v>
      </c>
      <c r="I6" s="37">
        <v>42688</v>
      </c>
      <c r="J6" s="38">
        <f t="shared" si="0"/>
        <v>6.4781721548013484</v>
      </c>
      <c r="K6" s="38">
        <f t="shared" si="1"/>
        <v>0.4285337822246989</v>
      </c>
      <c r="L6" s="38">
        <f t="shared" si="2"/>
        <v>15.639851949025488</v>
      </c>
      <c r="M6" s="38">
        <f t="shared" si="3"/>
        <v>3.0416266133330905</v>
      </c>
      <c r="N6" s="39">
        <f t="shared" si="4"/>
        <v>4.2750089501893844E-2</v>
      </c>
      <c r="O6" s="39">
        <f t="shared" si="5"/>
        <v>0.19447924591911581</v>
      </c>
      <c r="P6" s="37">
        <v>219499</v>
      </c>
    </row>
    <row r="7" spans="2:17" ht="14" customHeight="1" x14ac:dyDescent="0.3">
      <c r="B7" s="4" t="s">
        <v>216</v>
      </c>
      <c r="C7" t="s">
        <v>217</v>
      </c>
      <c r="D7" s="37">
        <v>2937170</v>
      </c>
      <c r="E7" s="37">
        <v>3040678</v>
      </c>
      <c r="F7" s="37">
        <v>814708</v>
      </c>
      <c r="G7" s="37">
        <v>108445</v>
      </c>
      <c r="H7" s="37">
        <v>57170</v>
      </c>
      <c r="I7" s="37">
        <v>15257</v>
      </c>
      <c r="J7" s="38">
        <f t="shared" si="0"/>
        <v>28.038895292544609</v>
      </c>
      <c r="K7" s="38">
        <f t="shared" si="1"/>
        <v>3.7322304432999309</v>
      </c>
      <c r="L7" s="38">
        <f t="shared" si="2"/>
        <v>192.51294487776102</v>
      </c>
      <c r="M7" s="38">
        <f t="shared" si="3"/>
        <v>6.7691545384358331</v>
      </c>
      <c r="N7" s="39">
        <f t="shared" si="4"/>
        <v>7.0172380779371255E-2</v>
      </c>
      <c r="O7" s="39">
        <f t="shared" si="5"/>
        <v>3.5162074647676338E-2</v>
      </c>
      <c r="P7" s="37">
        <v>433905</v>
      </c>
    </row>
    <row r="8" spans="2:17" ht="14" customHeight="1" x14ac:dyDescent="0.3">
      <c r="B8" s="4" t="s">
        <v>218</v>
      </c>
      <c r="C8" t="s">
        <v>219</v>
      </c>
      <c r="D8" s="37">
        <v>2188076</v>
      </c>
      <c r="E8" s="37">
        <v>1980691</v>
      </c>
      <c r="F8" s="37">
        <v>135209</v>
      </c>
      <c r="G8" s="37">
        <v>91519</v>
      </c>
      <c r="H8" s="37">
        <v>88824</v>
      </c>
      <c r="I8" s="37">
        <v>75191</v>
      </c>
      <c r="J8" s="38">
        <f t="shared" si="0"/>
        <v>21.642402124149083</v>
      </c>
      <c r="K8" s="38">
        <f t="shared" si="1"/>
        <v>14.649106198551872</v>
      </c>
      <c r="L8" s="38">
        <f t="shared" si="2"/>
        <v>29.100238060406166</v>
      </c>
      <c r="M8" s="38">
        <f t="shared" si="3"/>
        <v>4.2403751865273929</v>
      </c>
      <c r="N8" s="39">
        <f t="shared" si="4"/>
        <v>0.65693851740638565</v>
      </c>
      <c r="O8" s="39">
        <f t="shared" si="5"/>
        <v>0.14571616829131218</v>
      </c>
      <c r="P8" s="37">
        <v>516010</v>
      </c>
    </row>
    <row r="9" spans="2:17" ht="14" customHeight="1" x14ac:dyDescent="0.3">
      <c r="B9" s="4" t="s">
        <v>220</v>
      </c>
      <c r="C9" t="s">
        <v>221</v>
      </c>
      <c r="D9" s="37">
        <v>848598</v>
      </c>
      <c r="E9" s="37">
        <v>799595</v>
      </c>
      <c r="F9" s="37">
        <v>596479</v>
      </c>
      <c r="G9" s="37">
        <v>94915</v>
      </c>
      <c r="H9" s="37">
        <v>76229</v>
      </c>
      <c r="I9" s="37">
        <v>46624</v>
      </c>
      <c r="J9" s="38">
        <f t="shared" si="0"/>
        <v>8.4243270294474009</v>
      </c>
      <c r="K9" s="38">
        <f t="shared" si="1"/>
        <v>1.3405249807621056</v>
      </c>
      <c r="L9" s="38">
        <f t="shared" si="2"/>
        <v>18.200883665065202</v>
      </c>
      <c r="M9" s="38">
        <f t="shared" si="3"/>
        <v>2.6132417700859176</v>
      </c>
      <c r="N9" s="39">
        <f t="shared" si="4"/>
        <v>0.12779829633566311</v>
      </c>
      <c r="O9" s="39">
        <f t="shared" si="5"/>
        <v>0.14357774150833</v>
      </c>
      <c r="P9" s="37">
        <v>324730</v>
      </c>
    </row>
    <row r="10" spans="2:17" ht="14" customHeight="1" x14ac:dyDescent="0.3">
      <c r="B10" s="4" t="s">
        <v>222</v>
      </c>
      <c r="C10" t="s">
        <v>223</v>
      </c>
      <c r="D10" s="37">
        <v>258642</v>
      </c>
      <c r="E10" s="37">
        <v>205803</v>
      </c>
      <c r="F10" s="37">
        <v>137686</v>
      </c>
      <c r="G10" s="37">
        <v>20179</v>
      </c>
      <c r="H10" s="37">
        <v>19903</v>
      </c>
      <c r="I10" s="37">
        <v>15051</v>
      </c>
      <c r="J10" s="38">
        <f t="shared" si="0"/>
        <v>10.198870112493186</v>
      </c>
      <c r="K10" s="38">
        <f t="shared" si="1"/>
        <v>1.4947271327513327</v>
      </c>
      <c r="L10" s="38">
        <f t="shared" si="2"/>
        <v>17.1843731313534</v>
      </c>
      <c r="M10" s="38">
        <f t="shared" si="3"/>
        <v>5.3040625064085472</v>
      </c>
      <c r="N10" s="39">
        <f t="shared" si="4"/>
        <v>0.14455354938047441</v>
      </c>
      <c r="O10" s="39">
        <f t="shared" si="5"/>
        <v>0.30865615323093332</v>
      </c>
      <c r="P10" s="37">
        <v>48763</v>
      </c>
    </row>
    <row r="14" spans="2:17" ht="14" customHeight="1" x14ac:dyDescent="0.3">
      <c r="B14" s="3" t="s">
        <v>224</v>
      </c>
    </row>
    <row r="15" spans="2:17" ht="14" customHeight="1" x14ac:dyDescent="0.3">
      <c r="B15" s="4" t="s">
        <v>225</v>
      </c>
      <c r="D15" s="38">
        <f t="shared" ref="D15:I15" si="6">PERCENTILE(J6:J10,0.25)</f>
        <v>8.4243270294474009</v>
      </c>
      <c r="E15" s="38">
        <f t="shared" si="6"/>
        <v>1.3405249807621056</v>
      </c>
      <c r="F15" s="38">
        <f t="shared" si="6"/>
        <v>17.1843731313534</v>
      </c>
      <c r="G15" s="38">
        <f t="shared" si="6"/>
        <v>3.0416266133330905</v>
      </c>
      <c r="H15" s="39">
        <f t="shared" si="6"/>
        <v>7.0172380779371255E-2</v>
      </c>
      <c r="I15" s="39">
        <f t="shared" si="6"/>
        <v>0.14357774150833</v>
      </c>
    </row>
    <row r="16" spans="2:17" ht="14" customHeight="1" x14ac:dyDescent="0.3">
      <c r="B16" s="4" t="s">
        <v>226</v>
      </c>
      <c r="D16" s="38">
        <f t="shared" ref="D16:I16" si="7">MEDIAN(J6:J10)</f>
        <v>10.198870112493186</v>
      </c>
      <c r="E16" s="38">
        <f t="shared" si="7"/>
        <v>1.4947271327513327</v>
      </c>
      <c r="F16" s="38">
        <f t="shared" si="7"/>
        <v>18.200883665065202</v>
      </c>
      <c r="G16" s="38">
        <f t="shared" si="7"/>
        <v>4.2403751865273929</v>
      </c>
      <c r="H16" s="39">
        <f t="shared" si="7"/>
        <v>0.12779829633566311</v>
      </c>
      <c r="I16" s="39">
        <f t="shared" si="7"/>
        <v>0.14571616829131218</v>
      </c>
    </row>
    <row r="17" spans="2:9" ht="14" customHeight="1" x14ac:dyDescent="0.3">
      <c r="B17" s="4" t="s">
        <v>227</v>
      </c>
      <c r="D17" s="38">
        <f t="shared" ref="D17:I17" si="8">PERCENTILE(J6:J10,0.75)</f>
        <v>21.642402124149083</v>
      </c>
      <c r="E17" s="38">
        <f t="shared" si="8"/>
        <v>3.7322304432999309</v>
      </c>
      <c r="F17" s="38">
        <f t="shared" si="8"/>
        <v>29.100238060406166</v>
      </c>
      <c r="G17" s="38">
        <f t="shared" si="8"/>
        <v>5.3040625064085472</v>
      </c>
      <c r="H17" s="39">
        <f t="shared" si="8"/>
        <v>0.14455354938047441</v>
      </c>
      <c r="I17" s="39">
        <f t="shared" si="8"/>
        <v>0.19447924591911581</v>
      </c>
    </row>
    <row r="19" spans="2:9" ht="14" customHeight="1" x14ac:dyDescent="0.3">
      <c r="B19" s="22" t="s">
        <v>228</v>
      </c>
      <c r="C19" s="23"/>
      <c r="D19" s="23"/>
      <c r="E19" s="23"/>
      <c r="F19" s="23"/>
      <c r="G19" s="23"/>
      <c r="H19" s="23"/>
      <c r="I19" s="23"/>
    </row>
    <row r="20" spans="2:9" ht="14" customHeight="1" x14ac:dyDescent="0.3">
      <c r="B20" s="3" t="s">
        <v>229</v>
      </c>
    </row>
    <row r="21" spans="2:9" ht="14" customHeight="1" x14ac:dyDescent="0.3">
      <c r="B21" s="4" t="s">
        <v>230</v>
      </c>
      <c r="C21" s="5">
        <v>737644</v>
      </c>
    </row>
    <row r="22" spans="2:9" ht="14" customHeight="1" x14ac:dyDescent="0.3">
      <c r="B22" s="4" t="s">
        <v>231</v>
      </c>
      <c r="C22" s="5">
        <v>496912</v>
      </c>
    </row>
    <row r="23" spans="2:9" ht="14" customHeight="1" x14ac:dyDescent="0.3">
      <c r="B23" s="4" t="s">
        <v>232</v>
      </c>
      <c r="C23" s="15">
        <v>1387337063</v>
      </c>
    </row>
    <row r="24" spans="2:9" ht="14" customHeight="1" x14ac:dyDescent="0.3">
      <c r="B24" s="4" t="s">
        <v>73</v>
      </c>
      <c r="C24" s="5">
        <v>-539303</v>
      </c>
    </row>
    <row r="26" spans="2:9" ht="14" customHeight="1" x14ac:dyDescent="0.3">
      <c r="B26" s="3" t="s">
        <v>233</v>
      </c>
    </row>
    <row r="27" spans="2:9" ht="14" customHeight="1" x14ac:dyDescent="0.3">
      <c r="B27" s="4" t="s">
        <v>234</v>
      </c>
      <c r="C27" s="24">
        <f>ROUND((C21*D16-C24)*1000000/C23,0)</f>
        <v>5811</v>
      </c>
    </row>
    <row r="28" spans="2:9" ht="14" customHeight="1" x14ac:dyDescent="0.3">
      <c r="B28" s="4" t="s">
        <v>235</v>
      </c>
      <c r="C28" s="24">
        <f>ROUND(C22*F16*1000000/C23,0)</f>
        <v>6519</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customHeight="1" x14ac:dyDescent="0.4">
      <c r="B2" s="2" t="s">
        <v>236</v>
      </c>
    </row>
    <row r="3" spans="2:9" ht="14" customHeight="1" x14ac:dyDescent="0.3">
      <c r="B3" s="4" t="s">
        <v>237</v>
      </c>
      <c r="C3" s="16">
        <f>'DCF Model'!C26</f>
        <v>0.10145</v>
      </c>
      <c r="E3" s="4" t="s">
        <v>238</v>
      </c>
      <c r="F3" s="16">
        <f>'DCF Model'!C13</f>
        <v>0.01</v>
      </c>
      <c r="H3" s="4" t="s">
        <v>239</v>
      </c>
      <c r="I3" s="14">
        <f>'DCF Model'!C14</f>
        <v>10.199999999999999</v>
      </c>
    </row>
    <row r="5" spans="2:9" ht="14" customHeight="1" x14ac:dyDescent="0.3">
      <c r="B5" s="3" t="s">
        <v>240</v>
      </c>
    </row>
    <row r="6" spans="2:9" ht="14" customHeight="1" x14ac:dyDescent="0.3">
      <c r="B6" s="40" t="s">
        <v>241</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customHeight="1" x14ac:dyDescent="0.25">
      <c r="B7" s="39">
        <f>$C$3-0.015</f>
        <v>8.6449999999999999E-2</v>
      </c>
      <c r="C7" s="37">
        <f>IFERROR(ROUND(('DCF Model'!C45/(1+$B7)^('DCF Model'!C19+0)+'DCF Model'!D45/(1+$B7)^('DCF Model'!C19+1)+'DCF Model'!E45/(1+$B7)^('DCF Model'!C19+2)+'DCF Model'!F45/(1+$B7)^('DCF Model'!C19+3)+'DCF Model'!G45/(1+$B7)^('DCF Model'!C19+4)+'DCF Model'!G45*(1+C$6)/($B7-C$6)/(1+$B7)^('DCF Model'!C19+4)-'DCF Model'!C16)*1000000/'DCF Model'!C15,0),"")</f>
        <v>5160</v>
      </c>
      <c r="D7" s="37">
        <f>IFERROR(ROUND(('DCF Model'!C45/(1+$B7)^('DCF Model'!C19+0)+'DCF Model'!D45/(1+$B7)^('DCF Model'!C19+1)+'DCF Model'!E45/(1+$B7)^('DCF Model'!C19+2)+'DCF Model'!F45/(1+$B7)^('DCF Model'!C19+3)+'DCF Model'!G45/(1+$B7)^('DCF Model'!C19+4)+'DCF Model'!G45*(1+D$6)/($B7-D$6)/(1+$B7)^('DCF Model'!C19+4)-'DCF Model'!C16)*1000000/'DCF Model'!C15,0),"")</f>
        <v>5266</v>
      </c>
      <c r="E7" s="37">
        <f>IFERROR(ROUND(('DCF Model'!C45/(1+$B7)^('DCF Model'!C19+0)+'DCF Model'!D45/(1+$B7)^('DCF Model'!C19+1)+'DCF Model'!E45/(1+$B7)^('DCF Model'!C19+2)+'DCF Model'!F45/(1+$B7)^('DCF Model'!C19+3)+'DCF Model'!G45/(1+$B7)^('DCF Model'!C19+4)+'DCF Model'!G45*(1+E$6)/($B7-E$6)/(1+$B7)^('DCF Model'!C19+4)-'DCF Model'!C16)*1000000/'DCF Model'!C15,0),"")</f>
        <v>5379</v>
      </c>
      <c r="F7" s="37">
        <f>IFERROR(ROUND(('DCF Model'!C45/(1+$B7)^('DCF Model'!C19+0)+'DCF Model'!D45/(1+$B7)^('DCF Model'!C19+1)+'DCF Model'!E45/(1+$B7)^('DCF Model'!C19+2)+'DCF Model'!F45/(1+$B7)^('DCF Model'!C19+3)+'DCF Model'!G45/(1+$B7)^('DCF Model'!C19+4)+'DCF Model'!G45*(1+F$6)/($B7-F$6)/(1+$B7)^('DCF Model'!C19+4)-'DCF Model'!C16)*1000000/'DCF Model'!C15,0),"")</f>
        <v>5500</v>
      </c>
      <c r="G7" s="37">
        <f>IFERROR(ROUND(('DCF Model'!C45/(1+$B7)^('DCF Model'!C19+0)+'DCF Model'!D45/(1+$B7)^('DCF Model'!C19+1)+'DCF Model'!E45/(1+$B7)^('DCF Model'!C19+2)+'DCF Model'!F45/(1+$B7)^('DCF Model'!C19+3)+'DCF Model'!G45/(1+$B7)^('DCF Model'!C19+4)+'DCF Model'!G45*(1+G$6)/($B7-G$6)/(1+$B7)^('DCF Model'!C19+4)-'DCF Model'!C16)*1000000/'DCF Model'!C15,0),"")</f>
        <v>5628</v>
      </c>
      <c r="H7" s="37">
        <f>IFERROR(ROUND(('DCF Model'!C45/(1+$B7)^('DCF Model'!C19+0)+'DCF Model'!D45/(1+$B7)^('DCF Model'!C19+1)+'DCF Model'!E45/(1+$B7)^('DCF Model'!C19+2)+'DCF Model'!F45/(1+$B7)^('DCF Model'!C19+3)+'DCF Model'!G45/(1+$B7)^('DCF Model'!C19+4)+'DCF Model'!G45*(1+H$6)/($B7-H$6)/(1+$B7)^('DCF Model'!C19+4)-'DCF Model'!C16)*1000000/'DCF Model'!C15,0),"")</f>
        <v>5766</v>
      </c>
      <c r="I7" s="37">
        <f>IFERROR(ROUND(('DCF Model'!C45/(1+$B7)^('DCF Model'!C19+0)+'DCF Model'!D45/(1+$B7)^('DCF Model'!C19+1)+'DCF Model'!E45/(1+$B7)^('DCF Model'!C19+2)+'DCF Model'!F45/(1+$B7)^('DCF Model'!C19+3)+'DCF Model'!G45/(1+$B7)^('DCF Model'!C19+4)+'DCF Model'!G45*(1+I$6)/($B7-I$6)/(1+$B7)^('DCF Model'!C19+4)-'DCF Model'!C16)*1000000/'DCF Model'!C15,0),"")</f>
        <v>5914</v>
      </c>
    </row>
    <row r="8" spans="2:9" ht="13.5" customHeight="1" x14ac:dyDescent="0.25">
      <c r="B8" s="39">
        <f>$C$3-0.01</f>
        <v>9.1450000000000004E-2</v>
      </c>
      <c r="C8" s="37">
        <f>IFERROR(ROUND(('DCF Model'!C45/(1+$B8)^('DCF Model'!C19+0)+'DCF Model'!D45/(1+$B8)^('DCF Model'!C19+1)+'DCF Model'!E45/(1+$B8)^('DCF Model'!C19+2)+'DCF Model'!F45/(1+$B8)^('DCF Model'!C19+3)+'DCF Model'!G45/(1+$B8)^('DCF Model'!C19+4)+'DCF Model'!G45*(1+C$6)/($B8-C$6)/(1+$B8)^('DCF Model'!C19+4)-'DCF Model'!C16)*1000000/'DCF Model'!C15,0),"")</f>
        <v>4891</v>
      </c>
      <c r="D8" s="37">
        <f>IFERROR(ROUND(('DCF Model'!C45/(1+$B8)^('DCF Model'!C19+0)+'DCF Model'!D45/(1+$B8)^('DCF Model'!C19+1)+'DCF Model'!E45/(1+$B8)^('DCF Model'!C19+2)+'DCF Model'!F45/(1+$B8)^('DCF Model'!C19+3)+'DCF Model'!G45/(1+$B8)^('DCF Model'!C19+4)+'DCF Model'!G45*(1+D$6)/($B8-D$6)/(1+$B8)^('DCF Model'!C19+4)-'DCF Model'!C16)*1000000/'DCF Model'!C15,0),"")</f>
        <v>4984</v>
      </c>
      <c r="E8" s="37">
        <f>IFERROR(ROUND(('DCF Model'!C45/(1+$B8)^('DCF Model'!C19+0)+'DCF Model'!D45/(1+$B8)^('DCF Model'!C19+1)+'DCF Model'!E45/(1+$B8)^('DCF Model'!C19+2)+'DCF Model'!F45/(1+$B8)^('DCF Model'!C19+3)+'DCF Model'!G45/(1+$B8)^('DCF Model'!C19+4)+'DCF Model'!G45*(1+E$6)/($B8-E$6)/(1+$B8)^('DCF Model'!C19+4)-'DCF Model'!C16)*1000000/'DCF Model'!C15,0),"")</f>
        <v>5082</v>
      </c>
      <c r="F8" s="37">
        <f>IFERROR(ROUND(('DCF Model'!C45/(1+$B8)^('DCF Model'!C19+0)+'DCF Model'!D45/(1+$B8)^('DCF Model'!C19+1)+'DCF Model'!E45/(1+$B8)^('DCF Model'!C19+2)+'DCF Model'!F45/(1+$B8)^('DCF Model'!C19+3)+'DCF Model'!G45/(1+$B8)^('DCF Model'!C19+4)+'DCF Model'!G45*(1+F$6)/($B8-F$6)/(1+$B8)^('DCF Model'!C19+4)-'DCF Model'!C16)*1000000/'DCF Model'!C15,0),"")</f>
        <v>5187</v>
      </c>
      <c r="G8" s="37">
        <f>IFERROR(ROUND(('DCF Model'!C45/(1+$B8)^('DCF Model'!C19+0)+'DCF Model'!D45/(1+$B8)^('DCF Model'!C19+1)+'DCF Model'!E45/(1+$B8)^('DCF Model'!C19+2)+'DCF Model'!F45/(1+$B8)^('DCF Model'!C19+3)+'DCF Model'!G45/(1+$B8)^('DCF Model'!C19+4)+'DCF Model'!G45*(1+G$6)/($B8-G$6)/(1+$B8)^('DCF Model'!C19+4)-'DCF Model'!C16)*1000000/'DCF Model'!C15,0),"")</f>
        <v>5298</v>
      </c>
      <c r="H8" s="37">
        <f>IFERROR(ROUND(('DCF Model'!C45/(1+$B8)^('DCF Model'!C19+0)+'DCF Model'!D45/(1+$B8)^('DCF Model'!C19+1)+'DCF Model'!E45/(1+$B8)^('DCF Model'!C19+2)+'DCF Model'!F45/(1+$B8)^('DCF Model'!C19+3)+'DCF Model'!G45/(1+$B8)^('DCF Model'!C19+4)+'DCF Model'!G45*(1+H$6)/($B8-H$6)/(1+$B8)^('DCF Model'!C19+4)-'DCF Model'!C16)*1000000/'DCF Model'!C15,0),"")</f>
        <v>5416</v>
      </c>
      <c r="I8" s="37">
        <f>IFERROR(ROUND(('DCF Model'!C45/(1+$B8)^('DCF Model'!C19+0)+'DCF Model'!D45/(1+$B8)^('DCF Model'!C19+1)+'DCF Model'!E45/(1+$B8)^('DCF Model'!C19+2)+'DCF Model'!F45/(1+$B8)^('DCF Model'!C19+3)+'DCF Model'!G45/(1+$B8)^('DCF Model'!C19+4)+'DCF Model'!G45*(1+I$6)/($B8-I$6)/(1+$B8)^('DCF Model'!C19+4)-'DCF Model'!C16)*1000000/'DCF Model'!C15,0),"")</f>
        <v>5542</v>
      </c>
    </row>
    <row r="9" spans="2:9" ht="13.5" customHeight="1" x14ac:dyDescent="0.25">
      <c r="B9" s="39">
        <f>$C$3-0.005</f>
        <v>9.6449999999999994E-2</v>
      </c>
      <c r="C9" s="37">
        <f>IFERROR(ROUND(('DCF Model'!C45/(1+$B9)^('DCF Model'!C19+0)+'DCF Model'!D45/(1+$B9)^('DCF Model'!C19+1)+'DCF Model'!E45/(1+$B9)^('DCF Model'!C19+2)+'DCF Model'!F45/(1+$B9)^('DCF Model'!C19+3)+'DCF Model'!G45/(1+$B9)^('DCF Model'!C19+4)+'DCF Model'!G45*(1+C$6)/($B9-C$6)/(1+$B9)^('DCF Model'!C19+4)-'DCF Model'!C16)*1000000/'DCF Model'!C15,0),"")</f>
        <v>4651</v>
      </c>
      <c r="D9" s="37">
        <f>IFERROR(ROUND(('DCF Model'!C45/(1+$B9)^('DCF Model'!C19+0)+'DCF Model'!D45/(1+$B9)^('DCF Model'!C19+1)+'DCF Model'!E45/(1+$B9)^('DCF Model'!C19+2)+'DCF Model'!F45/(1+$B9)^('DCF Model'!C19+3)+'DCF Model'!G45/(1+$B9)^('DCF Model'!C19+4)+'DCF Model'!G45*(1+D$6)/($B9-D$6)/(1+$B9)^('DCF Model'!C19+4)-'DCF Model'!C16)*1000000/'DCF Model'!C15,0),"")</f>
        <v>4733</v>
      </c>
      <c r="E9" s="37">
        <f>IFERROR(ROUND(('DCF Model'!C45/(1+$B9)^('DCF Model'!C19+0)+'DCF Model'!D45/(1+$B9)^('DCF Model'!C19+1)+'DCF Model'!E45/(1+$B9)^('DCF Model'!C19+2)+'DCF Model'!F45/(1+$B9)^('DCF Model'!C19+3)+'DCF Model'!G45/(1+$B9)^('DCF Model'!C19+4)+'DCF Model'!G45*(1+E$6)/($B9-E$6)/(1+$B9)^('DCF Model'!C19+4)-'DCF Model'!C16)*1000000/'DCF Model'!C15,0),"")</f>
        <v>4819</v>
      </c>
      <c r="F9" s="37">
        <f>IFERROR(ROUND(('DCF Model'!C45/(1+$B9)^('DCF Model'!C19+0)+'DCF Model'!D45/(1+$B9)^('DCF Model'!C19+1)+'DCF Model'!E45/(1+$B9)^('DCF Model'!C19+2)+'DCF Model'!F45/(1+$B9)^('DCF Model'!C19+3)+'DCF Model'!G45/(1+$B9)^('DCF Model'!C19+4)+'DCF Model'!G45*(1+F$6)/($B9-F$6)/(1+$B9)^('DCF Model'!C19+4)-'DCF Model'!C16)*1000000/'DCF Model'!C15,0),"")</f>
        <v>4910</v>
      </c>
      <c r="G9" s="37">
        <f>IFERROR(ROUND(('DCF Model'!C45/(1+$B9)^('DCF Model'!C19+0)+'DCF Model'!D45/(1+$B9)^('DCF Model'!C19+1)+'DCF Model'!E45/(1+$B9)^('DCF Model'!C19+2)+'DCF Model'!F45/(1+$B9)^('DCF Model'!C19+3)+'DCF Model'!G45/(1+$B9)^('DCF Model'!C19+4)+'DCF Model'!G45*(1+G$6)/($B9-G$6)/(1+$B9)^('DCF Model'!C19+4)-'DCF Model'!C16)*1000000/'DCF Model'!C15,0),"")</f>
        <v>5007</v>
      </c>
      <c r="H9" s="37">
        <f>IFERROR(ROUND(('DCF Model'!C45/(1+$B9)^('DCF Model'!C19+0)+'DCF Model'!D45/(1+$B9)^('DCF Model'!C19+1)+'DCF Model'!E45/(1+$B9)^('DCF Model'!C19+2)+'DCF Model'!F45/(1+$B9)^('DCF Model'!C19+3)+'DCF Model'!G45/(1+$B9)^('DCF Model'!C19+4)+'DCF Model'!G45*(1+H$6)/($B9-H$6)/(1+$B9)^('DCF Model'!C19+4)-'DCF Model'!C16)*1000000/'DCF Model'!C15,0),"")</f>
        <v>5109</v>
      </c>
      <c r="I9" s="37">
        <f>IFERROR(ROUND(('DCF Model'!C45/(1+$B9)^('DCF Model'!C19+0)+'DCF Model'!D45/(1+$B9)^('DCF Model'!C19+1)+'DCF Model'!E45/(1+$B9)^('DCF Model'!C19+2)+'DCF Model'!F45/(1+$B9)^('DCF Model'!C19+3)+'DCF Model'!G45/(1+$B9)^('DCF Model'!C19+4)+'DCF Model'!G45*(1+I$6)/($B9-I$6)/(1+$B9)^('DCF Model'!C19+4)-'DCF Model'!C16)*1000000/'DCF Model'!C15,0),"")</f>
        <v>5218</v>
      </c>
    </row>
    <row r="10" spans="2:9" ht="13.5" customHeight="1" x14ac:dyDescent="0.25">
      <c r="B10" s="39">
        <f>$C$3</f>
        <v>0.10145</v>
      </c>
      <c r="C10" s="37">
        <f>IFERROR(ROUND(('DCF Model'!C45/(1+$B10)^('DCF Model'!C19+0)+'DCF Model'!D45/(1+$B10)^('DCF Model'!C19+1)+'DCF Model'!E45/(1+$B10)^('DCF Model'!C19+2)+'DCF Model'!F45/(1+$B10)^('DCF Model'!C19+3)+'DCF Model'!G45/(1+$B10)^('DCF Model'!C19+4)+'DCF Model'!G45*(1+C$6)/($B10-C$6)/(1+$B10)^('DCF Model'!C19+4)-'DCF Model'!C16)*1000000/'DCF Model'!C15,0),"")</f>
        <v>4436</v>
      </c>
      <c r="D10" s="37">
        <f>IFERROR(ROUND(('DCF Model'!C45/(1+$B10)^('DCF Model'!C19+0)+'DCF Model'!D45/(1+$B10)^('DCF Model'!C19+1)+'DCF Model'!E45/(1+$B10)^('DCF Model'!C19+2)+'DCF Model'!F45/(1+$B10)^('DCF Model'!C19+3)+'DCF Model'!G45/(1+$B10)^('DCF Model'!C19+4)+'DCF Model'!G45*(1+D$6)/($B10-D$6)/(1+$B10)^('DCF Model'!C19+4)-'DCF Model'!C16)*1000000/'DCF Model'!C15,0),"")</f>
        <v>4508</v>
      </c>
      <c r="E10" s="37">
        <f>IFERROR(ROUND(('DCF Model'!C45/(1+$B10)^('DCF Model'!C19+0)+'DCF Model'!D45/(1+$B10)^('DCF Model'!C19+1)+'DCF Model'!E45/(1+$B10)^('DCF Model'!C19+2)+'DCF Model'!F45/(1+$B10)^('DCF Model'!C19+3)+'DCF Model'!G45/(1+$B10)^('DCF Model'!C19+4)+'DCF Model'!G45*(1+E$6)/($B10-E$6)/(1+$B10)^('DCF Model'!C19+4)-'DCF Model'!C16)*1000000/'DCF Model'!C15,0),"")</f>
        <v>4584</v>
      </c>
      <c r="F10" s="37">
        <f>IFERROR(ROUND(('DCF Model'!C45/(1+$B10)^('DCF Model'!C19+0)+'DCF Model'!D45/(1+$B10)^('DCF Model'!C19+1)+'DCF Model'!E45/(1+$B10)^('DCF Model'!C19+2)+'DCF Model'!F45/(1+$B10)^('DCF Model'!C19+3)+'DCF Model'!G45/(1+$B10)^('DCF Model'!C19+4)+'DCF Model'!G45*(1+F$6)/($B10-F$6)/(1+$B10)^('DCF Model'!C19+4)-'DCF Model'!C16)*1000000/'DCF Model'!C15,0),"")</f>
        <v>4664</v>
      </c>
      <c r="G10" s="37">
        <f>IFERROR(ROUND(('DCF Model'!C45/(1+$B10)^('DCF Model'!C19+0)+'DCF Model'!D45/(1+$B10)^('DCF Model'!C19+1)+'DCF Model'!E45/(1+$B10)^('DCF Model'!C19+2)+'DCF Model'!F45/(1+$B10)^('DCF Model'!C19+3)+'DCF Model'!G45/(1+$B10)^('DCF Model'!C19+4)+'DCF Model'!G45*(1+G$6)/($B10-G$6)/(1+$B10)^('DCF Model'!C19+4)-'DCF Model'!C16)*1000000/'DCF Model'!C15,0),"")</f>
        <v>4748</v>
      </c>
      <c r="H10" s="37">
        <f>IFERROR(ROUND(('DCF Model'!C45/(1+$B10)^('DCF Model'!C19+0)+'DCF Model'!D45/(1+$B10)^('DCF Model'!C19+1)+'DCF Model'!E45/(1+$B10)^('DCF Model'!C19+2)+'DCF Model'!F45/(1+$B10)^('DCF Model'!C19+3)+'DCF Model'!G45/(1+$B10)^('DCF Model'!C19+4)+'DCF Model'!G45*(1+H$6)/($B10-H$6)/(1+$B10)^('DCF Model'!C19+4)-'DCF Model'!C16)*1000000/'DCF Model'!C15,0),"")</f>
        <v>4838</v>
      </c>
      <c r="I10" s="37">
        <f>IFERROR(ROUND(('DCF Model'!C45/(1+$B10)^('DCF Model'!C19+0)+'DCF Model'!D45/(1+$B10)^('DCF Model'!C19+1)+'DCF Model'!E45/(1+$B10)^('DCF Model'!C19+2)+'DCF Model'!F45/(1+$B10)^('DCF Model'!C19+3)+'DCF Model'!G45/(1+$B10)^('DCF Model'!C19+4)+'DCF Model'!G45*(1+I$6)/($B10-I$6)/(1+$B10)^('DCF Model'!C19+4)-'DCF Model'!C16)*1000000/'DCF Model'!C15,0),"")</f>
        <v>4933</v>
      </c>
    </row>
    <row r="11" spans="2:9" ht="13.5" customHeight="1" x14ac:dyDescent="0.25">
      <c r="B11" s="39">
        <f>$C$3+0.005</f>
        <v>0.10645</v>
      </c>
      <c r="C11" s="37">
        <f>IFERROR(ROUND(('DCF Model'!C45/(1+$B11)^('DCF Model'!C19+0)+'DCF Model'!D45/(1+$B11)^('DCF Model'!C19+1)+'DCF Model'!E45/(1+$B11)^('DCF Model'!C19+2)+'DCF Model'!F45/(1+$B11)^('DCF Model'!C19+3)+'DCF Model'!G45/(1+$B11)^('DCF Model'!C19+4)+'DCF Model'!G45*(1+C$6)/($B11-C$6)/(1+$B11)^('DCF Model'!C19+4)-'DCF Model'!C16)*1000000/'DCF Model'!C15,0),"")</f>
        <v>4241</v>
      </c>
      <c r="D11" s="37">
        <f>IFERROR(ROUND(('DCF Model'!C45/(1+$B11)^('DCF Model'!C19+0)+'DCF Model'!D45/(1+$B11)^('DCF Model'!C19+1)+'DCF Model'!E45/(1+$B11)^('DCF Model'!C19+2)+'DCF Model'!F45/(1+$B11)^('DCF Model'!C19+3)+'DCF Model'!G45/(1+$B11)^('DCF Model'!C19+4)+'DCF Model'!G45*(1+D$6)/($B11-D$6)/(1+$B11)^('DCF Model'!C19+4)-'DCF Model'!C16)*1000000/'DCF Model'!C15,0),"")</f>
        <v>4305</v>
      </c>
      <c r="E11" s="37">
        <f>IFERROR(ROUND(('DCF Model'!C45/(1+$B11)^('DCF Model'!C19+0)+'DCF Model'!D45/(1+$B11)^('DCF Model'!C19+1)+'DCF Model'!E45/(1+$B11)^('DCF Model'!C19+2)+'DCF Model'!F45/(1+$B11)^('DCF Model'!C19+3)+'DCF Model'!G45/(1+$B11)^('DCF Model'!C19+4)+'DCF Model'!G45*(1+E$6)/($B11-E$6)/(1+$B11)^('DCF Model'!C19+4)-'DCF Model'!C16)*1000000/'DCF Model'!C15,0),"")</f>
        <v>4372</v>
      </c>
      <c r="F11" s="37">
        <f>IFERROR(ROUND(('DCF Model'!C45/(1+$B11)^('DCF Model'!C19+0)+'DCF Model'!D45/(1+$B11)^('DCF Model'!C19+1)+'DCF Model'!E45/(1+$B11)^('DCF Model'!C19+2)+'DCF Model'!F45/(1+$B11)^('DCF Model'!C19+3)+'DCF Model'!G45/(1+$B11)^('DCF Model'!C19+4)+'DCF Model'!G45*(1+F$6)/($B11-F$6)/(1+$B11)^('DCF Model'!C19+4)-'DCF Model'!C16)*1000000/'DCF Model'!C15,0),"")</f>
        <v>4443</v>
      </c>
      <c r="G11" s="37">
        <f>IFERROR(ROUND(('DCF Model'!C45/(1+$B11)^('DCF Model'!C19+0)+'DCF Model'!D45/(1+$B11)^('DCF Model'!C19+1)+'DCF Model'!E45/(1+$B11)^('DCF Model'!C19+2)+'DCF Model'!F45/(1+$B11)^('DCF Model'!C19+3)+'DCF Model'!G45/(1+$B11)^('DCF Model'!C19+4)+'DCF Model'!G45*(1+G$6)/($B11-G$6)/(1+$B11)^('DCF Model'!C19+4)-'DCF Model'!C16)*1000000/'DCF Model'!C15,0),"")</f>
        <v>4518</v>
      </c>
      <c r="H11" s="37">
        <f>IFERROR(ROUND(('DCF Model'!C45/(1+$B11)^('DCF Model'!C19+0)+'DCF Model'!D45/(1+$B11)^('DCF Model'!C19+1)+'DCF Model'!E45/(1+$B11)^('DCF Model'!C19+2)+'DCF Model'!F45/(1+$B11)^('DCF Model'!C19+3)+'DCF Model'!G45/(1+$B11)^('DCF Model'!C19+4)+'DCF Model'!G45*(1+H$6)/($B11-H$6)/(1+$B11)^('DCF Model'!C19+4)-'DCF Model'!C16)*1000000/'DCF Model'!C15,0),"")</f>
        <v>4596</v>
      </c>
      <c r="I11" s="37">
        <f>IFERROR(ROUND(('DCF Model'!C45/(1+$B11)^('DCF Model'!C19+0)+'DCF Model'!D45/(1+$B11)^('DCF Model'!C19+1)+'DCF Model'!E45/(1+$B11)^('DCF Model'!C19+2)+'DCF Model'!F45/(1+$B11)^('DCF Model'!C19+3)+'DCF Model'!G45/(1+$B11)^('DCF Model'!C19+4)+'DCF Model'!G45*(1+I$6)/($B11-I$6)/(1+$B11)^('DCF Model'!C19+4)-'DCF Model'!C16)*1000000/'DCF Model'!C15,0),"")</f>
        <v>4679</v>
      </c>
    </row>
    <row r="12" spans="2:9" ht="13.5" customHeight="1" x14ac:dyDescent="0.25">
      <c r="B12" s="39">
        <f>$C$3+0.01</f>
        <v>0.11144999999999999</v>
      </c>
      <c r="C12" s="37">
        <f>IFERROR(ROUND(('DCF Model'!C45/(1+$B12)^('DCF Model'!C19+0)+'DCF Model'!D45/(1+$B12)^('DCF Model'!C19+1)+'DCF Model'!E45/(1+$B12)^('DCF Model'!C19+2)+'DCF Model'!F45/(1+$B12)^('DCF Model'!C19+3)+'DCF Model'!G45/(1+$B12)^('DCF Model'!C19+4)+'DCF Model'!G45*(1+C$6)/($B12-C$6)/(1+$B12)^('DCF Model'!C19+4)-'DCF Model'!C16)*1000000/'DCF Model'!C15,0),"")</f>
        <v>4064</v>
      </c>
      <c r="D12" s="37">
        <f>IFERROR(ROUND(('DCF Model'!C45/(1+$B12)^('DCF Model'!C19+0)+'DCF Model'!D45/(1+$B12)^('DCF Model'!C19+1)+'DCF Model'!E45/(1+$B12)^('DCF Model'!C19+2)+'DCF Model'!F45/(1+$B12)^('DCF Model'!C19+3)+'DCF Model'!G45/(1+$B12)^('DCF Model'!C19+4)+'DCF Model'!G45*(1+D$6)/($B12-D$6)/(1+$B12)^('DCF Model'!C19+4)-'DCF Model'!C16)*1000000/'DCF Model'!C15,0),"")</f>
        <v>4121</v>
      </c>
      <c r="E12" s="37">
        <f>IFERROR(ROUND(('DCF Model'!C45/(1+$B12)^('DCF Model'!C19+0)+'DCF Model'!D45/(1+$B12)^('DCF Model'!C19+1)+'DCF Model'!E45/(1+$B12)^('DCF Model'!C19+2)+'DCF Model'!F45/(1+$B12)^('DCF Model'!C19+3)+'DCF Model'!G45/(1+$B12)^('DCF Model'!C19+4)+'DCF Model'!G45*(1+E$6)/($B12-E$6)/(1+$B12)^('DCF Model'!C19+4)-'DCF Model'!C16)*1000000/'DCF Model'!C15,0),"")</f>
        <v>4181</v>
      </c>
      <c r="F12" s="37">
        <f>IFERROR(ROUND(('DCF Model'!C45/(1+$B12)^('DCF Model'!C19+0)+'DCF Model'!D45/(1+$B12)^('DCF Model'!C19+1)+'DCF Model'!E45/(1+$B12)^('DCF Model'!C19+2)+'DCF Model'!F45/(1+$B12)^('DCF Model'!C19+3)+'DCF Model'!G45/(1+$B12)^('DCF Model'!C19+4)+'DCF Model'!G45*(1+F$6)/($B12-F$6)/(1+$B12)^('DCF Model'!C19+4)-'DCF Model'!C16)*1000000/'DCF Model'!C15,0),"")</f>
        <v>4244</v>
      </c>
      <c r="G12" s="37">
        <f>IFERROR(ROUND(('DCF Model'!C45/(1+$B12)^('DCF Model'!C19+0)+'DCF Model'!D45/(1+$B12)^('DCF Model'!C19+1)+'DCF Model'!E45/(1+$B12)^('DCF Model'!C19+2)+'DCF Model'!F45/(1+$B12)^('DCF Model'!C19+3)+'DCF Model'!G45/(1+$B12)^('DCF Model'!C19+4)+'DCF Model'!G45*(1+G$6)/($B12-G$6)/(1+$B12)^('DCF Model'!C19+4)-'DCF Model'!C16)*1000000/'DCF Model'!C15,0),"")</f>
        <v>4310</v>
      </c>
      <c r="H12" s="37">
        <f>IFERROR(ROUND(('DCF Model'!C45/(1+$B12)^('DCF Model'!C19+0)+'DCF Model'!D45/(1+$B12)^('DCF Model'!C19+1)+'DCF Model'!E45/(1+$B12)^('DCF Model'!C19+2)+'DCF Model'!F45/(1+$B12)^('DCF Model'!C19+3)+'DCF Model'!G45/(1+$B12)^('DCF Model'!C19+4)+'DCF Model'!G45*(1+H$6)/($B12-H$6)/(1+$B12)^('DCF Model'!C19+4)-'DCF Model'!C16)*1000000/'DCF Model'!C15,0),"")</f>
        <v>4380</v>
      </c>
      <c r="I12" s="37">
        <f>IFERROR(ROUND(('DCF Model'!C45/(1+$B12)^('DCF Model'!C19+0)+'DCF Model'!D45/(1+$B12)^('DCF Model'!C19+1)+'DCF Model'!E45/(1+$B12)^('DCF Model'!C19+2)+'DCF Model'!F45/(1+$B12)^('DCF Model'!C19+3)+'DCF Model'!G45/(1+$B12)^('DCF Model'!C19+4)+'DCF Model'!G45*(1+I$6)/($B12-I$6)/(1+$B12)^('DCF Model'!C19+4)-'DCF Model'!C16)*1000000/'DCF Model'!C15,0),"")</f>
        <v>4453</v>
      </c>
    </row>
    <row r="13" spans="2:9" ht="13.5" customHeight="1" x14ac:dyDescent="0.25">
      <c r="B13" s="39">
        <f>$C$3+0.015</f>
        <v>0.11645</v>
      </c>
      <c r="C13" s="37">
        <f>IFERROR(ROUND(('DCF Model'!C45/(1+$B13)^('DCF Model'!C19+0)+'DCF Model'!D45/(1+$B13)^('DCF Model'!C19+1)+'DCF Model'!E45/(1+$B13)^('DCF Model'!C19+2)+'DCF Model'!F45/(1+$B13)^('DCF Model'!C19+3)+'DCF Model'!G45/(1+$B13)^('DCF Model'!C19+4)+'DCF Model'!G45*(1+C$6)/($B13-C$6)/(1+$B13)^('DCF Model'!C19+4)-'DCF Model'!C16)*1000000/'DCF Model'!C15,0),"")</f>
        <v>3902</v>
      </c>
      <c r="D13" s="37">
        <f>IFERROR(ROUND(('DCF Model'!C45/(1+$B13)^('DCF Model'!C19+0)+'DCF Model'!D45/(1+$B13)^('DCF Model'!C19+1)+'DCF Model'!E45/(1+$B13)^('DCF Model'!C19+2)+'DCF Model'!F45/(1+$B13)^('DCF Model'!C19+3)+'DCF Model'!G45/(1+$B13)^('DCF Model'!C19+4)+'DCF Model'!G45*(1+D$6)/($B13-D$6)/(1+$B13)^('DCF Model'!C19+4)-'DCF Model'!C16)*1000000/'DCF Model'!C15,0),"")</f>
        <v>3954</v>
      </c>
      <c r="E13" s="37">
        <f>IFERROR(ROUND(('DCF Model'!C45/(1+$B13)^('DCF Model'!C19+0)+'DCF Model'!D45/(1+$B13)^('DCF Model'!C19+1)+'DCF Model'!E45/(1+$B13)^('DCF Model'!C19+2)+'DCF Model'!F45/(1+$B13)^('DCF Model'!C19+3)+'DCF Model'!G45/(1+$B13)^('DCF Model'!C19+4)+'DCF Model'!G45*(1+E$6)/($B13-E$6)/(1+$B13)^('DCF Model'!C19+4)-'DCF Model'!C16)*1000000/'DCF Model'!C15,0),"")</f>
        <v>4007</v>
      </c>
      <c r="F13" s="37">
        <f>IFERROR(ROUND(('DCF Model'!C45/(1+$B13)^('DCF Model'!C19+0)+'DCF Model'!D45/(1+$B13)^('DCF Model'!C19+1)+'DCF Model'!E45/(1+$B13)^('DCF Model'!C19+2)+'DCF Model'!F45/(1+$B13)^('DCF Model'!C19+3)+'DCF Model'!G45/(1+$B13)^('DCF Model'!C19+4)+'DCF Model'!G45*(1+F$6)/($B13-F$6)/(1+$B13)^('DCF Model'!C19+4)-'DCF Model'!C16)*1000000/'DCF Model'!C15,0),"")</f>
        <v>4064</v>
      </c>
      <c r="G13" s="37">
        <f>IFERROR(ROUND(('DCF Model'!C45/(1+$B13)^('DCF Model'!C19+0)+'DCF Model'!D45/(1+$B13)^('DCF Model'!C19+1)+'DCF Model'!E45/(1+$B13)^('DCF Model'!C19+2)+'DCF Model'!F45/(1+$B13)^('DCF Model'!C19+3)+'DCF Model'!G45/(1+$B13)^('DCF Model'!C19+4)+'DCF Model'!G45*(1+G$6)/($B13-G$6)/(1+$B13)^('DCF Model'!C19+4)-'DCF Model'!C16)*1000000/'DCF Model'!C15,0),"")</f>
        <v>4122</v>
      </c>
      <c r="H13" s="37">
        <f>IFERROR(ROUND(('DCF Model'!C45/(1+$B13)^('DCF Model'!C19+0)+'DCF Model'!D45/(1+$B13)^('DCF Model'!C19+1)+'DCF Model'!E45/(1+$B13)^('DCF Model'!C19+2)+'DCF Model'!F45/(1+$B13)^('DCF Model'!C19+3)+'DCF Model'!G45/(1+$B13)^('DCF Model'!C19+4)+'DCF Model'!G45*(1+H$6)/($B13-H$6)/(1+$B13)^('DCF Model'!C19+4)-'DCF Model'!C16)*1000000/'DCF Model'!C15,0),"")</f>
        <v>4184</v>
      </c>
      <c r="I13" s="37">
        <f>IFERROR(ROUND(('DCF Model'!C45/(1+$B13)^('DCF Model'!C19+0)+'DCF Model'!D45/(1+$B13)^('DCF Model'!C19+1)+'DCF Model'!E45/(1+$B13)^('DCF Model'!C19+2)+'DCF Model'!F45/(1+$B13)^('DCF Model'!C19+3)+'DCF Model'!G45/(1+$B13)^('DCF Model'!C19+4)+'DCF Model'!G45*(1+I$6)/($B13-I$6)/(1+$B13)^('DCF Model'!C19+4)-'DCF Model'!C16)*1000000/'DCF Model'!C15,0),"")</f>
        <v>4249</v>
      </c>
    </row>
    <row r="16" spans="2:9" ht="14" customHeight="1" x14ac:dyDescent="0.3">
      <c r="B16" s="3" t="s">
        <v>242</v>
      </c>
    </row>
    <row r="17" spans="2:9" ht="14" customHeight="1" x14ac:dyDescent="0.3">
      <c r="B17" s="40" t="s">
        <v>243</v>
      </c>
      <c r="C17" s="42">
        <f>$I$3-3</f>
        <v>7.1999999999999993</v>
      </c>
      <c r="D17" s="42">
        <f>$I$3-2</f>
        <v>8.1999999999999993</v>
      </c>
      <c r="E17" s="42">
        <f>$I$3-1</f>
        <v>9.1999999999999993</v>
      </c>
      <c r="F17" s="42">
        <f>$I$3</f>
        <v>10.199999999999999</v>
      </c>
      <c r="G17" s="42">
        <f>$I$3+1</f>
        <v>11.2</v>
      </c>
      <c r="H17" s="42">
        <f>$I$3+2</f>
        <v>12.2</v>
      </c>
      <c r="I17" s="42">
        <f>$I$3+3</f>
        <v>13.2</v>
      </c>
    </row>
    <row r="18" spans="2:9" ht="13.5" customHeight="1" x14ac:dyDescent="0.25">
      <c r="B18" s="39">
        <f>$C$3-0.015</f>
        <v>8.6449999999999999E-2</v>
      </c>
      <c r="C18" s="37">
        <f>IFERROR(ROUND(('DCF Model'!C45/(1+$B18)^('DCF Model'!C19+0)+'DCF Model'!D45/(1+$B18)^('DCF Model'!C19+1)+'DCF Model'!E45/(1+$B18)^('DCF Model'!C19+2)+'DCF Model'!F45/(1+$B18)^('DCF Model'!C19+3)+'DCF Model'!G45/(1+$B18)^('DCF Model'!C19+4)+('DCF Model'!G39+'DCF Model'!G42)*C$17/(1+$B18)^('DCF Model'!C19+4)-'DCF Model'!C16)*1000000/'DCF Model'!C15,0),"")</f>
        <v>5060</v>
      </c>
      <c r="D18" s="37">
        <f>IFERROR(ROUND(('DCF Model'!C45/(1+$B18)^('DCF Model'!C19+0)+'DCF Model'!D45/(1+$B18)^('DCF Model'!C19+1)+'DCF Model'!E45/(1+$B18)^('DCF Model'!C19+2)+'DCF Model'!F45/(1+$B18)^('DCF Model'!C19+3)+'DCF Model'!G45/(1+$B18)^('DCF Model'!C19+4)+('DCF Model'!G39+'DCF Model'!G42)*D$17/(1+$B18)^('DCF Model'!C19+4)-'DCF Model'!C16)*1000000/'DCF Model'!C15,0),"")</f>
        <v>5491</v>
      </c>
      <c r="E18" s="37">
        <f>IFERROR(ROUND(('DCF Model'!C45/(1+$B18)^('DCF Model'!C19+0)+'DCF Model'!D45/(1+$B18)^('DCF Model'!C19+1)+'DCF Model'!E45/(1+$B18)^('DCF Model'!C19+2)+'DCF Model'!F45/(1+$B18)^('DCF Model'!C19+3)+'DCF Model'!G45/(1+$B18)^('DCF Model'!C19+4)+('DCF Model'!G39+'DCF Model'!G42)*E$17/(1+$B18)^('DCF Model'!C19+4)-'DCF Model'!C16)*1000000/'DCF Model'!C15,0),"")</f>
        <v>5921</v>
      </c>
      <c r="F18" s="37">
        <f>IFERROR(ROUND(('DCF Model'!C45/(1+$B18)^('DCF Model'!C19+0)+'DCF Model'!D45/(1+$B18)^('DCF Model'!C19+1)+'DCF Model'!E45/(1+$B18)^('DCF Model'!C19+2)+'DCF Model'!F45/(1+$B18)^('DCF Model'!C19+3)+'DCF Model'!G45/(1+$B18)^('DCF Model'!C19+4)+('DCF Model'!G39+'DCF Model'!G42)*F$17/(1+$B18)^('DCF Model'!C19+4)-'DCF Model'!C16)*1000000/'DCF Model'!C15,0),"")</f>
        <v>6351</v>
      </c>
      <c r="G18" s="37">
        <f>IFERROR(ROUND(('DCF Model'!C45/(1+$B18)^('DCF Model'!C19+0)+'DCF Model'!D45/(1+$B18)^('DCF Model'!C19+1)+'DCF Model'!E45/(1+$B18)^('DCF Model'!C19+2)+'DCF Model'!F45/(1+$B18)^('DCF Model'!C19+3)+'DCF Model'!G45/(1+$B18)^('DCF Model'!C19+4)+('DCF Model'!G39+'DCF Model'!G42)*G$17/(1+$B18)^('DCF Model'!C19+4)-'DCF Model'!C16)*1000000/'DCF Model'!C15,0),"")</f>
        <v>6781</v>
      </c>
      <c r="H18" s="37">
        <f>IFERROR(ROUND(('DCF Model'!C45/(1+$B18)^('DCF Model'!C19+0)+'DCF Model'!D45/(1+$B18)^('DCF Model'!C19+1)+'DCF Model'!E45/(1+$B18)^('DCF Model'!C19+2)+'DCF Model'!F45/(1+$B18)^('DCF Model'!C19+3)+'DCF Model'!G45/(1+$B18)^('DCF Model'!C19+4)+('DCF Model'!G39+'DCF Model'!G42)*H$17/(1+$B18)^('DCF Model'!C19+4)-'DCF Model'!C16)*1000000/'DCF Model'!C15,0),"")</f>
        <v>7212</v>
      </c>
      <c r="I18" s="37">
        <f>IFERROR(ROUND(('DCF Model'!C45/(1+$B18)^('DCF Model'!C19+0)+'DCF Model'!D45/(1+$B18)^('DCF Model'!C19+1)+'DCF Model'!E45/(1+$B18)^('DCF Model'!C19+2)+'DCF Model'!F45/(1+$B18)^('DCF Model'!C19+3)+'DCF Model'!G45/(1+$B18)^('DCF Model'!C19+4)+('DCF Model'!G39+'DCF Model'!G42)*I$17/(1+$B18)^('DCF Model'!C19+4)-'DCF Model'!C16)*1000000/'DCF Model'!C15,0),"")</f>
        <v>7642</v>
      </c>
    </row>
    <row r="19" spans="2:9" ht="13.5" customHeight="1" x14ac:dyDescent="0.25">
      <c r="B19" s="39">
        <f>$C$3-0.01</f>
        <v>9.1450000000000004E-2</v>
      </c>
      <c r="C19" s="37">
        <f>IFERROR(ROUND(('DCF Model'!C45/(1+$B19)^('DCF Model'!C19+0)+'DCF Model'!D45/(1+$B19)^('DCF Model'!C19+1)+'DCF Model'!E45/(1+$B19)^('DCF Model'!C19+2)+'DCF Model'!F45/(1+$B19)^('DCF Model'!C19+3)+'DCF Model'!G45/(1+$B19)^('DCF Model'!C19+4)+('DCF Model'!G39+'DCF Model'!G42)*C$17/(1+$B19)^('DCF Model'!C19+4)-'DCF Model'!C16)*1000000/'DCF Model'!C15,0),"")</f>
        <v>4970</v>
      </c>
      <c r="D19" s="37">
        <f>IFERROR(ROUND(('DCF Model'!C45/(1+$B19)^('DCF Model'!C19+0)+'DCF Model'!D45/(1+$B19)^('DCF Model'!C19+1)+'DCF Model'!E45/(1+$B19)^('DCF Model'!C19+2)+'DCF Model'!F45/(1+$B19)^('DCF Model'!C19+3)+'DCF Model'!G45/(1+$B19)^('DCF Model'!C19+4)+('DCF Model'!G39+'DCF Model'!G42)*D$17/(1+$B19)^('DCF Model'!C19+4)-'DCF Model'!C16)*1000000/'DCF Model'!C15,0),"")</f>
        <v>5390</v>
      </c>
      <c r="E19" s="37">
        <f>IFERROR(ROUND(('DCF Model'!C45/(1+$B19)^('DCF Model'!C19+0)+'DCF Model'!D45/(1+$B19)^('DCF Model'!C19+1)+'DCF Model'!E45/(1+$B19)^('DCF Model'!C19+2)+'DCF Model'!F45/(1+$B19)^('DCF Model'!C19+3)+'DCF Model'!G45/(1+$B19)^('DCF Model'!C19+4)+('DCF Model'!G39+'DCF Model'!G42)*E$17/(1+$B19)^('DCF Model'!C19+4)-'DCF Model'!C16)*1000000/'DCF Model'!C15,0),"")</f>
        <v>5811</v>
      </c>
      <c r="F19" s="37">
        <f>IFERROR(ROUND(('DCF Model'!C45/(1+$B19)^('DCF Model'!C19+0)+'DCF Model'!D45/(1+$B19)^('DCF Model'!C19+1)+'DCF Model'!E45/(1+$B19)^('DCF Model'!C19+2)+'DCF Model'!F45/(1+$B19)^('DCF Model'!C19+3)+'DCF Model'!G45/(1+$B19)^('DCF Model'!C19+4)+('DCF Model'!G39+'DCF Model'!G42)*F$17/(1+$B19)^('DCF Model'!C19+4)-'DCF Model'!C16)*1000000/'DCF Model'!C15,0),"")</f>
        <v>6231</v>
      </c>
      <c r="G19" s="37">
        <f>IFERROR(ROUND(('DCF Model'!C45/(1+$B19)^('DCF Model'!C19+0)+'DCF Model'!D45/(1+$B19)^('DCF Model'!C19+1)+'DCF Model'!E45/(1+$B19)^('DCF Model'!C19+2)+'DCF Model'!F45/(1+$B19)^('DCF Model'!C19+3)+'DCF Model'!G45/(1+$B19)^('DCF Model'!C19+4)+('DCF Model'!G39+'DCF Model'!G42)*G$17/(1+$B19)^('DCF Model'!C19+4)-'DCF Model'!C16)*1000000/'DCF Model'!C15,0),"")</f>
        <v>6652</v>
      </c>
      <c r="H19" s="37">
        <f>IFERROR(ROUND(('DCF Model'!C45/(1+$B19)^('DCF Model'!C19+0)+'DCF Model'!D45/(1+$B19)^('DCF Model'!C19+1)+'DCF Model'!E45/(1+$B19)^('DCF Model'!C19+2)+'DCF Model'!F45/(1+$B19)^('DCF Model'!C19+3)+'DCF Model'!G45/(1+$B19)^('DCF Model'!C19+4)+('DCF Model'!G39+'DCF Model'!G42)*H$17/(1+$B19)^('DCF Model'!C19+4)-'DCF Model'!C16)*1000000/'DCF Model'!C15,0),"")</f>
        <v>7072</v>
      </c>
      <c r="I19" s="37">
        <f>IFERROR(ROUND(('DCF Model'!C45/(1+$B19)^('DCF Model'!C19+0)+'DCF Model'!D45/(1+$B19)^('DCF Model'!C19+1)+'DCF Model'!E45/(1+$B19)^('DCF Model'!C19+2)+'DCF Model'!F45/(1+$B19)^('DCF Model'!C19+3)+'DCF Model'!G45/(1+$B19)^('DCF Model'!C19+4)+('DCF Model'!G39+'DCF Model'!G42)*I$17/(1+$B19)^('DCF Model'!C19+4)-'DCF Model'!C16)*1000000/'DCF Model'!C15,0),"")</f>
        <v>7493</v>
      </c>
    </row>
    <row r="20" spans="2:9" ht="13.5" customHeight="1" x14ac:dyDescent="0.25">
      <c r="B20" s="39">
        <f>$C$3-0.005</f>
        <v>9.6449999999999994E-2</v>
      </c>
      <c r="C20" s="37">
        <f>IFERROR(ROUND(('DCF Model'!C45/(1+$B20)^('DCF Model'!C19+0)+'DCF Model'!D45/(1+$B20)^('DCF Model'!C19+1)+'DCF Model'!E45/(1+$B20)^('DCF Model'!C19+2)+'DCF Model'!F45/(1+$B20)^('DCF Model'!C19+3)+'DCF Model'!G45/(1+$B20)^('DCF Model'!C19+4)+('DCF Model'!G39+'DCF Model'!G42)*C$17/(1+$B20)^('DCF Model'!C19+4)-'DCF Model'!C16)*1000000/'DCF Model'!C15,0),"")</f>
        <v>4881</v>
      </c>
      <c r="D20" s="37">
        <f>IFERROR(ROUND(('DCF Model'!C45/(1+$B20)^('DCF Model'!C19+0)+'DCF Model'!D45/(1+$B20)^('DCF Model'!C19+1)+'DCF Model'!E45/(1+$B20)^('DCF Model'!C19+2)+'DCF Model'!F45/(1+$B20)^('DCF Model'!C19+3)+'DCF Model'!G45/(1+$B20)^('DCF Model'!C19+4)+('DCF Model'!G39+'DCF Model'!G42)*D$17/(1+$B20)^('DCF Model'!C19+4)-'DCF Model'!C16)*1000000/'DCF Model'!C15,0),"")</f>
        <v>5292</v>
      </c>
      <c r="E20" s="37">
        <f>IFERROR(ROUND(('DCF Model'!C45/(1+$B20)^('DCF Model'!C19+0)+'DCF Model'!D45/(1+$B20)^('DCF Model'!C19+1)+'DCF Model'!E45/(1+$B20)^('DCF Model'!C19+2)+'DCF Model'!F45/(1+$B20)^('DCF Model'!C19+3)+'DCF Model'!G45/(1+$B20)^('DCF Model'!C19+4)+('DCF Model'!G39+'DCF Model'!G42)*E$17/(1+$B20)^('DCF Model'!C19+4)-'DCF Model'!C16)*1000000/'DCF Model'!C15,0),"")</f>
        <v>5703</v>
      </c>
      <c r="F20" s="37">
        <f>IFERROR(ROUND(('DCF Model'!C45/(1+$B20)^('DCF Model'!C19+0)+'DCF Model'!D45/(1+$B20)^('DCF Model'!C19+1)+'DCF Model'!E45/(1+$B20)^('DCF Model'!C19+2)+'DCF Model'!F45/(1+$B20)^('DCF Model'!C19+3)+'DCF Model'!G45/(1+$B20)^('DCF Model'!C19+4)+('DCF Model'!G39+'DCF Model'!G42)*F$17/(1+$B20)^('DCF Model'!C19+4)-'DCF Model'!C16)*1000000/'DCF Model'!C15,0),"")</f>
        <v>6114</v>
      </c>
      <c r="G20" s="37">
        <f>IFERROR(ROUND(('DCF Model'!C45/(1+$B20)^('DCF Model'!C19+0)+'DCF Model'!D45/(1+$B20)^('DCF Model'!C19+1)+'DCF Model'!E45/(1+$B20)^('DCF Model'!C19+2)+'DCF Model'!F45/(1+$B20)^('DCF Model'!C19+3)+'DCF Model'!G45/(1+$B20)^('DCF Model'!C19+4)+('DCF Model'!G39+'DCF Model'!G42)*G$17/(1+$B20)^('DCF Model'!C19+4)-'DCF Model'!C16)*1000000/'DCF Model'!C15,0),"")</f>
        <v>6525</v>
      </c>
      <c r="H20" s="37">
        <f>IFERROR(ROUND(('DCF Model'!C45/(1+$B20)^('DCF Model'!C19+0)+'DCF Model'!D45/(1+$B20)^('DCF Model'!C19+1)+'DCF Model'!E45/(1+$B20)^('DCF Model'!C19+2)+'DCF Model'!F45/(1+$B20)^('DCF Model'!C19+3)+'DCF Model'!G45/(1+$B20)^('DCF Model'!C19+4)+('DCF Model'!G39+'DCF Model'!G42)*H$17/(1+$B20)^('DCF Model'!C19+4)-'DCF Model'!C16)*1000000/'DCF Model'!C15,0),"")</f>
        <v>6936</v>
      </c>
      <c r="I20" s="37">
        <f>IFERROR(ROUND(('DCF Model'!C45/(1+$B20)^('DCF Model'!C19+0)+'DCF Model'!D45/(1+$B20)^('DCF Model'!C19+1)+'DCF Model'!E45/(1+$B20)^('DCF Model'!C19+2)+'DCF Model'!F45/(1+$B20)^('DCF Model'!C19+3)+'DCF Model'!G45/(1+$B20)^('DCF Model'!C19+4)+('DCF Model'!G39+'DCF Model'!G42)*I$17/(1+$B20)^('DCF Model'!C19+4)-'DCF Model'!C16)*1000000/'DCF Model'!C15,0),"")</f>
        <v>7348</v>
      </c>
    </row>
    <row r="21" spans="2:9" ht="13.5" customHeight="1" x14ac:dyDescent="0.25">
      <c r="B21" s="39">
        <f>$C$3</f>
        <v>0.10145</v>
      </c>
      <c r="C21" s="37">
        <f>IFERROR(ROUND(('DCF Model'!C45/(1+$B21)^('DCF Model'!C19+0)+'DCF Model'!D45/(1+$B21)^('DCF Model'!C19+1)+'DCF Model'!E45/(1+$B21)^('DCF Model'!C19+2)+'DCF Model'!F45/(1+$B21)^('DCF Model'!C19+3)+'DCF Model'!G45/(1+$B21)^('DCF Model'!C19+4)+('DCF Model'!G39+'DCF Model'!G42)*C$17/(1+$B21)^('DCF Model'!C19+4)-'DCF Model'!C16)*1000000/'DCF Model'!C15,0),"")</f>
        <v>4795</v>
      </c>
      <c r="D21" s="37">
        <f>IFERROR(ROUND(('DCF Model'!C45/(1+$B21)^('DCF Model'!C19+0)+'DCF Model'!D45/(1+$B21)^('DCF Model'!C19+1)+'DCF Model'!E45/(1+$B21)^('DCF Model'!C19+2)+'DCF Model'!F45/(1+$B21)^('DCF Model'!C19+3)+'DCF Model'!G45/(1+$B21)^('DCF Model'!C19+4)+('DCF Model'!G39+'DCF Model'!G42)*D$17/(1+$B21)^('DCF Model'!C19+4)-'DCF Model'!C16)*1000000/'DCF Model'!C15,0),"")</f>
        <v>5197</v>
      </c>
      <c r="E21" s="37">
        <f>IFERROR(ROUND(('DCF Model'!C45/(1+$B21)^('DCF Model'!C19+0)+'DCF Model'!D45/(1+$B21)^('DCF Model'!C19+1)+'DCF Model'!E45/(1+$B21)^('DCF Model'!C19+2)+'DCF Model'!F45/(1+$B21)^('DCF Model'!C19+3)+'DCF Model'!G45/(1+$B21)^('DCF Model'!C19+4)+('DCF Model'!G39+'DCF Model'!G42)*E$17/(1+$B21)^('DCF Model'!C19+4)-'DCF Model'!C16)*1000000/'DCF Model'!C15,0),"")</f>
        <v>5599</v>
      </c>
      <c r="F21" s="37">
        <f>IFERROR(ROUND(('DCF Model'!C45/(1+$B21)^('DCF Model'!C19+0)+'DCF Model'!D45/(1+$B21)^('DCF Model'!C19+1)+'DCF Model'!E45/(1+$B21)^('DCF Model'!C19+2)+'DCF Model'!F45/(1+$B21)^('DCF Model'!C19+3)+'DCF Model'!G45/(1+$B21)^('DCF Model'!C19+4)+('DCF Model'!G39+'DCF Model'!G42)*F$17/(1+$B21)^('DCF Model'!C19+4)-'DCF Model'!C16)*1000000/'DCF Model'!C15,0),"")</f>
        <v>6001</v>
      </c>
      <c r="G21" s="37">
        <f>IFERROR(ROUND(('DCF Model'!C45/(1+$B21)^('DCF Model'!C19+0)+'DCF Model'!D45/(1+$B21)^('DCF Model'!C19+1)+'DCF Model'!E45/(1+$B21)^('DCF Model'!C19+2)+'DCF Model'!F45/(1+$B21)^('DCF Model'!C19+3)+'DCF Model'!G45/(1+$B21)^('DCF Model'!C19+4)+('DCF Model'!G39+'DCF Model'!G42)*G$17/(1+$B21)^('DCF Model'!C19+4)-'DCF Model'!C16)*1000000/'DCF Model'!C15,0),"")</f>
        <v>6402</v>
      </c>
      <c r="H21" s="37">
        <f>IFERROR(ROUND(('DCF Model'!C45/(1+$B21)^('DCF Model'!C19+0)+'DCF Model'!D45/(1+$B21)^('DCF Model'!C19+1)+'DCF Model'!E45/(1+$B21)^('DCF Model'!C19+2)+'DCF Model'!F45/(1+$B21)^('DCF Model'!C19+3)+'DCF Model'!G45/(1+$B21)^('DCF Model'!C19+4)+('DCF Model'!G39+'DCF Model'!G42)*H$17/(1+$B21)^('DCF Model'!C19+4)-'DCF Model'!C16)*1000000/'DCF Model'!C15,0),"")</f>
        <v>6804</v>
      </c>
      <c r="I21" s="37">
        <f>IFERROR(ROUND(('DCF Model'!C45/(1+$B21)^('DCF Model'!C19+0)+'DCF Model'!D45/(1+$B21)^('DCF Model'!C19+1)+'DCF Model'!E45/(1+$B21)^('DCF Model'!C19+2)+'DCF Model'!F45/(1+$B21)^('DCF Model'!C19+3)+'DCF Model'!G45/(1+$B21)^('DCF Model'!C19+4)+('DCF Model'!G39+'DCF Model'!G42)*I$17/(1+$B21)^('DCF Model'!C19+4)-'DCF Model'!C16)*1000000/'DCF Model'!C15,0),"")</f>
        <v>7206</v>
      </c>
    </row>
    <row r="22" spans="2:9" ht="13.5" customHeight="1" x14ac:dyDescent="0.25">
      <c r="B22" s="39">
        <f>$C$3+0.005</f>
        <v>0.10645</v>
      </c>
      <c r="C22" s="37">
        <f>IFERROR(ROUND(('DCF Model'!C45/(1+$B22)^('DCF Model'!C19+0)+'DCF Model'!D45/(1+$B22)^('DCF Model'!C19+1)+'DCF Model'!E45/(1+$B22)^('DCF Model'!C19+2)+'DCF Model'!F45/(1+$B22)^('DCF Model'!C19+3)+'DCF Model'!G45/(1+$B22)^('DCF Model'!C19+4)+('DCF Model'!G39+'DCF Model'!G42)*C$17/(1+$B22)^('DCF Model'!C19+4)-'DCF Model'!C16)*1000000/'DCF Model'!C15,0),"")</f>
        <v>4712</v>
      </c>
      <c r="D22" s="37">
        <f>IFERROR(ROUND(('DCF Model'!C45/(1+$B22)^('DCF Model'!C19+0)+'DCF Model'!D45/(1+$B22)^('DCF Model'!C19+1)+'DCF Model'!E45/(1+$B22)^('DCF Model'!C19+2)+'DCF Model'!F45/(1+$B22)^('DCF Model'!C19+3)+'DCF Model'!G45/(1+$B22)^('DCF Model'!C19+4)+('DCF Model'!G39+'DCF Model'!G42)*D$17/(1+$B22)^('DCF Model'!C19+4)-'DCF Model'!C16)*1000000/'DCF Model'!C15,0),"")</f>
        <v>5104</v>
      </c>
      <c r="E22" s="37">
        <f>IFERROR(ROUND(('DCF Model'!C45/(1+$B22)^('DCF Model'!C19+0)+'DCF Model'!D45/(1+$B22)^('DCF Model'!C19+1)+'DCF Model'!E45/(1+$B22)^('DCF Model'!C19+2)+'DCF Model'!F45/(1+$B22)^('DCF Model'!C19+3)+'DCF Model'!G45/(1+$B22)^('DCF Model'!C19+4)+('DCF Model'!G39+'DCF Model'!G42)*E$17/(1+$B22)^('DCF Model'!C19+4)-'DCF Model'!C16)*1000000/'DCF Model'!C15,0),"")</f>
        <v>5497</v>
      </c>
      <c r="F22" s="37">
        <f>IFERROR(ROUND(('DCF Model'!C45/(1+$B22)^('DCF Model'!C19+0)+'DCF Model'!D45/(1+$B22)^('DCF Model'!C19+1)+'DCF Model'!E45/(1+$B22)^('DCF Model'!C19+2)+'DCF Model'!F45/(1+$B22)^('DCF Model'!C19+3)+'DCF Model'!G45/(1+$B22)^('DCF Model'!C19+4)+('DCF Model'!G39+'DCF Model'!G42)*F$17/(1+$B22)^('DCF Model'!C19+4)-'DCF Model'!C16)*1000000/'DCF Model'!C15,0),"")</f>
        <v>5890</v>
      </c>
      <c r="G22" s="37">
        <f>IFERROR(ROUND(('DCF Model'!C45/(1+$B22)^('DCF Model'!C19+0)+'DCF Model'!D45/(1+$B22)^('DCF Model'!C19+1)+'DCF Model'!E45/(1+$B22)^('DCF Model'!C19+2)+'DCF Model'!F45/(1+$B22)^('DCF Model'!C19+3)+'DCF Model'!G45/(1+$B22)^('DCF Model'!C19+4)+('DCF Model'!G39+'DCF Model'!G42)*G$17/(1+$B22)^('DCF Model'!C19+4)-'DCF Model'!C16)*1000000/'DCF Model'!C15,0),"")</f>
        <v>6283</v>
      </c>
      <c r="H22" s="37">
        <f>IFERROR(ROUND(('DCF Model'!C45/(1+$B22)^('DCF Model'!C19+0)+'DCF Model'!D45/(1+$B22)^('DCF Model'!C19+1)+'DCF Model'!E45/(1+$B22)^('DCF Model'!C19+2)+'DCF Model'!F45/(1+$B22)^('DCF Model'!C19+3)+'DCF Model'!G45/(1+$B22)^('DCF Model'!C19+4)+('DCF Model'!G39+'DCF Model'!G42)*H$17/(1+$B22)^('DCF Model'!C19+4)-'DCF Model'!C16)*1000000/'DCF Model'!C15,0),"")</f>
        <v>6675</v>
      </c>
      <c r="I22" s="37">
        <f>IFERROR(ROUND(('DCF Model'!C45/(1+$B22)^('DCF Model'!C19+0)+'DCF Model'!D45/(1+$B22)^('DCF Model'!C19+1)+'DCF Model'!E45/(1+$B22)^('DCF Model'!C19+2)+'DCF Model'!F45/(1+$B22)^('DCF Model'!C19+3)+'DCF Model'!G45/(1+$B22)^('DCF Model'!C19+4)+('DCF Model'!G39+'DCF Model'!G42)*I$17/(1+$B22)^('DCF Model'!C19+4)-'DCF Model'!C16)*1000000/'DCF Model'!C15,0),"")</f>
        <v>7068</v>
      </c>
    </row>
    <row r="23" spans="2:9" ht="13.5" customHeight="1" x14ac:dyDescent="0.25">
      <c r="B23" s="39">
        <f>$C$3+0.01</f>
        <v>0.11144999999999999</v>
      </c>
      <c r="C23" s="37">
        <f>IFERROR(ROUND(('DCF Model'!C45/(1+$B23)^('DCF Model'!C19+0)+'DCF Model'!D45/(1+$B23)^('DCF Model'!C19+1)+'DCF Model'!E45/(1+$B23)^('DCF Model'!C19+2)+'DCF Model'!F45/(1+$B23)^('DCF Model'!C19+3)+'DCF Model'!G45/(1+$B23)^('DCF Model'!C19+4)+('DCF Model'!G39+'DCF Model'!G42)*C$17/(1+$B23)^('DCF Model'!C19+4)-'DCF Model'!C16)*1000000/'DCF Model'!C15,0),"")</f>
        <v>4630</v>
      </c>
      <c r="D23" s="37">
        <f>IFERROR(ROUND(('DCF Model'!C45/(1+$B23)^('DCF Model'!C19+0)+'DCF Model'!D45/(1+$B23)^('DCF Model'!C19+1)+'DCF Model'!E45/(1+$B23)^('DCF Model'!C19+2)+'DCF Model'!F45/(1+$B23)^('DCF Model'!C19+3)+'DCF Model'!G45/(1+$B23)^('DCF Model'!C19+4)+('DCF Model'!G39+'DCF Model'!G42)*D$17/(1+$B23)^('DCF Model'!C19+4)-'DCF Model'!C16)*1000000/'DCF Model'!C15,0),"")</f>
        <v>5014</v>
      </c>
      <c r="E23" s="37">
        <f>IFERROR(ROUND(('DCF Model'!C45/(1+$B23)^('DCF Model'!C19+0)+'DCF Model'!D45/(1+$B23)^('DCF Model'!C19+1)+'DCF Model'!E45/(1+$B23)^('DCF Model'!C19+2)+'DCF Model'!F45/(1+$B23)^('DCF Model'!C19+3)+'DCF Model'!G45/(1+$B23)^('DCF Model'!C19+4)+('DCF Model'!G39+'DCF Model'!G42)*E$17/(1+$B23)^('DCF Model'!C19+4)-'DCF Model'!C16)*1000000/'DCF Model'!C15,0),"")</f>
        <v>5398</v>
      </c>
      <c r="F23" s="37">
        <f>IFERROR(ROUND(('DCF Model'!C45/(1+$B23)^('DCF Model'!C19+0)+'DCF Model'!D45/(1+$B23)^('DCF Model'!C19+1)+'DCF Model'!E45/(1+$B23)^('DCF Model'!C19+2)+'DCF Model'!F45/(1+$B23)^('DCF Model'!C19+3)+'DCF Model'!G45/(1+$B23)^('DCF Model'!C19+4)+('DCF Model'!G39+'DCF Model'!G42)*F$17/(1+$B23)^('DCF Model'!C19+4)-'DCF Model'!C16)*1000000/'DCF Model'!C15,0),"")</f>
        <v>5782</v>
      </c>
      <c r="G23" s="37">
        <f>IFERROR(ROUND(('DCF Model'!C45/(1+$B23)^('DCF Model'!C19+0)+'DCF Model'!D45/(1+$B23)^('DCF Model'!C19+1)+'DCF Model'!E45/(1+$B23)^('DCF Model'!C19+2)+'DCF Model'!F45/(1+$B23)^('DCF Model'!C19+3)+'DCF Model'!G45/(1+$B23)^('DCF Model'!C19+4)+('DCF Model'!G39+'DCF Model'!G42)*G$17/(1+$B23)^('DCF Model'!C19+4)-'DCF Model'!C16)*1000000/'DCF Model'!C15,0),"")</f>
        <v>6166</v>
      </c>
      <c r="H23" s="37">
        <f>IFERROR(ROUND(('DCF Model'!C45/(1+$B23)^('DCF Model'!C19+0)+'DCF Model'!D45/(1+$B23)^('DCF Model'!C19+1)+'DCF Model'!E45/(1+$B23)^('DCF Model'!C19+2)+'DCF Model'!F45/(1+$B23)^('DCF Model'!C19+3)+'DCF Model'!G45/(1+$B23)^('DCF Model'!C19+4)+('DCF Model'!G39+'DCF Model'!G42)*H$17/(1+$B23)^('DCF Model'!C19+4)-'DCF Model'!C16)*1000000/'DCF Model'!C15,0),"")</f>
        <v>6550</v>
      </c>
      <c r="I23" s="37">
        <f>IFERROR(ROUND(('DCF Model'!C45/(1+$B23)^('DCF Model'!C19+0)+'DCF Model'!D45/(1+$B23)^('DCF Model'!C19+1)+'DCF Model'!E45/(1+$B23)^('DCF Model'!C19+2)+'DCF Model'!F45/(1+$B23)^('DCF Model'!C19+3)+'DCF Model'!G45/(1+$B23)^('DCF Model'!C19+4)+('DCF Model'!G39+'DCF Model'!G42)*I$17/(1+$B23)^('DCF Model'!C19+4)-'DCF Model'!C16)*1000000/'DCF Model'!C15,0),"")</f>
        <v>6934</v>
      </c>
    </row>
    <row r="24" spans="2:9" ht="13.5" customHeight="1" x14ac:dyDescent="0.25">
      <c r="B24" s="39">
        <f>$C$3+0.015</f>
        <v>0.11645</v>
      </c>
      <c r="C24" s="37">
        <f>IFERROR(ROUND(('DCF Model'!C45/(1+$B24)^('DCF Model'!C19+0)+'DCF Model'!D45/(1+$B24)^('DCF Model'!C19+1)+'DCF Model'!E45/(1+$B24)^('DCF Model'!C19+2)+'DCF Model'!F45/(1+$B24)^('DCF Model'!C19+3)+'DCF Model'!G45/(1+$B24)^('DCF Model'!C19+4)+('DCF Model'!G39+'DCF Model'!G42)*C$17/(1+$B24)^('DCF Model'!C19+4)-'DCF Model'!C16)*1000000/'DCF Model'!C15,0),"")</f>
        <v>4550</v>
      </c>
      <c r="D24" s="37">
        <f>IFERROR(ROUND(('DCF Model'!C45/(1+$B24)^('DCF Model'!C19+0)+'DCF Model'!D45/(1+$B24)^('DCF Model'!C19+1)+'DCF Model'!E45/(1+$B24)^('DCF Model'!C19+2)+'DCF Model'!F45/(1+$B24)^('DCF Model'!C19+3)+'DCF Model'!G45/(1+$B24)^('DCF Model'!C19+4)+('DCF Model'!G39+'DCF Model'!G42)*D$17/(1+$B24)^('DCF Model'!C19+4)-'DCF Model'!C16)*1000000/'DCF Model'!C15,0),"")</f>
        <v>4926</v>
      </c>
      <c r="E24" s="37">
        <f>IFERROR(ROUND(('DCF Model'!C45/(1+$B24)^('DCF Model'!C19+0)+'DCF Model'!D45/(1+$B24)^('DCF Model'!C19+1)+'DCF Model'!E45/(1+$B24)^('DCF Model'!C19+2)+'DCF Model'!F45/(1+$B24)^('DCF Model'!C19+3)+'DCF Model'!G45/(1+$B24)^('DCF Model'!C19+4)+('DCF Model'!G39+'DCF Model'!G42)*E$17/(1+$B24)^('DCF Model'!C19+4)-'DCF Model'!C16)*1000000/'DCF Model'!C15,0),"")</f>
        <v>5301</v>
      </c>
      <c r="F24" s="37">
        <f>IFERROR(ROUND(('DCF Model'!C45/(1+$B24)^('DCF Model'!C19+0)+'DCF Model'!D45/(1+$B24)^('DCF Model'!C19+1)+'DCF Model'!E45/(1+$B24)^('DCF Model'!C19+2)+'DCF Model'!F45/(1+$B24)^('DCF Model'!C19+3)+'DCF Model'!G45/(1+$B24)^('DCF Model'!C19+4)+('DCF Model'!G39+'DCF Model'!G42)*F$17/(1+$B24)^('DCF Model'!C19+4)-'DCF Model'!C16)*1000000/'DCF Model'!C15,0),"")</f>
        <v>5677</v>
      </c>
      <c r="G24" s="37">
        <f>IFERROR(ROUND(('DCF Model'!C45/(1+$B24)^('DCF Model'!C19+0)+'DCF Model'!D45/(1+$B24)^('DCF Model'!C19+1)+'DCF Model'!E45/(1+$B24)^('DCF Model'!C19+2)+'DCF Model'!F45/(1+$B24)^('DCF Model'!C19+3)+'DCF Model'!G45/(1+$B24)^('DCF Model'!C19+4)+('DCF Model'!G39+'DCF Model'!G42)*G$17/(1+$B24)^('DCF Model'!C19+4)-'DCF Model'!C16)*1000000/'DCF Model'!C15,0),"")</f>
        <v>6052</v>
      </c>
      <c r="H24" s="37">
        <f>IFERROR(ROUND(('DCF Model'!C45/(1+$B24)^('DCF Model'!C19+0)+'DCF Model'!D45/(1+$B24)^('DCF Model'!C19+1)+'DCF Model'!E45/(1+$B24)^('DCF Model'!C19+2)+'DCF Model'!F45/(1+$B24)^('DCF Model'!C19+3)+'DCF Model'!G45/(1+$B24)^('DCF Model'!C19+4)+('DCF Model'!G39+'DCF Model'!G42)*H$17/(1+$B24)^('DCF Model'!C19+4)-'DCF Model'!C16)*1000000/'DCF Model'!C15,0),"")</f>
        <v>6428</v>
      </c>
      <c r="I24" s="37">
        <f>IFERROR(ROUND(('DCF Model'!C45/(1+$B24)^('DCF Model'!C19+0)+'DCF Model'!D45/(1+$B24)^('DCF Model'!C19+1)+'DCF Model'!E45/(1+$B24)^('DCF Model'!C19+2)+'DCF Model'!F45/(1+$B24)^('DCF Model'!C19+3)+'DCF Model'!G45/(1+$B24)^('DCF Model'!C19+4)+('DCF Model'!G39+'DCF Model'!G42)*I$17/(1+$B24)^('DCF Model'!C19+4)-'DCF Model'!C16)*1000000/'DCF Model'!C15,0),"")</f>
        <v>6803</v>
      </c>
    </row>
    <row r="26" spans="2:9" ht="14" customHeight="1" x14ac:dyDescent="0.3">
      <c r="B26" s="46" t="s">
        <v>244</v>
      </c>
      <c r="C26" s="45"/>
      <c r="D26" s="45"/>
      <c r="E26" s="45"/>
      <c r="F26" s="45"/>
      <c r="G26" s="45"/>
      <c r="H26" s="45"/>
      <c r="I26" s="45"/>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3"/>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customHeight="1" x14ac:dyDescent="0.4">
      <c r="B2" s="2" t="s">
        <v>245</v>
      </c>
    </row>
    <row r="4" spans="2:7" ht="14" customHeight="1" x14ac:dyDescent="0.3">
      <c r="B4" s="10" t="s">
        <v>246</v>
      </c>
      <c r="C4" s="10" t="s">
        <v>247</v>
      </c>
      <c r="D4" s="10" t="s">
        <v>248</v>
      </c>
      <c r="E4" s="10" t="s">
        <v>249</v>
      </c>
      <c r="F4" s="10" t="s">
        <v>250</v>
      </c>
      <c r="G4" s="10" t="s">
        <v>251</v>
      </c>
    </row>
    <row r="5" spans="2:7" x14ac:dyDescent="0.2">
      <c r="B5" t="s">
        <v>252</v>
      </c>
      <c r="C5" t="s">
        <v>253</v>
      </c>
      <c r="D5" t="s">
        <v>254</v>
      </c>
      <c r="E5" t="s">
        <v>255</v>
      </c>
      <c r="F5" t="s">
        <v>253</v>
      </c>
      <c r="G5" t="s">
        <v>256</v>
      </c>
    </row>
    <row r="6" spans="2:7" ht="30" customHeight="1" x14ac:dyDescent="0.3">
      <c r="B6" s="43" t="s">
        <v>257</v>
      </c>
      <c r="C6" s="4" t="s">
        <v>258</v>
      </c>
      <c r="D6" s="43" t="s">
        <v>259</v>
      </c>
      <c r="E6" s="43" t="s">
        <v>260</v>
      </c>
      <c r="F6" s="43" t="s">
        <v>261</v>
      </c>
      <c r="G6" s="43" t="s">
        <v>262</v>
      </c>
    </row>
    <row r="7" spans="2:7" ht="30" customHeight="1" x14ac:dyDescent="0.3">
      <c r="B7" s="43" t="s">
        <v>257</v>
      </c>
      <c r="C7" s="4" t="s">
        <v>263</v>
      </c>
      <c r="D7" s="43" t="s">
        <v>264</v>
      </c>
      <c r="E7" s="43" t="s">
        <v>265</v>
      </c>
      <c r="F7" s="43" t="s">
        <v>266</v>
      </c>
      <c r="G7" s="43" t="s">
        <v>267</v>
      </c>
    </row>
    <row r="8" spans="2:7" ht="30" customHeight="1" x14ac:dyDescent="0.3">
      <c r="B8" s="43" t="s">
        <v>257</v>
      </c>
      <c r="C8" s="4" t="s">
        <v>268</v>
      </c>
      <c r="D8" s="43" t="s">
        <v>269</v>
      </c>
      <c r="E8" s="43" t="s">
        <v>270</v>
      </c>
      <c r="F8" s="43" t="s">
        <v>271</v>
      </c>
      <c r="G8" s="43" t="s">
        <v>267</v>
      </c>
    </row>
    <row r="9" spans="2:7" ht="30" customHeight="1" x14ac:dyDescent="0.3">
      <c r="B9" s="43" t="s">
        <v>257</v>
      </c>
      <c r="C9" s="4" t="s">
        <v>272</v>
      </c>
      <c r="D9" s="43" t="s">
        <v>273</v>
      </c>
      <c r="E9" s="43" t="s">
        <v>274</v>
      </c>
      <c r="F9" s="43" t="s">
        <v>275</v>
      </c>
      <c r="G9" s="43" t="s">
        <v>262</v>
      </c>
    </row>
    <row r="10" spans="2:7" ht="30" customHeight="1" x14ac:dyDescent="0.3">
      <c r="B10" s="43" t="s">
        <v>257</v>
      </c>
      <c r="C10" s="4" t="s">
        <v>276</v>
      </c>
      <c r="D10" s="43" t="s">
        <v>277</v>
      </c>
      <c r="E10" s="43" t="s">
        <v>278</v>
      </c>
      <c r="F10" s="43" t="s">
        <v>279</v>
      </c>
      <c r="G10" s="43" t="s">
        <v>280</v>
      </c>
    </row>
    <row r="11" spans="2:7" ht="30" customHeight="1" x14ac:dyDescent="0.3">
      <c r="B11" s="43" t="s">
        <v>257</v>
      </c>
      <c r="C11" s="4" t="s">
        <v>281</v>
      </c>
      <c r="D11" s="43" t="s">
        <v>282</v>
      </c>
      <c r="E11" s="43" t="s">
        <v>283</v>
      </c>
      <c r="F11" s="43" t="s">
        <v>284</v>
      </c>
      <c r="G11" s="43" t="s">
        <v>285</v>
      </c>
    </row>
    <row r="12" spans="2:7" ht="30" customHeight="1" x14ac:dyDescent="0.3">
      <c r="B12" s="43" t="s">
        <v>257</v>
      </c>
      <c r="C12" s="4" t="s">
        <v>286</v>
      </c>
      <c r="D12" s="43" t="s">
        <v>287</v>
      </c>
      <c r="E12" s="43" t="s">
        <v>288</v>
      </c>
      <c r="F12" s="43" t="s">
        <v>289</v>
      </c>
      <c r="G12" s="43" t="s">
        <v>267</v>
      </c>
    </row>
    <row r="13" spans="2:7" ht="30" customHeight="1" x14ac:dyDescent="0.3">
      <c r="B13" s="43" t="s">
        <v>257</v>
      </c>
      <c r="C13" s="4" t="s">
        <v>290</v>
      </c>
      <c r="D13" s="43" t="s">
        <v>291</v>
      </c>
      <c r="E13" s="43" t="s">
        <v>292</v>
      </c>
      <c r="F13" s="43" t="s">
        <v>293</v>
      </c>
      <c r="G13" s="43" t="s">
        <v>267</v>
      </c>
    </row>
    <row r="14" spans="2:7" ht="30" customHeight="1" x14ac:dyDescent="0.3">
      <c r="B14" s="43" t="s">
        <v>257</v>
      </c>
      <c r="C14" s="4" t="s">
        <v>294</v>
      </c>
      <c r="D14" s="43" t="s">
        <v>295</v>
      </c>
      <c r="E14" s="43" t="s">
        <v>296</v>
      </c>
      <c r="F14" s="43" t="s">
        <v>253</v>
      </c>
      <c r="G14" s="43" t="s">
        <v>267</v>
      </c>
    </row>
    <row r="15" spans="2:7" ht="30" customHeight="1" x14ac:dyDescent="0.3">
      <c r="B15" s="43" t="s">
        <v>257</v>
      </c>
      <c r="C15" s="4" t="s">
        <v>297</v>
      </c>
      <c r="D15" s="43" t="s">
        <v>298</v>
      </c>
      <c r="E15" s="43" t="s">
        <v>299</v>
      </c>
      <c r="F15" s="43" t="s">
        <v>300</v>
      </c>
      <c r="G15" s="43" t="s">
        <v>267</v>
      </c>
    </row>
    <row r="16" spans="2:7" ht="30" customHeight="1" x14ac:dyDescent="0.3">
      <c r="B16" s="43" t="s">
        <v>257</v>
      </c>
      <c r="C16" s="4" t="s">
        <v>301</v>
      </c>
      <c r="D16" s="43" t="s">
        <v>302</v>
      </c>
      <c r="E16" s="43" t="s">
        <v>303</v>
      </c>
      <c r="F16" s="43" t="s">
        <v>253</v>
      </c>
      <c r="G16" s="43" t="s">
        <v>304</v>
      </c>
    </row>
    <row r="17" spans="2:7" ht="30" customHeight="1" x14ac:dyDescent="0.3">
      <c r="B17" s="43" t="s">
        <v>257</v>
      </c>
      <c r="C17" s="4" t="s">
        <v>305</v>
      </c>
      <c r="D17" s="43" t="s">
        <v>306</v>
      </c>
      <c r="E17" s="43" t="s">
        <v>307</v>
      </c>
      <c r="F17" s="43" t="s">
        <v>271</v>
      </c>
      <c r="G17" s="43" t="s">
        <v>267</v>
      </c>
    </row>
    <row r="18" spans="2:7" ht="30" customHeight="1" x14ac:dyDescent="0.3">
      <c r="B18" s="43" t="s">
        <v>257</v>
      </c>
      <c r="C18" s="4" t="s">
        <v>308</v>
      </c>
      <c r="D18" s="43" t="s">
        <v>309</v>
      </c>
      <c r="E18" s="43" t="s">
        <v>310</v>
      </c>
      <c r="F18" s="43" t="s">
        <v>253</v>
      </c>
      <c r="G18" s="43" t="s">
        <v>267</v>
      </c>
    </row>
    <row r="19" spans="2:7" ht="30" customHeight="1" x14ac:dyDescent="0.3">
      <c r="B19" s="43" t="s">
        <v>257</v>
      </c>
      <c r="C19" s="4" t="s">
        <v>311</v>
      </c>
      <c r="D19" s="43" t="s">
        <v>312</v>
      </c>
      <c r="E19" s="43" t="s">
        <v>313</v>
      </c>
      <c r="F19" s="43" t="s">
        <v>253</v>
      </c>
      <c r="G19" s="43" t="s">
        <v>262</v>
      </c>
    </row>
    <row r="20" spans="2:7" ht="30" customHeight="1" x14ac:dyDescent="0.3">
      <c r="B20" s="43" t="s">
        <v>257</v>
      </c>
      <c r="C20" s="4" t="s">
        <v>314</v>
      </c>
      <c r="D20" s="43" t="s">
        <v>315</v>
      </c>
      <c r="E20" s="43" t="s">
        <v>316</v>
      </c>
      <c r="F20" s="43" t="s">
        <v>253</v>
      </c>
      <c r="G20" s="43" t="s">
        <v>317</v>
      </c>
    </row>
    <row r="21" spans="2:7" ht="30" customHeight="1" x14ac:dyDescent="0.3">
      <c r="B21" s="43" t="s">
        <v>257</v>
      </c>
      <c r="C21" s="4" t="s">
        <v>318</v>
      </c>
      <c r="D21" s="43" t="s">
        <v>319</v>
      </c>
      <c r="E21" s="43" t="s">
        <v>320</v>
      </c>
      <c r="F21" s="43" t="s">
        <v>253</v>
      </c>
      <c r="G21" s="43" t="s">
        <v>321</v>
      </c>
    </row>
    <row r="22" spans="2:7" ht="30" customHeight="1" x14ac:dyDescent="0.3">
      <c r="B22" s="43" t="s">
        <v>257</v>
      </c>
      <c r="C22" s="4" t="s">
        <v>318</v>
      </c>
      <c r="D22" s="43" t="s">
        <v>322</v>
      </c>
      <c r="E22" s="43" t="s">
        <v>323</v>
      </c>
      <c r="F22" s="43" t="s">
        <v>253</v>
      </c>
      <c r="G22" s="43" t="s">
        <v>321</v>
      </c>
    </row>
    <row r="23" spans="2:7" ht="30" customHeight="1" x14ac:dyDescent="0.3">
      <c r="B23" s="43" t="s">
        <v>257</v>
      </c>
      <c r="C23" s="4" t="s">
        <v>318</v>
      </c>
      <c r="D23" s="43" t="s">
        <v>324</v>
      </c>
      <c r="E23" s="43" t="s">
        <v>325</v>
      </c>
      <c r="F23" s="43" t="s">
        <v>253</v>
      </c>
      <c r="G23" s="43" t="s">
        <v>321</v>
      </c>
    </row>
    <row r="24" spans="2:7" ht="14" customHeight="1" x14ac:dyDescent="0.2"/>
    <row r="25" spans="2:7" ht="14" customHeight="1" x14ac:dyDescent="0.3">
      <c r="B25" s="8" t="s">
        <v>326</v>
      </c>
    </row>
    <row r="26" spans="2:7" ht="14" customHeight="1" x14ac:dyDescent="0.3">
      <c r="B26" s="10" t="s">
        <v>327</v>
      </c>
      <c r="C26" s="10" t="s">
        <v>328</v>
      </c>
    </row>
    <row r="27" spans="2:7" ht="14" customHeight="1" x14ac:dyDescent="0.3">
      <c r="B27" s="4" t="s">
        <v>329</v>
      </c>
      <c r="C27" t="s">
        <v>330</v>
      </c>
    </row>
    <row r="28" spans="2:7" ht="14" customHeight="1" x14ac:dyDescent="0.3">
      <c r="B28" s="4" t="s">
        <v>331</v>
      </c>
      <c r="C28" t="s">
        <v>332</v>
      </c>
    </row>
    <row r="29" spans="2:7" ht="14" customHeight="1" x14ac:dyDescent="0.3">
      <c r="B29" s="4" t="s">
        <v>333</v>
      </c>
      <c r="C29" t="s">
        <v>334</v>
      </c>
    </row>
    <row r="30" spans="2:7" ht="14" customHeight="1" x14ac:dyDescent="0.3">
      <c r="B30" s="4" t="s">
        <v>335</v>
      </c>
      <c r="C30" t="s">
        <v>47</v>
      </c>
    </row>
    <row r="31" spans="2:7" ht="14" customHeight="1" x14ac:dyDescent="0.3">
      <c r="B31" s="4" t="s">
        <v>336</v>
      </c>
      <c r="C31" t="s">
        <v>4</v>
      </c>
    </row>
    <row r="32" spans="2:7" ht="14" customHeight="1" x14ac:dyDescent="0.3">
      <c r="B32" s="4" t="s">
        <v>337</v>
      </c>
      <c r="C32" t="s">
        <v>252</v>
      </c>
    </row>
    <row r="33" spans="2:3" ht="14" customHeight="1" x14ac:dyDescent="0.3">
      <c r="B33" s="4" t="s">
        <v>338</v>
      </c>
      <c r="C33" t="s">
        <v>339</v>
      </c>
    </row>
    <row r="34" spans="2:3" ht="14" customHeight="1" x14ac:dyDescent="0.3">
      <c r="B34" s="4" t="s">
        <v>340</v>
      </c>
      <c r="C34" t="s">
        <v>341</v>
      </c>
    </row>
    <row r="35" spans="2:3" ht="14" customHeight="1" x14ac:dyDescent="0.3">
      <c r="B35" s="4" t="s">
        <v>342</v>
      </c>
      <c r="C35" t="s">
        <v>343</v>
      </c>
    </row>
    <row r="36" spans="2:3" ht="14" customHeight="1" x14ac:dyDescent="0.3">
      <c r="B36" s="4" t="s">
        <v>344</v>
      </c>
      <c r="C36" t="s">
        <v>345</v>
      </c>
    </row>
    <row r="37" spans="2:3" ht="14" customHeight="1" x14ac:dyDescent="0.3">
      <c r="B37" s="4" t="s">
        <v>346</v>
      </c>
      <c r="C37" t="s">
        <v>347</v>
      </c>
    </row>
    <row r="38" spans="2:3" ht="14" customHeight="1" x14ac:dyDescent="0.3">
      <c r="B38" s="4" t="s">
        <v>348</v>
      </c>
      <c r="C38" t="s">
        <v>343</v>
      </c>
    </row>
    <row r="39" spans="2:3" ht="14" customHeight="1" x14ac:dyDescent="0.3">
      <c r="B39" s="4" t="s">
        <v>349</v>
      </c>
      <c r="C39" t="s">
        <v>339</v>
      </c>
    </row>
    <row r="40" spans="2:3" ht="14" customHeight="1" x14ac:dyDescent="0.3">
      <c r="B40" s="4" t="s">
        <v>350</v>
      </c>
      <c r="C40" t="s">
        <v>351</v>
      </c>
    </row>
    <row r="41" spans="2:3" ht="14" customHeight="1" x14ac:dyDescent="0.3">
      <c r="B41" s="4" t="s">
        <v>352</v>
      </c>
      <c r="C41" t="s">
        <v>353</v>
      </c>
    </row>
    <row r="42" spans="2:3" ht="14" customHeight="1" x14ac:dyDescent="0.3">
      <c r="B42" s="4" t="s">
        <v>354</v>
      </c>
      <c r="C42" t="s">
        <v>355</v>
      </c>
    </row>
    <row r="43" spans="2:3" ht="14" customHeight="1" x14ac:dyDescent="0.3">
      <c r="B43" s="4" t="s">
        <v>356</v>
      </c>
      <c r="C43" t="s">
        <v>357</v>
      </c>
    </row>
    <row r="44" spans="2:3" ht="14" customHeight="1" x14ac:dyDescent="0.3">
      <c r="B44" s="4" t="s">
        <v>358</v>
      </c>
      <c r="C44" t="s">
        <v>359</v>
      </c>
    </row>
    <row r="45" spans="2:3" ht="14" customHeight="1" x14ac:dyDescent="0.3">
      <c r="B45" s="4" t="s">
        <v>360</v>
      </c>
      <c r="C45" t="s">
        <v>361</v>
      </c>
    </row>
    <row r="46" spans="2:3" ht="14" customHeight="1" x14ac:dyDescent="0.3">
      <c r="B46" s="4" t="s">
        <v>362</v>
      </c>
      <c r="C46" t="s">
        <v>363</v>
      </c>
    </row>
    <row r="47" spans="2:3" ht="14" customHeight="1" x14ac:dyDescent="0.3">
      <c r="B47" s="4" t="s">
        <v>364</v>
      </c>
      <c r="C47" t="s">
        <v>365</v>
      </c>
    </row>
    <row r="48" spans="2:3" ht="14" customHeight="1" x14ac:dyDescent="0.3">
      <c r="B48" s="4" t="s">
        <v>366</v>
      </c>
      <c r="C48" t="s">
        <v>332</v>
      </c>
    </row>
    <row r="49" spans="2:3" ht="14" customHeight="1" x14ac:dyDescent="0.3">
      <c r="B49" s="4" t="s">
        <v>367</v>
      </c>
      <c r="C49" t="s">
        <v>368</v>
      </c>
    </row>
    <row r="50" spans="2:3" ht="14" customHeight="1" x14ac:dyDescent="0.3">
      <c r="B50" s="4" t="s">
        <v>369</v>
      </c>
      <c r="C50" t="s">
        <v>370</v>
      </c>
    </row>
    <row r="51" spans="2:3" ht="14" x14ac:dyDescent="0.3">
      <c r="B51" s="4" t="s">
        <v>371</v>
      </c>
      <c r="C51" t="s">
        <v>372</v>
      </c>
    </row>
    <row r="52" spans="2:3" ht="14" x14ac:dyDescent="0.3">
      <c r="B52" s="4" t="s">
        <v>373</v>
      </c>
      <c r="C52" t="s">
        <v>374</v>
      </c>
    </row>
    <row r="53" spans="2:3" ht="14" x14ac:dyDescent="0.3">
      <c r="B53" s="4" t="s">
        <v>375</v>
      </c>
      <c r="C53" t="s">
        <v>376</v>
      </c>
    </row>
    <row r="54" spans="2:3" ht="14" x14ac:dyDescent="0.3">
      <c r="B54" s="4" t="s">
        <v>377</v>
      </c>
      <c r="C54" t="s">
        <v>378</v>
      </c>
    </row>
    <row r="55" spans="2:3" ht="14" x14ac:dyDescent="0.3">
      <c r="B55" s="4" t="s">
        <v>379</v>
      </c>
      <c r="C55" t="s">
        <v>380</v>
      </c>
    </row>
    <row r="56" spans="2:3" ht="14" x14ac:dyDescent="0.3">
      <c r="B56" s="4" t="s">
        <v>381</v>
      </c>
      <c r="C56" t="s">
        <v>382</v>
      </c>
    </row>
    <row r="57" spans="2:3" ht="14" x14ac:dyDescent="0.3">
      <c r="B57" s="4" t="s">
        <v>383</v>
      </c>
      <c r="C57" t="s">
        <v>384</v>
      </c>
    </row>
    <row r="58" spans="2:3" ht="14" x14ac:dyDescent="0.3">
      <c r="B58" s="4" t="s">
        <v>385</v>
      </c>
      <c r="C58" t="s">
        <v>339</v>
      </c>
    </row>
    <row r="59" spans="2:3" ht="14" x14ac:dyDescent="0.3">
      <c r="B59" s="4" t="s">
        <v>386</v>
      </c>
      <c r="C59" t="s">
        <v>387</v>
      </c>
    </row>
    <row r="60" spans="2:3" ht="14" x14ac:dyDescent="0.3">
      <c r="B60" s="4" t="s">
        <v>388</v>
      </c>
      <c r="C60" t="s">
        <v>389</v>
      </c>
    </row>
    <row r="61" spans="2:3" ht="14" x14ac:dyDescent="0.3">
      <c r="B61" s="4" t="s">
        <v>390</v>
      </c>
      <c r="C61" t="s">
        <v>391</v>
      </c>
    </row>
    <row r="62" spans="2:3" ht="14" x14ac:dyDescent="0.3">
      <c r="B62" s="4" t="s">
        <v>392</v>
      </c>
      <c r="C62" t="s">
        <v>393</v>
      </c>
    </row>
    <row r="63" spans="2:3" ht="14" x14ac:dyDescent="0.3">
      <c r="B63" s="4" t="s">
        <v>394</v>
      </c>
      <c r="C63" t="s">
        <v>213</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2026-09-06T04:16:19Z</dcterms:created>
  <dcterms:modified xsi:type="dcterms:W3CDTF">2026-09-06T04:42:47Z</dcterms:modified>
</cp:coreProperties>
</file>