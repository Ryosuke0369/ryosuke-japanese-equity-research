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Financial Statements" sheetId="2" state="visible" r:id="rId4"/>
    <sheet name="DCF Model" sheetId="3" state="visible" r:id="rId5"/>
    <sheet name="NWC Schedule" sheetId="4" state="visible" r:id="rId6"/>
    <sheet name="Comps Analysis" sheetId="5" state="visible" r:id="rId7"/>
    <sheet name="Sensitivity Analy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<sst xmlns="http://schemas.openxmlformats.org/spreadsheetml/2006/main" count="252" uniqueCount="189">
  <si>
    <t xml:space="preserve">DISCLAIMER: This is a sample analysis for demonstration purposes only. It does not constitute investment advice.</t>
  </si>
  <si>
    <t xml:space="preserve">ELEMENTS (5246)</t>
  </si>
  <si>
    <t xml:space="preserve">Equity Research Report</t>
  </si>
  <si>
    <t xml:space="preserve">Company</t>
  </si>
  <si>
    <t xml:space="preserve">ELEMENTS</t>
  </si>
  <si>
    <t xml:space="preserve">Ticker</t>
  </si>
  <si>
    <t xml:space="preserve">5246 (TSE)</t>
  </si>
  <si>
    <t xml:space="preserve">Sector</t>
  </si>
  <si>
    <t xml:space="preserve">N/A</t>
  </si>
  <si>
    <t xml:space="preserve">Current Price</t>
  </si>
  <si>
    <t xml:space="preserve">Target Price (Mid)</t>
  </si>
  <si>
    <t xml:space="preserve">Recommendation</t>
  </si>
  <si>
    <t xml:space="preserve">Upside / Downside</t>
  </si>
  <si>
    <t xml:space="preserve">Valuation Summary</t>
  </si>
  <si>
    <t xml:space="preserve">Methodology</t>
  </si>
  <si>
    <t xml:space="preserve">Implied Value (JPY)</t>
  </si>
  <si>
    <t xml:space="preserve">vs Current Price</t>
  </si>
  <si>
    <t xml:space="preserve">DCF - Perpetuity Growth</t>
  </si>
  <si>
    <t xml:space="preserve">DCF - Exit Multiple</t>
  </si>
  <si>
    <t xml:space="preserve">Comps - EV/EBITDA Median</t>
  </si>
  <si>
    <t xml:space="preserve">Comps - PER Median</t>
  </si>
  <si>
    <t xml:space="preserve">Integrated Valuation Range</t>
  </si>
  <si>
    <t xml:space="preserve">Key Investment Thesis</t>
  </si>
  <si>
    <t xml:space="preserve">1. [Edit] Describe key competitive advantage</t>
  </si>
  <si>
    <t xml:space="preserve">2. [Edit] Describe growth driver</t>
  </si>
  <si>
    <t xml:space="preserve">3. [Edit] Describe margin expansion opportunity</t>
  </si>
  <si>
    <t xml:space="preserve">Key Risks</t>
  </si>
  <si>
    <t xml:space="preserve">1. [Edit] Describe primary risk factor</t>
  </si>
  <si>
    <t xml:space="preserve">2. [Edit] Describe secondary risk factor</t>
  </si>
  <si>
    <t xml:space="preserve">3. [Edit] Describe tertiary risk factor</t>
  </si>
  <si>
    <t xml:space="preserve">ELEMENTS - Historical Financials (JPY mn)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</si>
  <si>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</si>
  <si>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</si>
  <si>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</si>
  <si>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</si>
  <si>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</si>
  <si>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Income Statement</t>
  </si>
  <si>
    <t xml:space="preserve">Revenue</t>
  </si>
  <si>
    <t xml:space="preserve">COGS</t>
  </si>
  <si>
    <t xml:space="preserve">Gross Profit</t>
  </si>
  <si>
    <t xml:space="preserve">Gross Margin</t>
  </si>
  <si>
    <t xml:space="preserve">SGA</t>
  </si>
  <si>
    <t xml:space="preserve">Operating Income</t>
  </si>
  <si>
    <t xml:space="preserve">Net Income</t>
  </si>
  <si>
    <t xml:space="preserve">Operating Margin</t>
  </si>
  <si>
    <t xml:space="preserve">Net Margin</t>
  </si>
  <si>
    <t xml:space="preserve">Revenue Growth (YoY)</t>
  </si>
  <si>
    <t xml:space="preserve">n/a</t>
  </si>
  <si>
    <t xml:space="preserve">Operating Income Growth (YoY)</t>
  </si>
  <si>
    <t xml:space="preserve">Cash Flow Statement</t>
  </si>
  <si>
    <t xml:space="preserve">Operating Cash Flow</t>
  </si>
  <si>
    <t xml:space="preserve">Capex</t>
  </si>
  <si>
    <t xml:space="preserve">Free Cash Flow</t>
  </si>
  <si>
    <t xml:space="preserve">FCF Margin</t>
  </si>
  <si>
    <t xml:space="preserve">Capex / Revenue</t>
  </si>
  <si>
    <t xml:space="preserve">Balance Sheet Highlights</t>
  </si>
  <si>
    <t xml:space="preserve">Cash &amp; Deposits</t>
  </si>
  <si>
    <t xml:space="preserve">Short-term Debt</t>
  </si>
  <si>
    <t xml:space="preserve">Net Debt (Cash)</t>
  </si>
  <si>
    <t xml:space="preserve">DCF Valuation Model - ELEMENTS</t>
  </si>
  <si>
    <t xml:space="preserve">Assumptions</t>
  </si>
  <si>
    <t xml:space="preserve">Effective Tax Rate</t>
  </si>
  <si>
    <t xml:space="preserve">Risk-Free Rate</t>
  </si>
  <si>
    <t xml:space="preserve">Beta</t>
  </si>
  <si>
    <t xml:space="preserve">Equity Risk Premium</t>
  </si>
  <si>
    <t xml:space="preserve">Size Premium</t>
  </si>
  <si>
    <t xml:space="preserve">After-tax Cost of Debt</t>
  </si>
  <si>
    <t xml:space="preserve">D/E Ratio</t>
  </si>
  <si>
    <t xml:space="preserve">Terminal Growth Rate</t>
  </si>
  <si>
    <r>
      <rPr>
        <b val="true"/>
        <sz val="10"/>
        <rFont val="Arial"/>
        <family val="0"/>
        <charset val="1"/>
      </rPr>
      <t xml:space="preserve">Exit Multiple (EV/EBITDA, =EV/Sales4.0</t>
    </r>
    <r>
      <rPr>
        <b val="true"/>
        <sz val="10"/>
        <rFont val="Noto Sans CJK SC"/>
        <family val="2"/>
      </rPr>
      <t xml:space="preserve">換算</t>
    </r>
    <r>
      <rPr>
        <b val="true"/>
        <sz val="10"/>
        <rFont val="Arial"/>
        <family val="0"/>
        <charset val="1"/>
      </rPr>
      <t xml:space="preserve">)</t>
    </r>
  </si>
  <si>
    <t xml:space="preserve">Fully Diluted Shares</t>
  </si>
  <si>
    <t xml:space="preserve">Net Debt (JPY mn)</t>
  </si>
  <si>
    <t xml:space="preserve">Base Year Revenue (JPY mn)</t>
  </si>
  <si>
    <t xml:space="preserve">D&amp;A / Revenue</t>
  </si>
  <si>
    <t xml:space="preserve">Stub Fraction (yr remaining)</t>
  </si>
  <si>
    <t xml:space="preserve">LTM Revenue (JPY mn)</t>
  </si>
  <si>
    <t xml:space="preserve">WACC Calculation</t>
  </si>
  <si>
    <t xml:space="preserve">Cost of Equity (Ke)</t>
  </si>
  <si>
    <t xml:space="preserve">Weight of Equity</t>
  </si>
  <si>
    <t xml:space="preserve">Weight of Debt</t>
  </si>
  <si>
    <t xml:space="preserve">WACC</t>
  </si>
  <si>
    <t xml:space="preserve">Active Scenario</t>
  </si>
  <si>
    <t xml:space="preserve">Base</t>
  </si>
  <si>
    <t xml:space="preserve">Projected Free Cash Flow</t>
  </si>
  <si>
    <t xml:space="preserve">FY2026(E)</t>
  </si>
  <si>
    <t xml:space="preserve">FY2027(E)</t>
  </si>
  <si>
    <t xml:space="preserve">FY2028(E)</t>
  </si>
  <si>
    <t xml:space="preserve">FY2029(E)</t>
  </si>
  <si>
    <t xml:space="preserve">FY2030(E)</t>
  </si>
  <si>
    <t xml:space="preserve">COGS % of Revenue</t>
  </si>
  <si>
    <t xml:space="preserve">SGA % of Revenue</t>
  </si>
  <si>
    <t xml:space="preserve">SGA Expense</t>
  </si>
  <si>
    <t xml:space="preserve">Implied Operating Margin</t>
  </si>
  <si>
    <t xml:space="preserve">Operating Income (EBIT)</t>
  </si>
  <si>
    <t xml:space="preserve">Less: Tax</t>
  </si>
  <si>
    <t xml:space="preserve">NOPAT</t>
  </si>
  <si>
    <t xml:space="preserve">Plus: D&amp;A</t>
  </si>
  <si>
    <t xml:space="preserve">Less: Capex</t>
  </si>
  <si>
    <t xml:space="preserve">Change in NWC</t>
  </si>
  <si>
    <t xml:space="preserve">Unlevered Free Cash Flow</t>
  </si>
  <si>
    <t xml:space="preserve">Discount Factor</t>
  </si>
  <si>
    <t xml:space="preserve">PV of FCF</t>
  </si>
  <si>
    <t xml:space="preserve">Valuation - Perpetuity Growth Method</t>
  </si>
  <si>
    <t xml:space="preserve">Sum of PV of FCFs</t>
  </si>
  <si>
    <t xml:space="preserve">Terminal Value (PGM)</t>
  </si>
  <si>
    <t xml:space="preserve">PV of Terminal Value</t>
  </si>
  <si>
    <t xml:space="preserve">Enterprise Value</t>
  </si>
  <si>
    <t xml:space="preserve">Equity Value</t>
  </si>
  <si>
    <t xml:space="preserve">Implied Share Price (PGM)</t>
  </si>
  <si>
    <t xml:space="preserve">Valuation - Exit Multiple Method</t>
  </si>
  <si>
    <t xml:space="preserve">Year 5 EBITDA</t>
  </si>
  <si>
    <t xml:space="preserve">Terminal Value (Exit Multiple)</t>
  </si>
  <si>
    <t xml:space="preserve">Implied Share Price (Exit Multiple)</t>
  </si>
  <si>
    <t xml:space="preserve">Scenario Input Matrix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</si>
  <si>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</si>
  <si>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</si>
  <si>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</si>
  <si>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</si>
  <si>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</si>
  <si>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Upside</t>
  </si>
  <si>
    <t xml:space="preserve">Management</t>
  </si>
  <si>
    <t xml:space="preserve">Downside 1</t>
  </si>
  <si>
    <t xml:space="preserve">Downside 2</t>
  </si>
  <si>
    <t xml:space="preserve">NWC Schedule - ELEMENTS</t>
  </si>
  <si>
    <t xml:space="preserve">Working Capital Drivers (Days)</t>
  </si>
  <si>
    <t xml:space="preserve">Base Year</t>
  </si>
  <si>
    <t xml:space="preserve">DSO (Days Sales Outstanding)</t>
  </si>
  <si>
    <t xml:space="preserve">DIH (Days Inventory Held)</t>
  </si>
  <si>
    <t xml:space="preserve">DPO (Days Payable Outstanding)</t>
  </si>
  <si>
    <t xml:space="preserve">P&amp;L Reference (JPY mn)</t>
  </si>
  <si>
    <t xml:space="preserve">Working Capital Items (JPY mn)</t>
  </si>
  <si>
    <t xml:space="preserve">Accounts Receivable</t>
  </si>
  <si>
    <t xml:space="preserve">Inventory</t>
  </si>
  <si>
    <t xml:space="preserve">Current Assets (AR + Inv)</t>
  </si>
  <si>
    <t xml:space="preserve">Accounts Payable</t>
  </si>
  <si>
    <t xml:space="preserve">Current Liabilities (AP)</t>
  </si>
  <si>
    <t xml:space="preserve">Net Working Capital (JPY mn)</t>
  </si>
  <si>
    <t xml:space="preserve">Net Working Capital</t>
  </si>
  <si>
    <t xml:space="preserve">Scenario Input Matrix (Working Capital Days)</t>
  </si>
  <si>
    <t xml:space="preserve">DSO (Days)</t>
  </si>
  <si>
    <t xml:space="preserve">DIH (Days)</t>
  </si>
  <si>
    <t xml:space="preserve">DPO (Days)</t>
  </si>
  <si>
    <t xml:space="preserve">Comparable Company Analysis</t>
  </si>
  <si>
    <t xml:space="preserve">Mkt Cap
(JPY mn)</t>
  </si>
  <si>
    <t xml:space="preserve">EV
(JPY mn)</t>
  </si>
  <si>
    <t xml:space="preserve">Revenue
(JPY mn)</t>
  </si>
  <si>
    <t xml:space="preserve">EBITDA
(JPY mn)</t>
  </si>
  <si>
    <t xml:space="preserve">Op Income
(JPY mn)</t>
  </si>
  <si>
    <t xml:space="preserve">Net Income
(JPY mn)</t>
  </si>
  <si>
    <t xml:space="preserve">EV/EBITDA</t>
  </si>
  <si>
    <t xml:space="preserve">EV/Revenue</t>
  </si>
  <si>
    <t xml:space="preserve">PER</t>
  </si>
  <si>
    <t xml:space="preserve">PBR</t>
  </si>
  <si>
    <t xml:space="preserve">Op Margin</t>
  </si>
  <si>
    <t xml:space="preserve">ROE</t>
  </si>
  <si>
    <t xml:space="preserve">eWeLL</t>
  </si>
  <si>
    <t xml:space="preserve">5038</t>
  </si>
  <si>
    <t xml:space="preserve">Toyokumo</t>
  </si>
  <si>
    <t xml:space="preserve">4058</t>
  </si>
  <si>
    <t xml:space="preserve">Smaregi</t>
  </si>
  <si>
    <t xml:space="preserve">4431</t>
  </si>
  <si>
    <t xml:space="preserve">LightWorks</t>
  </si>
  <si>
    <t xml:space="preserve">4267</t>
  </si>
  <si>
    <t xml:space="preserve">SMS</t>
  </si>
  <si>
    <t xml:space="preserve">2175</t>
  </si>
  <si>
    <t xml:space="preserve">Statistics</t>
  </si>
  <si>
    <t xml:space="preserve">25th Percentile</t>
  </si>
  <si>
    <t xml:space="preserve">Median (50th)</t>
  </si>
  <si>
    <t xml:space="preserve">75th Percentile</t>
  </si>
  <si>
    <t xml:space="preserve">Implied Valuation for ELEMENTS</t>
  </si>
  <si>
    <t xml:space="preserve">ELEMENTS Financials</t>
  </si>
  <si>
    <t xml:space="preserve">EBITDA (JPY mn)</t>
  </si>
  <si>
    <t xml:space="preserve">Net Income (JPY mn)</t>
  </si>
  <si>
    <t xml:space="preserve">Shares Outstanding</t>
  </si>
  <si>
    <t xml:space="preserve">Implied Share Price (Median Multiples)</t>
  </si>
  <si>
    <t xml:space="preserve">Via EV/EBITDA (Median)</t>
  </si>
  <si>
    <t xml:space="preserve">Via PER (Median)</t>
  </si>
  <si>
    <r>
      <rPr>
        <sz val="11"/>
        <color theme="1"/>
        <rFont val="Noto Sans CJK SC"/>
        <family val="2"/>
      </rPr>
      <t xml:space="preserve">⚠注意</t>
    </r>
    <r>
      <rPr>
        <sz val="11"/>
        <color theme="1"/>
        <rFont val="ＭＳ Ｐゴシック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下記</t>
    </r>
    <r>
      <rPr>
        <sz val="11"/>
        <color theme="1"/>
        <rFont val="ＭＳ Ｐゴシック"/>
        <family val="2"/>
        <charset val="1"/>
      </rPr>
      <t xml:space="preserve">Comps5</t>
    </r>
    <r>
      <rPr>
        <sz val="11"/>
        <color theme="1"/>
        <rFont val="Noto Sans CJK SC"/>
        <family val="2"/>
      </rPr>
      <t xml:space="preserve">社は</t>
    </r>
    <r>
      <rPr>
        <sz val="11"/>
        <color theme="1"/>
        <rFont val="ＭＳ Ｐゴシック"/>
        <family val="2"/>
        <charset val="1"/>
      </rPr>
      <t xml:space="preserve">4192(</t>
    </r>
    <r>
      <rPr>
        <sz val="11"/>
        <color theme="1"/>
        <rFont val="Noto Sans CJK SC"/>
        <family val="2"/>
      </rPr>
      <t xml:space="preserve">スパイダー</t>
    </r>
    <r>
      <rPr>
        <sz val="11"/>
        <color theme="1"/>
        <rFont val="ＭＳ Ｐゴシック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用のまま。</t>
    </r>
    <r>
      <rPr>
        <sz val="11"/>
        <color theme="1"/>
        <rFont val="ＭＳ Ｐゴシック"/>
        <family val="2"/>
        <charset val="1"/>
      </rPr>
      <t xml:space="preserve">ELEMENTS</t>
    </r>
    <r>
      <rPr>
        <sz val="11"/>
        <color theme="1"/>
        <rFont val="Noto Sans CJK SC"/>
        <family val="2"/>
      </rPr>
      <t xml:space="preserve">用</t>
    </r>
    <r>
      <rPr>
        <sz val="11"/>
        <color theme="1"/>
        <rFont val="ＭＳ Ｐゴシック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社</t>
    </r>
    <r>
      <rPr>
        <sz val="11"/>
        <color theme="1"/>
        <rFont val="ＭＳ Ｐゴシック"/>
        <family val="2"/>
        <charset val="1"/>
      </rPr>
      <t xml:space="preserve">(Showcase/CyberSecurityCloud/FFRI/HeadWaters/UserLocal)</t>
    </r>
    <r>
      <rPr>
        <sz val="11"/>
        <color theme="1"/>
        <rFont val="Noto Sans CJK SC"/>
        <family val="2"/>
      </rPr>
      <t xml:space="preserve">未反映。</t>
    </r>
  </si>
  <si>
    <r>
      <rPr>
        <sz val="11"/>
        <color theme="1"/>
        <rFont val="ＭＳ Ｐゴシック"/>
        <family val="2"/>
        <charset val="1"/>
      </rPr>
      <t xml:space="preserve">→ comps_input.csv</t>
    </r>
    <r>
      <rPr>
        <sz val="11"/>
        <color theme="1"/>
        <rFont val="Noto Sans CJK SC"/>
        <family val="2"/>
      </rPr>
      <t xml:space="preserve">を</t>
    </r>
    <r>
      <rPr>
        <sz val="11"/>
        <color theme="1"/>
        <rFont val="ＭＳ Ｐゴシック"/>
        <family val="2"/>
        <charset val="1"/>
      </rPr>
      <t xml:space="preserve">ELEMENTS5</t>
    </r>
    <r>
      <rPr>
        <sz val="11"/>
        <color theme="1"/>
        <rFont val="Noto Sans CJK SC"/>
        <family val="2"/>
      </rPr>
      <t xml:space="preserve">社に差し替えて</t>
    </r>
    <r>
      <rPr>
        <sz val="11"/>
        <color theme="1"/>
        <rFont val="ＭＳ Ｐゴシック"/>
        <family val="2"/>
        <charset val="1"/>
      </rPr>
      <t xml:space="preserve">generate_dcf</t>
    </r>
    <r>
      <rPr>
        <sz val="11"/>
        <color theme="1"/>
        <rFont val="Noto Sans CJK SC"/>
        <family val="2"/>
      </rPr>
      <t xml:space="preserve">再実行 </t>
    </r>
    <r>
      <rPr>
        <sz val="11"/>
        <color theme="1"/>
        <rFont val="ＭＳ Ｐゴシック"/>
        <family val="2"/>
        <charset val="1"/>
      </rPr>
      <t xml:space="preserve">or market_analysis</t>
    </r>
    <r>
      <rPr>
        <sz val="11"/>
        <color theme="1"/>
        <rFont val="Noto Sans CJK SC"/>
        <family val="2"/>
      </rPr>
      <t xml:space="preserve">の逆算</t>
    </r>
    <r>
      <rPr>
        <sz val="11"/>
        <color theme="1"/>
        <rFont val="ＭＳ Ｐゴシック"/>
        <family val="2"/>
        <charset val="1"/>
      </rPr>
      <t xml:space="preserve">Comps(EV/Sales)</t>
    </r>
    <r>
      <rPr>
        <sz val="11"/>
        <color theme="1"/>
        <rFont val="Noto Sans CJK SC"/>
        <family val="2"/>
      </rPr>
      <t xml:space="preserve">で評価のこと。</t>
    </r>
  </si>
  <si>
    <r>
      <rPr>
        <sz val="11"/>
        <color theme="1"/>
        <rFont val="ＭＳ Ｐゴシック"/>
        <family val="2"/>
        <charset val="1"/>
      </rPr>
      <t xml:space="preserve">→ ELEMENTS</t>
    </r>
    <r>
      <rPr>
        <sz val="11"/>
        <color theme="1"/>
        <rFont val="Noto Sans CJK SC"/>
        <family val="2"/>
      </rPr>
      <t xml:space="preserve">は赤字ゆえ</t>
    </r>
    <r>
      <rPr>
        <sz val="11"/>
        <color theme="1"/>
        <rFont val="ＭＳ Ｐゴシック"/>
        <family val="2"/>
        <charset val="1"/>
      </rPr>
      <t xml:space="preserve">EV/EBITDA(138</t>
    </r>
    <r>
      <rPr>
        <sz val="11"/>
        <color theme="1"/>
        <rFont val="Noto Sans CJK SC"/>
        <family val="2"/>
      </rPr>
      <t xml:space="preserve">円</t>
    </r>
    <r>
      <rPr>
        <sz val="11"/>
        <color theme="1"/>
        <rFont val="ＭＳ Ｐゴシック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・</t>
    </r>
    <r>
      <rPr>
        <sz val="11"/>
        <color theme="1"/>
        <rFont val="ＭＳ Ｐゴシック"/>
        <family val="2"/>
        <charset val="1"/>
      </rPr>
      <t xml:space="preserve">PER(-560</t>
    </r>
    <r>
      <rPr>
        <sz val="11"/>
        <color theme="1"/>
        <rFont val="Noto Sans CJK SC"/>
        <family val="2"/>
      </rPr>
      <t xml:space="preserve">円</t>
    </r>
    <r>
      <rPr>
        <sz val="11"/>
        <color theme="1"/>
        <rFont val="ＭＳ Ｐゴシック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は無意味。</t>
    </r>
    <r>
      <rPr>
        <sz val="11"/>
        <color theme="1"/>
        <rFont val="ＭＳ Ｐゴシック"/>
        <family val="2"/>
        <charset val="1"/>
      </rPr>
      <t xml:space="preserve">EV/Sales primary</t>
    </r>
    <r>
      <rPr>
        <sz val="11"/>
        <color theme="1"/>
        <rFont val="Noto Sans CJK SC"/>
        <family val="2"/>
      </rPr>
      <t xml:space="preserve">で見る。</t>
    </r>
  </si>
  <si>
    <t xml:space="preserve">Sensitivity Analysis</t>
  </si>
  <si>
    <t xml:space="preserve">Current WACC:</t>
  </si>
  <si>
    <t xml:space="preserve">Terminal g:</t>
  </si>
  <si>
    <t xml:space="preserve">Exit Multiple:</t>
  </si>
  <si>
    <t xml:space="preserve">Table 1: WACC vs Terminal Growth Rate (PGM - Implied Share Price, JPY)</t>
  </si>
  <si>
    <t xml:space="preserve">WACC \ Terminal g</t>
  </si>
  <si>
    <t xml:space="preserve">Table 2: WACC vs Exit Multiple (Exit Multiple - Implied Share Price, JPY)</t>
  </si>
  <si>
    <t xml:space="preserve">WACC \ Exit Multiple</t>
  </si>
  <si>
    <t xml:space="preserve"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</si>
</sst>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;\(#,##0\)"/>
    <numFmt numFmtId="166" formatCode="0.0%;\(0.0%\)"/>
    <numFmt numFmtId="167" formatCode="0.00"/>
    <numFmt numFmtId="168" formatCode="0.000"/>
    <numFmt numFmtId="169" formatCode="0.00\x"/>
    <numFmt numFmtId="170" formatCode="#,##0"/>
    <numFmt numFmtId="171" formatCode="0.00%;\(0.00%\)"/>
    <numFmt numFmtId="172" formatCode="0.0000"/>
  </numFmts>
  <fonts count="14">
    <font>
      <sz val="11"/>
      <color theme="1"/>
      <name val="ＭＳ Ｐゴシック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80808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6600"/>
      <name val="Arial"/>
      <family val="0"/>
      <charset val="1"/>
    </font>
    <font>
      <sz val="10"/>
      <color rgb="FF000000"/>
      <name val="Arial"/>
      <family val="2"/>
      <charset val="1"/>
    </font>
    <font>
      <b val="true"/>
      <sz val="10"/>
      <name val="Noto Sans CJK SC"/>
      <family val="2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CE6F1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B0B0B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C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E3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12" activeCellId="0" sqref="E12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5" min="3" style="1" width="22"/>
  </cols>
  <sheetData>
    <row r="1" customFormat="false" ht="13.5" hidden="false" customHeight="true" outlineLevel="0" collapsed="false">
      <c r="B1" s="2" t="s">
        <v>0</v>
      </c>
      <c r="C1" s="2"/>
      <c r="D1" s="2"/>
      <c r="E1" s="2"/>
    </row>
    <row r="2" customFormat="false" ht="13.5" hidden="false" customHeight="true" outlineLevel="0" collapsed="false"/>
    <row r="3" customFormat="false" ht="18" hidden="false" customHeight="true" outlineLevel="0" collapsed="false">
      <c r="B3" s="3" t="s">
        <v>1</v>
      </c>
      <c r="C3" s="3"/>
      <c r="D3" s="3"/>
    </row>
    <row r="4" customFormat="false" ht="13.5" hidden="false" customHeight="true" outlineLevel="0" collapsed="false">
      <c r="B4" s="4" t="s">
        <v>2</v>
      </c>
    </row>
    <row r="5" customFormat="false" ht="13.5" hidden="false" customHeight="true" outlineLevel="0" collapsed="false"/>
    <row r="6" customFormat="false" ht="13.5" hidden="false" customHeight="true" outlineLevel="0" collapsed="false">
      <c r="B6" s="5" t="s">
        <v>3</v>
      </c>
      <c r="C6" s="1" t="s">
        <v>4</v>
      </c>
    </row>
    <row r="7" customFormat="false" ht="13.5" hidden="false" customHeight="true" outlineLevel="0" collapsed="false">
      <c r="B7" s="5" t="s">
        <v>5</v>
      </c>
      <c r="C7" s="1" t="s">
        <v>6</v>
      </c>
    </row>
    <row r="8" customFormat="false" ht="13.5" hidden="false" customHeight="true" outlineLevel="0" collapsed="false">
      <c r="B8" s="5" t="s">
        <v>7</v>
      </c>
      <c r="C8" s="1" t="s">
        <v>8</v>
      </c>
    </row>
    <row r="9" customFormat="false" ht="13.5" hidden="false" customHeight="true" outlineLevel="0" collapsed="false">
      <c r="B9" s="5" t="s">
        <v>9</v>
      </c>
      <c r="C9" s="6" t="n">
        <v>598</v>
      </c>
    </row>
    <row r="10" customFormat="false" ht="13.5" hidden="false" customHeight="true" outlineLevel="0" collapsed="false">
      <c r="B10" s="5" t="s">
        <v>10</v>
      </c>
      <c r="C10" s="6" t="n">
        <f aca="false">ROUND(AVERAGE(C16:C19),0)</f>
        <v>370</v>
      </c>
    </row>
    <row r="11" customFormat="false" ht="13.5" hidden="false" customHeight="true" outlineLevel="0" collapsed="false">
      <c r="B11" s="5" t="s">
        <v>11</v>
      </c>
      <c r="C11" s="7" t="str">
        <f aca="false">IF(C12&gt;0.15,"BUY",IF(C12&gt;0.05,"HOLD","SELL"))</f>
        <v>SELL</v>
      </c>
    </row>
    <row r="12" customFormat="false" ht="13.5" hidden="false" customHeight="true" outlineLevel="0" collapsed="false">
      <c r="B12" s="5" t="s">
        <v>12</v>
      </c>
      <c r="C12" s="8" t="n">
        <f aca="false">(C10-C9)/C9</f>
        <v>-0.381270903010033</v>
      </c>
    </row>
    <row r="13" customFormat="false" ht="13.5" hidden="false" customHeight="true" outlineLevel="0" collapsed="false"/>
    <row r="14" customFormat="false" ht="13.5" hidden="false" customHeight="true" outlineLevel="0" collapsed="false">
      <c r="B14" s="9" t="s">
        <v>13</v>
      </c>
      <c r="C14" s="10"/>
      <c r="D14" s="10"/>
    </row>
    <row r="15" customFormat="false" ht="13.5" hidden="false" customHeight="true" outlineLevel="0" collapsed="false">
      <c r="B15" s="11" t="s">
        <v>14</v>
      </c>
      <c r="C15" s="11" t="s">
        <v>15</v>
      </c>
      <c r="D15" s="11" t="s">
        <v>16</v>
      </c>
    </row>
    <row r="16" customFormat="false" ht="13.5" hidden="false" customHeight="true" outlineLevel="0" collapsed="false">
      <c r="B16" s="1" t="s">
        <v>17</v>
      </c>
      <c r="C16" s="12" t="n">
        <f aca="false">'DCF Model'!C55</f>
        <v>660</v>
      </c>
      <c r="D16" s="8" t="n">
        <f aca="false">(C16-C9)/C9</f>
        <v>0.103678929765886</v>
      </c>
    </row>
    <row r="17" customFormat="false" ht="13.5" hidden="false" customHeight="true" outlineLevel="0" collapsed="false">
      <c r="B17" s="1" t="s">
        <v>18</v>
      </c>
      <c r="C17" s="12" t="n">
        <f aca="false">'DCF Model'!C64</f>
        <v>1222</v>
      </c>
      <c r="D17" s="8" t="n">
        <f aca="false">(C17-C9)/C9</f>
        <v>1.04347826086957</v>
      </c>
    </row>
    <row r="18" customFormat="false" ht="13.5" hidden="false" customHeight="true" outlineLevel="0" collapsed="false">
      <c r="B18" s="1" t="s">
        <v>19</v>
      </c>
      <c r="C18" s="12" t="n">
        <f aca="false">'Comps Analysis'!C27</f>
        <v>157</v>
      </c>
      <c r="D18" s="8" t="n">
        <f aca="false">(C18-C9)/C9</f>
        <v>-0.737458193979933</v>
      </c>
    </row>
    <row r="19" customFormat="false" ht="13.5" hidden="false" customHeight="true" outlineLevel="0" collapsed="false">
      <c r="B19" s="1" t="s">
        <v>20</v>
      </c>
      <c r="C19" s="12" t="n">
        <f aca="false">'Comps Analysis'!C28</f>
        <v>-560</v>
      </c>
      <c r="D19" s="8" t="n">
        <f aca="false">(C19-C9)/C9</f>
        <v>-1.93645484949833</v>
      </c>
    </row>
    <row r="20" customFormat="false" ht="13.5" hidden="false" customHeight="true" outlineLevel="0" collapsed="false"/>
    <row r="21" customFormat="false" ht="13.5" hidden="false" customHeight="true" outlineLevel="0" collapsed="false">
      <c r="B21" s="5" t="s">
        <v>21</v>
      </c>
      <c r="C21" s="7" t="str">
        <f aca="false">MIN(C16:C19)&amp;" - "&amp;MAX(C16:C19)</f>
        <v>-560 - 1222</v>
      </c>
    </row>
    <row r="22" customFormat="false" ht="13.5" hidden="false" customHeight="true" outlineLevel="0" collapsed="false"/>
    <row r="23" customFormat="false" ht="13.5" hidden="false" customHeight="true" outlineLevel="0" collapsed="false">
      <c r="B23" s="9" t="s">
        <v>22</v>
      </c>
      <c r="C23" s="10"/>
      <c r="D23" s="10"/>
    </row>
    <row r="24" customFormat="false" ht="13.5" hidden="false" customHeight="true" outlineLevel="0" collapsed="false">
      <c r="B24" s="1" t="s">
        <v>23</v>
      </c>
    </row>
    <row r="25" customFormat="false" ht="13.5" hidden="false" customHeight="true" outlineLevel="0" collapsed="false">
      <c r="B25" s="1" t="s">
        <v>24</v>
      </c>
    </row>
    <row r="26" customFormat="false" ht="13.5" hidden="false" customHeight="true" outlineLevel="0" collapsed="false">
      <c r="B26" s="1" t="s">
        <v>25</v>
      </c>
    </row>
    <row r="27" customFormat="false" ht="13.5" hidden="false" customHeight="true" outlineLevel="0" collapsed="false"/>
    <row r="28" customFormat="false" ht="13.5" hidden="false" customHeight="true" outlineLevel="0" collapsed="false">
      <c r="B28" s="9" t="s">
        <v>26</v>
      </c>
      <c r="C28" s="10"/>
      <c r="D28" s="10"/>
    </row>
    <row r="29" customFormat="false" ht="13.5" hidden="false" customHeight="true" outlineLevel="0" collapsed="false">
      <c r="B29" s="1" t="s">
        <v>27</v>
      </c>
    </row>
    <row r="30" customFormat="false" ht="13.5" hidden="false" customHeight="true" outlineLevel="0" collapsed="false">
      <c r="B30" s="1" t="s">
        <v>28</v>
      </c>
    </row>
    <row r="31" customFormat="false" ht="13.5" hidden="false" customHeight="true" outlineLevel="0" collapsed="false">
      <c r="B31" s="1" t="s">
        <v>29</v>
      </c>
    </row>
  </sheetData>
  <mergeCells count="2">
    <mergeCell ref="B1:E1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3366"/>
    <pageSetUpPr fitToPage="false"/>
  </sheetPr>
  <dimension ref="B1:G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8"/>
  </cols>
  <sheetData>
    <row r="1" customFormat="false" ht="13.5" hidden="false" customHeight="true" outlineLevel="0" collapsed="false"/>
    <row r="2" customFormat="false" ht="18" hidden="false" customHeight="true" outlineLevel="0" collapsed="false">
      <c r="B2" s="13" t="s">
        <v>30</v>
      </c>
    </row>
    <row r="3" customFormat="false" ht="13.5" hidden="false" customHeight="true" outlineLevel="0" collapsed="false"/>
    <row r="4" customFormat="false" ht="13.5" hidden="false" customHeight="true" outlineLevel="0" collapsed="false">
      <c r="C4" s="11" t="s">
        <v>31</v>
      </c>
      <c r="D4" s="11" t="s">
        <v>32</v>
      </c>
      <c r="E4" s="11" t="s">
        <v>33</v>
      </c>
      <c r="F4" s="11" t="s">
        <v>34</v>
      </c>
      <c r="G4" s="11" t="s">
        <v>35</v>
      </c>
    </row>
    <row r="5" customFormat="false" ht="13.5" hidden="false" customHeight="true" outlineLevel="0" collapsed="false">
      <c r="B5" s="4" t="s">
        <v>36</v>
      </c>
    </row>
    <row r="6" customFormat="false" ht="13.5" hidden="false" customHeight="true" outlineLevel="0" collapsed="false">
      <c r="B6" s="5" t="s">
        <v>37</v>
      </c>
      <c r="C6" s="6" t="n">
        <v>1362.051</v>
      </c>
      <c r="D6" s="6" t="n">
        <v>1651.627</v>
      </c>
      <c r="E6" s="6" t="n">
        <v>1940.397</v>
      </c>
      <c r="F6" s="6" t="n">
        <v>2545.724</v>
      </c>
      <c r="G6" s="6" t="n">
        <v>3895</v>
      </c>
    </row>
    <row r="7" customFormat="false" ht="13.5" hidden="false" customHeight="true" outlineLevel="0" collapsed="false">
      <c r="B7" s="5" t="s">
        <v>38</v>
      </c>
      <c r="C7" s="6" t="n">
        <v>545.808</v>
      </c>
      <c r="D7" s="6" t="n">
        <v>563.414</v>
      </c>
      <c r="E7" s="6" t="n">
        <v>441.053</v>
      </c>
      <c r="F7" s="6" t="n">
        <v>362.352</v>
      </c>
      <c r="G7" s="6" t="n">
        <v>545.3</v>
      </c>
    </row>
    <row r="8" customFormat="false" ht="13.5" hidden="false" customHeight="true" outlineLevel="0" collapsed="false">
      <c r="B8" s="5" t="s">
        <v>39</v>
      </c>
      <c r="C8" s="6" t="n">
        <f aca="false">C6-C7</f>
        <v>816.243</v>
      </c>
      <c r="D8" s="6" t="n">
        <f aca="false">D6-D7</f>
        <v>1088.213</v>
      </c>
      <c r="E8" s="6" t="n">
        <f aca="false">E6-E7</f>
        <v>1499.344</v>
      </c>
      <c r="F8" s="6" t="n">
        <f aca="false">F6-F7</f>
        <v>2183.372</v>
      </c>
      <c r="G8" s="6" t="n">
        <f aca="false">G6-G7</f>
        <v>3349.7</v>
      </c>
    </row>
    <row r="9" customFormat="false" ht="13.5" hidden="false" customHeight="true" outlineLevel="0" collapsed="false">
      <c r="B9" s="1" t="s">
        <v>40</v>
      </c>
      <c r="C9" s="8" t="n">
        <f aca="false">C8/C6</f>
        <v>0.599274917018526</v>
      </c>
      <c r="D9" s="8" t="n">
        <f aca="false">D8/D6</f>
        <v>0.658873341256833</v>
      </c>
      <c r="E9" s="8" t="n">
        <f aca="false">E8/E6</f>
        <v>0.772699607348393</v>
      </c>
      <c r="F9" s="8" t="n">
        <f aca="false">F8/F6</f>
        <v>0.857662496012922</v>
      </c>
      <c r="G9" s="8" t="n">
        <f aca="false">G8/G6</f>
        <v>0.86</v>
      </c>
    </row>
    <row r="10" customFormat="false" ht="13.5" hidden="false" customHeight="true" outlineLevel="0" collapsed="false">
      <c r="B10" s="5" t="s">
        <v>41</v>
      </c>
      <c r="C10" s="6" t="n">
        <v>1522.299</v>
      </c>
      <c r="D10" s="6" t="n">
        <v>1668.204</v>
      </c>
      <c r="E10" s="6" t="n">
        <v>1796.829</v>
      </c>
      <c r="F10" s="6" t="n">
        <v>2125.455</v>
      </c>
      <c r="G10" s="6" t="n">
        <v>3271.8</v>
      </c>
    </row>
    <row r="11" customFormat="false" ht="13.5" hidden="false" customHeight="true" outlineLevel="0" collapsed="false">
      <c r="B11" s="5" t="s">
        <v>42</v>
      </c>
      <c r="C11" s="6" t="n">
        <v>-706.056</v>
      </c>
      <c r="D11" s="6" t="n">
        <v>-579.991</v>
      </c>
      <c r="E11" s="6" t="n">
        <v>-297.485</v>
      </c>
      <c r="F11" s="6" t="n">
        <v>57.916</v>
      </c>
      <c r="G11" s="6" t="n">
        <v>-215</v>
      </c>
    </row>
    <row r="12" customFormat="false" ht="13.5" hidden="false" customHeight="true" outlineLevel="0" collapsed="false">
      <c r="B12" s="5" t="s">
        <v>43</v>
      </c>
      <c r="C12" s="6" t="n">
        <v>-568.988</v>
      </c>
      <c r="D12" s="6" t="n">
        <v>-561.569</v>
      </c>
      <c r="E12" s="6" t="n">
        <v>-338.711</v>
      </c>
      <c r="F12" s="6" t="n">
        <v>-132.915</v>
      </c>
      <c r="G12" s="6" t="n">
        <v>-700</v>
      </c>
    </row>
    <row r="13" customFormat="false" ht="13.5" hidden="false" customHeight="true" outlineLevel="0" collapsed="false">
      <c r="B13" s="1" t="s">
        <v>44</v>
      </c>
      <c r="C13" s="8" t="n">
        <f aca="false">C11/C6</f>
        <v>-0.518377065175974</v>
      </c>
      <c r="D13" s="8" t="n">
        <f aca="false">D11/D6</f>
        <v>-0.351163428546518</v>
      </c>
      <c r="E13" s="8" t="n">
        <f aca="false">E11/E6</f>
        <v>-0.153311409984658</v>
      </c>
      <c r="F13" s="8" t="n">
        <f aca="false">F11/F6</f>
        <v>0.0227503060033216</v>
      </c>
      <c r="G13" s="8" t="n">
        <f aca="false">G11/G6</f>
        <v>-0.055198973042362</v>
      </c>
    </row>
    <row r="14" customFormat="false" ht="13.5" hidden="false" customHeight="true" outlineLevel="0" collapsed="false">
      <c r="B14" s="1" t="s">
        <v>45</v>
      </c>
      <c r="C14" s="8" t="n">
        <f aca="false">C12/C6</f>
        <v>-0.417743535300807</v>
      </c>
      <c r="D14" s="8" t="n">
        <f aca="false">D12/D6</f>
        <v>-0.340009578433872</v>
      </c>
      <c r="E14" s="8" t="n">
        <f aca="false">E12/E6</f>
        <v>-0.174557577650347</v>
      </c>
      <c r="F14" s="8" t="n">
        <f aca="false">F12/F6</f>
        <v>-0.0522110802270788</v>
      </c>
      <c r="G14" s="8" t="n">
        <f aca="false">G12/G6</f>
        <v>-0.179717586649551</v>
      </c>
    </row>
    <row r="15" customFormat="false" ht="13.5" hidden="false" customHeight="true" outlineLevel="0" collapsed="false">
      <c r="B15" s="1" t="s">
        <v>46</v>
      </c>
      <c r="C15" s="1" t="s">
        <v>47</v>
      </c>
      <c r="D15" s="8" t="n">
        <f aca="false">(D6-C6)/C6</f>
        <v>0.212602905471234</v>
      </c>
      <c r="E15" s="8" t="n">
        <f aca="false">(E6-D6)/D6</f>
        <v>0.174839718653183</v>
      </c>
      <c r="F15" s="8" t="n">
        <f aca="false">(F6-E6)/E6</f>
        <v>0.311960387487715</v>
      </c>
      <c r="G15" s="8" t="n">
        <f aca="false">(G6-F6)/F6</f>
        <v>0.530016608241899</v>
      </c>
    </row>
    <row r="16" customFormat="false" ht="13.5" hidden="false" customHeight="true" outlineLevel="0" collapsed="false">
      <c r="B16" s="1" t="s">
        <v>48</v>
      </c>
      <c r="C16" s="1" t="s">
        <v>47</v>
      </c>
      <c r="D16" s="8" t="n">
        <f aca="false">(D11-C11)/C11</f>
        <v>-0.178548160485854</v>
      </c>
      <c r="E16" s="8" t="n">
        <f aca="false">(E11-D11)/D11</f>
        <v>-0.48708686858934</v>
      </c>
      <c r="F16" s="8" t="n">
        <f aca="false">(F11-E11)/E11</f>
        <v>-1.19468544632502</v>
      </c>
      <c r="G16" s="8" t="n">
        <f aca="false">(G11-F11)/F11</f>
        <v>-4.71227294702673</v>
      </c>
    </row>
    <row r="17" customFormat="false" ht="13.5" hidden="false" customHeight="true" outlineLevel="0" collapsed="false"/>
    <row r="18" customFormat="false" ht="13.5" hidden="false" customHeight="true" outlineLevel="0" collapsed="false">
      <c r="B18" s="4" t="s">
        <v>49</v>
      </c>
    </row>
    <row r="19" customFormat="false" ht="13.5" hidden="false" customHeight="true" outlineLevel="0" collapsed="false">
      <c r="B19" s="5" t="s">
        <v>50</v>
      </c>
      <c r="C19" s="6" t="n">
        <v>-757.769</v>
      </c>
      <c r="D19" s="6" t="n">
        <v>-567.009</v>
      </c>
      <c r="E19" s="6" t="n">
        <v>-341.361</v>
      </c>
      <c r="F19" s="6" t="n">
        <v>222.732</v>
      </c>
      <c r="G19" s="6" t="n">
        <v>-497.744</v>
      </c>
    </row>
    <row r="20" customFormat="false" ht="13.5" hidden="false" customHeight="true" outlineLevel="0" collapsed="false">
      <c r="B20" s="5" t="s">
        <v>51</v>
      </c>
      <c r="C20" s="6" t="n">
        <v>12.888</v>
      </c>
      <c r="D20" s="6" t="n">
        <v>10.569</v>
      </c>
      <c r="E20" s="6" t="n">
        <v>43.311</v>
      </c>
      <c r="F20" s="6" t="n">
        <v>238.616</v>
      </c>
      <c r="G20" s="6" t="n">
        <v>183.487</v>
      </c>
    </row>
    <row r="21" customFormat="false" ht="13.5" hidden="false" customHeight="true" outlineLevel="0" collapsed="false">
      <c r="B21" s="5" t="s">
        <v>52</v>
      </c>
      <c r="C21" s="6" t="n">
        <f aca="false">C19-C20</f>
        <v>-770.657</v>
      </c>
      <c r="D21" s="6" t="n">
        <f aca="false">D19-D20</f>
        <v>-577.578</v>
      </c>
      <c r="E21" s="6" t="n">
        <f aca="false">E19-E20</f>
        <v>-384.672</v>
      </c>
      <c r="F21" s="6" t="n">
        <f aca="false">F19-F20</f>
        <v>-15.884</v>
      </c>
      <c r="G21" s="6" t="n">
        <f aca="false">G19-G20</f>
        <v>-681.231</v>
      </c>
    </row>
    <row r="22" customFormat="false" ht="13.5" hidden="false" customHeight="true" outlineLevel="0" collapsed="false">
      <c r="B22" s="1" t="s">
        <v>53</v>
      </c>
      <c r="C22" s="8" t="n">
        <f aca="false">C21/C6</f>
        <v>-0.565806273039703</v>
      </c>
      <c r="D22" s="8" t="n">
        <f aca="false">D21/D6</f>
        <v>-0.349702444922492</v>
      </c>
      <c r="E22" s="8" t="n">
        <f aca="false">E21/E6</f>
        <v>-0.198243967600445</v>
      </c>
      <c r="F22" s="8" t="n">
        <f aca="false">F21/F6</f>
        <v>-0.00623948236336697</v>
      </c>
      <c r="G22" s="8" t="n">
        <f aca="false">G21/G6</f>
        <v>-0.174898844672657</v>
      </c>
    </row>
    <row r="23" customFormat="false" ht="13.5" hidden="false" customHeight="true" outlineLevel="0" collapsed="false">
      <c r="B23" s="1" t="s">
        <v>54</v>
      </c>
      <c r="C23" s="8" t="n">
        <f aca="false">C20/C6</f>
        <v>0.0094622007545973</v>
      </c>
      <c r="D23" s="8" t="n">
        <f aca="false">D20/D6</f>
        <v>0.00639914460105096</v>
      </c>
      <c r="E23" s="8" t="n">
        <f aca="false">E20/E6</f>
        <v>0.0223206900443569</v>
      </c>
      <c r="F23" s="8" t="n">
        <f aca="false">F20/F6</f>
        <v>0.0937320777900511</v>
      </c>
      <c r="G23" s="8" t="n">
        <f aca="false">G20/G6</f>
        <v>0.0471083440308087</v>
      </c>
    </row>
    <row r="24" customFormat="false" ht="13.5" hidden="false" customHeight="true" outlineLevel="0" collapsed="false"/>
    <row r="25" customFormat="false" ht="13.5" hidden="false" customHeight="true" outlineLevel="0" collapsed="false">
      <c r="B25" s="4" t="s">
        <v>55</v>
      </c>
    </row>
    <row r="26" customFormat="false" ht="13.5" hidden="false" customHeight="true" outlineLevel="0" collapsed="false">
      <c r="B26" s="5" t="s">
        <v>56</v>
      </c>
      <c r="C26" s="6" t="n">
        <v>2304.455</v>
      </c>
      <c r="D26" s="6" t="n">
        <v>2062.928</v>
      </c>
      <c r="E26" s="6" t="n">
        <v>2741.884</v>
      </c>
      <c r="F26" s="6" t="n">
        <v>2746.276</v>
      </c>
      <c r="G26" s="6" t="n">
        <v>3275.338</v>
      </c>
    </row>
    <row r="27" customFormat="false" ht="13.5" hidden="false" customHeight="true" outlineLevel="0" collapsed="false">
      <c r="B27" s="5" t="s">
        <v>57</v>
      </c>
      <c r="C27" s="6" t="n">
        <v>1100.6</v>
      </c>
      <c r="D27" s="6" t="n">
        <v>1432.2</v>
      </c>
      <c r="E27" s="6" t="n">
        <v>1444.3</v>
      </c>
      <c r="F27" s="6" t="n">
        <v>1535.8</v>
      </c>
      <c r="G27" s="6" t="n">
        <v>2727.4</v>
      </c>
    </row>
    <row r="28" customFormat="false" ht="13.5" hidden="false" customHeight="true" outlineLevel="0" collapsed="false">
      <c r="B28" s="5" t="s">
        <v>58</v>
      </c>
      <c r="C28" s="6" t="n">
        <f aca="false">C27-C26</f>
        <v>-1203.855</v>
      </c>
      <c r="D28" s="6" t="n">
        <f aca="false">D27-D26</f>
        <v>-630.728</v>
      </c>
      <c r="E28" s="6" t="n">
        <f aca="false">E27-E26</f>
        <v>-1297.584</v>
      </c>
      <c r="F28" s="6" t="n">
        <f aca="false">F27-F26</f>
        <v>-1210.476</v>
      </c>
      <c r="G28" s="6" t="n">
        <f aca="false">G27-G26</f>
        <v>-547.938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G87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C9" activeCellId="0" sqref="C9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2"/>
    <col collapsed="false" customWidth="true" hidden="false" outlineLevel="0" max="7" min="3" style="1" width="16"/>
  </cols>
  <sheetData>
    <row r="1" customFormat="false" ht="13.5" hidden="false" customHeight="true" outlineLevel="0" collapsed="false"/>
    <row r="2" customFormat="false" ht="18" hidden="false" customHeight="true" outlineLevel="0" collapsed="false">
      <c r="B2" s="13" t="s">
        <v>59</v>
      </c>
    </row>
    <row r="3" customFormat="false" ht="13.5" hidden="false" customHeight="true" outlineLevel="0" collapsed="false"/>
    <row r="4" customFormat="false" ht="13.5" hidden="false" customHeight="true" outlineLevel="0" collapsed="false">
      <c r="B4" s="9" t="s">
        <v>60</v>
      </c>
      <c r="C4" s="10"/>
      <c r="D4" s="10"/>
      <c r="E4" s="10"/>
      <c r="F4" s="10"/>
      <c r="G4" s="10"/>
    </row>
    <row r="5" customFormat="false" ht="13.5" hidden="false" customHeight="true" outlineLevel="0" collapsed="false">
      <c r="B5" s="5" t="s">
        <v>54</v>
      </c>
      <c r="C5" s="8" t="n">
        <v>0.03</v>
      </c>
    </row>
    <row r="6" customFormat="false" ht="13.5" hidden="false" customHeight="true" outlineLevel="0" collapsed="false">
      <c r="B6" s="5" t="s">
        <v>61</v>
      </c>
      <c r="C6" s="8" t="n">
        <v>0.3</v>
      </c>
    </row>
    <row r="7" customFormat="false" ht="13.5" hidden="false" customHeight="true" outlineLevel="0" collapsed="false">
      <c r="B7" s="5" t="s">
        <v>62</v>
      </c>
      <c r="C7" s="8" t="n">
        <v>0.023</v>
      </c>
    </row>
    <row r="8" customFormat="false" ht="13.5" hidden="false" customHeight="true" outlineLevel="0" collapsed="false">
      <c r="B8" s="5" t="s">
        <v>63</v>
      </c>
      <c r="C8" s="14" t="n">
        <v>1.6</v>
      </c>
    </row>
    <row r="9" customFormat="false" ht="13.5" hidden="false" customHeight="true" outlineLevel="0" collapsed="false">
      <c r="B9" s="5" t="s">
        <v>64</v>
      </c>
      <c r="C9" s="8" t="n">
        <v>0.06</v>
      </c>
    </row>
    <row r="10" customFormat="false" ht="13.5" hidden="false" customHeight="true" outlineLevel="0" collapsed="false">
      <c r="B10" s="5" t="s">
        <v>65</v>
      </c>
      <c r="C10" s="8" t="n">
        <v>0.04</v>
      </c>
    </row>
    <row r="11" customFormat="false" ht="13.5" hidden="false" customHeight="true" outlineLevel="0" collapsed="false">
      <c r="B11" s="5" t="s">
        <v>66</v>
      </c>
      <c r="C11" s="8" t="n">
        <v>0.0175</v>
      </c>
    </row>
    <row r="12" customFormat="false" ht="13.5" hidden="false" customHeight="true" outlineLevel="0" collapsed="false">
      <c r="B12" s="5" t="s">
        <v>67</v>
      </c>
      <c r="C12" s="15" t="n">
        <v>0.2</v>
      </c>
    </row>
    <row r="13" customFormat="false" ht="13.5" hidden="false" customHeight="true" outlineLevel="0" collapsed="false">
      <c r="B13" s="5" t="s">
        <v>68</v>
      </c>
      <c r="C13" s="8" t="n">
        <v>0.02</v>
      </c>
    </row>
    <row r="14" customFormat="false" ht="13.5" hidden="false" customHeight="true" outlineLevel="0" collapsed="false">
      <c r="B14" s="5" t="s">
        <v>69</v>
      </c>
      <c r="C14" s="16" t="n">
        <v>12.7</v>
      </c>
    </row>
    <row r="15" customFormat="false" ht="13.5" hidden="false" customHeight="true" outlineLevel="0" collapsed="false">
      <c r="B15" s="5" t="s">
        <v>70</v>
      </c>
      <c r="C15" s="17" t="n">
        <v>27250000</v>
      </c>
    </row>
    <row r="16" customFormat="false" ht="13.5" hidden="false" customHeight="true" outlineLevel="0" collapsed="false">
      <c r="B16" s="5" t="s">
        <v>71</v>
      </c>
      <c r="C16" s="6" t="n">
        <v>-547.9</v>
      </c>
    </row>
    <row r="17" customFormat="false" ht="13.5" hidden="false" customHeight="true" outlineLevel="0" collapsed="false">
      <c r="B17" s="5" t="s">
        <v>72</v>
      </c>
      <c r="C17" s="6" t="n">
        <v>3895</v>
      </c>
    </row>
    <row r="18" customFormat="false" ht="13.5" hidden="false" customHeight="true" outlineLevel="0" collapsed="false">
      <c r="B18" s="5" t="s">
        <v>73</v>
      </c>
      <c r="C18" s="8" t="n">
        <v>0.125</v>
      </c>
    </row>
    <row r="19" customFormat="false" ht="13.5" hidden="false" customHeight="true" outlineLevel="0" collapsed="false">
      <c r="B19" s="5" t="s">
        <v>74</v>
      </c>
      <c r="C19" s="18" t="n">
        <v>1</v>
      </c>
    </row>
    <row r="20" customFormat="false" ht="13.5" hidden="false" customHeight="true" outlineLevel="0" collapsed="false">
      <c r="B20" s="5" t="s">
        <v>75</v>
      </c>
      <c r="C20" s="6" t="n">
        <v>3895</v>
      </c>
    </row>
    <row r="21" customFormat="false" ht="13.5" hidden="false" customHeight="true" outlineLevel="0" collapsed="false"/>
    <row r="22" customFormat="false" ht="13.5" hidden="false" customHeight="true" outlineLevel="0" collapsed="false">
      <c r="B22" s="9" t="s">
        <v>76</v>
      </c>
      <c r="C22" s="10"/>
      <c r="D22" s="10"/>
      <c r="E22" s="10"/>
      <c r="F22" s="10"/>
      <c r="G22" s="10"/>
    </row>
    <row r="23" customFormat="false" ht="13.5" hidden="false" customHeight="true" outlineLevel="0" collapsed="false">
      <c r="B23" s="5" t="s">
        <v>77</v>
      </c>
      <c r="C23" s="19" t="n">
        <f aca="false">C7+C8*C9+C10</f>
        <v>0.159</v>
      </c>
    </row>
    <row r="24" customFormat="false" ht="13.5" hidden="false" customHeight="true" outlineLevel="0" collapsed="false">
      <c r="B24" s="5" t="s">
        <v>78</v>
      </c>
      <c r="C24" s="19" t="n">
        <f aca="false">1/(1+C12)</f>
        <v>0.833333333333333</v>
      </c>
    </row>
    <row r="25" customFormat="false" ht="13.5" hidden="false" customHeight="true" outlineLevel="0" collapsed="false">
      <c r="B25" s="5" t="s">
        <v>79</v>
      </c>
      <c r="C25" s="19" t="n">
        <f aca="false">C12/(1+C12)</f>
        <v>0.166666666666667</v>
      </c>
    </row>
    <row r="26" customFormat="false" ht="13.5" hidden="false" customHeight="true" outlineLevel="0" collapsed="false">
      <c r="B26" s="5" t="s">
        <v>80</v>
      </c>
      <c r="C26" s="19" t="n">
        <f aca="false">C23*C24+C11*C25</f>
        <v>0.135416666666667</v>
      </c>
    </row>
    <row r="27" customFormat="false" ht="13.5" hidden="false" customHeight="true" outlineLevel="0" collapsed="false">
      <c r="B27" s="5" t="s">
        <v>81</v>
      </c>
      <c r="C27" s="20" t="s">
        <v>82</v>
      </c>
      <c r="D27" s="7" t="n">
        <f aca="false">MATCH(C27,B69:B73,0)</f>
        <v>1</v>
      </c>
    </row>
    <row r="28" customFormat="false" ht="13.5" hidden="false" customHeight="true" outlineLevel="0" collapsed="false">
      <c r="B28" s="9" t="s">
        <v>83</v>
      </c>
      <c r="C28" s="10"/>
      <c r="D28" s="10"/>
      <c r="E28" s="10"/>
      <c r="F28" s="10"/>
      <c r="G28" s="10"/>
    </row>
    <row r="29" customFormat="false" ht="13.5" hidden="false" customHeight="true" outlineLevel="0" collapsed="false">
      <c r="C29" s="11" t="s">
        <v>84</v>
      </c>
      <c r="D29" s="11" t="s">
        <v>85</v>
      </c>
      <c r="E29" s="11" t="s">
        <v>86</v>
      </c>
      <c r="F29" s="11" t="s">
        <v>87</v>
      </c>
      <c r="G29" s="11" t="s">
        <v>88</v>
      </c>
    </row>
    <row r="30" customFormat="false" ht="13.5" hidden="false" customHeight="true" outlineLevel="0" collapsed="false">
      <c r="B30" s="5" t="s">
        <v>46</v>
      </c>
      <c r="C30" s="21" t="n">
        <f aca="false">CHOOSE($D$27,C69,C70,C71,C72,C73)</f>
        <v>0.33</v>
      </c>
      <c r="D30" s="21" t="n">
        <f aca="false">CHOOSE($D$27,D69,D70,D71,D72,D73)</f>
        <v>0.35</v>
      </c>
      <c r="E30" s="21" t="n">
        <f aca="false">CHOOSE($D$27,E69,E70,E71,E72,E73)</f>
        <v>0.3</v>
      </c>
      <c r="F30" s="21" t="n">
        <f aca="false">CHOOSE($D$27,F69,F70,F71,F72,F73)</f>
        <v>0.24</v>
      </c>
      <c r="G30" s="21" t="n">
        <f aca="false">CHOOSE($D$27,G69,G70,G71,G72,G73)</f>
        <v>0.18</v>
      </c>
    </row>
    <row r="31" customFormat="false" ht="13.5" hidden="false" customHeight="true" outlineLevel="0" collapsed="false">
      <c r="B31" s="5" t="s">
        <v>89</v>
      </c>
      <c r="C31" s="21" t="n">
        <f aca="false">CHOOSE($D$27,C76,C77,C78,C79,C80)</f>
        <v>0.16</v>
      </c>
      <c r="D31" s="21" t="n">
        <f aca="false">CHOOSE($D$27,D76,D77,D78,D79,D80)</f>
        <v>0.15</v>
      </c>
      <c r="E31" s="21" t="n">
        <f aca="false">CHOOSE($D$27,E76,E77,E78,E79,E80)</f>
        <v>0.15</v>
      </c>
      <c r="F31" s="21" t="n">
        <f aca="false">CHOOSE($D$27,F76,F77,F78,F79,F80)</f>
        <v>0.14</v>
      </c>
      <c r="G31" s="21" t="n">
        <f aca="false">CHOOSE($D$27,G76,G77,G78,G79,G80)</f>
        <v>0.14</v>
      </c>
    </row>
    <row r="32" customFormat="false" ht="13.5" hidden="false" customHeight="true" outlineLevel="0" collapsed="false">
      <c r="B32" s="5" t="s">
        <v>90</v>
      </c>
      <c r="C32" s="21" t="n">
        <f aca="false">CHOOSE($D$27,C83,C84,C85,C86,C87)</f>
        <v>0.82</v>
      </c>
      <c r="D32" s="21" t="n">
        <f aca="false">CHOOSE($D$27,D83,D84,D85,D86,D87)</f>
        <v>0.78</v>
      </c>
      <c r="E32" s="21" t="n">
        <f aca="false">CHOOSE($D$27,E83,E84,E85,E86,E87)</f>
        <v>0.74</v>
      </c>
      <c r="F32" s="21" t="n">
        <f aca="false">CHOOSE($D$27,F83,F84,F85,F86,F87)</f>
        <v>0.7</v>
      </c>
      <c r="G32" s="21" t="n">
        <f aca="false">CHOOSE($D$27,G83,G84,G85,G86,G87)</f>
        <v>0.67</v>
      </c>
    </row>
    <row r="33" customFormat="false" ht="13.5" hidden="false" customHeight="true" outlineLevel="0" collapsed="false">
      <c r="B33" s="5" t="s">
        <v>37</v>
      </c>
      <c r="C33" s="6" t="n">
        <f aca="false">C17*(1+C30)</f>
        <v>5180.35</v>
      </c>
      <c r="D33" s="6" t="n">
        <f aca="false">C33*(1+D30)</f>
        <v>6993.4725</v>
      </c>
      <c r="E33" s="6" t="n">
        <f aca="false">D33*(1+E30)</f>
        <v>9091.51425</v>
      </c>
      <c r="F33" s="6" t="n">
        <f aca="false">E33*(1+F30)</f>
        <v>11273.47767</v>
      </c>
      <c r="G33" s="6" t="n">
        <f aca="false">F33*(1+G30)</f>
        <v>13302.7036506</v>
      </c>
    </row>
    <row r="34" customFormat="false" ht="13.5" hidden="false" customHeight="true" outlineLevel="0" collapsed="false">
      <c r="B34" s="5" t="s">
        <v>38</v>
      </c>
      <c r="C34" s="6" t="n">
        <f aca="false">C33*C31</f>
        <v>828.856</v>
      </c>
      <c r="D34" s="6" t="n">
        <f aca="false">D33*D31</f>
        <v>1049.020875</v>
      </c>
      <c r="E34" s="6" t="n">
        <f aca="false">E33*E31</f>
        <v>1363.7271375</v>
      </c>
      <c r="F34" s="6" t="n">
        <f aca="false">F33*F31</f>
        <v>1578.2868738</v>
      </c>
      <c r="G34" s="6" t="n">
        <f aca="false">G33*G31</f>
        <v>1862.378511084</v>
      </c>
    </row>
    <row r="35" customFormat="false" ht="13.5" hidden="false" customHeight="true" outlineLevel="0" collapsed="false">
      <c r="B35" s="5" t="s">
        <v>39</v>
      </c>
      <c r="C35" s="22" t="n">
        <f aca="false">C33-C34</f>
        <v>4351.494</v>
      </c>
      <c r="D35" s="22" t="n">
        <f aca="false">D33-D34</f>
        <v>5944.451625</v>
      </c>
      <c r="E35" s="22" t="n">
        <f aca="false">E33-E34</f>
        <v>7727.7871125</v>
      </c>
      <c r="F35" s="22" t="n">
        <f aca="false">F33-F34</f>
        <v>9695.1907962</v>
      </c>
      <c r="G35" s="22" t="n">
        <f aca="false">G33-G34</f>
        <v>11440.325139516</v>
      </c>
    </row>
    <row r="36" customFormat="false" ht="13.5" hidden="false" customHeight="true" outlineLevel="0" collapsed="false">
      <c r="B36" s="5" t="s">
        <v>40</v>
      </c>
      <c r="C36" s="8" t="n">
        <f aca="false">C35/C33</f>
        <v>0.84</v>
      </c>
      <c r="D36" s="8" t="n">
        <f aca="false">D35/D33</f>
        <v>0.85</v>
      </c>
      <c r="E36" s="8" t="n">
        <f aca="false">E35/E33</f>
        <v>0.85</v>
      </c>
      <c r="F36" s="8" t="n">
        <f aca="false">F35/F33</f>
        <v>0.86</v>
      </c>
      <c r="G36" s="8" t="n">
        <f aca="false">G35/G33</f>
        <v>0.86</v>
      </c>
    </row>
    <row r="37" customFormat="false" ht="13.5" hidden="false" customHeight="true" outlineLevel="0" collapsed="false">
      <c r="B37" s="5" t="s">
        <v>91</v>
      </c>
      <c r="C37" s="6" t="n">
        <f aca="false">C33*C32</f>
        <v>4247.887</v>
      </c>
      <c r="D37" s="6" t="n">
        <f aca="false">D33*D32</f>
        <v>5454.90855</v>
      </c>
      <c r="E37" s="6" t="n">
        <f aca="false">E33*E32</f>
        <v>6727.720545</v>
      </c>
      <c r="F37" s="6" t="n">
        <f aca="false">F33*F32</f>
        <v>7891.434369</v>
      </c>
      <c r="G37" s="6" t="n">
        <f aca="false">G33*G32</f>
        <v>8912.811445902</v>
      </c>
    </row>
    <row r="38" customFormat="false" ht="13.5" hidden="false" customHeight="true" outlineLevel="0" collapsed="false">
      <c r="B38" s="5" t="s">
        <v>92</v>
      </c>
      <c r="C38" s="8" t="n">
        <f aca="false">(C35-C37)/C33</f>
        <v>0.0200000000000002</v>
      </c>
      <c r="D38" s="8" t="n">
        <f aca="false">(D35-D37)/D33</f>
        <v>0.0699999999999999</v>
      </c>
      <c r="E38" s="8" t="n">
        <f aca="false">(E35-E37)/E33</f>
        <v>0.11</v>
      </c>
      <c r="F38" s="8" t="n">
        <f aca="false">(F35-F37)/F33</f>
        <v>0.16</v>
      </c>
      <c r="G38" s="8" t="n">
        <f aca="false">(G35-G37)/G33</f>
        <v>0.19</v>
      </c>
    </row>
    <row r="39" customFormat="false" ht="13.5" hidden="false" customHeight="true" outlineLevel="0" collapsed="false">
      <c r="B39" s="5" t="s">
        <v>93</v>
      </c>
      <c r="C39" s="22" t="n">
        <f aca="false">C35-C37</f>
        <v>103.607000000001</v>
      </c>
      <c r="D39" s="22" t="n">
        <f aca="false">D35-D37</f>
        <v>489.543075</v>
      </c>
      <c r="E39" s="22" t="n">
        <f aca="false">E35-E37</f>
        <v>1000.0665675</v>
      </c>
      <c r="F39" s="22" t="n">
        <f aca="false">F35-F37</f>
        <v>1803.7564272</v>
      </c>
      <c r="G39" s="22" t="n">
        <f aca="false">G35-G37</f>
        <v>2527.513693614</v>
      </c>
    </row>
    <row r="40" customFormat="false" ht="13.5" hidden="false" customHeight="true" outlineLevel="0" collapsed="false">
      <c r="B40" s="5" t="s">
        <v>94</v>
      </c>
      <c r="C40" s="6" t="n">
        <f aca="false">MAX(0,C39*C6)</f>
        <v>31.0821000000003</v>
      </c>
      <c r="D40" s="6" t="n">
        <f aca="false">MAX(0,D39*C6)</f>
        <v>146.8629225</v>
      </c>
      <c r="E40" s="6" t="n">
        <f aca="false">MAX(0,E39*C6)</f>
        <v>300.01997025</v>
      </c>
      <c r="F40" s="6" t="n">
        <f aca="false">MAX(0,F39*C6)</f>
        <v>541.126928160001</v>
      </c>
      <c r="G40" s="6" t="n">
        <f aca="false">MAX(0,G39*C6)</f>
        <v>758.2541080842</v>
      </c>
    </row>
    <row r="41" customFormat="false" ht="13.5" hidden="false" customHeight="true" outlineLevel="0" collapsed="false">
      <c r="B41" s="5" t="s">
        <v>95</v>
      </c>
      <c r="C41" s="22" t="n">
        <f aca="false">C39-C40</f>
        <v>72.5249000000006</v>
      </c>
      <c r="D41" s="22" t="n">
        <f aca="false">D39-D40</f>
        <v>342.6801525</v>
      </c>
      <c r="E41" s="22" t="n">
        <f aca="false">E39-E40</f>
        <v>700.046597250001</v>
      </c>
      <c r="F41" s="22" t="n">
        <f aca="false">F39-F40</f>
        <v>1262.62949904</v>
      </c>
      <c r="G41" s="22" t="n">
        <f aca="false">G39-G40</f>
        <v>1769.2595855298</v>
      </c>
    </row>
    <row r="42" customFormat="false" ht="13.5" hidden="false" customHeight="true" outlineLevel="0" collapsed="false">
      <c r="B42" s="5" t="s">
        <v>96</v>
      </c>
      <c r="C42" s="6" t="n">
        <f aca="false">C33*C18</f>
        <v>647.54375</v>
      </c>
      <c r="D42" s="6" t="n">
        <f aca="false">D33*C18</f>
        <v>874.1840625</v>
      </c>
      <c r="E42" s="6" t="n">
        <f aca="false">E33*C18</f>
        <v>1136.43928125</v>
      </c>
      <c r="F42" s="6" t="n">
        <f aca="false">F33*C18</f>
        <v>1409.18470875</v>
      </c>
      <c r="G42" s="6" t="n">
        <f aca="false">G33*C18</f>
        <v>1662.837956325</v>
      </c>
    </row>
    <row r="43" customFormat="false" ht="13.5" hidden="false" customHeight="true" outlineLevel="0" collapsed="false">
      <c r="B43" s="5" t="s">
        <v>97</v>
      </c>
      <c r="C43" s="6" t="n">
        <f aca="false">C33*C5</f>
        <v>155.4105</v>
      </c>
      <c r="D43" s="6" t="n">
        <f aca="false">D33*C5</f>
        <v>209.804175</v>
      </c>
      <c r="E43" s="6" t="n">
        <f aca="false">E33*C5</f>
        <v>272.7454275</v>
      </c>
      <c r="F43" s="6" t="n">
        <f aca="false">F33*C5</f>
        <v>338.2043301</v>
      </c>
      <c r="G43" s="6" t="n">
        <f aca="false">G33*C5</f>
        <v>399.081109518</v>
      </c>
    </row>
    <row r="44" customFormat="false" ht="13.5" hidden="false" customHeight="true" outlineLevel="0" collapsed="false">
      <c r="B44" s="5" t="s">
        <v>98</v>
      </c>
      <c r="C44" s="6" t="n">
        <f aca="false">'NWC Schedule'!D19</f>
        <v>133.574232876712</v>
      </c>
      <c r="D44" s="6" t="n">
        <f aca="false">'NWC Schedule'!E19</f>
        <v>241.631393835617</v>
      </c>
      <c r="E44" s="6" t="n">
        <f aca="false">'NWC Schedule'!F19</f>
        <v>257.704671575343</v>
      </c>
      <c r="F44" s="6" t="n">
        <f aca="false">'NWC Schedule'!G19</f>
        <v>286.245703454794</v>
      </c>
      <c r="G44" s="6" t="n">
        <f aca="false">'NWC Schedule'!H19</f>
        <v>282.423780313644</v>
      </c>
    </row>
    <row r="45" customFormat="false" ht="13.5" hidden="false" customHeight="true" outlineLevel="0" collapsed="false">
      <c r="B45" s="5" t="s">
        <v>99</v>
      </c>
      <c r="C45" s="23" t="n">
        <f aca="false">C41+C42-C43-C44</f>
        <v>431.083917123288</v>
      </c>
      <c r="D45" s="23" t="n">
        <f aca="false">D41+D42-D43-D44</f>
        <v>765.428646164383</v>
      </c>
      <c r="E45" s="23" t="n">
        <f aca="false">E41+E42-E43-E44</f>
        <v>1306.03577942466</v>
      </c>
      <c r="F45" s="23" t="n">
        <f aca="false">F41+F42-F43-F44</f>
        <v>2047.36417423521</v>
      </c>
      <c r="G45" s="23" t="n">
        <f aca="false">G41+G42-G43-G44</f>
        <v>2750.59265202316</v>
      </c>
    </row>
    <row r="46" customFormat="false" ht="13.5" hidden="false" customHeight="true" outlineLevel="0" collapsed="false">
      <c r="B46" s="5" t="s">
        <v>100</v>
      </c>
      <c r="C46" s="24" t="n">
        <f aca="false">1/(1+C26)^(C19+0)</f>
        <v>0.880733944954128</v>
      </c>
      <c r="D46" s="24" t="n">
        <f aca="false">1/(1+C26)^(C19+1)</f>
        <v>0.775692281794462</v>
      </c>
      <c r="E46" s="24" t="n">
        <f aca="false">1/(1+C26)^(C19+2)</f>
        <v>0.683178523415306</v>
      </c>
      <c r="F46" s="24" t="n">
        <f aca="false">1/(1+C26)^(C19+3)</f>
        <v>0.601698516035499</v>
      </c>
      <c r="G46" s="24" t="n">
        <f aca="false">1/(1+C26)^(C19+4)</f>
        <v>0.529936307700989</v>
      </c>
    </row>
    <row r="47" customFormat="false" ht="13.5" hidden="false" customHeight="true" outlineLevel="0" collapsed="false">
      <c r="B47" s="5" t="s">
        <v>101</v>
      </c>
      <c r="C47" s="22" t="n">
        <f aca="false">C45*C46</f>
        <v>379.670238934272</v>
      </c>
      <c r="D47" s="22" t="n">
        <f aca="false">D45*D46</f>
        <v>593.737093094096</v>
      </c>
      <c r="E47" s="22" t="n">
        <f aca="false">E45*E46</f>
        <v>892.255595314896</v>
      </c>
      <c r="F47" s="22" t="n">
        <f aca="false">F45*F46</f>
        <v>1231.89598542157</v>
      </c>
      <c r="G47" s="22" t="n">
        <f aca="false">G45*G46</f>
        <v>1457.63891400262</v>
      </c>
    </row>
    <row r="48" customFormat="false" ht="13.5" hidden="false" customHeight="true" outlineLevel="0" collapsed="false"/>
    <row r="49" customFormat="false" ht="13.5" hidden="false" customHeight="true" outlineLevel="0" collapsed="false">
      <c r="B49" s="25" t="s">
        <v>102</v>
      </c>
      <c r="C49" s="26"/>
      <c r="D49" s="26"/>
      <c r="E49" s="26"/>
      <c r="F49" s="26"/>
      <c r="G49" s="26"/>
    </row>
    <row r="50" customFormat="false" ht="13.5" hidden="false" customHeight="true" outlineLevel="0" collapsed="false">
      <c r="B50" s="5" t="s">
        <v>103</v>
      </c>
      <c r="C50" s="6" t="n">
        <f aca="false">SUM(C47:G47)</f>
        <v>4555.19782676746</v>
      </c>
    </row>
    <row r="51" customFormat="false" ht="13.5" hidden="false" customHeight="true" outlineLevel="0" collapsed="false">
      <c r="B51" s="5" t="s">
        <v>104</v>
      </c>
      <c r="C51" s="6" t="n">
        <f aca="false">G45*(1+C13)/(C26-C13)</f>
        <v>24308.4866864718</v>
      </c>
    </row>
    <row r="52" customFormat="false" ht="13.5" hidden="false" customHeight="true" outlineLevel="0" collapsed="false">
      <c r="B52" s="5" t="s">
        <v>105</v>
      </c>
      <c r="C52" s="6" t="n">
        <f aca="false">C51*G46</f>
        <v>12881.9496804275</v>
      </c>
    </row>
    <row r="53" customFormat="false" ht="13.5" hidden="false" customHeight="true" outlineLevel="0" collapsed="false">
      <c r="B53" s="5" t="s">
        <v>106</v>
      </c>
      <c r="C53" s="6" t="n">
        <f aca="false">C50+C52</f>
        <v>17437.147507195</v>
      </c>
    </row>
    <row r="54" customFormat="false" ht="13.5" hidden="false" customHeight="true" outlineLevel="0" collapsed="false">
      <c r="B54" s="5" t="s">
        <v>107</v>
      </c>
      <c r="C54" s="6" t="n">
        <f aca="false">C53-C16</f>
        <v>17985.047507195</v>
      </c>
    </row>
    <row r="55" customFormat="false" ht="13.5" hidden="false" customHeight="true" outlineLevel="0" collapsed="false">
      <c r="B55" s="5" t="s">
        <v>108</v>
      </c>
      <c r="C55" s="27" t="n">
        <f aca="false">ROUND(C54*1000000/C15,0)</f>
        <v>660</v>
      </c>
    </row>
    <row r="56" customFormat="false" ht="13.5" hidden="false" customHeight="true" outlineLevel="0" collapsed="false"/>
    <row r="57" customFormat="false" ht="13.5" hidden="false" customHeight="true" outlineLevel="0" collapsed="false">
      <c r="B57" s="25" t="s">
        <v>109</v>
      </c>
      <c r="C57" s="26"/>
      <c r="D57" s="26"/>
      <c r="E57" s="26"/>
      <c r="F57" s="26"/>
      <c r="G57" s="26"/>
    </row>
    <row r="58" customFormat="false" ht="13.5" hidden="false" customHeight="true" outlineLevel="0" collapsed="false">
      <c r="B58" s="5" t="s">
        <v>103</v>
      </c>
      <c r="C58" s="6" t="n">
        <f aca="false">C50</f>
        <v>4555.19782676746</v>
      </c>
    </row>
    <row r="59" customFormat="false" ht="13.5" hidden="false" customHeight="true" outlineLevel="0" collapsed="false">
      <c r="B59" s="5" t="s">
        <v>110</v>
      </c>
      <c r="C59" s="6" t="n">
        <f aca="false">G39+G42</f>
        <v>4190.351649939</v>
      </c>
    </row>
    <row r="60" customFormat="false" ht="13.5" hidden="false" customHeight="true" outlineLevel="0" collapsed="false">
      <c r="B60" s="5" t="s">
        <v>111</v>
      </c>
      <c r="C60" s="6" t="n">
        <f aca="false">C59*C14</f>
        <v>53217.4659542253</v>
      </c>
    </row>
    <row r="61" customFormat="false" ht="13.5" hidden="false" customHeight="true" outlineLevel="0" collapsed="false">
      <c r="B61" s="5" t="s">
        <v>105</v>
      </c>
      <c r="C61" s="6" t="n">
        <f aca="false">C60*G46</f>
        <v>28201.8674129853</v>
      </c>
    </row>
    <row r="62" customFormat="false" ht="13.5" hidden="false" customHeight="true" outlineLevel="0" collapsed="false">
      <c r="B62" s="5" t="s">
        <v>106</v>
      </c>
      <c r="C62" s="6" t="n">
        <f aca="false">C58+C61</f>
        <v>32757.0652397527</v>
      </c>
    </row>
    <row r="63" customFormat="false" ht="13.5" hidden="false" customHeight="true" outlineLevel="0" collapsed="false">
      <c r="B63" s="5" t="s">
        <v>107</v>
      </c>
      <c r="C63" s="6" t="n">
        <f aca="false">C62-C16</f>
        <v>33304.9652397527</v>
      </c>
    </row>
    <row r="64" customFormat="false" ht="13.5" hidden="false" customHeight="true" outlineLevel="0" collapsed="false">
      <c r="B64" s="5" t="s">
        <v>112</v>
      </c>
      <c r="C64" s="27" t="n">
        <f aca="false">ROUND(C63*1000000/C15,0)</f>
        <v>1222</v>
      </c>
    </row>
    <row r="65" customFormat="false" ht="13.5" hidden="false" customHeight="true" outlineLevel="0" collapsed="false"/>
    <row r="66" customFormat="false" ht="13.5" hidden="false" customHeight="true" outlineLevel="0" collapsed="false">
      <c r="B66" s="25" t="s">
        <v>113</v>
      </c>
      <c r="C66" s="26"/>
      <c r="D66" s="26"/>
      <c r="E66" s="26"/>
      <c r="F66" s="26"/>
      <c r="G66" s="26"/>
    </row>
    <row r="67" customFormat="false" ht="13.5" hidden="false" customHeight="true" outlineLevel="0" collapsed="false">
      <c r="C67" s="28" t="s">
        <v>114</v>
      </c>
      <c r="D67" s="28" t="s">
        <v>115</v>
      </c>
      <c r="E67" s="28" t="s">
        <v>116</v>
      </c>
      <c r="F67" s="28" t="s">
        <v>117</v>
      </c>
      <c r="G67" s="28" t="s">
        <v>118</v>
      </c>
    </row>
    <row r="68" customFormat="false" ht="13.5" hidden="false" customHeight="true" outlineLevel="0" collapsed="false">
      <c r="B68" s="4" t="s">
        <v>46</v>
      </c>
    </row>
    <row r="69" customFormat="false" ht="13.5" hidden="false" customHeight="true" outlineLevel="0" collapsed="false">
      <c r="B69" s="5" t="s">
        <v>82</v>
      </c>
      <c r="C69" s="29" t="n">
        <v>0.33</v>
      </c>
      <c r="D69" s="29" t="n">
        <v>0.35</v>
      </c>
      <c r="E69" s="29" t="n">
        <v>0.3</v>
      </c>
      <c r="F69" s="29" t="n">
        <v>0.24</v>
      </c>
      <c r="G69" s="29" t="n">
        <v>0.18</v>
      </c>
    </row>
    <row r="70" customFormat="false" ht="13.5" hidden="false" customHeight="true" outlineLevel="0" collapsed="false">
      <c r="B70" s="5" t="s">
        <v>119</v>
      </c>
      <c r="C70" s="29" t="n">
        <v>0.8</v>
      </c>
      <c r="D70" s="29" t="n">
        <v>0.74</v>
      </c>
      <c r="E70" s="29" t="n">
        <v>0.68</v>
      </c>
      <c r="F70" s="29" t="n">
        <v>0.63</v>
      </c>
      <c r="G70" s="29" t="n">
        <v>0.6</v>
      </c>
    </row>
    <row r="71" customFormat="false" ht="13.5" hidden="false" customHeight="true" outlineLevel="0" collapsed="false">
      <c r="B71" s="5" t="s">
        <v>120</v>
      </c>
      <c r="C71" s="29" t="n">
        <v>0.82</v>
      </c>
      <c r="D71" s="29" t="n">
        <v>0.8</v>
      </c>
      <c r="E71" s="29" t="n">
        <v>0.78</v>
      </c>
      <c r="F71" s="29" t="n">
        <v>0.76</v>
      </c>
      <c r="G71" s="29" t="n">
        <v>0.74</v>
      </c>
    </row>
    <row r="72" customFormat="false" ht="13.5" hidden="false" customHeight="true" outlineLevel="0" collapsed="false">
      <c r="B72" s="5" t="s">
        <v>121</v>
      </c>
      <c r="C72" s="29" t="n">
        <v>0.85</v>
      </c>
      <c r="D72" s="29" t="n">
        <v>0.82</v>
      </c>
      <c r="E72" s="29" t="n">
        <v>0.8</v>
      </c>
      <c r="F72" s="29" t="n">
        <v>0.78</v>
      </c>
      <c r="G72" s="29" t="n">
        <v>0.76</v>
      </c>
    </row>
    <row r="73" customFormat="false" ht="13.5" hidden="false" customHeight="true" outlineLevel="0" collapsed="false">
      <c r="B73" s="5" t="s">
        <v>122</v>
      </c>
      <c r="C73" s="29" t="n">
        <v>0.88</v>
      </c>
      <c r="D73" s="29" t="n">
        <v>0.86</v>
      </c>
      <c r="E73" s="29" t="n">
        <v>0.84</v>
      </c>
      <c r="F73" s="29" t="n">
        <v>0.82</v>
      </c>
      <c r="G73" s="29" t="n">
        <v>0.8</v>
      </c>
    </row>
    <row r="74" customFormat="false" ht="13.5" hidden="false" customHeight="true" outlineLevel="0" collapsed="false"/>
    <row r="75" customFormat="false" ht="13.5" hidden="false" customHeight="true" outlineLevel="0" collapsed="false">
      <c r="B75" s="4" t="s">
        <v>89</v>
      </c>
    </row>
    <row r="76" customFormat="false" ht="13.5" hidden="false" customHeight="true" outlineLevel="0" collapsed="false">
      <c r="B76" s="5" t="s">
        <v>82</v>
      </c>
      <c r="C76" s="29" t="n">
        <v>0.16</v>
      </c>
      <c r="D76" s="29" t="n">
        <v>0.15</v>
      </c>
      <c r="E76" s="29" t="n">
        <v>0.15</v>
      </c>
      <c r="F76" s="29" t="n">
        <v>0.14</v>
      </c>
      <c r="G76" s="29" t="n">
        <v>0.14</v>
      </c>
    </row>
    <row r="77" customFormat="false" ht="13.5" hidden="false" customHeight="true" outlineLevel="0" collapsed="false">
      <c r="B77" s="5" t="s">
        <v>119</v>
      </c>
      <c r="C77" s="29" t="n">
        <v>0.133</v>
      </c>
      <c r="D77" s="29" t="n">
        <v>0.133</v>
      </c>
      <c r="E77" s="29" t="n">
        <v>0.133</v>
      </c>
      <c r="F77" s="29" t="n">
        <v>0.133</v>
      </c>
      <c r="G77" s="29" t="n">
        <v>0.133</v>
      </c>
    </row>
    <row r="78" customFormat="false" ht="13.5" hidden="false" customHeight="true" outlineLevel="0" collapsed="false">
      <c r="B78" s="5" t="s">
        <v>120</v>
      </c>
      <c r="C78" s="29" t="n">
        <v>0.14</v>
      </c>
      <c r="D78" s="29" t="n">
        <v>0.14</v>
      </c>
      <c r="E78" s="29" t="n">
        <v>0.14</v>
      </c>
      <c r="F78" s="29" t="n">
        <v>0.14</v>
      </c>
      <c r="G78" s="29" t="n">
        <v>0.14</v>
      </c>
    </row>
    <row r="79" customFormat="false" ht="13.5" hidden="false" customHeight="true" outlineLevel="0" collapsed="false">
      <c r="B79" s="5" t="s">
        <v>121</v>
      </c>
      <c r="C79" s="29" t="n">
        <v>0.147</v>
      </c>
      <c r="D79" s="29" t="n">
        <v>0.147</v>
      </c>
      <c r="E79" s="29" t="n">
        <v>0.147</v>
      </c>
      <c r="F79" s="29" t="n">
        <v>0.147</v>
      </c>
      <c r="G79" s="29" t="n">
        <v>0.147</v>
      </c>
    </row>
    <row r="80" customFormat="false" ht="13.5" hidden="false" customHeight="true" outlineLevel="0" collapsed="false">
      <c r="B80" s="5" t="s">
        <v>122</v>
      </c>
      <c r="C80" s="29" t="n">
        <v>0.154</v>
      </c>
      <c r="D80" s="29" t="n">
        <v>0.154</v>
      </c>
      <c r="E80" s="29" t="n">
        <v>0.154</v>
      </c>
      <c r="F80" s="29" t="n">
        <v>0.154</v>
      </c>
      <c r="G80" s="29" t="n">
        <v>0.154</v>
      </c>
    </row>
    <row r="81" customFormat="false" ht="13.5" hidden="false" customHeight="true" outlineLevel="0" collapsed="false"/>
    <row r="82" customFormat="false" ht="13.5" hidden="false" customHeight="true" outlineLevel="0" collapsed="false">
      <c r="B82" s="4" t="s">
        <v>90</v>
      </c>
    </row>
    <row r="83" customFormat="false" ht="13.5" hidden="false" customHeight="true" outlineLevel="0" collapsed="false">
      <c r="B83" s="5" t="s">
        <v>82</v>
      </c>
      <c r="C83" s="29" t="n">
        <v>0.82</v>
      </c>
      <c r="D83" s="29" t="n">
        <v>0.78</v>
      </c>
      <c r="E83" s="29" t="n">
        <v>0.74</v>
      </c>
      <c r="F83" s="29" t="n">
        <v>0.7</v>
      </c>
      <c r="G83" s="29" t="n">
        <v>0.67</v>
      </c>
    </row>
    <row r="84" customFormat="false" ht="13.5" hidden="false" customHeight="true" outlineLevel="0" collapsed="false">
      <c r="B84" s="5" t="s">
        <v>119</v>
      </c>
      <c r="C84" s="29" t="n">
        <v>0.756</v>
      </c>
      <c r="D84" s="29" t="n">
        <v>0.756</v>
      </c>
      <c r="E84" s="29" t="n">
        <v>0.756</v>
      </c>
      <c r="F84" s="29" t="n">
        <v>0.756</v>
      </c>
      <c r="G84" s="29" t="n">
        <v>0.756</v>
      </c>
    </row>
    <row r="85" customFormat="false" ht="13.5" hidden="false" customHeight="true" outlineLevel="0" collapsed="false">
      <c r="B85" s="5" t="s">
        <v>120</v>
      </c>
      <c r="C85" s="29" t="n">
        <v>0.84</v>
      </c>
      <c r="D85" s="29" t="n">
        <v>0.84</v>
      </c>
      <c r="E85" s="29" t="n">
        <v>0.84</v>
      </c>
      <c r="F85" s="29" t="n">
        <v>0.84</v>
      </c>
      <c r="G85" s="29" t="n">
        <v>0.84</v>
      </c>
    </row>
    <row r="86" customFormat="false" ht="13.5" hidden="false" customHeight="true" outlineLevel="0" collapsed="false">
      <c r="B86" s="5" t="s">
        <v>121</v>
      </c>
      <c r="C86" s="29" t="n">
        <v>0.924</v>
      </c>
      <c r="D86" s="29" t="n">
        <v>0.924</v>
      </c>
      <c r="E86" s="29" t="n">
        <v>0.924</v>
      </c>
      <c r="F86" s="29" t="n">
        <v>0.924</v>
      </c>
      <c r="G86" s="29" t="n">
        <v>0.924</v>
      </c>
    </row>
    <row r="87" customFormat="false" ht="13.5" hidden="false" customHeight="true" outlineLevel="0" collapsed="false">
      <c r="B87" s="5" t="s">
        <v>122</v>
      </c>
      <c r="C87" s="29" t="n">
        <v>0.966</v>
      </c>
      <c r="D87" s="29" t="n">
        <v>0.966</v>
      </c>
      <c r="E87" s="29" t="n">
        <v>0.966</v>
      </c>
      <c r="F87" s="29" t="n">
        <v>0.966</v>
      </c>
      <c r="G87" s="29" t="n">
        <v>0.966</v>
      </c>
    </row>
  </sheetData>
  <dataValidations count="1">
    <dataValidation allowBlank="false" errorStyle="stop" operator="between" showDropDown="false" showErrorMessage="false" showInputMessage="false" sqref="C27" type="list">
      <formula1>"Base,Upside,Management,Downside 1,Downside 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6600"/>
    <pageSetUpPr fitToPage="false"/>
  </sheetPr>
  <dimension ref="B1:H43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8" min="3" style="1" width="16"/>
  </cols>
  <sheetData>
    <row r="1" customFormat="false" ht="13.5" hidden="false" customHeight="true" outlineLevel="0" collapsed="false"/>
    <row r="2" customFormat="false" ht="18" hidden="false" customHeight="true" outlineLevel="0" collapsed="false">
      <c r="B2" s="13" t="s">
        <v>123</v>
      </c>
    </row>
    <row r="3" customFormat="false" ht="13.5" hidden="false" customHeight="true" outlineLevel="0" collapsed="false"/>
    <row r="4" customFormat="false" ht="13.5" hidden="false" customHeight="true" outlineLevel="0" collapsed="false">
      <c r="B4" s="9" t="s">
        <v>124</v>
      </c>
      <c r="C4" s="30" t="s">
        <v>125</v>
      </c>
      <c r="D4" s="30" t="s">
        <v>84</v>
      </c>
      <c r="E4" s="30" t="s">
        <v>85</v>
      </c>
      <c r="F4" s="30" t="s">
        <v>86</v>
      </c>
      <c r="G4" s="30" t="s">
        <v>87</v>
      </c>
      <c r="H4" s="30" t="s">
        <v>88</v>
      </c>
    </row>
    <row r="5" customFormat="false" ht="13.5" hidden="false" customHeight="true" outlineLevel="0" collapsed="false">
      <c r="B5" s="31" t="s">
        <v>126</v>
      </c>
      <c r="C5" s="32" t="n">
        <f aca="false">C12/C9*365</f>
        <v>70.9842066752247</v>
      </c>
      <c r="D5" s="32" t="n">
        <f aca="false">CHOOSE('DCF Model'!$D$27,D25,D26,D27,D28,D29)</f>
        <v>60</v>
      </c>
      <c r="E5" s="32" t="n">
        <f aca="false">CHOOSE('DCF Model'!$D$27,E25,E26,E27,E28,E29)</f>
        <v>58</v>
      </c>
      <c r="F5" s="32" t="n">
        <f aca="false">CHOOSE('DCF Model'!$D$27,F25,F26,F27,F28,F29)</f>
        <v>56</v>
      </c>
      <c r="G5" s="32" t="n">
        <f aca="false">CHOOSE('DCF Model'!$D$27,G25,G26,G27,G28,G29)</f>
        <v>55</v>
      </c>
      <c r="H5" s="32" t="n">
        <f aca="false">CHOOSE('DCF Model'!$D$27,H25,H26,H27,H28,H29)</f>
        <v>55</v>
      </c>
    </row>
    <row r="6" customFormat="false" ht="13.5" hidden="false" customHeight="true" outlineLevel="0" collapsed="false">
      <c r="B6" s="31" t="s">
        <v>127</v>
      </c>
      <c r="C6" s="32" t="n">
        <f aca="false">C13/C10*365</f>
        <v>0.0582339996332294</v>
      </c>
      <c r="D6" s="32" t="n">
        <f aca="false">CHOOSE('DCF Model'!$D$27,D32,D33,D34,D35,D36)</f>
        <v>0</v>
      </c>
      <c r="E6" s="32" t="n">
        <f aca="false">CHOOSE('DCF Model'!$D$27,E32,E33,E34,E35,E36)</f>
        <v>0</v>
      </c>
      <c r="F6" s="32" t="n">
        <f aca="false">CHOOSE('DCF Model'!$D$27,F32,F33,F34,F35,F36)</f>
        <v>0</v>
      </c>
      <c r="G6" s="32" t="n">
        <f aca="false">CHOOSE('DCF Model'!$D$27,G32,G33,G34,G35,G36)</f>
        <v>0</v>
      </c>
      <c r="H6" s="32" t="n">
        <f aca="false">CHOOSE('DCF Model'!$D$27,H32,H33,H34,H35,H36)</f>
        <v>0</v>
      </c>
    </row>
    <row r="7" customFormat="false" ht="13.5" hidden="false" customHeight="true" outlineLevel="0" collapsed="false">
      <c r="B7" s="31" t="s">
        <v>128</v>
      </c>
      <c r="C7" s="32" t="n">
        <f aca="false">C15/C10*365</f>
        <v>72.0970383275261</v>
      </c>
      <c r="D7" s="32" t="n">
        <f aca="false">CHOOSE('DCF Model'!$D$27,D39,D40,D41,D42,D43)</f>
        <v>30</v>
      </c>
      <c r="E7" s="32" t="n">
        <f aca="false">CHOOSE('DCF Model'!$D$27,E39,E40,E41,E42,E43)</f>
        <v>30</v>
      </c>
      <c r="F7" s="32" t="n">
        <f aca="false">CHOOSE('DCF Model'!$D$27,F39,F40,F41,F42,F43)</f>
        <v>30</v>
      </c>
      <c r="G7" s="32" t="n">
        <f aca="false">CHOOSE('DCF Model'!$D$27,G39,G40,G41,G42,G43)</f>
        <v>30</v>
      </c>
      <c r="H7" s="32" t="n">
        <f aca="false">CHOOSE('DCF Model'!$D$27,H39,H40,H41,H42,H43)</f>
        <v>30</v>
      </c>
    </row>
    <row r="8" customFormat="false" ht="13.5" hidden="false" customHeight="true" outlineLevel="0" collapsed="false">
      <c r="B8" s="9" t="s">
        <v>129</v>
      </c>
      <c r="C8" s="10"/>
      <c r="D8" s="10"/>
      <c r="E8" s="10"/>
      <c r="F8" s="10"/>
      <c r="G8" s="10"/>
      <c r="H8" s="10"/>
    </row>
    <row r="9" customFormat="false" ht="13.5" hidden="false" customHeight="true" outlineLevel="0" collapsed="false">
      <c r="B9" s="31" t="s">
        <v>37</v>
      </c>
      <c r="C9" s="33" t="n">
        <v>3895</v>
      </c>
      <c r="D9" s="33" t="n">
        <f aca="false">'DCF Model'!C33</f>
        <v>5180.35</v>
      </c>
      <c r="E9" s="33" t="n">
        <f aca="false">'DCF Model'!D33</f>
        <v>6993.4725</v>
      </c>
      <c r="F9" s="33" t="n">
        <f aca="false">'DCF Model'!E33</f>
        <v>9091.51425</v>
      </c>
      <c r="G9" s="33" t="n">
        <f aca="false">'DCF Model'!F33</f>
        <v>11273.47767</v>
      </c>
      <c r="H9" s="33" t="n">
        <f aca="false">'DCF Model'!G33</f>
        <v>13302.7036506</v>
      </c>
    </row>
    <row r="10" customFormat="false" ht="13.5" hidden="false" customHeight="true" outlineLevel="0" collapsed="false">
      <c r="B10" s="31" t="s">
        <v>38</v>
      </c>
      <c r="C10" s="33" t="n">
        <v>545.3</v>
      </c>
      <c r="D10" s="33" t="n">
        <f aca="false">'DCF Model'!C34</f>
        <v>828.856</v>
      </c>
      <c r="E10" s="33" t="n">
        <f aca="false">'DCF Model'!D34</f>
        <v>1049.020875</v>
      </c>
      <c r="F10" s="33" t="n">
        <f aca="false">'DCF Model'!E34</f>
        <v>1363.7271375</v>
      </c>
      <c r="G10" s="33" t="n">
        <f aca="false">'DCF Model'!F34</f>
        <v>1578.2868738</v>
      </c>
      <c r="H10" s="33" t="n">
        <f aca="false">'DCF Model'!G34</f>
        <v>1862.378511084</v>
      </c>
    </row>
    <row r="11" customFormat="false" ht="13.5" hidden="false" customHeight="true" outlineLevel="0" collapsed="false">
      <c r="B11" s="9" t="s">
        <v>130</v>
      </c>
      <c r="C11" s="10"/>
      <c r="D11" s="10"/>
      <c r="E11" s="10"/>
      <c r="F11" s="10"/>
      <c r="G11" s="10"/>
      <c r="H11" s="10"/>
    </row>
    <row r="12" customFormat="false" ht="13.5" hidden="false" customHeight="true" outlineLevel="0" collapsed="false">
      <c r="B12" s="31" t="s">
        <v>131</v>
      </c>
      <c r="C12" s="33" t="n">
        <v>757.489</v>
      </c>
      <c r="D12" s="33" t="n">
        <f aca="false">D9*D5/365</f>
        <v>851.564383561644</v>
      </c>
      <c r="E12" s="33" t="n">
        <f aca="false">E9*E5/365</f>
        <v>1111.29152054795</v>
      </c>
      <c r="F12" s="33" t="n">
        <f aca="false">F9*F5/365</f>
        <v>1394.86246027397</v>
      </c>
      <c r="G12" s="33" t="n">
        <f aca="false">G9*G5/365</f>
        <v>1698.74321054795</v>
      </c>
      <c r="H12" s="33" t="n">
        <f aca="false">H9*H5/365</f>
        <v>2004.51698844658</v>
      </c>
    </row>
    <row r="13" customFormat="false" ht="13.5" hidden="false" customHeight="true" outlineLevel="0" collapsed="false">
      <c r="B13" s="31" t="s">
        <v>132</v>
      </c>
      <c r="C13" s="33" t="n">
        <v>0.087</v>
      </c>
      <c r="D13" s="33" t="n">
        <f aca="false">D10*D6/365</f>
        <v>0</v>
      </c>
      <c r="E13" s="33" t="n">
        <f aca="false">E10*E6/365</f>
        <v>0</v>
      </c>
      <c r="F13" s="33" t="n">
        <f aca="false">F10*F6/365</f>
        <v>0</v>
      </c>
      <c r="G13" s="33" t="n">
        <f aca="false">G10*G6/365</f>
        <v>0</v>
      </c>
      <c r="H13" s="33" t="n">
        <f aca="false">H10*H6/365</f>
        <v>0</v>
      </c>
    </row>
    <row r="14" customFormat="false" ht="13.5" hidden="false" customHeight="true" outlineLevel="0" collapsed="false">
      <c r="B14" s="31" t="s">
        <v>133</v>
      </c>
      <c r="C14" s="33" t="n">
        <f aca="false">C12+C13</f>
        <v>757.576</v>
      </c>
      <c r="D14" s="33" t="n">
        <f aca="false">D12+D13</f>
        <v>851.564383561644</v>
      </c>
      <c r="E14" s="33" t="n">
        <f aca="false">E12+E13</f>
        <v>1111.29152054795</v>
      </c>
      <c r="F14" s="33" t="n">
        <f aca="false">F12+F13</f>
        <v>1394.86246027397</v>
      </c>
      <c r="G14" s="33" t="n">
        <f aca="false">G12+G13</f>
        <v>1698.74321054795</v>
      </c>
      <c r="H14" s="33" t="n">
        <f aca="false">H12+H13</f>
        <v>2004.51698844658</v>
      </c>
    </row>
    <row r="15" customFormat="false" ht="13.5" hidden="false" customHeight="true" outlineLevel="0" collapsed="false">
      <c r="B15" s="31" t="s">
        <v>134</v>
      </c>
      <c r="C15" s="33" t="n">
        <v>107.711</v>
      </c>
      <c r="D15" s="33" t="n">
        <f aca="false">D10*D7/365</f>
        <v>68.1251506849315</v>
      </c>
      <c r="E15" s="33" t="n">
        <f aca="false">E10*E7/365</f>
        <v>86.2208938356165</v>
      </c>
      <c r="F15" s="33" t="n">
        <f aca="false">F10*F7/365</f>
        <v>112.087161986301</v>
      </c>
      <c r="G15" s="33" t="n">
        <f aca="false">G10*G7/365</f>
        <v>129.722208805479</v>
      </c>
      <c r="H15" s="33" t="n">
        <f aca="false">H10*H7/365</f>
        <v>153.072206390466</v>
      </c>
    </row>
    <row r="16" customFormat="false" ht="13.5" hidden="false" customHeight="true" outlineLevel="0" collapsed="false">
      <c r="B16" s="31" t="s">
        <v>135</v>
      </c>
      <c r="C16" s="33" t="n">
        <f aca="false">C15</f>
        <v>107.711</v>
      </c>
      <c r="D16" s="33" t="n">
        <f aca="false">D15</f>
        <v>68.1251506849315</v>
      </c>
      <c r="E16" s="33" t="n">
        <f aca="false">E15</f>
        <v>86.2208938356165</v>
      </c>
      <c r="F16" s="33" t="n">
        <f aca="false">F15</f>
        <v>112.087161986301</v>
      </c>
      <c r="G16" s="33" t="n">
        <f aca="false">G15</f>
        <v>129.722208805479</v>
      </c>
      <c r="H16" s="33" t="n">
        <f aca="false">H15</f>
        <v>153.072206390466</v>
      </c>
    </row>
    <row r="17" customFormat="false" ht="13.5" hidden="false" customHeight="true" outlineLevel="0" collapsed="false">
      <c r="B17" s="25" t="s">
        <v>136</v>
      </c>
      <c r="C17" s="26"/>
      <c r="D17" s="26"/>
      <c r="E17" s="26"/>
      <c r="F17" s="26"/>
      <c r="G17" s="26"/>
      <c r="H17" s="26"/>
    </row>
    <row r="18" customFormat="false" ht="13.5" hidden="false" customHeight="true" outlineLevel="0" collapsed="false">
      <c r="B18" s="31" t="s">
        <v>137</v>
      </c>
      <c r="C18" s="23" t="n">
        <f aca="false">C14-C16</f>
        <v>649.865</v>
      </c>
      <c r="D18" s="23" t="n">
        <f aca="false">D14-D16</f>
        <v>783.439232876712</v>
      </c>
      <c r="E18" s="23" t="n">
        <f aca="false">E14-E16</f>
        <v>1025.07062671233</v>
      </c>
      <c r="F18" s="23" t="n">
        <f aca="false">F14-F16</f>
        <v>1282.77529828767</v>
      </c>
      <c r="G18" s="23" t="n">
        <f aca="false">G14-G16</f>
        <v>1569.02100174247</v>
      </c>
      <c r="H18" s="23" t="n">
        <f aca="false">H14-H16</f>
        <v>1851.44478205611</v>
      </c>
    </row>
    <row r="19" customFormat="false" ht="13.5" hidden="false" customHeight="true" outlineLevel="0" collapsed="false">
      <c r="B19" s="31" t="s">
        <v>98</v>
      </c>
      <c r="C19" s="34" t="s">
        <v>47</v>
      </c>
      <c r="D19" s="27" t="n">
        <f aca="false">D18-C18</f>
        <v>133.574232876712</v>
      </c>
      <c r="E19" s="27" t="n">
        <f aca="false">E18-D18</f>
        <v>241.631393835617</v>
      </c>
      <c r="F19" s="27" t="n">
        <f aca="false">F18-E18</f>
        <v>257.704671575343</v>
      </c>
      <c r="G19" s="27" t="n">
        <f aca="false">G18-F18</f>
        <v>286.245703454794</v>
      </c>
      <c r="H19" s="27" t="n">
        <f aca="false">H18-G18</f>
        <v>282.423780313644</v>
      </c>
    </row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>
      <c r="B22" s="25" t="s">
        <v>138</v>
      </c>
      <c r="C22" s="26"/>
      <c r="D22" s="26"/>
      <c r="E22" s="26"/>
      <c r="F22" s="26"/>
      <c r="G22" s="26"/>
      <c r="H22" s="26"/>
    </row>
    <row r="23" customFormat="false" ht="13.5" hidden="false" customHeight="true" outlineLevel="0" collapsed="false">
      <c r="D23" s="28" t="s">
        <v>84</v>
      </c>
      <c r="E23" s="28" t="s">
        <v>85</v>
      </c>
      <c r="F23" s="28" t="s">
        <v>86</v>
      </c>
      <c r="G23" s="28" t="s">
        <v>87</v>
      </c>
      <c r="H23" s="28" t="s">
        <v>88</v>
      </c>
    </row>
    <row r="24" customFormat="false" ht="13.5" hidden="false" customHeight="true" outlineLevel="0" collapsed="false">
      <c r="B24" s="4" t="s">
        <v>139</v>
      </c>
    </row>
    <row r="25" customFormat="false" ht="13.5" hidden="false" customHeight="true" outlineLevel="0" collapsed="false">
      <c r="B25" s="5" t="s">
        <v>82</v>
      </c>
      <c r="D25" s="35" t="n">
        <v>60</v>
      </c>
      <c r="E25" s="35" t="n">
        <v>58</v>
      </c>
      <c r="F25" s="35" t="n">
        <v>56</v>
      </c>
      <c r="G25" s="35" t="n">
        <v>55</v>
      </c>
      <c r="H25" s="35" t="n">
        <v>55</v>
      </c>
    </row>
    <row r="26" customFormat="false" ht="13.5" hidden="false" customHeight="true" outlineLevel="0" collapsed="false">
      <c r="B26" s="5" t="s">
        <v>119</v>
      </c>
      <c r="D26" s="35" t="n">
        <v>66</v>
      </c>
      <c r="E26" s="35" t="n">
        <v>66</v>
      </c>
      <c r="F26" s="35" t="n">
        <v>66</v>
      </c>
      <c r="G26" s="35" t="n">
        <v>66</v>
      </c>
      <c r="H26" s="35" t="n">
        <v>66</v>
      </c>
    </row>
    <row r="27" customFormat="false" ht="13.5" hidden="false" customHeight="true" outlineLevel="0" collapsed="false">
      <c r="B27" s="5" t="s">
        <v>120</v>
      </c>
      <c r="D27" s="35" t="n">
        <v>71</v>
      </c>
      <c r="E27" s="35" t="n">
        <v>71</v>
      </c>
      <c r="F27" s="35" t="n">
        <v>71</v>
      </c>
      <c r="G27" s="35" t="n">
        <v>71</v>
      </c>
      <c r="H27" s="35" t="n">
        <v>71</v>
      </c>
    </row>
    <row r="28" customFormat="false" ht="13.5" hidden="false" customHeight="true" outlineLevel="0" collapsed="false">
      <c r="B28" s="5" t="s">
        <v>121</v>
      </c>
      <c r="D28" s="35" t="n">
        <v>76</v>
      </c>
      <c r="E28" s="35" t="n">
        <v>76</v>
      </c>
      <c r="F28" s="35" t="n">
        <v>76</v>
      </c>
      <c r="G28" s="35" t="n">
        <v>76</v>
      </c>
      <c r="H28" s="35" t="n">
        <v>76</v>
      </c>
    </row>
    <row r="29" customFormat="false" ht="13.5" hidden="false" customHeight="true" outlineLevel="0" collapsed="false">
      <c r="B29" s="5" t="s">
        <v>122</v>
      </c>
      <c r="D29" s="35" t="n">
        <v>81</v>
      </c>
      <c r="E29" s="35" t="n">
        <v>81</v>
      </c>
      <c r="F29" s="35" t="n">
        <v>81</v>
      </c>
      <c r="G29" s="35" t="n">
        <v>81</v>
      </c>
      <c r="H29" s="35" t="n">
        <v>81</v>
      </c>
    </row>
    <row r="30" customFormat="false" ht="13.5" hidden="false" customHeight="true" outlineLevel="0" collapsed="false"/>
    <row r="31" customFormat="false" ht="13.5" hidden="false" customHeight="true" outlineLevel="0" collapsed="false">
      <c r="B31" s="4" t="s">
        <v>140</v>
      </c>
    </row>
    <row r="32" customFormat="false" ht="13.5" hidden="false" customHeight="true" outlineLevel="0" collapsed="false">
      <c r="B32" s="5" t="s">
        <v>82</v>
      </c>
      <c r="D32" s="35" t="n">
        <v>0</v>
      </c>
      <c r="E32" s="35" t="n">
        <v>0</v>
      </c>
      <c r="F32" s="35" t="n">
        <v>0</v>
      </c>
      <c r="G32" s="35" t="n">
        <v>0</v>
      </c>
      <c r="H32" s="35" t="n">
        <v>0</v>
      </c>
    </row>
    <row r="33" customFormat="false" ht="13.5" hidden="false" customHeight="true" outlineLevel="0" collapsed="false">
      <c r="B33" s="5" t="s">
        <v>119</v>
      </c>
      <c r="D33" s="35" t="n">
        <v>0</v>
      </c>
      <c r="E33" s="35" t="n">
        <v>0</v>
      </c>
      <c r="F33" s="35" t="n">
        <v>0</v>
      </c>
      <c r="G33" s="35" t="n">
        <v>0</v>
      </c>
      <c r="H33" s="35" t="n">
        <v>0</v>
      </c>
    </row>
    <row r="34" customFormat="false" ht="13.5" hidden="false" customHeight="true" outlineLevel="0" collapsed="false">
      <c r="B34" s="5" t="s">
        <v>120</v>
      </c>
      <c r="D34" s="35" t="n">
        <v>0</v>
      </c>
      <c r="E34" s="35" t="n">
        <v>0</v>
      </c>
      <c r="F34" s="35" t="n">
        <v>0</v>
      </c>
      <c r="G34" s="35" t="n">
        <v>0</v>
      </c>
      <c r="H34" s="35" t="n">
        <v>0</v>
      </c>
    </row>
    <row r="35" customFormat="false" ht="13.5" hidden="false" customHeight="true" outlineLevel="0" collapsed="false">
      <c r="B35" s="5" t="s">
        <v>121</v>
      </c>
      <c r="D35" s="35" t="n">
        <v>3</v>
      </c>
      <c r="E35" s="35" t="n">
        <v>3</v>
      </c>
      <c r="F35" s="35" t="n">
        <v>3</v>
      </c>
      <c r="G35" s="35" t="n">
        <v>3</v>
      </c>
      <c r="H35" s="35" t="n">
        <v>3</v>
      </c>
    </row>
    <row r="36" customFormat="false" ht="13.5" hidden="false" customHeight="true" outlineLevel="0" collapsed="false">
      <c r="B36" s="5" t="s">
        <v>122</v>
      </c>
      <c r="D36" s="35" t="n">
        <v>5</v>
      </c>
      <c r="E36" s="35" t="n">
        <v>5</v>
      </c>
      <c r="F36" s="35" t="n">
        <v>5</v>
      </c>
      <c r="G36" s="35" t="n">
        <v>5</v>
      </c>
      <c r="H36" s="35" t="n">
        <v>5</v>
      </c>
    </row>
    <row r="37" customFormat="false" ht="13.5" hidden="false" customHeight="true" outlineLevel="0" collapsed="false"/>
    <row r="38" customFormat="false" ht="13.5" hidden="false" customHeight="true" outlineLevel="0" collapsed="false">
      <c r="B38" s="4" t="s">
        <v>141</v>
      </c>
    </row>
    <row r="39" customFormat="false" ht="13.5" hidden="false" customHeight="true" outlineLevel="0" collapsed="false">
      <c r="B39" s="5" t="s">
        <v>82</v>
      </c>
      <c r="D39" s="35" t="n">
        <v>30</v>
      </c>
      <c r="E39" s="35" t="n">
        <v>30</v>
      </c>
      <c r="F39" s="35" t="n">
        <v>30</v>
      </c>
      <c r="G39" s="35" t="n">
        <v>30</v>
      </c>
      <c r="H39" s="35" t="n">
        <v>30</v>
      </c>
    </row>
    <row r="40" customFormat="false" ht="13.5" hidden="false" customHeight="true" outlineLevel="0" collapsed="false">
      <c r="B40" s="5" t="s">
        <v>119</v>
      </c>
      <c r="D40" s="35" t="n">
        <v>75</v>
      </c>
      <c r="E40" s="35" t="n">
        <v>75</v>
      </c>
      <c r="F40" s="35" t="n">
        <v>75</v>
      </c>
      <c r="G40" s="35" t="n">
        <v>75</v>
      </c>
      <c r="H40" s="35" t="n">
        <v>75</v>
      </c>
    </row>
    <row r="41" customFormat="false" ht="13.5" hidden="false" customHeight="true" outlineLevel="0" collapsed="false">
      <c r="B41" s="5" t="s">
        <v>120</v>
      </c>
      <c r="D41" s="35" t="n">
        <v>72</v>
      </c>
      <c r="E41" s="35" t="n">
        <v>72</v>
      </c>
      <c r="F41" s="35" t="n">
        <v>72</v>
      </c>
      <c r="G41" s="35" t="n">
        <v>72</v>
      </c>
      <c r="H41" s="35" t="n">
        <v>72</v>
      </c>
    </row>
    <row r="42" customFormat="false" ht="13.5" hidden="false" customHeight="true" outlineLevel="0" collapsed="false">
      <c r="B42" s="5" t="s">
        <v>121</v>
      </c>
      <c r="D42" s="35" t="n">
        <v>69</v>
      </c>
      <c r="E42" s="35" t="n">
        <v>69</v>
      </c>
      <c r="F42" s="35" t="n">
        <v>69</v>
      </c>
      <c r="G42" s="35" t="n">
        <v>69</v>
      </c>
      <c r="H42" s="35" t="n">
        <v>69</v>
      </c>
    </row>
    <row r="43" customFormat="false" ht="13.5" hidden="false" customHeight="true" outlineLevel="0" collapsed="false">
      <c r="B43" s="5" t="s">
        <v>122</v>
      </c>
      <c r="D43" s="35" t="n">
        <v>67</v>
      </c>
      <c r="E43" s="35" t="n">
        <v>67</v>
      </c>
      <c r="F43" s="35" t="n">
        <v>67</v>
      </c>
      <c r="G43" s="35" t="n">
        <v>67</v>
      </c>
      <c r="H43" s="35" t="n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B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15" min="4" style="1" width="12"/>
  </cols>
  <sheetData>
    <row r="1" customFormat="false" ht="13.5" hidden="false" customHeight="true" outlineLevel="0" collapsed="false"/>
    <row r="2" customFormat="false" ht="18" hidden="false" customHeight="true" outlineLevel="0" collapsed="false">
      <c r="B2" s="13" t="s">
        <v>142</v>
      </c>
    </row>
    <row r="3" customFormat="false" ht="13.5" hidden="false" customHeight="true" outlineLevel="0" collapsed="false"/>
    <row r="4" customFormat="false" ht="27.75" hidden="false" customHeight="true" outlineLevel="0" collapsed="false">
      <c r="B4" s="11" t="s">
        <v>3</v>
      </c>
      <c r="C4" s="11" t="s">
        <v>5</v>
      </c>
      <c r="D4" s="11" t="s">
        <v>143</v>
      </c>
      <c r="E4" s="11" t="s">
        <v>144</v>
      </c>
      <c r="F4" s="11" t="s">
        <v>145</v>
      </c>
      <c r="G4" s="11" t="s">
        <v>146</v>
      </c>
      <c r="H4" s="11" t="s">
        <v>147</v>
      </c>
      <c r="I4" s="11" t="s">
        <v>148</v>
      </c>
      <c r="J4" s="11" t="s">
        <v>149</v>
      </c>
      <c r="K4" s="11" t="s">
        <v>150</v>
      </c>
      <c r="L4" s="11" t="s">
        <v>151</v>
      </c>
      <c r="M4" s="11" t="s">
        <v>152</v>
      </c>
      <c r="N4" s="11" t="s">
        <v>153</v>
      </c>
      <c r="O4" s="11" t="s">
        <v>154</v>
      </c>
    </row>
    <row r="5" customFormat="false" ht="13.5" hidden="false" customHeight="true" outlineLevel="0" collapsed="false">
      <c r="B5" s="5" t="s">
        <v>155</v>
      </c>
      <c r="C5" s="1" t="s">
        <v>156</v>
      </c>
      <c r="D5" s="36" t="n">
        <v>26650.382336</v>
      </c>
      <c r="E5" s="36" t="n">
        <v>26650.382336</v>
      </c>
      <c r="F5" s="36" t="n">
        <v>4277</v>
      </c>
      <c r="G5" s="36" t="n">
        <v>2033</v>
      </c>
      <c r="H5" s="36" t="n">
        <v>1927</v>
      </c>
      <c r="I5" s="36" t="n">
        <v>1329</v>
      </c>
      <c r="J5" s="37" t="n">
        <f aca="false">E5/G5</f>
        <v>13.1088944102312</v>
      </c>
      <c r="K5" s="37" t="n">
        <f aca="false">E5/F5</f>
        <v>6.23109243301379</v>
      </c>
      <c r="L5" s="37" t="n">
        <f aca="false">D5/I5</f>
        <v>20.052958868322</v>
      </c>
      <c r="M5" s="37" t="n">
        <v>7.89640958103704</v>
      </c>
      <c r="N5" s="38" t="n">
        <f aca="false">H5/F5</f>
        <v>0.450549450549451</v>
      </c>
      <c r="O5" s="38" t="n">
        <v>0.393777777777778</v>
      </c>
    </row>
    <row r="6" customFormat="false" ht="13.5" hidden="false" customHeight="true" outlineLevel="0" collapsed="false">
      <c r="B6" s="5" t="s">
        <v>157</v>
      </c>
      <c r="C6" s="1" t="s">
        <v>158</v>
      </c>
      <c r="D6" s="36" t="n">
        <v>21675.157504</v>
      </c>
      <c r="E6" s="36" t="n">
        <v>21675.157504</v>
      </c>
      <c r="F6" s="36" t="n">
        <v>5800</v>
      </c>
      <c r="G6" s="36" t="n">
        <v>1997</v>
      </c>
      <c r="H6" s="36" t="n">
        <v>1900</v>
      </c>
      <c r="I6" s="36" t="n">
        <v>1300</v>
      </c>
      <c r="J6" s="37" t="n">
        <f aca="false">E6/G6</f>
        <v>10.853859541312</v>
      </c>
      <c r="K6" s="37" t="n">
        <f aca="false">E6/F6</f>
        <v>3.73709612137931</v>
      </c>
      <c r="L6" s="37" t="n">
        <f aca="false">D6/I6</f>
        <v>16.67319808</v>
      </c>
      <c r="M6" s="37" t="n">
        <v>5.33739411573504</v>
      </c>
      <c r="N6" s="38" t="n">
        <f aca="false">H6/F6</f>
        <v>0.327586206896552</v>
      </c>
      <c r="O6" s="38" t="n">
        <v>0.320118197488303</v>
      </c>
    </row>
    <row r="7" customFormat="false" ht="13.5" hidden="false" customHeight="true" outlineLevel="0" collapsed="false">
      <c r="B7" s="5" t="s">
        <v>159</v>
      </c>
      <c r="C7" s="1" t="s">
        <v>160</v>
      </c>
      <c r="D7" s="36" t="n">
        <v>47324.082176</v>
      </c>
      <c r="E7" s="36" t="n">
        <v>47424.082176</v>
      </c>
      <c r="F7" s="36" t="n">
        <v>13149</v>
      </c>
      <c r="G7" s="36" t="n">
        <v>3268</v>
      </c>
      <c r="H7" s="36" t="n">
        <v>2954</v>
      </c>
      <c r="I7" s="36" t="n">
        <v>2016</v>
      </c>
      <c r="J7" s="37" t="n">
        <f aca="false">E7/G7</f>
        <v>14.5116530526316</v>
      </c>
      <c r="K7" s="37" t="n">
        <f aca="false">E7/F7</f>
        <v>3.60666835318275</v>
      </c>
      <c r="L7" s="37" t="n">
        <f aca="false">D7/I7</f>
        <v>23.4742471111111</v>
      </c>
      <c r="M7" s="37" t="n">
        <v>6.17243800391287</v>
      </c>
      <c r="N7" s="38" t="n">
        <f aca="false">H7/F7</f>
        <v>0.22465586736634</v>
      </c>
      <c r="O7" s="38" t="n">
        <v>0.262945089343942</v>
      </c>
    </row>
    <row r="8" customFormat="false" ht="13.5" hidden="false" customHeight="true" outlineLevel="0" collapsed="false">
      <c r="B8" s="5" t="s">
        <v>161</v>
      </c>
      <c r="C8" s="1" t="s">
        <v>162</v>
      </c>
      <c r="D8" s="39" t="s">
        <v>8</v>
      </c>
      <c r="E8" s="39" t="s">
        <v>8</v>
      </c>
      <c r="F8" s="36" t="n">
        <v>3535</v>
      </c>
      <c r="G8" s="36" t="n">
        <v>639</v>
      </c>
      <c r="H8" s="36" t="n">
        <v>315</v>
      </c>
      <c r="I8" s="36" t="n">
        <v>196</v>
      </c>
      <c r="J8" s="39" t="s">
        <v>8</v>
      </c>
      <c r="K8" s="39" t="s">
        <v>8</v>
      </c>
      <c r="L8" s="39" t="s">
        <v>8</v>
      </c>
      <c r="M8" s="39" t="s">
        <v>8</v>
      </c>
      <c r="N8" s="38" t="n">
        <f aca="false">H8/F8</f>
        <v>0.0891089108910891</v>
      </c>
      <c r="O8" s="38" t="n">
        <v>0.207188160676533</v>
      </c>
    </row>
    <row r="9" customFormat="false" ht="13.5" hidden="false" customHeight="true" outlineLevel="0" collapsed="false">
      <c r="B9" s="5" t="s">
        <v>163</v>
      </c>
      <c r="C9" s="1" t="s">
        <v>164</v>
      </c>
      <c r="D9" s="36" t="n">
        <v>164242.980864</v>
      </c>
      <c r="E9" s="36" t="n">
        <v>171474.980864</v>
      </c>
      <c r="F9" s="36" t="n">
        <v>71834</v>
      </c>
      <c r="G9" s="36" t="n">
        <v>10475</v>
      </c>
      <c r="H9" s="36" t="n">
        <v>6801</v>
      </c>
      <c r="I9" s="36" t="n">
        <v>6165</v>
      </c>
      <c r="J9" s="37" t="n">
        <f aca="false">E9/G9</f>
        <v>16.3699265741289</v>
      </c>
      <c r="K9" s="37" t="n">
        <f aca="false">E9/F9</f>
        <v>2.38710054937773</v>
      </c>
      <c r="L9" s="37" t="n">
        <f aca="false">D9/I9</f>
        <v>26.641197220438</v>
      </c>
      <c r="M9" s="37" t="n">
        <v>6.14589810148182</v>
      </c>
      <c r="N9" s="38" t="n">
        <f aca="false">H9/F9</f>
        <v>0.0946766155302503</v>
      </c>
      <c r="O9" s="38" t="n">
        <v>0.23069151324652</v>
      </c>
    </row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>
      <c r="B14" s="4" t="s">
        <v>165</v>
      </c>
    </row>
    <row r="15" customFormat="false" ht="13.5" hidden="false" customHeight="true" outlineLevel="0" collapsed="false">
      <c r="B15" s="5" t="s">
        <v>166</v>
      </c>
      <c r="D15" s="37" t="n">
        <f aca="false">PERCENTILE(J5:J9,0.25)</f>
        <v>12.5451356930014</v>
      </c>
      <c r="E15" s="37" t="n">
        <f aca="false">PERCENTILE(K5:K9,0.25)</f>
        <v>3.3017764022315</v>
      </c>
      <c r="F15" s="37" t="n">
        <f aca="false">PERCENTILE(L5:L9,0.25)</f>
        <v>19.2080186712415</v>
      </c>
      <c r="G15" s="37" t="n">
        <f aca="false">PERCENTILE(M5:M9,0.25)</f>
        <v>5.94377210504513</v>
      </c>
      <c r="H15" s="38" t="n">
        <f aca="false">PERCENTILE(N5:N9,0.25)</f>
        <v>0.0946766155302503</v>
      </c>
      <c r="I15" s="38" t="n">
        <f aca="false">PERCENTILE(O5:O9,0.25)</f>
        <v>0.23069151324652</v>
      </c>
    </row>
    <row r="16" customFormat="false" ht="13.5" hidden="false" customHeight="true" outlineLevel="0" collapsed="false">
      <c r="B16" s="5" t="s">
        <v>167</v>
      </c>
      <c r="D16" s="37" t="n">
        <f aca="false">MEDIAN(J5:J9)</f>
        <v>13.8102737314314</v>
      </c>
      <c r="E16" s="37" t="n">
        <f aca="false">MEDIAN(K5:K9)</f>
        <v>3.67188223728103</v>
      </c>
      <c r="F16" s="37" t="n">
        <f aca="false">MEDIAN(L5:L9)</f>
        <v>21.7636029897166</v>
      </c>
      <c r="G16" s="37" t="n">
        <f aca="false">MEDIAN(M5:M9)</f>
        <v>6.15916805269734</v>
      </c>
      <c r="H16" s="38" t="n">
        <f aca="false">MEDIAN(N5:N9)</f>
        <v>0.22465586736634</v>
      </c>
      <c r="I16" s="38" t="n">
        <f aca="false">MEDIAN(O5:O9)</f>
        <v>0.262945089343942</v>
      </c>
    </row>
    <row r="17" customFormat="false" ht="13.5" hidden="false" customHeight="true" outlineLevel="0" collapsed="false">
      <c r="B17" s="5" t="s">
        <v>168</v>
      </c>
      <c r="D17" s="37" t="n">
        <f aca="false">PERCENTILE(J5:J9,0.75)</f>
        <v>14.9762214330059</v>
      </c>
      <c r="E17" s="37" t="n">
        <f aca="false">PERCENTILE(K5:K9,0.75)</f>
        <v>4.36059519928793</v>
      </c>
      <c r="F17" s="37" t="n">
        <f aca="false">PERCENTILE(L5:L9,0.75)</f>
        <v>24.2659846384428</v>
      </c>
      <c r="G17" s="37" t="n">
        <f aca="false">PERCENTILE(M5:M9,0.75)</f>
        <v>6.60343089819391</v>
      </c>
      <c r="H17" s="38" t="n">
        <f aca="false">PERCENTILE(N5:N9,0.75)</f>
        <v>0.327586206896552</v>
      </c>
      <c r="I17" s="38" t="n">
        <f aca="false">PERCENTILE(O5:O9,0.75)</f>
        <v>0.320118197488303</v>
      </c>
    </row>
    <row r="18" customFormat="false" ht="13.5" hidden="false" customHeight="true" outlineLevel="0" collapsed="false"/>
    <row r="19" customFormat="false" ht="13.5" hidden="false" customHeight="true" outlineLevel="0" collapsed="false">
      <c r="B19" s="25" t="s">
        <v>169</v>
      </c>
      <c r="C19" s="26"/>
      <c r="D19" s="26"/>
      <c r="E19" s="26"/>
      <c r="F19" s="26"/>
      <c r="G19" s="26"/>
      <c r="H19" s="26"/>
      <c r="I19" s="26"/>
    </row>
    <row r="20" customFormat="false" ht="13.5" hidden="false" customHeight="true" outlineLevel="0" collapsed="false">
      <c r="B20" s="4" t="s">
        <v>170</v>
      </c>
    </row>
    <row r="21" customFormat="false" ht="13.5" hidden="false" customHeight="true" outlineLevel="0" collapsed="false">
      <c r="B21" s="5" t="s">
        <v>171</v>
      </c>
      <c r="C21" s="6" t="n">
        <v>270</v>
      </c>
    </row>
    <row r="22" customFormat="false" ht="13.5" hidden="false" customHeight="true" outlineLevel="0" collapsed="false">
      <c r="B22" s="5" t="s">
        <v>172</v>
      </c>
      <c r="C22" s="6" t="n">
        <v>-700</v>
      </c>
    </row>
    <row r="23" customFormat="false" ht="13.5" hidden="false" customHeight="true" outlineLevel="0" collapsed="false">
      <c r="B23" s="5" t="s">
        <v>173</v>
      </c>
      <c r="C23" s="17" t="n">
        <v>27208514</v>
      </c>
    </row>
    <row r="24" customFormat="false" ht="13.5" hidden="false" customHeight="true" outlineLevel="0" collapsed="false">
      <c r="B24" s="5" t="s">
        <v>71</v>
      </c>
      <c r="C24" s="6" t="n">
        <v>-547.9</v>
      </c>
    </row>
    <row r="25" customFormat="false" ht="13.5" hidden="false" customHeight="true" outlineLevel="0" collapsed="false"/>
    <row r="26" customFormat="false" ht="13.5" hidden="false" customHeight="true" outlineLevel="0" collapsed="false">
      <c r="B26" s="4" t="s">
        <v>174</v>
      </c>
    </row>
    <row r="27" customFormat="false" ht="13.5" hidden="false" customHeight="true" outlineLevel="0" collapsed="false">
      <c r="B27" s="5" t="s">
        <v>175</v>
      </c>
      <c r="C27" s="27" t="n">
        <f aca="false">ROUND((C21*D16-C24)*1000000/C23,0)</f>
        <v>157</v>
      </c>
    </row>
    <row r="28" customFormat="false" ht="13.5" hidden="false" customHeight="true" outlineLevel="0" collapsed="false">
      <c r="B28" s="5" t="s">
        <v>176</v>
      </c>
      <c r="C28" s="27" t="n">
        <f aca="false">ROUND(C22*F16*1000000/C23,0)</f>
        <v>-560</v>
      </c>
    </row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7.15" hidden="false" customHeight="false" outlineLevel="0" collapsed="false">
      <c r="B31" s="40" t="s">
        <v>177</v>
      </c>
    </row>
    <row r="32" customFormat="false" ht="17.15" hidden="false" customHeight="false" outlineLevel="0" collapsed="false">
      <c r="B32" s="1" t="s">
        <v>178</v>
      </c>
    </row>
    <row r="33" customFormat="false" ht="17.15" hidden="false" customHeight="false" outlineLevel="0" collapsed="false">
      <c r="B33" s="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6600"/>
    <pageSetUpPr fitToPage="false"/>
  </sheetPr>
  <dimension ref="B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7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9" min="3" style="1" width="14"/>
  </cols>
  <sheetData>
    <row r="1" customFormat="false" ht="13.5" hidden="false" customHeight="true" outlineLevel="0" collapsed="false"/>
    <row r="2" customFormat="false" ht="18" hidden="false" customHeight="true" outlineLevel="0" collapsed="false">
      <c r="B2" s="13" t="s">
        <v>180</v>
      </c>
    </row>
    <row r="3" customFormat="false" ht="13.5" hidden="false" customHeight="true" outlineLevel="0" collapsed="false">
      <c r="B3" s="5" t="s">
        <v>181</v>
      </c>
      <c r="C3" s="19" t="n">
        <f aca="false">'DCF Model'!C26</f>
        <v>0.135416666666667</v>
      </c>
      <c r="E3" s="5" t="s">
        <v>182</v>
      </c>
      <c r="F3" s="19" t="n">
        <f aca="false">'DCF Model'!C13</f>
        <v>0.02</v>
      </c>
      <c r="H3" s="5" t="s">
        <v>183</v>
      </c>
      <c r="I3" s="16" t="n">
        <f aca="false">'DCF Model'!C14</f>
        <v>12.7</v>
      </c>
    </row>
    <row r="4" customFormat="false" ht="13.5" hidden="false" customHeight="true" outlineLevel="0" collapsed="false"/>
    <row r="5" customFormat="false" ht="13.5" hidden="false" customHeight="true" outlineLevel="0" collapsed="false">
      <c r="B5" s="4" t="s">
        <v>184</v>
      </c>
    </row>
    <row r="6" customFormat="false" ht="13.5" hidden="false" customHeight="true" outlineLevel="0" collapsed="false">
      <c r="B6" s="41" t="s">
        <v>185</v>
      </c>
      <c r="C6" s="42" t="n">
        <f aca="false">$F$3-0.0075</f>
        <v>0.0125</v>
      </c>
      <c r="D6" s="42" t="n">
        <f aca="false">$F$3-0.005</f>
        <v>0.015</v>
      </c>
      <c r="E6" s="42" t="n">
        <f aca="false">$F$3-0.0025</f>
        <v>0.0175</v>
      </c>
      <c r="F6" s="42" t="n">
        <f aca="false">$F$3</f>
        <v>0.02</v>
      </c>
      <c r="G6" s="42" t="n">
        <f aca="false">$F$3+0.0025</f>
        <v>0.0225</v>
      </c>
      <c r="H6" s="42" t="n">
        <f aca="false">$F$3+0.005</f>
        <v>0.025</v>
      </c>
      <c r="I6" s="42" t="n">
        <f aca="false">$F$3+0.0075</f>
        <v>0.0275</v>
      </c>
    </row>
    <row r="7" customFormat="false" ht="13.5" hidden="false" customHeight="true" outlineLevel="0" collapsed="false">
      <c r="B7" s="38" t="n">
        <f aca="false">$C$3-0.015</f>
        <v>0.120416666666667</v>
      </c>
      <c r="C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732</v>
      </c>
      <c r="D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746</v>
      </c>
      <c r="E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761</v>
      </c>
      <c r="F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776</v>
      </c>
      <c r="G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793</v>
      </c>
      <c r="H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810</v>
      </c>
      <c r="I7" s="36" t="n">
        <f aca="false"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828</v>
      </c>
    </row>
    <row r="8" customFormat="false" ht="13.5" hidden="false" customHeight="true" outlineLevel="0" collapsed="false">
      <c r="B8" s="38" t="n">
        <f aca="false">$C$3-0.01</f>
        <v>0.125416666666667</v>
      </c>
      <c r="C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694</v>
      </c>
      <c r="D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707</v>
      </c>
      <c r="E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720</v>
      </c>
      <c r="F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734</v>
      </c>
      <c r="G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748</v>
      </c>
      <c r="H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763</v>
      </c>
      <c r="I8" s="36" t="n">
        <f aca="false"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779</v>
      </c>
    </row>
    <row r="9" customFormat="false" ht="13.5" hidden="false" customHeight="true" outlineLevel="0" collapsed="false">
      <c r="B9" s="38" t="n">
        <f aca="false">$C$3-0.005</f>
        <v>0.130416666666667</v>
      </c>
      <c r="C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660</v>
      </c>
      <c r="D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671</v>
      </c>
      <c r="E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683</v>
      </c>
      <c r="F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695</v>
      </c>
      <c r="G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708</v>
      </c>
      <c r="H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722</v>
      </c>
      <c r="I9" s="36" t="n">
        <f aca="false"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736</v>
      </c>
    </row>
    <row r="10" customFormat="false" ht="13.5" hidden="false" customHeight="true" outlineLevel="0" collapsed="false">
      <c r="B10" s="38" t="n">
        <f aca="false">$C$3</f>
        <v>0.135416666666667</v>
      </c>
      <c r="C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628</v>
      </c>
      <c r="D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638</v>
      </c>
      <c r="E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649</v>
      </c>
      <c r="F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660</v>
      </c>
      <c r="G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672</v>
      </c>
      <c r="H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684</v>
      </c>
      <c r="I10" s="36" t="n">
        <f aca="false"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697</v>
      </c>
    </row>
    <row r="11" customFormat="false" ht="13.5" hidden="false" customHeight="true" outlineLevel="0" collapsed="false">
      <c r="B11" s="38" t="n">
        <f aca="false">$C$3+0.005</f>
        <v>0.140416666666667</v>
      </c>
      <c r="C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599</v>
      </c>
      <c r="D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608</v>
      </c>
      <c r="E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618</v>
      </c>
      <c r="F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628</v>
      </c>
      <c r="G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638</v>
      </c>
      <c r="H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649</v>
      </c>
      <c r="I11" s="36" t="n">
        <f aca="false"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661</v>
      </c>
    </row>
    <row r="12" customFormat="false" ht="13.5" hidden="false" customHeight="true" outlineLevel="0" collapsed="false">
      <c r="B12" s="38" t="n">
        <f aca="false">$C$3+0.01</f>
        <v>0.145416666666667</v>
      </c>
      <c r="C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572</v>
      </c>
      <c r="D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581</v>
      </c>
      <c r="E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589</v>
      </c>
      <c r="F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598</v>
      </c>
      <c r="G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608</v>
      </c>
      <c r="H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618</v>
      </c>
      <c r="I12" s="36" t="n">
        <f aca="false"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628</v>
      </c>
    </row>
    <row r="13" customFormat="false" ht="13.5" hidden="false" customHeight="true" outlineLevel="0" collapsed="false">
      <c r="B13" s="38" t="n">
        <f aca="false">$C$3+0.015</f>
        <v>0.150416666666667</v>
      </c>
      <c r="C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547</v>
      </c>
      <c r="D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555</v>
      </c>
      <c r="E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563</v>
      </c>
      <c r="F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571</v>
      </c>
      <c r="G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580</v>
      </c>
      <c r="H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589</v>
      </c>
      <c r="I13" s="36" t="n">
        <f aca="false"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598</v>
      </c>
    </row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>
      <c r="B16" s="4" t="s">
        <v>186</v>
      </c>
    </row>
    <row r="17" customFormat="false" ht="13.5" hidden="false" customHeight="true" outlineLevel="0" collapsed="false">
      <c r="B17" s="41" t="s">
        <v>187</v>
      </c>
      <c r="C17" s="43" t="n">
        <f aca="false">$I$3-3</f>
        <v>9.7</v>
      </c>
      <c r="D17" s="43" t="n">
        <f aca="false">$I$3-2</f>
        <v>10.7</v>
      </c>
      <c r="E17" s="43" t="n">
        <f aca="false">$I$3-1</f>
        <v>11.7</v>
      </c>
      <c r="F17" s="43" t="n">
        <f aca="false">$I$3</f>
        <v>12.7</v>
      </c>
      <c r="G17" s="43" t="n">
        <f aca="false">$I$3+1</f>
        <v>13.7</v>
      </c>
      <c r="H17" s="43" t="n">
        <f aca="false">$I$3+2</f>
        <v>14.7</v>
      </c>
      <c r="I17" s="43" t="n">
        <f aca="false">$I$3+3</f>
        <v>15.7</v>
      </c>
    </row>
    <row r="18" customFormat="false" ht="13.5" hidden="false" customHeight="true" outlineLevel="0" collapsed="false">
      <c r="B18" s="38" t="n">
        <f aca="false">$C$3-0.015</f>
        <v>0.120416666666667</v>
      </c>
      <c r="C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1040</v>
      </c>
      <c r="D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1127</v>
      </c>
      <c r="E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1215</v>
      </c>
      <c r="F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1302</v>
      </c>
      <c r="G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1389</v>
      </c>
      <c r="H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1476</v>
      </c>
      <c r="I18" s="36" t="n">
        <f aca="false"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1563</v>
      </c>
    </row>
    <row r="19" customFormat="false" ht="13.5" hidden="false" customHeight="true" outlineLevel="0" collapsed="false">
      <c r="B19" s="38" t="n">
        <f aca="false">$C$3-0.01</f>
        <v>0.125416666666667</v>
      </c>
      <c r="C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1019</v>
      </c>
      <c r="D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1104</v>
      </c>
      <c r="E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1189</v>
      </c>
      <c r="F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1274</v>
      </c>
      <c r="G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1360</v>
      </c>
      <c r="H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1445</v>
      </c>
      <c r="I19" s="36" t="n">
        <f aca="false"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1530</v>
      </c>
    </row>
    <row r="20" customFormat="false" ht="13.5" hidden="false" customHeight="true" outlineLevel="0" collapsed="false">
      <c r="B20" s="38" t="n">
        <f aca="false">$C$3-0.005</f>
        <v>0.130416666666667</v>
      </c>
      <c r="C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998</v>
      </c>
      <c r="D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1081</v>
      </c>
      <c r="E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1165</v>
      </c>
      <c r="F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1248</v>
      </c>
      <c r="G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1331</v>
      </c>
      <c r="H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1415</v>
      </c>
      <c r="I20" s="36" t="n">
        <f aca="false"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1498</v>
      </c>
    </row>
    <row r="21" customFormat="false" ht="13.5" hidden="false" customHeight="true" outlineLevel="0" collapsed="false">
      <c r="B21" s="38" t="n">
        <f aca="false">$C$3</f>
        <v>0.135416666666667</v>
      </c>
      <c r="C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978</v>
      </c>
      <c r="D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1059</v>
      </c>
      <c r="E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1141</v>
      </c>
      <c r="F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1222</v>
      </c>
      <c r="G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1304</v>
      </c>
      <c r="H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1385</v>
      </c>
      <c r="I21" s="36" t="n">
        <f aca="false"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1467</v>
      </c>
    </row>
    <row r="22" customFormat="false" ht="13.5" hidden="false" customHeight="true" outlineLevel="0" collapsed="false">
      <c r="B22" s="38" t="n">
        <f aca="false">$C$3+0.005</f>
        <v>0.140416666666667</v>
      </c>
      <c r="C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958</v>
      </c>
      <c r="D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1038</v>
      </c>
      <c r="E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1117</v>
      </c>
      <c r="F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1197</v>
      </c>
      <c r="G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1277</v>
      </c>
      <c r="H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1357</v>
      </c>
      <c r="I22" s="36" t="n">
        <f aca="false"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1436</v>
      </c>
    </row>
    <row r="23" customFormat="false" ht="13.5" hidden="false" customHeight="true" outlineLevel="0" collapsed="false">
      <c r="B23" s="38" t="n">
        <f aca="false">$C$3+0.01</f>
        <v>0.145416666666667</v>
      </c>
      <c r="C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939</v>
      </c>
      <c r="D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1017</v>
      </c>
      <c r="E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1095</v>
      </c>
      <c r="F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1173</v>
      </c>
      <c r="G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1251</v>
      </c>
      <c r="H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1329</v>
      </c>
      <c r="I23" s="36" t="n">
        <f aca="false"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1407</v>
      </c>
    </row>
    <row r="24" customFormat="false" ht="13.5" hidden="false" customHeight="true" outlineLevel="0" collapsed="false">
      <c r="B24" s="38" t="n">
        <f aca="false">$C$3+0.015</f>
        <v>0.150416666666667</v>
      </c>
      <c r="C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920</v>
      </c>
      <c r="D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996</v>
      </c>
      <c r="E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1072</v>
      </c>
      <c r="F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1149</v>
      </c>
      <c r="G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1225</v>
      </c>
      <c r="H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1301</v>
      </c>
      <c r="I24" s="36" t="n">
        <f aca="false"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1378</v>
      </c>
    </row>
    <row r="25" customFormat="false" ht="13.5" hidden="false" customHeight="true" outlineLevel="0" collapsed="false"/>
    <row r="26" customFormat="false" ht="13.5" hidden="false" customHeight="true" outlineLevel="0" collapsed="false">
      <c r="B26" s="2" t="s">
        <v>188</v>
      </c>
      <c r="C26" s="2"/>
      <c r="D26" s="2"/>
      <c r="E26" s="2"/>
      <c r="F26" s="2"/>
      <c r="G26" s="2"/>
      <c r="H26" s="2"/>
      <c r="I26" s="2"/>
    </row>
  </sheetData>
  <mergeCells count="1">
    <mergeCell ref="B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2026-06-04T13:39:40Z</dcterms:created>
  <dc:creator>openpyxl</dc:creator>
  <dc:description/>
  <dc:language>en-US</dc:language>
  <cp:lastModifiedBy>良亮 佐藤</cp:lastModifiedBy>
  <dcterms:modified xsi:type="dcterms:W3CDTF">2026-06-05T14:54:43Z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