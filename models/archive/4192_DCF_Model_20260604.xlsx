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8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3" fontId="5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3" fontId="5" fillId="0" borderId="2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スパイダープラス株式会社 (4192)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スパイダープラス株式会社</t>
        </is>
      </c>
    </row>
    <row r="7">
      <c r="B7" s="4" t="inlineStr">
        <is>
          <t>Ticker</t>
        </is>
      </c>
      <c r="C7" t="inlineStr">
        <is>
          <t>4192 (TSE)</t>
        </is>
      </c>
    </row>
    <row r="8">
      <c r="B8" s="4" t="inlineStr">
        <is>
          <t>Sector</t>
        </is>
      </c>
      <c r="C8" t="inlineStr">
        <is>
          <t>N/A</t>
        </is>
      </c>
    </row>
    <row r="9">
      <c r="B9" s="4" t="inlineStr">
        <is>
          <t>Current Price</t>
        </is>
      </c>
      <c r="C9" s="5" t="n">
        <v>293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EV/Sales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Construction-vertical SaaS leader: SPIDER+ embedded in major general contractors, 1,800+ companies, monthly churn 0.9% (high switching cost / durable ARR)</t>
        </is>
      </c>
    </row>
    <row r="25">
      <c r="B25" t="inlineStr">
        <is>
          <t>2. Triple growth engine: contract logos +15%, ARPU +16.7%, contract IDs +10% simultaneously =&gt; structural (not cost-cut) path to profitability</t>
        </is>
      </c>
    </row>
    <row r="26">
      <c r="B26" t="inlineStr">
        <is>
          <t>3. Operating-leverage inflection: reached operating breakeven in Q1 FY2026 (+5 mn) after FY2025 (-11 mn); construction 2024-problem &amp; labor shortage are structural tailwinds for digitization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Founder owns 52.9% (Kenji Ito) =&gt; thin float, liquidity/exit risk and overhang if founder sells; weak minority governance</t>
        </is>
      </c>
    </row>
    <row r="30">
      <c r="B30" t="inlineStr">
        <is>
          <t>2. ANDPAD (unlisted, well-funded construction SaaS leader) competition could cap pricing/share</t>
        </is>
      </c>
    </row>
    <row r="31">
      <c r="B31" t="inlineStr">
        <is>
          <t>3. Construction capex cyclicality and a few large-account concentration could break the smooth ARR ramp; FY2026 plan (+20.5%, OP 50mn) still early in ramp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</cols>
  <sheetData>
    <row r="2">
      <c r="B2" s="2" t="inlineStr">
        <is>
          <t>スパイダープラス株式会社 - Historical Financials (JPY mn)</t>
        </is>
      </c>
    </row>
    <row r="4">
      <c r="C4" s="10" t="inlineStr">
        <is>
          <t>FY2024</t>
        </is>
      </c>
      <c r="D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4072</v>
      </c>
      <c r="D6" s="5" t="n">
        <v>4895</v>
      </c>
    </row>
    <row r="7">
      <c r="B7" s="4" t="inlineStr">
        <is>
          <t>COGS</t>
        </is>
      </c>
      <c r="C7" s="5" t="n">
        <v>1303</v>
      </c>
      <c r="D7" s="5" t="n">
        <v>1276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</row>
    <row r="10">
      <c r="B10" s="4" t="inlineStr">
        <is>
          <t>SGA</t>
        </is>
      </c>
      <c r="C10" s="5" t="n">
        <v>3288</v>
      </c>
      <c r="D10" s="5" t="n">
        <v>3630</v>
      </c>
    </row>
    <row r="11">
      <c r="B11" s="4" t="inlineStr">
        <is>
          <t>Operating Income</t>
        </is>
      </c>
      <c r="C11" s="5" t="n">
        <v>-519</v>
      </c>
      <c r="D11" s="5" t="n">
        <v>-11</v>
      </c>
    </row>
    <row r="12">
      <c r="B12" s="4" t="inlineStr">
        <is>
          <t>Net Income</t>
        </is>
      </c>
      <c r="C12" s="5" t="n">
        <v>-772</v>
      </c>
      <c r="D12" s="5" t="n">
        <v>-17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130.256</v>
      </c>
      <c r="D19" s="5" t="n">
        <v>-493.475</v>
      </c>
    </row>
    <row r="20">
      <c r="B20" s="4" t="inlineStr">
        <is>
          <t>Capex</t>
        </is>
      </c>
      <c r="C20" s="5" t="n">
        <v>170</v>
      </c>
      <c r="D20" s="5" t="n">
        <v>186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464.976</v>
      </c>
      <c r="D26" s="5" t="n">
        <v>4191.195</v>
      </c>
    </row>
    <row r="27">
      <c r="B27" s="4" t="inlineStr">
        <is>
          <t>Short-term Debt</t>
        </is>
      </c>
      <c r="C27" s="5" t="n">
        <v>266.2</v>
      </c>
      <c r="D27" s="5" t="n">
        <v>178.1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8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スパイダープラス株式会社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0.038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0.023</v>
      </c>
    </row>
    <row r="8">
      <c r="B8" s="4" t="inlineStr">
        <is>
          <t>Beta</t>
        </is>
      </c>
      <c r="C8" s="12" t="n">
        <v>1.45</v>
      </c>
    </row>
    <row r="9">
      <c r="B9" s="4" t="inlineStr">
        <is>
          <t>Equity Risk Premium</t>
        </is>
      </c>
      <c r="C9" s="7" t="n">
        <v>0.06</v>
      </c>
    </row>
    <row r="10">
      <c r="B10" s="4" t="inlineStr">
        <is>
          <t>Size Premium</t>
        </is>
      </c>
      <c r="C10" s="7" t="n">
        <v>0.04</v>
      </c>
    </row>
    <row r="11">
      <c r="B11" s="4" t="inlineStr">
        <is>
          <t>After-tax Cost of Debt</t>
        </is>
      </c>
      <c r="C11" s="7" t="n">
        <v>0.01</v>
      </c>
    </row>
    <row r="12">
      <c r="B12" s="4" t="inlineStr">
        <is>
          <t>D/E Ratio</t>
        </is>
      </c>
      <c r="C12" s="13" t="n">
        <v>0.03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15</v>
      </c>
    </row>
    <row r="15">
      <c r="B15" s="4" t="inlineStr">
        <is>
          <t>Fully Diluted Shares</t>
        </is>
      </c>
      <c r="C15" s="15" t="n">
        <v>35507400</v>
      </c>
    </row>
    <row r="16">
      <c r="B16" s="4" t="inlineStr">
        <is>
          <t>Net Debt (JPY mn)</t>
        </is>
      </c>
      <c r="C16" s="5" t="n">
        <v>-1559</v>
      </c>
    </row>
    <row r="17">
      <c r="B17" s="4" t="inlineStr">
        <is>
          <t>Base Year Revenue (JPY mn)</t>
        </is>
      </c>
      <c r="C17" s="5" t="n">
        <v>4895</v>
      </c>
    </row>
    <row r="18">
      <c r="B18" s="4" t="inlineStr">
        <is>
          <t>D&amp;A / Revenue</t>
        </is>
      </c>
      <c r="C18" s="7" t="n">
        <v>0.033</v>
      </c>
    </row>
    <row r="19">
      <c r="B19" s="4" t="inlineStr">
        <is>
          <t>Stub Fraction (yr remaining)</t>
        </is>
      </c>
      <c r="C19" s="12" t="n">
        <v>1</v>
      </c>
    </row>
    <row r="20">
      <c r="B20" s="4" t="inlineStr">
        <is>
          <t>LTM Revenue (JPY mn)</t>
        </is>
      </c>
      <c r="C20" s="5" t="n">
        <v>4895.537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MATCH(C27,B69:B73,0)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CHOOSE($D$27,C69,C70,C71,C72,C73)</f>
        <v/>
      </c>
      <c r="D30" s="18">
        <f>CHOOSE($D$27,D69,D70,D71,D72,D73)</f>
        <v/>
      </c>
      <c r="E30" s="18">
        <f>CHOOSE($D$27,E69,E70,E71,E72,E73)</f>
        <v/>
      </c>
      <c r="F30" s="18">
        <f>CHOOSE($D$27,F69,F70,F71,F72,F73)</f>
        <v/>
      </c>
      <c r="G30" s="18">
        <f>CHOOSE($D$27,G69,G70,G71,G72,G73)</f>
        <v/>
      </c>
    </row>
    <row r="31">
      <c r="B31" s="4" t="inlineStr">
        <is>
          <t>COGS % of Revenue</t>
        </is>
      </c>
      <c r="C31" s="18">
        <f>CHOOSE($D$27,C76,C77,C78,C79,C80)</f>
        <v/>
      </c>
      <c r="D31" s="18">
        <f>CHOOSE($D$27,D76,D77,D78,D79,D80)</f>
        <v/>
      </c>
      <c r="E31" s="18">
        <f>CHOOSE($D$27,E76,E77,E78,E79,E80)</f>
        <v/>
      </c>
      <c r="F31" s="18">
        <f>CHOOSE($D$27,F76,F77,F78,F79,F80)</f>
        <v/>
      </c>
      <c r="G31" s="18">
        <f>CHOOSE($D$27,G76,G77,G78,G79,G80)</f>
        <v/>
      </c>
    </row>
    <row r="32">
      <c r="B32" s="4" t="inlineStr">
        <is>
          <t>SGA % of Revenue</t>
        </is>
      </c>
      <c r="C32" s="18">
        <f>CHOOSE($D$27,C83,C84,C85,C86,C87)</f>
        <v/>
      </c>
      <c r="D32" s="18">
        <f>CHOOSE($D$27,D83,D84,D85,D86,D87)</f>
        <v/>
      </c>
      <c r="E32" s="18">
        <f>CHOOSE($D$27,E83,E84,E85,E86,E87)</f>
        <v/>
      </c>
      <c r="F32" s="18">
        <f>CHOOSE($D$27,F83,F84,F85,F86,F87)</f>
        <v/>
      </c>
      <c r="G32" s="18">
        <f>CHOOSE($D$27,G83,G84,G85,G86,G87)</f>
        <v/>
      </c>
    </row>
    <row r="33">
      <c r="B33" s="4" t="inlineStr">
        <is>
          <t>Revenue</t>
        </is>
      </c>
      <c r="C33" s="5">
        <f>C17*(1+C30)</f>
        <v/>
      </c>
      <c r="D33" s="5">
        <f>C33*(1+D30)</f>
        <v/>
      </c>
      <c r="E33" s="5">
        <f>D33*(1+E30)</f>
        <v/>
      </c>
      <c r="F33" s="5">
        <f>E33*(1+F30)</f>
        <v/>
      </c>
      <c r="G33" s="5">
        <f>F33*(1+G30)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(C35-C37)/C33</f>
        <v/>
      </c>
      <c r="D38" s="7">
        <f>(D35-D37)/D33</f>
        <v/>
      </c>
      <c r="E38" s="7">
        <f>(E35-E37)/E33</f>
        <v/>
      </c>
      <c r="F38" s="7">
        <f>(F35-F37)/F33</f>
        <v/>
      </c>
      <c r="G38" s="7">
        <f>(G35-G37)/G33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22" t="inlineStr">
        <is>
          <t>Scenario Input Matrix</t>
        </is>
      </c>
      <c r="C66" s="23" t="n"/>
      <c r="D66" s="23" t="n"/>
      <c r="E66" s="23" t="n"/>
      <c r="F66" s="23" t="n"/>
      <c r="G66" s="23" t="n"/>
    </row>
    <row r="67">
      <c r="C67" s="25" t="inlineStr">
        <is>
          <t>Year 1</t>
        </is>
      </c>
      <c r="D67" s="25" t="inlineStr">
        <is>
          <t>Year 2</t>
        </is>
      </c>
      <c r="E67" s="25" t="inlineStr">
        <is>
          <t>Year 3</t>
        </is>
      </c>
      <c r="F67" s="25" t="inlineStr">
        <is>
          <t>Year 4</t>
        </is>
      </c>
      <c r="G67" s="25" t="inlineStr">
        <is>
          <t>Year 5</t>
        </is>
      </c>
    </row>
    <row r="68">
      <c r="B68" s="3" t="inlineStr">
        <is>
          <t>Revenue Growth (YoY)</t>
        </is>
      </c>
    </row>
    <row r="69">
      <c r="B69" s="4" t="inlineStr">
        <is>
          <t>Base</t>
        </is>
      </c>
      <c r="C69" s="26" t="n">
        <v>0.2</v>
      </c>
      <c r="D69" s="26" t="n">
        <v>0.19</v>
      </c>
      <c r="E69" s="26" t="n">
        <v>0.17</v>
      </c>
      <c r="F69" s="26" t="n">
        <v>0.14</v>
      </c>
      <c r="G69" s="26" t="n">
        <v>0.11</v>
      </c>
    </row>
    <row r="70">
      <c r="B70" s="4" t="inlineStr">
        <is>
          <t>Upside</t>
        </is>
      </c>
      <c r="C70" s="26" t="n">
        <v>0.25</v>
      </c>
      <c r="D70" s="26" t="n">
        <v>0.24</v>
      </c>
      <c r="E70" s="26" t="n">
        <v>0.22</v>
      </c>
      <c r="F70" s="26" t="n">
        <v>0.18</v>
      </c>
      <c r="G70" s="26" t="n">
        <v>0.15</v>
      </c>
    </row>
    <row r="71">
      <c r="B71" s="4" t="inlineStr">
        <is>
          <t>Management</t>
        </is>
      </c>
      <c r="C71" s="26" t="n">
        <v>0.205</v>
      </c>
      <c r="D71" s="26" t="n">
        <v>0.2</v>
      </c>
      <c r="E71" s="26" t="n">
        <v>0.2</v>
      </c>
      <c r="F71" s="26" t="n">
        <v>0.2</v>
      </c>
      <c r="G71" s="26" t="n">
        <v>0.2</v>
      </c>
    </row>
    <row r="72">
      <c r="B72" s="4" t="inlineStr">
        <is>
          <t>Downside 1</t>
        </is>
      </c>
      <c r="C72" s="26" t="n">
        <v>0.12</v>
      </c>
      <c r="D72" s="26" t="n">
        <v>0.09</v>
      </c>
      <c r="E72" s="26" t="n">
        <v>0.07000000000000001</v>
      </c>
      <c r="F72" s="26" t="n">
        <v>0.05</v>
      </c>
      <c r="G72" s="26" t="n">
        <v>0.04</v>
      </c>
    </row>
    <row r="73">
      <c r="B73" s="4" t="inlineStr">
        <is>
          <t>Downside 2</t>
        </is>
      </c>
      <c r="C73" s="26" t="n">
        <v>0.08</v>
      </c>
      <c r="D73" s="26" t="n">
        <v>0.05</v>
      </c>
      <c r="E73" s="26" t="n">
        <v>0.03</v>
      </c>
      <c r="F73" s="26" t="n">
        <v>0.02</v>
      </c>
      <c r="G73" s="26" t="n">
        <v>0</v>
      </c>
    </row>
    <row r="75">
      <c r="B75" s="3" t="inlineStr">
        <is>
          <t>COGS % of Revenue</t>
        </is>
      </c>
    </row>
    <row r="76">
      <c r="B76" s="4" t="inlineStr">
        <is>
          <t>Base</t>
        </is>
      </c>
      <c r="C76" s="26" t="n">
        <v>0.26</v>
      </c>
      <c r="D76" s="26" t="n">
        <v>0.26</v>
      </c>
      <c r="E76" s="26" t="n">
        <v>0.26</v>
      </c>
      <c r="F76" s="26" t="n">
        <v>0.255</v>
      </c>
      <c r="G76" s="26" t="n">
        <v>0.255</v>
      </c>
    </row>
    <row r="77">
      <c r="B77" s="4" t="inlineStr">
        <is>
          <t>Upside</t>
        </is>
      </c>
      <c r="C77" s="26" t="n">
        <v>0.26</v>
      </c>
      <c r="D77" s="26" t="n">
        <v>0.255</v>
      </c>
      <c r="E77" s="26" t="n">
        <v>0.25</v>
      </c>
      <c r="F77" s="26" t="n">
        <v>0.245</v>
      </c>
      <c r="G77" s="26" t="n">
        <v>0.24</v>
      </c>
    </row>
    <row r="78">
      <c r="B78" s="4" t="inlineStr">
        <is>
          <t>Management</t>
        </is>
      </c>
      <c r="C78" s="26" t="n">
        <v>0.26</v>
      </c>
      <c r="D78" s="26" t="n">
        <v>0.26</v>
      </c>
      <c r="E78" s="26" t="n">
        <v>0.26</v>
      </c>
      <c r="F78" s="26" t="n">
        <v>0.26</v>
      </c>
      <c r="G78" s="26" t="n">
        <v>0.26</v>
      </c>
    </row>
    <row r="79">
      <c r="B79" s="4" t="inlineStr">
        <is>
          <t>Downside 1</t>
        </is>
      </c>
      <c r="C79" s="26" t="n">
        <v>0.27</v>
      </c>
      <c r="D79" s="26" t="n">
        <v>0.27</v>
      </c>
      <c r="E79" s="26" t="n">
        <v>0.275</v>
      </c>
      <c r="F79" s="26" t="n">
        <v>0.28</v>
      </c>
      <c r="G79" s="26" t="n">
        <v>0.28</v>
      </c>
    </row>
    <row r="80">
      <c r="B80" s="4" t="inlineStr">
        <is>
          <t>Downside 2</t>
        </is>
      </c>
      <c r="C80" s="26" t="n">
        <v>0.28</v>
      </c>
      <c r="D80" s="26" t="n">
        <v>0.28</v>
      </c>
      <c r="E80" s="26" t="n">
        <v>0.28</v>
      </c>
      <c r="F80" s="26" t="n">
        <v>0.285</v>
      </c>
      <c r="G80" s="26" t="n">
        <v>0.29</v>
      </c>
    </row>
    <row r="82">
      <c r="B82" s="3" t="inlineStr">
        <is>
          <t>SGA % of Revenue</t>
        </is>
      </c>
    </row>
    <row r="83">
      <c r="B83" s="4" t="inlineStr">
        <is>
          <t>Base</t>
        </is>
      </c>
      <c r="C83" s="26" t="n">
        <v>0.734</v>
      </c>
      <c r="D83" s="26" t="n">
        <v>0.708</v>
      </c>
      <c r="E83" s="26" t="n">
        <v>0.6830000000000001</v>
      </c>
      <c r="F83" s="26" t="n">
        <v>0.658</v>
      </c>
      <c r="G83" s="26" t="n">
        <v>0.638</v>
      </c>
    </row>
    <row r="84">
      <c r="B84" s="4" t="inlineStr">
        <is>
          <t>Upside</t>
        </is>
      </c>
      <c r="C84" s="26" t="n">
        <v>0.728</v>
      </c>
      <c r="D84" s="26" t="n">
        <v>0.6879999999999999</v>
      </c>
      <c r="E84" s="26" t="n">
        <v>0.648</v>
      </c>
      <c r="F84" s="26" t="n">
        <v>0.608</v>
      </c>
      <c r="G84" s="26" t="n">
        <v>0.5679999999999999</v>
      </c>
    </row>
    <row r="85">
      <c r="B85" s="4" t="inlineStr">
        <is>
          <t>Management</t>
        </is>
      </c>
      <c r="C85" s="26" t="n">
        <v>0.732</v>
      </c>
      <c r="D85" s="26" t="n">
        <v>0.7</v>
      </c>
      <c r="E85" s="26" t="n">
        <v>0.672</v>
      </c>
      <c r="F85" s="26" t="n">
        <v>0.645</v>
      </c>
      <c r="G85" s="26" t="n">
        <v>0.62</v>
      </c>
    </row>
    <row r="86">
      <c r="B86" s="4" t="inlineStr">
        <is>
          <t>Downside 1</t>
        </is>
      </c>
      <c r="C86" s="26" t="n">
        <v>0.745</v>
      </c>
      <c r="D86" s="26" t="n">
        <v>0.738</v>
      </c>
      <c r="E86" s="26" t="n">
        <v>0.73</v>
      </c>
      <c r="F86" s="26" t="n">
        <v>0.725</v>
      </c>
      <c r="G86" s="26" t="n">
        <v>0.72</v>
      </c>
    </row>
    <row r="87">
      <c r="B87" s="4" t="inlineStr">
        <is>
          <t>Downside 2</t>
        </is>
      </c>
      <c r="C87" s="26" t="n">
        <v>0.755</v>
      </c>
      <c r="D87" s="26" t="n">
        <v>0.758</v>
      </c>
      <c r="E87" s="26" t="n">
        <v>0.76</v>
      </c>
      <c r="F87" s="26" t="n">
        <v>0.765</v>
      </c>
      <c r="G87" s="26" t="n">
        <v>0.77</v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スパイダープラス株式会社</t>
        </is>
      </c>
    </row>
    <row r="4">
      <c r="B4" s="8" t="inlineStr">
        <is>
          <t>Working Capital Drivers (Days)</t>
        </is>
      </c>
      <c r="C4" s="27" t="inlineStr">
        <is>
          <t>Base Year</t>
        </is>
      </c>
      <c r="D4" s="27" t="inlineStr">
        <is>
          <t>FY2026(E)</t>
        </is>
      </c>
      <c r="E4" s="27" t="inlineStr">
        <is>
          <t>FY2027(E)</t>
        </is>
      </c>
      <c r="F4" s="27" t="inlineStr">
        <is>
          <t>FY2028(E)</t>
        </is>
      </c>
      <c r="G4" s="27" t="inlineStr">
        <is>
          <t>FY2029(E)</t>
        </is>
      </c>
      <c r="H4" s="27" t="inlineStr">
        <is>
          <t>FY2030(E)</t>
        </is>
      </c>
    </row>
    <row r="5">
      <c r="B5" s="28" t="inlineStr">
        <is>
          <t>DSO (Days Sales Outstanding)</t>
        </is>
      </c>
      <c r="C5" s="29">
        <f>C12/C9*365</f>
        <v/>
      </c>
      <c r="D5" s="29">
        <f>CHOOSE('DCF Model'!$D$27,D25,D26,D27,D28,D29)</f>
        <v/>
      </c>
      <c r="E5" s="29">
        <f>CHOOSE('DCF Model'!$D$27,E25,E26,E27,E28,E29)</f>
        <v/>
      </c>
      <c r="F5" s="29">
        <f>CHOOSE('DCF Model'!$D$27,F25,F26,F27,F28,F29)</f>
        <v/>
      </c>
      <c r="G5" s="29">
        <f>CHOOSE('DCF Model'!$D$27,G25,G26,G27,G28,G29)</f>
        <v/>
      </c>
      <c r="H5" s="29">
        <f>CHOOSE('DCF Model'!$D$27,H25,H26,H27,H28,H29)</f>
        <v/>
      </c>
    </row>
    <row r="6">
      <c r="B6" s="28" t="inlineStr">
        <is>
          <t>DIH (Days Inventory Held)</t>
        </is>
      </c>
      <c r="C6" s="29">
        <f>C13/C10*365</f>
        <v/>
      </c>
      <c r="D6" s="29">
        <f>CHOOSE('DCF Model'!$D$27,D32,D33,D34,D35,D36)</f>
        <v/>
      </c>
      <c r="E6" s="29">
        <f>CHOOSE('DCF Model'!$D$27,E32,E33,E34,E35,E36)</f>
        <v/>
      </c>
      <c r="F6" s="29">
        <f>CHOOSE('DCF Model'!$D$27,F32,F33,F34,F35,F36)</f>
        <v/>
      </c>
      <c r="G6" s="29">
        <f>CHOOSE('DCF Model'!$D$27,G32,G33,G34,G35,G36)</f>
        <v/>
      </c>
      <c r="H6" s="29">
        <f>CHOOSE('DCF Model'!$D$27,H32,H33,H34,H35,H36)</f>
        <v/>
      </c>
    </row>
    <row r="7">
      <c r="B7" s="28" t="inlineStr">
        <is>
          <t>DPO (Days Payable Outstanding)</t>
        </is>
      </c>
      <c r="C7" s="29">
        <f>C15/C10*365</f>
        <v/>
      </c>
      <c r="D7" s="29">
        <f>CHOOSE('DCF Model'!$D$27,D39,D40,D41,D42,D43)</f>
        <v/>
      </c>
      <c r="E7" s="29">
        <f>CHOOSE('DCF Model'!$D$27,E39,E40,E41,E42,E43)</f>
        <v/>
      </c>
      <c r="F7" s="29">
        <f>CHOOSE('DCF Model'!$D$27,F39,F40,F41,F42,F43)</f>
        <v/>
      </c>
      <c r="G7" s="29">
        <f>CHOOSE('DCF Model'!$D$27,G39,G40,G41,G42,G43)</f>
        <v/>
      </c>
      <c r="H7" s="29">
        <f>CHOOSE('DCF Model'!$D$27,H39,H40,H41,H42,H43)</f>
        <v/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8" t="inlineStr">
        <is>
          <t>Revenue</t>
        </is>
      </c>
      <c r="C9" s="30" t="n">
        <v>4895</v>
      </c>
      <c r="D9" s="30">
        <f>'DCF Model'!C33</f>
        <v/>
      </c>
      <c r="E9" s="30">
        <f>'DCF Model'!D33</f>
        <v/>
      </c>
      <c r="F9" s="30">
        <f>'DCF Model'!E33</f>
        <v/>
      </c>
      <c r="G9" s="30">
        <f>'DCF Model'!F33</f>
        <v/>
      </c>
      <c r="H9" s="30">
        <f>'DCF Model'!G33</f>
        <v/>
      </c>
    </row>
    <row r="10">
      <c r="B10" s="28" t="inlineStr">
        <is>
          <t>COGS</t>
        </is>
      </c>
      <c r="C10" s="30" t="n">
        <v>1276</v>
      </c>
      <c r="D10" s="30">
        <f>'DCF Model'!C34</f>
        <v/>
      </c>
      <c r="E10" s="30">
        <f>'DCF Model'!D34</f>
        <v/>
      </c>
      <c r="F10" s="30">
        <f>'DCF Model'!E34</f>
        <v/>
      </c>
      <c r="G10" s="30">
        <f>'DCF Model'!F34</f>
        <v/>
      </c>
      <c r="H10" s="30">
        <f>'DCF Model'!G34</f>
        <v/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Accounts Receivable</t>
        </is>
      </c>
      <c r="C12" s="30" t="n">
        <v>620</v>
      </c>
      <c r="D12" s="30">
        <f>D9*D5/365</f>
        <v/>
      </c>
      <c r="E12" s="30">
        <f>E9*E5/365</f>
        <v/>
      </c>
      <c r="F12" s="30">
        <f>F9*F5/365</f>
        <v/>
      </c>
      <c r="G12" s="30">
        <f>G9*G5/365</f>
        <v/>
      </c>
      <c r="H12" s="30">
        <f>H9*H5/365</f>
        <v/>
      </c>
    </row>
    <row r="13">
      <c r="B13" s="28" t="inlineStr">
        <is>
          <t>Inventory</t>
        </is>
      </c>
      <c r="C13" s="30" t="n">
        <v>26</v>
      </c>
      <c r="D13" s="30">
        <f>D10*D6/365</f>
        <v/>
      </c>
      <c r="E13" s="30">
        <f>E10*E6/365</f>
        <v/>
      </c>
      <c r="F13" s="30">
        <f>F10*F6/365</f>
        <v/>
      </c>
      <c r="G13" s="30">
        <f>G10*G6/365</f>
        <v/>
      </c>
      <c r="H13" s="30">
        <f>H10*H6/365</f>
        <v/>
      </c>
    </row>
    <row r="14">
      <c r="B14" s="28" t="inlineStr">
        <is>
          <t>Current Assets (AR + Inv)</t>
        </is>
      </c>
      <c r="C14" s="30">
        <f>C12+C13</f>
        <v/>
      </c>
      <c r="D14" s="30">
        <f>D12+D13</f>
        <v/>
      </c>
      <c r="E14" s="30">
        <f>E12+E13</f>
        <v/>
      </c>
      <c r="F14" s="30">
        <f>F12+F13</f>
        <v/>
      </c>
      <c r="G14" s="30">
        <f>G12+G13</f>
        <v/>
      </c>
      <c r="H14" s="30">
        <f>H12+H13</f>
        <v/>
      </c>
    </row>
    <row r="15">
      <c r="B15" s="28" t="inlineStr">
        <is>
          <t>Accounts Payable</t>
        </is>
      </c>
      <c r="C15" s="30" t="n">
        <v>211</v>
      </c>
      <c r="D15" s="30">
        <f>D10*D7/365</f>
        <v/>
      </c>
      <c r="E15" s="30">
        <f>E10*E7/365</f>
        <v/>
      </c>
      <c r="F15" s="30">
        <f>F10*F7/365</f>
        <v/>
      </c>
      <c r="G15" s="30">
        <f>G10*G7/365</f>
        <v/>
      </c>
      <c r="H15" s="30">
        <f>H10*H7/365</f>
        <v/>
      </c>
    </row>
    <row r="16">
      <c r="B16" s="28" t="inlineStr">
        <is>
          <t>Current Liabilities (AP)</t>
        </is>
      </c>
      <c r="C16" s="30">
        <f>C15</f>
        <v/>
      </c>
      <c r="D16" s="30">
        <f>D15</f>
        <v/>
      </c>
      <c r="E16" s="30">
        <f>E15</f>
        <v/>
      </c>
      <c r="F16" s="30">
        <f>F15</f>
        <v/>
      </c>
      <c r="G16" s="30">
        <f>G15</f>
        <v/>
      </c>
      <c r="H16" s="30">
        <f>H15</f>
        <v/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8" t="inlineStr">
        <is>
          <t>Net Working Capital</t>
        </is>
      </c>
      <c r="C18" s="20">
        <f>C14-C16</f>
        <v/>
      </c>
      <c r="D18" s="20">
        <f>D14-D16</f>
        <v/>
      </c>
      <c r="E18" s="20">
        <f>E14-E16</f>
        <v/>
      </c>
      <c r="F18" s="20">
        <f>F14-F16</f>
        <v/>
      </c>
      <c r="G18" s="20">
        <f>G14-G16</f>
        <v/>
      </c>
      <c r="H18" s="20">
        <f>H14-H16</f>
        <v/>
      </c>
    </row>
    <row r="19">
      <c r="B19" s="28" t="inlineStr">
        <is>
          <t>Change in NWC</t>
        </is>
      </c>
      <c r="C19" s="31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22" t="inlineStr">
        <is>
          <t>Scenario Input Matrix (Working Capital Days)</t>
        </is>
      </c>
      <c r="C22" s="23" t="n"/>
      <c r="D22" s="23" t="n"/>
      <c r="E22" s="23" t="n"/>
      <c r="F22" s="23" t="n"/>
      <c r="G22" s="23" t="n"/>
      <c r="H22" s="23" t="n"/>
    </row>
    <row r="23">
      <c r="D23" s="25" t="inlineStr">
        <is>
          <t>FY2026(E)</t>
        </is>
      </c>
      <c r="E23" s="25" t="inlineStr">
        <is>
          <t>FY2027(E)</t>
        </is>
      </c>
      <c r="F23" s="25" t="inlineStr">
        <is>
          <t>FY2028(E)</t>
        </is>
      </c>
      <c r="G23" s="25" t="inlineStr">
        <is>
          <t>FY2029(E)</t>
        </is>
      </c>
      <c r="H23" s="25" t="inlineStr">
        <is>
          <t>FY2030(E)</t>
        </is>
      </c>
    </row>
    <row r="24">
      <c r="B24" s="3" t="inlineStr">
        <is>
          <t>DSO (Days)</t>
        </is>
      </c>
    </row>
    <row r="25">
      <c r="B25" s="4" t="inlineStr">
        <is>
          <t>Base</t>
        </is>
      </c>
      <c r="D25" s="32" t="n">
        <v>46</v>
      </c>
      <c r="E25" s="32" t="n">
        <v>46</v>
      </c>
      <c r="F25" s="32" t="n">
        <v>46</v>
      </c>
      <c r="G25" s="32" t="n">
        <v>46</v>
      </c>
      <c r="H25" s="32" t="n">
        <v>46</v>
      </c>
    </row>
    <row r="26">
      <c r="B26" s="4" t="inlineStr">
        <is>
          <t>Upside</t>
        </is>
      </c>
      <c r="D26" s="32" t="n">
        <v>44</v>
      </c>
      <c r="E26" s="32" t="n">
        <v>44</v>
      </c>
      <c r="F26" s="32" t="n">
        <v>44</v>
      </c>
      <c r="G26" s="32" t="n">
        <v>44</v>
      </c>
      <c r="H26" s="32" t="n">
        <v>44</v>
      </c>
    </row>
    <row r="27">
      <c r="B27" s="4" t="inlineStr">
        <is>
          <t>Management</t>
        </is>
      </c>
      <c r="D27" s="32" t="n">
        <v>46</v>
      </c>
      <c r="E27" s="32" t="n">
        <v>46</v>
      </c>
      <c r="F27" s="32" t="n">
        <v>46</v>
      </c>
      <c r="G27" s="32" t="n">
        <v>46</v>
      </c>
      <c r="H27" s="32" t="n">
        <v>46</v>
      </c>
    </row>
    <row r="28">
      <c r="B28" s="4" t="inlineStr">
        <is>
          <t>Downside 1</t>
        </is>
      </c>
      <c r="D28" s="32" t="n">
        <v>48</v>
      </c>
      <c r="E28" s="32" t="n">
        <v>48</v>
      </c>
      <c r="F28" s="32" t="n">
        <v>48</v>
      </c>
      <c r="G28" s="32" t="n">
        <v>48</v>
      </c>
      <c r="H28" s="32" t="n">
        <v>48</v>
      </c>
    </row>
    <row r="29">
      <c r="B29" s="4" t="inlineStr">
        <is>
          <t>Downside 2</t>
        </is>
      </c>
      <c r="D29" s="32" t="n">
        <v>50</v>
      </c>
      <c r="E29" s="32" t="n">
        <v>50</v>
      </c>
      <c r="F29" s="32" t="n">
        <v>50</v>
      </c>
      <c r="G29" s="32" t="n">
        <v>50</v>
      </c>
      <c r="H29" s="32" t="n">
        <v>50</v>
      </c>
    </row>
    <row r="31">
      <c r="B31" s="3" t="inlineStr">
        <is>
          <t>DIH (Days)</t>
        </is>
      </c>
    </row>
    <row r="32">
      <c r="B32" s="4" t="inlineStr">
        <is>
          <t>Base</t>
        </is>
      </c>
      <c r="D32" s="32" t="n">
        <v>7</v>
      </c>
      <c r="E32" s="32" t="n">
        <v>7</v>
      </c>
      <c r="F32" s="32" t="n">
        <v>7</v>
      </c>
      <c r="G32" s="32" t="n">
        <v>7</v>
      </c>
      <c r="H32" s="32" t="n">
        <v>7</v>
      </c>
    </row>
    <row r="33">
      <c r="B33" s="4" t="inlineStr">
        <is>
          <t>Upside</t>
        </is>
      </c>
      <c r="D33" s="32" t="n">
        <v>7</v>
      </c>
      <c r="E33" s="32" t="n">
        <v>7</v>
      </c>
      <c r="F33" s="32" t="n">
        <v>7</v>
      </c>
      <c r="G33" s="32" t="n">
        <v>7</v>
      </c>
      <c r="H33" s="32" t="n">
        <v>7</v>
      </c>
    </row>
    <row r="34">
      <c r="B34" s="4" t="inlineStr">
        <is>
          <t>Management</t>
        </is>
      </c>
      <c r="D34" s="32" t="n">
        <v>7</v>
      </c>
      <c r="E34" s="32" t="n">
        <v>7</v>
      </c>
      <c r="F34" s="32" t="n">
        <v>7</v>
      </c>
      <c r="G34" s="32" t="n">
        <v>7</v>
      </c>
      <c r="H34" s="32" t="n">
        <v>7</v>
      </c>
    </row>
    <row r="35">
      <c r="B35" s="4" t="inlineStr">
        <is>
          <t>Downside 1</t>
        </is>
      </c>
      <c r="D35" s="32" t="n">
        <v>7</v>
      </c>
      <c r="E35" s="32" t="n">
        <v>7</v>
      </c>
      <c r="F35" s="32" t="n">
        <v>7</v>
      </c>
      <c r="G35" s="32" t="n">
        <v>7</v>
      </c>
      <c r="H35" s="32" t="n">
        <v>7</v>
      </c>
    </row>
    <row r="36">
      <c r="B36" s="4" t="inlineStr">
        <is>
          <t>Downside 2</t>
        </is>
      </c>
      <c r="D36" s="32" t="n">
        <v>7</v>
      </c>
      <c r="E36" s="32" t="n">
        <v>7</v>
      </c>
      <c r="F36" s="32" t="n">
        <v>7</v>
      </c>
      <c r="G36" s="32" t="n">
        <v>7</v>
      </c>
      <c r="H36" s="32" t="n">
        <v>7</v>
      </c>
    </row>
    <row r="38">
      <c r="B38" s="3" t="inlineStr">
        <is>
          <t>DPO (Days)</t>
        </is>
      </c>
    </row>
    <row r="39">
      <c r="B39" s="4" t="inlineStr">
        <is>
          <t>Base</t>
        </is>
      </c>
      <c r="D39" s="32" t="n">
        <v>60</v>
      </c>
      <c r="E39" s="32" t="n">
        <v>60</v>
      </c>
      <c r="F39" s="32" t="n">
        <v>60</v>
      </c>
      <c r="G39" s="32" t="n">
        <v>60</v>
      </c>
      <c r="H39" s="32" t="n">
        <v>60</v>
      </c>
    </row>
    <row r="40">
      <c r="B40" s="4" t="inlineStr">
        <is>
          <t>Upside</t>
        </is>
      </c>
      <c r="D40" s="32" t="n">
        <v>60</v>
      </c>
      <c r="E40" s="32" t="n">
        <v>60</v>
      </c>
      <c r="F40" s="32" t="n">
        <v>60</v>
      </c>
      <c r="G40" s="32" t="n">
        <v>60</v>
      </c>
      <c r="H40" s="32" t="n">
        <v>60</v>
      </c>
    </row>
    <row r="41">
      <c r="B41" s="4" t="inlineStr">
        <is>
          <t>Management</t>
        </is>
      </c>
      <c r="D41" s="32" t="n">
        <v>60</v>
      </c>
      <c r="E41" s="32" t="n">
        <v>60</v>
      </c>
      <c r="F41" s="32" t="n">
        <v>60</v>
      </c>
      <c r="G41" s="32" t="n">
        <v>60</v>
      </c>
      <c r="H41" s="32" t="n">
        <v>60</v>
      </c>
    </row>
    <row r="42">
      <c r="B42" s="4" t="inlineStr">
        <is>
          <t>Downside 1</t>
        </is>
      </c>
      <c r="D42" s="32" t="n">
        <v>60</v>
      </c>
      <c r="E42" s="32" t="n">
        <v>60</v>
      </c>
      <c r="F42" s="32" t="n">
        <v>60</v>
      </c>
      <c r="G42" s="32" t="n">
        <v>60</v>
      </c>
      <c r="H42" s="32" t="n">
        <v>60</v>
      </c>
    </row>
    <row r="43">
      <c r="B43" s="4" t="inlineStr">
        <is>
          <t>Downside 2</t>
        </is>
      </c>
      <c r="D43" s="32" t="n">
        <v>60</v>
      </c>
      <c r="E43" s="32" t="n">
        <v>60</v>
      </c>
      <c r="F43" s="32" t="n">
        <v>60</v>
      </c>
      <c r="G43" s="32" t="n">
        <v>60</v>
      </c>
      <c r="H43" s="3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eWeLL</t>
        </is>
      </c>
      <c r="C5" t="inlineStr">
        <is>
          <t>5038.T</t>
        </is>
      </c>
      <c r="D5" s="33" t="n">
        <v>26983</v>
      </c>
      <c r="E5" s="33" t="n">
        <v>26983</v>
      </c>
      <c r="F5" s="33" t="n">
        <v>4277</v>
      </c>
      <c r="G5" s="33" t="n">
        <v>2033</v>
      </c>
      <c r="H5" s="33" t="n">
        <v>1927</v>
      </c>
      <c r="I5" s="33" t="n">
        <v>1329</v>
      </c>
      <c r="J5" s="34">
        <f>E5/G5</f>
        <v/>
      </c>
      <c r="K5" s="34">
        <f>E5/F5</f>
        <v/>
      </c>
      <c r="L5" s="34">
        <f>D5/I5</f>
        <v/>
      </c>
      <c r="M5" s="34" t="n">
        <v>7.994962962962963</v>
      </c>
      <c r="N5" s="35">
        <f>H5/F5</f>
        <v/>
      </c>
      <c r="O5" s="35" t="n">
        <v>0.3937777777777778</v>
      </c>
    </row>
    <row r="6">
      <c r="B6" s="4" t="inlineStr">
        <is>
          <t>Toyokumo</t>
        </is>
      </c>
      <c r="C6" t="inlineStr">
        <is>
          <t>4058.T</t>
        </is>
      </c>
      <c r="D6" s="33" t="n">
        <v>22846</v>
      </c>
      <c r="E6" s="33" t="n">
        <v>22846</v>
      </c>
      <c r="F6" s="33" t="n">
        <v>5800</v>
      </c>
      <c r="G6" s="33" t="n">
        <v>1997</v>
      </c>
      <c r="H6" s="33" t="n">
        <v>1900</v>
      </c>
      <c r="I6" s="33" t="n">
        <v>1300</v>
      </c>
      <c r="J6" s="34">
        <f>E6/G6</f>
        <v/>
      </c>
      <c r="K6" s="34">
        <f>E6/F6</f>
        <v/>
      </c>
      <c r="L6" s="34">
        <f>D6/I6</f>
        <v/>
      </c>
      <c r="M6" s="34" t="n">
        <v>5.625707953705984</v>
      </c>
      <c r="N6" s="35">
        <f>H6/F6</f>
        <v/>
      </c>
      <c r="O6" s="35" t="n">
        <v>0.3201181974883034</v>
      </c>
    </row>
    <row r="7">
      <c r="B7" s="4" t="inlineStr">
        <is>
          <t>Smaregi</t>
        </is>
      </c>
      <c r="C7" t="inlineStr">
        <is>
          <t>4431.T</t>
        </is>
      </c>
      <c r="D7" s="33" t="n">
        <v>46997</v>
      </c>
      <c r="E7" s="33" t="n">
        <v>47097</v>
      </c>
      <c r="F7" s="33" t="n">
        <v>13149</v>
      </c>
      <c r="G7" s="33" t="n">
        <v>3268</v>
      </c>
      <c r="H7" s="33" t="n">
        <v>2954</v>
      </c>
      <c r="I7" s="33" t="n">
        <v>2016</v>
      </c>
      <c r="J7" s="34">
        <f>E7/G7</f>
        <v/>
      </c>
      <c r="K7" s="34">
        <f>E7/F7</f>
        <v/>
      </c>
      <c r="L7" s="34">
        <f>D7/I7</f>
        <v/>
      </c>
      <c r="M7" s="34" t="n">
        <v>6.12977696621886</v>
      </c>
      <c r="N7" s="35">
        <f>H7/F7</f>
        <v/>
      </c>
      <c r="O7" s="35" t="n">
        <v>0.2629450893439416</v>
      </c>
    </row>
    <row r="8">
      <c r="B8" s="4" t="inlineStr">
        <is>
          <t>LightWorks</t>
        </is>
      </c>
      <c r="C8" t="inlineStr">
        <is>
          <t>4267.T</t>
        </is>
      </c>
      <c r="D8" s="33" t="n">
        <v>10730</v>
      </c>
      <c r="E8" s="33" t="n">
        <v>10830</v>
      </c>
      <c r="F8" s="33" t="n">
        <v>3535</v>
      </c>
      <c r="G8" s="33" t="n">
        <v>639</v>
      </c>
      <c r="H8" s="33" t="n">
        <v>315</v>
      </c>
      <c r="I8" s="33" t="n">
        <v>196</v>
      </c>
      <c r="J8" s="34">
        <f>E8/G8</f>
        <v/>
      </c>
      <c r="K8" s="34">
        <f>E8/F8</f>
        <v/>
      </c>
      <c r="L8" s="34">
        <f>D8/I8</f>
        <v/>
      </c>
      <c r="M8" s="34" t="n">
        <v>11.34249471458774</v>
      </c>
      <c r="N8" s="35">
        <f>H8/F8</f>
        <v/>
      </c>
      <c r="O8" s="35" t="n">
        <v>0.2071881606765328</v>
      </c>
    </row>
    <row r="9">
      <c r="B9" s="4" t="inlineStr">
        <is>
          <t>SMS</t>
        </is>
      </c>
      <c r="C9" t="inlineStr">
        <is>
          <t>2175.T</t>
        </is>
      </c>
      <c r="D9" s="33" t="n">
        <v>169004</v>
      </c>
      <c r="E9" s="33" t="n">
        <v>176236</v>
      </c>
      <c r="F9" s="33" t="n">
        <v>71834</v>
      </c>
      <c r="G9" s="33" t="n">
        <v>10475</v>
      </c>
      <c r="H9" s="33" t="n">
        <v>6801</v>
      </c>
      <c r="I9" s="33" t="n">
        <v>6165</v>
      </c>
      <c r="J9" s="34">
        <f>E9/G9</f>
        <v/>
      </c>
      <c r="K9" s="34">
        <f>E9/F9</f>
        <v/>
      </c>
      <c r="L9" s="34">
        <f>D9/I9</f>
        <v/>
      </c>
      <c r="M9" s="34" t="n">
        <v>6.324053285436312</v>
      </c>
      <c r="N9" s="35">
        <f>H9/F9</f>
        <v/>
      </c>
      <c r="O9" s="35" t="n">
        <v>0.23069151324652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4">
        <f>PERCENTILE(J5:J9,0.25)</f>
        <v/>
      </c>
      <c r="E15" s="34">
        <f>PERCENTILE(K5:K9,0.25)</f>
        <v/>
      </c>
      <c r="F15" s="34">
        <f>PERCENTILE(L5:L9,0.25)</f>
        <v/>
      </c>
      <c r="G15" s="34">
        <f>PERCENTILE(M5:M9,0.25)</f>
        <v/>
      </c>
      <c r="H15" s="35">
        <f>PERCENTILE(N5:N9,0.25)</f>
        <v/>
      </c>
      <c r="I15" s="35">
        <f>PERCENTILE(O5:O9,0.25)</f>
        <v/>
      </c>
    </row>
    <row r="16">
      <c r="B16" s="4" t="inlineStr">
        <is>
          <t>Median (50th)</t>
        </is>
      </c>
      <c r="D16" s="34">
        <f>MEDIAN(J5:J9)</f>
        <v/>
      </c>
      <c r="E16" s="34">
        <f>MEDIAN(K5:K9)</f>
        <v/>
      </c>
      <c r="F16" s="34">
        <f>MEDIAN(L5:L9)</f>
        <v/>
      </c>
      <c r="G16" s="34">
        <f>MEDIAN(M5:M9)</f>
        <v/>
      </c>
      <c r="H16" s="35">
        <f>MEDIAN(N5:N9)</f>
        <v/>
      </c>
      <c r="I16" s="35">
        <f>MEDIAN(O5:O9)</f>
        <v/>
      </c>
    </row>
    <row r="17">
      <c r="B17" s="4" t="inlineStr">
        <is>
          <t>75th Percentile</t>
        </is>
      </c>
      <c r="D17" s="34">
        <f>PERCENTILE(J5:J9,0.75)</f>
        <v/>
      </c>
      <c r="E17" s="34">
        <f>PERCENTILE(K5:K9,0.75)</f>
        <v/>
      </c>
      <c r="F17" s="34">
        <f>PERCENTILE(L5:L9,0.75)</f>
        <v/>
      </c>
      <c r="G17" s="34">
        <f>PERCENTILE(M5:M9,0.75)</f>
        <v/>
      </c>
      <c r="H17" s="35">
        <f>PERCENTILE(N5:N9,0.75)</f>
        <v/>
      </c>
      <c r="I17" s="35">
        <f>PERCENTILE(O5:O9,0.75)</f>
        <v/>
      </c>
    </row>
    <row r="19">
      <c r="B19" s="22" t="inlineStr">
        <is>
          <t>Implied Valuation for スパイダープラス株式会社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スパイダープラス株式会社 Financials</t>
        </is>
      </c>
    </row>
    <row r="21">
      <c r="B21" s="4" t="inlineStr">
        <is>
          <t>Revenue (JPY mn)</t>
        </is>
      </c>
      <c r="C21" s="5" t="n">
        <v>4895</v>
      </c>
    </row>
    <row r="22">
      <c r="B22" s="4" t="inlineStr">
        <is>
          <t>Net Income (JPY mn)</t>
        </is>
      </c>
      <c r="C22" s="5" t="n">
        <v>-17.357</v>
      </c>
    </row>
    <row r="23">
      <c r="B23" s="4" t="inlineStr">
        <is>
          <t>Shares Outstanding</t>
        </is>
      </c>
      <c r="C23" s="15" t="n">
        <v>35507400</v>
      </c>
    </row>
    <row r="24">
      <c r="B24" s="4" t="inlineStr">
        <is>
          <t>Net Debt (JPY mn)</t>
        </is>
      </c>
      <c r="C24" s="5" t="n">
        <v>-1559</v>
      </c>
    </row>
    <row r="26">
      <c r="B26" s="3" t="inlineStr">
        <is>
          <t>Implied Share Price (Median Multiples)</t>
        </is>
      </c>
    </row>
    <row r="27">
      <c r="B27" s="4" t="inlineStr">
        <is>
          <t>Via EV/Sales (Median)</t>
        </is>
      </c>
      <c r="C27" s="24">
        <f>ROUND((C21*E16-C24)*1000000/C23,0)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6" t="inlineStr">
        <is>
          <t>WACC \ Terminal g</t>
        </is>
      </c>
      <c r="C6" s="37">
        <f>$F$3-0.0075</f>
        <v/>
      </c>
      <c r="D6" s="37">
        <f>$F$3-0.005</f>
        <v/>
      </c>
      <c r="E6" s="37">
        <f>$F$3-0.0025</f>
        <v/>
      </c>
      <c r="F6" s="37">
        <f>$F$3</f>
        <v/>
      </c>
      <c r="G6" s="37">
        <f>$F$3+0.0025</f>
        <v/>
      </c>
      <c r="H6" s="37">
        <f>$F$3+0.005</f>
        <v/>
      </c>
      <c r="I6" s="37">
        <f>$F$3+0.0075</f>
        <v/>
      </c>
    </row>
    <row r="7">
      <c r="B7" s="35">
        <f>$C$3-0.015</f>
        <v/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5">
        <f>$C$3-0.01</f>
        <v/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5">
        <f>$C$3-0.005</f>
        <v/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5">
        <f>$C$3</f>
        <v/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5">
        <f>$C$3+0.005</f>
        <v/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5">
        <f>$C$3+0.01</f>
        <v/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5">
        <f>$C$3+0.015</f>
        <v/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6" t="inlineStr">
        <is>
          <t>WACC \ Exit Multiple</t>
        </is>
      </c>
      <c r="C17" s="38">
        <f>$I$3-3.0</f>
        <v/>
      </c>
      <c r="D17" s="38">
        <f>$I$3-2.0</f>
        <v/>
      </c>
      <c r="E17" s="38">
        <f>$I$3-1.0</f>
        <v/>
      </c>
      <c r="F17" s="38">
        <f>$I$3</f>
        <v/>
      </c>
      <c r="G17" s="38">
        <f>$I$3+1.0</f>
        <v/>
      </c>
      <c r="H17" s="38">
        <f>$I$3+2.0</f>
        <v/>
      </c>
      <c r="I17" s="38">
        <f>$I$3+3.0</f>
        <v/>
      </c>
    </row>
    <row r="18">
      <c r="B18" s="35">
        <f>$C$3-0.015</f>
        <v/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5">
        <f>$C$3-0.01</f>
        <v/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5">
        <f>$C$3-0.005</f>
        <v/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5">
        <f>$C$3</f>
        <v/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5">
        <f>$C$3+0.005</f>
        <v/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5">
        <f>$C$3+0.01</f>
        <v/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5">
        <f>$C$3+0.015</f>
        <v/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2026-06-04T14:07:06Z</dcterms:created>
  <dcterms:modified xmlns:dcterms="http://purl.org/dc/terms/" xmlns:xsi="http://www.w3.org/2001/XMLSchema-instance" xsi:type="dcterms:W3CDTF">2026-06-04T14:07:06Z</dcterms:modified>
</cp:coreProperties>
</file>