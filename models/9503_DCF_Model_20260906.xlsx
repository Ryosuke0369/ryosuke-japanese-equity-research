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1A1203AD-62A6-41CD-938B-0E5DD4980E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H16" i="6" s="1"/>
  <c r="M8" i="6"/>
  <c r="L8" i="6"/>
  <c r="K8" i="6"/>
  <c r="J8" i="6"/>
  <c r="O7" i="6"/>
  <c r="N7" i="6"/>
  <c r="M7" i="6"/>
  <c r="L7" i="6"/>
  <c r="F15" i="6" s="1"/>
  <c r="K7" i="6"/>
  <c r="J7" i="6"/>
  <c r="O6" i="6"/>
  <c r="N6" i="6"/>
  <c r="M6" i="6"/>
  <c r="K6" i="6"/>
  <c r="E15" i="6" s="1"/>
  <c r="J6" i="6"/>
  <c r="O5" i="6"/>
  <c r="N5" i="6"/>
  <c r="D5" i="6"/>
  <c r="E5" i="6" s="1"/>
  <c r="C16" i="5"/>
  <c r="C14" i="5"/>
  <c r="C18" i="5" s="1"/>
  <c r="C7" i="5"/>
  <c r="C6" i="5"/>
  <c r="C5" i="5"/>
  <c r="C13" i="4"/>
  <c r="C12" i="4"/>
  <c r="C9" i="4"/>
  <c r="C7" i="4"/>
  <c r="C6" i="4"/>
  <c r="C8" i="4" s="1"/>
  <c r="C10" i="4" s="1"/>
  <c r="D27" i="3"/>
  <c r="H6" i="5" s="1"/>
  <c r="C25" i="3"/>
  <c r="C24" i="3"/>
  <c r="C23" i="3"/>
  <c r="F28" i="2"/>
  <c r="E28" i="2"/>
  <c r="D28" i="2"/>
  <c r="C28" i="2"/>
  <c r="F23" i="2"/>
  <c r="E23" i="2"/>
  <c r="D23" i="2"/>
  <c r="C23" i="2"/>
  <c r="F21" i="2"/>
  <c r="F22" i="2" s="1"/>
  <c r="E21" i="2"/>
  <c r="E22" i="2" s="1"/>
  <c r="D21" i="2"/>
  <c r="D22" i="2" s="1"/>
  <c r="C21" i="2"/>
  <c r="C22" i="2" s="1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D9" i="2"/>
  <c r="F8" i="2"/>
  <c r="F9" i="2" s="1"/>
  <c r="E8" i="2"/>
  <c r="E9" i="2" s="1"/>
  <c r="D8" i="2"/>
  <c r="C8" i="2"/>
  <c r="C9" i="2" s="1"/>
  <c r="G15" i="6" l="1"/>
  <c r="I16" i="6"/>
  <c r="D17" i="6"/>
  <c r="H15" i="6"/>
  <c r="C26" i="3"/>
  <c r="D36" i="4" s="1"/>
  <c r="C71" i="4"/>
  <c r="C70" i="4"/>
  <c r="K5" i="6"/>
  <c r="J5" i="6"/>
  <c r="C3" i="7"/>
  <c r="F36" i="4"/>
  <c r="E46" i="3"/>
  <c r="D46" i="3"/>
  <c r="E36" i="4"/>
  <c r="C46" i="3"/>
  <c r="H36" i="4"/>
  <c r="G36" i="4"/>
  <c r="C11" i="4"/>
  <c r="C24" i="4" s="1"/>
  <c r="C25" i="4" s="1"/>
  <c r="G46" i="3"/>
  <c r="E31" i="3"/>
  <c r="G5" i="5"/>
  <c r="I15" i="6"/>
  <c r="E17" i="6"/>
  <c r="I6" i="7"/>
  <c r="C30" i="3"/>
  <c r="C33" i="3" s="1"/>
  <c r="F31" i="3"/>
  <c r="H5" i="5"/>
  <c r="D7" i="5"/>
  <c r="D16" i="6"/>
  <c r="F17" i="6"/>
  <c r="C17" i="7"/>
  <c r="D30" i="3"/>
  <c r="G31" i="3"/>
  <c r="E7" i="5"/>
  <c r="L5" i="6"/>
  <c r="E16" i="6"/>
  <c r="G17" i="6"/>
  <c r="C6" i="7"/>
  <c r="D17" i="7"/>
  <c r="G30" i="3"/>
  <c r="E30" i="3"/>
  <c r="C32" i="3"/>
  <c r="D6" i="5"/>
  <c r="F7" i="5"/>
  <c r="M5" i="6"/>
  <c r="D15" i="6"/>
  <c r="F16" i="6"/>
  <c r="C28" i="6" s="1"/>
  <c r="C19" i="1" s="1"/>
  <c r="D19" i="1" s="1"/>
  <c r="H17" i="6"/>
  <c r="D6" i="7"/>
  <c r="E17" i="7"/>
  <c r="F30" i="3"/>
  <c r="D32" i="3"/>
  <c r="E6" i="5"/>
  <c r="G7" i="5"/>
  <c r="G16" i="6"/>
  <c r="I17" i="6"/>
  <c r="E6" i="7"/>
  <c r="F17" i="7"/>
  <c r="E32" i="3"/>
  <c r="D5" i="5"/>
  <c r="F6" i="5"/>
  <c r="H7" i="5"/>
  <c r="F6" i="7"/>
  <c r="G17" i="7"/>
  <c r="E5" i="5"/>
  <c r="G6" i="5"/>
  <c r="G6" i="7"/>
  <c r="H17" i="7"/>
  <c r="C31" i="3"/>
  <c r="F32" i="3"/>
  <c r="D31" i="3"/>
  <c r="G32" i="3"/>
  <c r="F5" i="5"/>
  <c r="F46" i="3" l="1"/>
  <c r="C29" i="4"/>
  <c r="C27" i="4"/>
  <c r="C26" i="4"/>
  <c r="D9" i="5"/>
  <c r="D12" i="5" s="1"/>
  <c r="C37" i="3"/>
  <c r="C34" i="3"/>
  <c r="D10" i="5" s="1"/>
  <c r="D33" i="3"/>
  <c r="C42" i="3"/>
  <c r="G40" i="4"/>
  <c r="G44" i="4"/>
  <c r="G41" i="4"/>
  <c r="G51" i="4" s="1"/>
  <c r="G56" i="4" s="1"/>
  <c r="G45" i="4"/>
  <c r="G39" i="4"/>
  <c r="G43" i="4"/>
  <c r="G38" i="4"/>
  <c r="G46" i="4"/>
  <c r="F46" i="4"/>
  <c r="F40" i="4"/>
  <c r="F50" i="4" s="1"/>
  <c r="F55" i="4" s="1"/>
  <c r="F44" i="4"/>
  <c r="F38" i="4"/>
  <c r="F48" i="4" s="1"/>
  <c r="F53" i="4" s="1"/>
  <c r="F41" i="4"/>
  <c r="F45" i="4"/>
  <c r="F39" i="4"/>
  <c r="F43" i="4"/>
  <c r="H44" i="4"/>
  <c r="H38" i="4"/>
  <c r="H48" i="4" s="1"/>
  <c r="H53" i="4" s="1"/>
  <c r="H41" i="4"/>
  <c r="H45" i="4"/>
  <c r="H39" i="4"/>
  <c r="H43" i="4"/>
  <c r="H46" i="4"/>
  <c r="H40" i="4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D39" i="4"/>
  <c r="D43" i="4"/>
  <c r="D46" i="4"/>
  <c r="D40" i="4"/>
  <c r="D50" i="4" s="1"/>
  <c r="D55" i="4" s="1"/>
  <c r="D44" i="4"/>
  <c r="D38" i="4"/>
  <c r="D48" i="4" s="1"/>
  <c r="D53" i="4" s="1"/>
  <c r="D41" i="4"/>
  <c r="D45" i="4"/>
  <c r="C27" i="6"/>
  <c r="C18" i="1" s="1"/>
  <c r="D18" i="1" s="1"/>
  <c r="C74" i="4"/>
  <c r="E43" i="4"/>
  <c r="E46" i="4"/>
  <c r="E40" i="4"/>
  <c r="E44" i="4"/>
  <c r="E38" i="4"/>
  <c r="E41" i="4"/>
  <c r="E45" i="4"/>
  <c r="E39" i="4"/>
  <c r="E50" i="4" l="1"/>
  <c r="E55" i="4" s="1"/>
  <c r="H51" i="4"/>
  <c r="H56" i="4" s="1"/>
  <c r="G50" i="4"/>
  <c r="G55" i="4" s="1"/>
  <c r="H50" i="4"/>
  <c r="H55" i="4" s="1"/>
  <c r="E49" i="4"/>
  <c r="E54" i="4" s="1"/>
  <c r="D49" i="4"/>
  <c r="D54" i="4" s="1"/>
  <c r="F49" i="4"/>
  <c r="G48" i="4"/>
  <c r="G53" i="4" s="1"/>
  <c r="E9" i="5"/>
  <c r="E12" i="5" s="1"/>
  <c r="D42" i="3"/>
  <c r="D34" i="3"/>
  <c r="E10" i="5" s="1"/>
  <c r="D35" i="3"/>
  <c r="E33" i="3"/>
  <c r="D37" i="3"/>
  <c r="E51" i="4"/>
  <c r="E56" i="4" s="1"/>
  <c r="D13" i="5"/>
  <c r="D14" i="5" s="1"/>
  <c r="D18" i="5" s="1"/>
  <c r="D19" i="5" s="1"/>
  <c r="C44" i="3" s="1"/>
  <c r="D15" i="5"/>
  <c r="D16" i="5" s="1"/>
  <c r="E48" i="4"/>
  <c r="E53" i="4" s="1"/>
  <c r="D51" i="4"/>
  <c r="D56" i="4" s="1"/>
  <c r="H49" i="4"/>
  <c r="H54" i="4" s="1"/>
  <c r="F51" i="4"/>
  <c r="F56" i="4" s="1"/>
  <c r="G49" i="4"/>
  <c r="G54" i="4" s="1"/>
  <c r="C35" i="3"/>
  <c r="C36" i="3" l="1"/>
  <c r="C39" i="3"/>
  <c r="C38" i="3"/>
  <c r="F54" i="4"/>
  <c r="C60" i="4"/>
  <c r="B78" i="4"/>
  <c r="E42" i="3"/>
  <c r="E34" i="3"/>
  <c r="F10" i="5" s="1"/>
  <c r="E37" i="3"/>
  <c r="F33" i="3"/>
  <c r="F9" i="5"/>
  <c r="F12" i="5" s="1"/>
  <c r="E13" i="5"/>
  <c r="E14" i="5" s="1"/>
  <c r="E15" i="5"/>
  <c r="E16" i="5" s="1"/>
  <c r="D39" i="3"/>
  <c r="D38" i="3"/>
  <c r="D36" i="3"/>
  <c r="E18" i="5" l="1"/>
  <c r="E19" i="5" s="1"/>
  <c r="D44" i="3" s="1"/>
  <c r="D40" i="3"/>
  <c r="D41" i="3" s="1"/>
  <c r="D45" i="3" s="1"/>
  <c r="D47" i="3" s="1"/>
  <c r="C65" i="4"/>
  <c r="D65" i="4" s="1"/>
  <c r="C64" i="4"/>
  <c r="D64" i="4" s="1"/>
  <c r="C67" i="4"/>
  <c r="D67" i="4" s="1"/>
  <c r="C63" i="4"/>
  <c r="D63" i="4" s="1"/>
  <c r="C66" i="4"/>
  <c r="D66" i="4" s="1"/>
  <c r="F13" i="5"/>
  <c r="F14" i="5" s="1"/>
  <c r="F18" i="5" s="1"/>
  <c r="F19" i="5" s="1"/>
  <c r="E44" i="3" s="1"/>
  <c r="F15" i="5"/>
  <c r="F16" i="5" s="1"/>
  <c r="F37" i="3"/>
  <c r="G33" i="3"/>
  <c r="G9" i="5"/>
  <c r="G12" i="5" s="1"/>
  <c r="F42" i="3"/>
  <c r="F34" i="3"/>
  <c r="G10" i="5" s="1"/>
  <c r="E35" i="3"/>
  <c r="C40" i="3"/>
  <c r="C41" i="3"/>
  <c r="C45" i="3" s="1"/>
  <c r="F35" i="3" l="1"/>
  <c r="F38" i="3" s="1"/>
  <c r="C47" i="3"/>
  <c r="C16" i="4"/>
  <c r="C28" i="4" s="1"/>
  <c r="H9" i="5"/>
  <c r="H12" i="5" s="1"/>
  <c r="G42" i="3"/>
  <c r="G34" i="3"/>
  <c r="H10" i="5" s="1"/>
  <c r="G37" i="3"/>
  <c r="E38" i="3"/>
  <c r="E36" i="3"/>
  <c r="E39" i="3"/>
  <c r="G15" i="5"/>
  <c r="G16" i="5" s="1"/>
  <c r="G13" i="5"/>
  <c r="G14" i="5" s="1"/>
  <c r="G18" i="5" s="1"/>
  <c r="G19" i="5" s="1"/>
  <c r="F44" i="3" s="1"/>
  <c r="F39" i="3" l="1"/>
  <c r="F36" i="3"/>
  <c r="G35" i="3"/>
  <c r="C72" i="4"/>
  <c r="C73" i="4"/>
  <c r="G36" i="3"/>
  <c r="G38" i="3"/>
  <c r="G39" i="3"/>
  <c r="E40" i="3"/>
  <c r="E41" i="3" s="1"/>
  <c r="E45" i="3" s="1"/>
  <c r="F40" i="3"/>
  <c r="F41" i="3" s="1"/>
  <c r="F45" i="3" s="1"/>
  <c r="F47" i="3" s="1"/>
  <c r="H15" i="5"/>
  <c r="H16" i="5" s="1"/>
  <c r="H13" i="5"/>
  <c r="H14" i="5" s="1"/>
  <c r="H18" i="5" s="1"/>
  <c r="H19" i="5" s="1"/>
  <c r="G44" i="3" s="1"/>
  <c r="E47" i="3" l="1"/>
  <c r="G8" i="7"/>
  <c r="E21" i="7"/>
  <c r="I19" i="7"/>
  <c r="H7" i="7"/>
  <c r="G13" i="7"/>
  <c r="G40" i="3"/>
  <c r="G41" i="3"/>
  <c r="G45" i="3" s="1"/>
  <c r="H23" i="7" s="1"/>
  <c r="C59" i="3"/>
  <c r="C60" i="3" s="1"/>
  <c r="C61" i="3" s="1"/>
  <c r="D20" i="7" l="1"/>
  <c r="G19" i="7"/>
  <c r="C18" i="7"/>
  <c r="H8" i="7"/>
  <c r="I20" i="7"/>
  <c r="C23" i="7"/>
  <c r="E8" i="7"/>
  <c r="F18" i="7"/>
  <c r="C13" i="7"/>
  <c r="G7" i="7"/>
  <c r="G22" i="7"/>
  <c r="D7" i="7"/>
  <c r="H9" i="7"/>
  <c r="E7" i="7"/>
  <c r="H19" i="7"/>
  <c r="I7" i="7"/>
  <c r="H20" i="7"/>
  <c r="I8" i="7"/>
  <c r="G9" i="7"/>
  <c r="C19" i="7"/>
  <c r="F8" i="7"/>
  <c r="I13" i="7"/>
  <c r="F19" i="7"/>
  <c r="H10" i="7"/>
  <c r="I9" i="7"/>
  <c r="G20" i="7"/>
  <c r="F22" i="7"/>
  <c r="F9" i="7"/>
  <c r="E19" i="7"/>
  <c r="D10" i="7"/>
  <c r="D21" i="7"/>
  <c r="H11" i="7"/>
  <c r="C20" i="7"/>
  <c r="G10" i="7"/>
  <c r="I10" i="7"/>
  <c r="G21" i="7"/>
  <c r="C8" i="7"/>
  <c r="C24" i="7"/>
  <c r="E22" i="7"/>
  <c r="E18" i="7"/>
  <c r="D11" i="7"/>
  <c r="I23" i="7"/>
  <c r="C10" i="7"/>
  <c r="H22" i="7"/>
  <c r="C21" i="7"/>
  <c r="G11" i="7"/>
  <c r="C9" i="7"/>
  <c r="D24" i="7"/>
  <c r="I22" i="7"/>
  <c r="H24" i="7"/>
  <c r="I11" i="7"/>
  <c r="F21" i="7"/>
  <c r="E20" i="7"/>
  <c r="D9" i="7"/>
  <c r="G12" i="7"/>
  <c r="E12" i="7"/>
  <c r="D8" i="7"/>
  <c r="E23" i="7"/>
  <c r="F20" i="7"/>
  <c r="D22" i="7"/>
  <c r="H12" i="7"/>
  <c r="C11" i="7"/>
  <c r="C51" i="3"/>
  <c r="C52" i="3" s="1"/>
  <c r="G47" i="3"/>
  <c r="C50" i="3" s="1"/>
  <c r="I21" i="7"/>
  <c r="E9" i="7"/>
  <c r="C22" i="7"/>
  <c r="F10" i="7"/>
  <c r="F11" i="7"/>
  <c r="G24" i="7"/>
  <c r="E11" i="7"/>
  <c r="E10" i="7"/>
  <c r="F24" i="7"/>
  <c r="F12" i="7"/>
  <c r="E13" i="7"/>
  <c r="D18" i="7"/>
  <c r="D12" i="7"/>
  <c r="I24" i="7"/>
  <c r="D23" i="7"/>
  <c r="H13" i="7"/>
  <c r="H21" i="7"/>
  <c r="I18" i="7"/>
  <c r="I12" i="7"/>
  <c r="G23" i="7"/>
  <c r="H18" i="7"/>
  <c r="F13" i="7"/>
  <c r="C7" i="7"/>
  <c r="G18" i="7"/>
  <c r="D19" i="7"/>
  <c r="F7" i="7"/>
  <c r="F23" i="7"/>
  <c r="E24" i="7"/>
  <c r="C12" i="7"/>
  <c r="D13" i="7"/>
  <c r="C58" i="3" l="1"/>
  <c r="C62" i="3" s="1"/>
  <c r="C53" i="3"/>
  <c r="C17" i="4" l="1"/>
  <c r="C54" i="3"/>
  <c r="C55" i="3" s="1"/>
  <c r="C16" i="1" s="1"/>
  <c r="C63" i="3"/>
  <c r="C64" i="3" s="1"/>
  <c r="C17" i="1" s="1"/>
  <c r="D17" i="1" s="1"/>
  <c r="D16" i="1" l="1"/>
  <c r="C21" i="1"/>
  <c r="C10" i="1"/>
  <c r="C12" i="1" s="1"/>
  <c r="C11" i="1" s="1"/>
  <c r="C19" i="4"/>
  <c r="C20" i="4" s="1"/>
  <c r="B79" i="4"/>
</calcChain>
</file>

<file path=xl/sharedStrings.xml><?xml version="1.0" encoding="utf-8"?>
<sst xmlns="http://schemas.openxmlformats.org/spreadsheetml/2006/main" count="446" uniqueCount="362">
  <si>
    <t>DISCLAIMER: This is a sample analysis for demonstration purposes only. It does not constitute investment advice.</t>
  </si>
  <si>
    <t>関西電力 (9503.T)</t>
  </si>
  <si>
    <t>Equity Research Report</t>
  </si>
  <si>
    <t>Company</t>
  </si>
  <si>
    <t>関西電力</t>
  </si>
  <si>
    <t>Ticker</t>
  </si>
  <si>
    <t>9503.T (TSE Prime)</t>
  </si>
  <si>
    <t>Sector</t>
  </si>
  <si>
    <t>電気・ガス業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</si>
  <si>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</si>
  <si>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</si>
  <si>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</si>
  <si>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</si>
  <si>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</si>
  <si>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</si>
  <si>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</si>
  <si>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</si>
  <si>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</si>
  <si>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</si>
  <si>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</si>
  <si>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</si>
  <si>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</si>
  <si>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</si>
  <si>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</si>
  <si>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</si>
  <si>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</si>
  <si>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</si>
  <si>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</si>
  <si>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</si>
  <si>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</si>
  <si>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</si>
  <si>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関西電力 - Historical Financials (JPY mn)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</si>
  <si>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</si>
  <si>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</si>
  <si>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</si>
  <si>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</si>
  <si>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</si>
  <si>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</si>
  <si>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</si>
  <si>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</si>
  <si>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</si>
  <si>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</si>
  <si>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</si>
  <si>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</si>
  <si>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</si>
  <si>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</si>
  <si>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</si>
  <si>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</si>
  <si>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</si>
  <si>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</si>
  <si>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</si>
  <si>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</si>
  <si>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</si>
  <si>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</si>
  <si>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</si>
  <si>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</si>
  <si>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</si>
  <si>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</si>
  <si>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</si>
  <si>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4/4 — blank cells are years with no year-key match in the source data (verify against 決算短信 or set hist_ocf / hist_cash / hist_debt in overrides).</t>
  </si>
  <si>
    <t>DCF Valuation Model - 関西電力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</si>
  <si>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</si>
  <si>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</si>
  <si>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</si>
  <si>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</si>
  <si>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</si>
  <si>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</si>
  <si>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</si>
  <si>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</si>
  <si>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</si>
  <si>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</si>
  <si>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</si>
  <si>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</si>
  <si>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</si>
  <si>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</si>
  <si>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</si>
  <si>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</si>
  <si>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</si>
  <si>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</si>
  <si>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</si>
  <si>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</si>
  <si>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</si>
  <si>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</si>
  <si>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</si>
  <si>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</si>
  <si>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</si>
  <si>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</si>
  <si>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</si>
  <si>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</si>
  <si>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</si>
  <si>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</si>
  <si>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</si>
  <si>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</si>
  <si>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</si>
  <si>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</si>
  <si>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</si>
  <si>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</si>
  <si>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</si>
  <si>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</si>
  <si>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</si>
  <si>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</si>
  <si>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</si>
  <si>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</si>
  <si>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</si>
  <si>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</si>
  <si>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</si>
  <si>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</si>
  <si>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</si>
  <si>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</si>
  <si>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</si>
  <si>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</si>
  <si>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</si>
  <si>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</si>
  <si>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</si>
  <si>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</si>
  <si>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</si>
  <si>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</si>
  <si>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</si>
  <si>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</si>
  <si>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</si>
  <si>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</si>
  <si>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</si>
  <si>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</si>
  <si>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</si>
  <si>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</si>
  <si>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関西電力 (9503.T)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</si>
  <si>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</si>
  <si>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</si>
  <si>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</si>
  <si>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</si>
  <si>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</si>
  <si>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</si>
  <si>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</si>
  <si>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</si>
  <si>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</si>
  <si>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(FY2024 actual)</t>
  </si>
  <si>
    <t>Terminal-year Revenue, active scenario (JPY mn)</t>
  </si>
  <si>
    <t>Base-case DCF Enterprise Value, PGM (JPY mn)</t>
  </si>
  <si>
    <t>Cycle-peak Operating Margin (FY2024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</si>
  <si>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</si>
  <si>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</si>
  <si>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</si>
  <si>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</si>
  <si>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</si>
  <si>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</si>
  <si>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FY2024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</si>
  <si>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</si>
  <si>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</si>
  <si>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</si>
  <si>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</si>
  <si>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</si>
  <si>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</si>
  <si>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</si>
  <si>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</si>
  <si>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</si>
  <si>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</si>
  <si>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</si>
  <si>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</si>
  <si>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</si>
  <si>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</si>
  <si>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</si>
  <si>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FY2024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</si>
  <si>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</si>
  <si>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</si>
  <si>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</si>
  <si>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</si>
  <si>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</si>
  <si>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</si>
  <si>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(FY2024)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</si>
  <si>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</si>
  <si>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</si>
  <si>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</si>
  <si>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</si>
  <si>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</si>
  <si>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</si>
  <si>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</si>
  <si>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</si>
  <si>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関西電力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</si>
  <si>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</si>
  <si>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</si>
  <si>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</si>
  <si>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</si>
  <si>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</si>
  <si>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</si>
  <si>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</si>
  <si>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</si>
  <si>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</si>
  <si>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</si>
  <si>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</si>
  <si>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</si>
  <si>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</si>
  <si>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</si>
  <si>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</si>
  <si>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</si>
  <si>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</si>
  <si>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</si>
  <si>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</si>
  <si>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</si>
  <si>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</si>
  <si>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</si>
  <si>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</si>
  <si>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</si>
  <si>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</si>
  <si>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</si>
  <si>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</si>
  <si>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</si>
  <si>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</si>
  <si>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</si>
  <si>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</si>
  <si>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</si>
  <si>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</si>
  <si>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</si>
  <si>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The Kansai Electric Power Company, Incorporated</t>
  </si>
  <si>
    <t>9503.T</t>
  </si>
  <si>
    <t>Tokyo Electric Power Company Holdings, Incorporated</t>
  </si>
  <si>
    <t>9501.T</t>
  </si>
  <si>
    <t>N/A</t>
  </si>
  <si>
    <t>Chubu Electric Power Company, Incorporated</t>
  </si>
  <si>
    <t>9502.T</t>
  </si>
  <si>
    <t>Kyushu Electric Power Company, Incorporated</t>
  </si>
  <si>
    <t>9508.T</t>
  </si>
  <si>
    <t>Tohoku Electric Power Company, Incorporated</t>
  </si>
  <si>
    <t>9506.T</t>
  </si>
  <si>
    <t>Shikoku Electric Power Company, Incorporated</t>
  </si>
  <si>
    <t>9507.T</t>
  </si>
  <si>
    <t>Statistics</t>
  </si>
  <si>
    <t>25th Percentile</t>
  </si>
  <si>
    <t>Median (50th)</t>
  </si>
  <si>
    <t>75th Percentile</t>
  </si>
  <si>
    <t>Implied Valuation for 関西電力</t>
  </si>
  <si>
    <t>関西電力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</si>
  <si>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</si>
  <si>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</si>
  <si>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</si>
  <si>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</si>
  <si>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</si>
  <si>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</si>
  <si>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</si>
  <si>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</si>
  <si>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</si>
  <si>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</si>
  <si>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</si>
  <si>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</si>
  <si>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</si>
  <si>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</si>
  <si>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</si>
  <si>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関西電力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</si>
  <si>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</si>
  <si>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</si>
  <si>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</si>
  <si>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</si>
  <si>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</si>
  <si>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</si>
  <si>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</si>
  <si>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</si>
  <si>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19:33, template rev 63983ab</t>
  </si>
  <si>
    <t>初期生成（手修正なし）</t>
  </si>
  <si>
    <t>generated</t>
  </si>
  <si>
    <t>DCF Model!C11</t>
  </si>
  <si>
    <t>After-tax Cost of Debt = 0.84% (実績ベース)</t>
  </si>
  <si>
    <t>実績Kd = 支払利息42,684 ÷ 平均有利子負債3,790,829(期首3,906,823/期末3,674,835、debt_beginning/debt_ending) = 税引前1.13% × (1−25.0%) = 0.84%。【マージナルコスト注記】これは既存借入の実績平均コストであり、新規調達の限界コストではない。テンプレ既定(税引前2.8%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</si>
  <si>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</si>
  <si>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</si>
  <si>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DCF Model!C8</t>
  </si>
  <si>
    <t>Beta = 0.887（採用値）</t>
  </si>
  <si>
    <t>実測β(raw) = 0.831 → Blume調整 0.67×raw + 0.33×1.00 = 0.887 → 採用 0.887。クランプ域 [0.3, 2.0] の内側。置換なし。回帰βは平均回帰するため Blume 調整を既定とする（2026-09-05 バッチで85件中57件が旧下限 0.60 に張り付き、両裾の歪みが実証された）。</t>
  </si>
  <si>
    <t>実測 0.831</t>
  </si>
  <si>
    <t>確定</t>
  </si>
  <si>
    <t>Pipeline Metadata (do not edit — read by scripts/validate_output.py)</t>
  </si>
  <si>
    <t>key</t>
  </si>
  <si>
    <t>value</t>
  </si>
  <si>
    <t>auto_log_entries</t>
  </si>
  <si>
    <t>2</t>
  </si>
  <si>
    <t>beta_adopted_c8</t>
  </si>
  <si>
    <t>0.887</t>
  </si>
  <si>
    <t>beta_basis</t>
  </si>
  <si>
    <t>Blume: 0.67 x 0.831 + 0.33 x 1.00 = 0.887</t>
  </si>
  <si>
    <t>beta_blume_adjusted</t>
  </si>
  <si>
    <t>beta_clamped</t>
  </si>
  <si>
    <t>no</t>
  </si>
  <si>
    <t>beta_raw</t>
  </si>
  <si>
    <t>0.8314</t>
  </si>
  <si>
    <t>capex_pct_basis</t>
  </si>
  <si>
    <t>explicit_override</t>
  </si>
  <si>
    <t>capex_pct_c5</t>
  </si>
  <si>
    <t>0.09702</t>
  </si>
  <si>
    <t>capex_pct_hist3yr</t>
  </si>
  <si>
    <t>0.121561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</si>
  <si>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</si>
  <si>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</si>
  <si>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</si>
  <si>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</si>
  <si>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</si>
  <si>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</si>
  <si>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</si>
  <si>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</si>
  <si>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</si>
  <si>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</si>
  <si>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</si>
  <si>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</si>
  <si>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</si>
  <si>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</si>
  <si>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</si>
  <si>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</si>
  <si>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</si>
  <si>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</si>
  <si>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</si>
  <si>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</si>
  <si>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812350.0</t>
  </si>
  <si>
    <t>core_net_income</t>
  </si>
  <si>
    <t>380051.0</t>
  </si>
  <si>
    <t>cost_of_debt_actual</t>
  </si>
  <si>
    <t>interest 42,684 (expense 42,684 + fees 0) / avg debt 3,790,829 (debt_beginning/debt_ending) = 0.011260 pre-tax -&gt; 0.008400 after-tax</t>
  </si>
  <si>
    <t>cost_of_debt_at_c11</t>
  </si>
  <si>
    <t>0.0084</t>
  </si>
  <si>
    <t>cost_of_debt_avg_debt</t>
  </si>
  <si>
    <t>3790829.0</t>
  </si>
  <si>
    <t>cost_of_debt_basis</t>
  </si>
  <si>
    <t>actual</t>
  </si>
  <si>
    <t>cost_of_debt_interest</t>
  </si>
  <si>
    <t>42684.0</t>
  </si>
  <si>
    <t>cost_of_debt_pretax</t>
  </si>
  <si>
    <t>0.01125980623235709</t>
  </si>
  <si>
    <t>da_pct_basis</t>
  </si>
  <si>
    <t>da_pct_c18</t>
  </si>
  <si>
    <t>0.0924</t>
  </si>
  <si>
    <t>da_pct_hist3yr</t>
  </si>
  <si>
    <t>0.080176</t>
  </si>
  <si>
    <t>fs_year_coverage</t>
  </si>
  <si>
    <t>OCF 4/4, Cash 4/4, Debt 4/4</t>
  </si>
  <si>
    <t>fs_year_map</t>
  </si>
  <si>
    <t>FY2023&lt;-FY2023[ocf+cash+debt]; FY2024&lt;-FY2024[ocf+cash+debt]; 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</si>
  <si>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</si>
  <si>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</si>
  <si>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</si>
  <si>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</si>
  <si>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</si>
  <si>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19:33:33</t>
  </si>
  <si>
    <t>guidance_note</t>
  </si>
  <si>
    <t>TDnet 決算短信 via screener guidance table: FY2027 disclosed 2026-07-31 (net_income=310,000mn, operating_income=250,000mn, revenue=4,500,000mn)</t>
  </si>
  <si>
    <t>guidance_source</t>
  </si>
  <si>
    <t>tdnet_screener_db</t>
  </si>
  <si>
    <t>latest_operating_income</t>
  </si>
  <si>
    <t>437557.0</t>
  </si>
  <si>
    <t>ltm_revenue_c20</t>
  </si>
  <si>
    <t>4056638.0</t>
  </si>
  <si>
    <t>ltm_revenue_source</t>
  </si>
  <si>
    <t>latest FY (no LTM)</t>
  </si>
  <si>
    <t>market_data_source</t>
  </si>
  <si>
    <t>yfinance; from overrides: beta, current_price, shares_outstanding</t>
  </si>
  <si>
    <t>narrative_tokens_used</t>
  </si>
  <si>
    <t>net_debt_source</t>
  </si>
  <si>
    <t>EDINET net_debt</t>
  </si>
  <si>
    <t>reverse_dcf_sheet</t>
  </si>
  <si>
    <t>op0=437,557(FY2026) peak=728,936(FY2024) peak_opm=0.1796 N=3/5/7/10</t>
  </si>
  <si>
    <t>scenario_index_range</t>
  </si>
  <si>
    <t>B69:B73</t>
  </si>
  <si>
    <t>tax_rate_c6</t>
  </si>
  <si>
    <t>0.25</t>
  </si>
  <si>
    <t>template_rev</t>
  </si>
  <si>
    <t>63983ab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</si>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</sst>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5" fillId="0" borderId="6" xfId="0" applyFont="1" applyBorder="1" applyAlignment="1">
      <alignment horizontal="right"/>
    </xf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6" t="s">
        <v>0</v>
      </c>
      <c r="C1" s="45"/>
      <c r="D1" s="45"/>
      <c r="E1" s="45"/>
    </row>
    <row r="3" spans="2:5" ht="18" x14ac:dyDescent="0.4">
      <c r="B3" s="44" t="s">
        <v>1</v>
      </c>
      <c r="C3" s="45"/>
      <c r="D3" s="45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2947</v>
      </c>
    </row>
    <row r="10" spans="2:5" ht="14" x14ac:dyDescent="0.3">
      <c r="B10" s="4" t="s">
        <v>10</v>
      </c>
      <c r="C10" s="5">
        <f>IF(COUNT(C16:C17)=0,"N/A",ROUND(AVERAGE(C16:C17),0))</f>
        <v>3393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0.15134034611469291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3290</v>
      </c>
      <c r="D16" s="7">
        <f>IF(ISNUMBER(C16),(C16-C9)/C9,"N/A")</f>
        <v>0.1163895486935867</v>
      </c>
    </row>
    <row r="17" spans="2:5" ht="13.5" x14ac:dyDescent="0.25">
      <c r="B17" t="s">
        <v>18</v>
      </c>
      <c r="C17" s="11">
        <f>IF('DCF Model'!C62&lt;'DCF Model'!C16,"INVALID (EV &lt; net debt)",'DCF Model'!C64)</f>
        <v>3495</v>
      </c>
      <c r="D17" s="7">
        <f>IF(ISNUMBER(C17),(C17-C9)/C9,"N/A")</f>
        <v>0.18595181540549713</v>
      </c>
    </row>
    <row r="18" spans="2:5" ht="13.5" x14ac:dyDescent="0.25">
      <c r="B18" t="s">
        <v>19</v>
      </c>
      <c r="C18" s="11">
        <f>'Comps Analysis'!C27</f>
        <v>3684</v>
      </c>
      <c r="D18" s="7">
        <f>IF(ISNUMBER(C18),(C18-C9)/C9,"N/A")</f>
        <v>0.25008483203257548</v>
      </c>
    </row>
    <row r="19" spans="2:5" ht="13.5" x14ac:dyDescent="0.25">
      <c r="B19" t="s">
        <v>20</v>
      </c>
      <c r="C19" s="11">
        <f>'Comps Analysis'!C28</f>
        <v>2809</v>
      </c>
      <c r="D19" s="7">
        <f>IF(ISNUMBER(C19),(C19-C9)/C9,"N/A")</f>
        <v>-4.682728198167628E-2</v>
      </c>
    </row>
    <row r="20" spans="2:5" ht="14" x14ac:dyDescent="0.3">
      <c r="B20" s="46" t="s">
        <v>21</v>
      </c>
      <c r="C20" s="45"/>
      <c r="D20" s="45"/>
      <c r="E20" s="45"/>
    </row>
    <row r="21" spans="2:5" ht="14" x14ac:dyDescent="0.3">
      <c r="B21" s="4" t="s">
        <v>22</v>
      </c>
      <c r="C21" s="6" t="str">
        <f>IF(COUNT(C16:C17)=0,"N/A",MIN(C16:C17)&amp;" - "&amp;MAX(C16:C17))</f>
        <v>3290 - 3495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31</v>
      </c>
    </row>
    <row r="4" spans="2:6" ht="14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x14ac:dyDescent="0.3">
      <c r="B5" s="3" t="s">
        <v>36</v>
      </c>
    </row>
    <row r="6" spans="2:6" ht="14" x14ac:dyDescent="0.3">
      <c r="B6" s="4" t="s">
        <v>37</v>
      </c>
      <c r="C6" s="5">
        <v>3951883</v>
      </c>
      <c r="D6" s="5">
        <v>4059377</v>
      </c>
      <c r="E6" s="5">
        <v>4337111</v>
      </c>
      <c r="F6" s="5">
        <v>4056637</v>
      </c>
    </row>
    <row r="7" spans="2:6" ht="14" x14ac:dyDescent="0.3">
      <c r="B7" s="4" t="s">
        <v>38</v>
      </c>
      <c r="C7" s="5">
        <v>4003939</v>
      </c>
      <c r="D7" s="5">
        <v>3330441</v>
      </c>
      <c r="E7" s="5">
        <v>3868234</v>
      </c>
      <c r="F7" s="5">
        <v>3619080</v>
      </c>
    </row>
    <row r="8" spans="2:6" ht="14" x14ac:dyDescent="0.3">
      <c r="B8" s="4" t="s">
        <v>39</v>
      </c>
      <c r="C8" s="5">
        <f>C6-C7</f>
        <v>-52056</v>
      </c>
      <c r="D8" s="5">
        <f>D6-D7</f>
        <v>728936</v>
      </c>
      <c r="E8" s="5">
        <f>E6-E7</f>
        <v>468877</v>
      </c>
      <c r="F8" s="5">
        <f>F6-F7</f>
        <v>437557</v>
      </c>
    </row>
    <row r="9" spans="2:6" ht="13.5" x14ac:dyDescent="0.25">
      <c r="B9" t="s">
        <v>40</v>
      </c>
      <c r="C9" s="7">
        <f>C8/C6</f>
        <v>-1.3172454751317283E-2</v>
      </c>
      <c r="D9" s="7">
        <f>D8/D6</f>
        <v>0.17956844116720375</v>
      </c>
      <c r="E9" s="7">
        <f>E8/E6</f>
        <v>0.10810813926597682</v>
      </c>
      <c r="F9" s="7">
        <f>F8/F6</f>
        <v>0.10786200490702028</v>
      </c>
    </row>
    <row r="10" spans="2:6" ht="14" x14ac:dyDescent="0.3">
      <c r="B10" s="4" t="s">
        <v>41</v>
      </c>
      <c r="C10" s="5">
        <v>0</v>
      </c>
      <c r="D10" s="5">
        <v>0</v>
      </c>
      <c r="E10" s="5">
        <v>0</v>
      </c>
      <c r="F10" s="5">
        <v>0</v>
      </c>
    </row>
    <row r="11" spans="2:6" ht="14" x14ac:dyDescent="0.3">
      <c r="B11" s="4" t="s">
        <v>42</v>
      </c>
      <c r="C11" s="5">
        <v>-52056</v>
      </c>
      <c r="D11" s="5">
        <v>728936</v>
      </c>
      <c r="E11" s="5">
        <v>468877</v>
      </c>
      <c r="F11" s="5">
        <v>437557</v>
      </c>
    </row>
    <row r="12" spans="2:6" ht="14" x14ac:dyDescent="0.3">
      <c r="B12" s="4" t="s">
        <v>43</v>
      </c>
      <c r="C12" s="5">
        <v>17679</v>
      </c>
      <c r="D12" s="5">
        <v>441870</v>
      </c>
      <c r="E12" s="5">
        <v>420364</v>
      </c>
      <c r="F12" s="5">
        <v>380051</v>
      </c>
    </row>
    <row r="13" spans="2:6" ht="13.5" x14ac:dyDescent="0.25">
      <c r="B13" t="s">
        <v>44</v>
      </c>
      <c r="C13" s="7">
        <f>C11/C6</f>
        <v>-1.3172454751317283E-2</v>
      </c>
      <c r="D13" s="7">
        <f>D11/D6</f>
        <v>0.17956844116720375</v>
      </c>
      <c r="E13" s="7">
        <f>E11/E6</f>
        <v>0.10810813926597682</v>
      </c>
      <c r="F13" s="7">
        <f>F11/F6</f>
        <v>0.10786200490702028</v>
      </c>
    </row>
    <row r="14" spans="2:6" ht="13.5" x14ac:dyDescent="0.25">
      <c r="B14" t="s">
        <v>45</v>
      </c>
      <c r="C14" s="7">
        <f>C12/C6</f>
        <v>4.473563615117148E-3</v>
      </c>
      <c r="D14" s="7">
        <f>D12/D6</f>
        <v>0.10885167847184432</v>
      </c>
      <c r="E14" s="7">
        <f>E12/E6</f>
        <v>9.6922582797627263E-2</v>
      </c>
      <c r="F14" s="7">
        <f>F12/F6</f>
        <v>9.3686223342142771E-2</v>
      </c>
    </row>
    <row r="15" spans="2:6" ht="13.5" x14ac:dyDescent="0.25">
      <c r="B15" t="s">
        <v>46</v>
      </c>
      <c r="C15" t="s">
        <v>47</v>
      </c>
      <c r="D15" s="7">
        <f>(D6-C6)/C6</f>
        <v>2.7200704069427158E-2</v>
      </c>
      <c r="E15" s="7">
        <f>(E6-D6)/D6</f>
        <v>6.8417887769477922E-2</v>
      </c>
      <c r="F15" s="7">
        <f>(F6-E6)/E6</f>
        <v>-6.4668393315273687E-2</v>
      </c>
    </row>
    <row r="16" spans="2:6" ht="13.5" x14ac:dyDescent="0.25">
      <c r="B16" t="s">
        <v>48</v>
      </c>
      <c r="C16" t="s">
        <v>47</v>
      </c>
      <c r="D16" s="7">
        <f>(D11-C11)/C11</f>
        <v>-15.002919932380513</v>
      </c>
      <c r="E16" s="7">
        <f>(E11-D11)/D11</f>
        <v>-0.35676520298078296</v>
      </c>
      <c r="F16" s="7">
        <f>(F11-E11)/E11</f>
        <v>-6.6797902221691408E-2</v>
      </c>
    </row>
    <row r="18" spans="2:6" ht="14" x14ac:dyDescent="0.3">
      <c r="B18" s="3" t="s">
        <v>49</v>
      </c>
    </row>
    <row r="19" spans="2:6" ht="14" x14ac:dyDescent="0.3">
      <c r="B19" s="4" t="s">
        <v>50</v>
      </c>
      <c r="C19" s="5">
        <v>128038</v>
      </c>
      <c r="D19" s="5">
        <v>1154990</v>
      </c>
      <c r="E19" s="5">
        <v>575299</v>
      </c>
      <c r="F19" s="5">
        <v>652381</v>
      </c>
    </row>
    <row r="20" spans="2:6" ht="14" x14ac:dyDescent="0.3">
      <c r="B20" s="4" t="s">
        <v>51</v>
      </c>
      <c r="C20" s="5">
        <v>475960</v>
      </c>
      <c r="D20" s="5">
        <v>456335</v>
      </c>
      <c r="E20" s="5">
        <v>494896</v>
      </c>
      <c r="F20" s="5">
        <v>560464</v>
      </c>
    </row>
    <row r="21" spans="2:6" ht="14" x14ac:dyDescent="0.3">
      <c r="B21" s="4" t="s">
        <v>52</v>
      </c>
      <c r="C21" s="5">
        <f>C19-C20</f>
        <v>-347922</v>
      </c>
      <c r="D21" s="5">
        <f>D19-D20</f>
        <v>698655</v>
      </c>
      <c r="E21" s="5">
        <f>E19-E20</f>
        <v>80403</v>
      </c>
      <c r="F21" s="5">
        <f>F19-F20</f>
        <v>91917</v>
      </c>
    </row>
    <row r="22" spans="2:6" ht="13.5" x14ac:dyDescent="0.25">
      <c r="B22" t="s">
        <v>53</v>
      </c>
      <c r="C22" s="7">
        <f>C21/C6</f>
        <v>-8.8039549753876817E-2</v>
      </c>
      <c r="D22" s="7">
        <f>D21/D6</f>
        <v>0.17210892213263268</v>
      </c>
      <c r="E22" s="7">
        <f>E21/E6</f>
        <v>1.8538377274642037E-2</v>
      </c>
      <c r="F22" s="7">
        <f>F21/F6</f>
        <v>2.2658423714027161E-2</v>
      </c>
    </row>
    <row r="23" spans="2:6" ht="13.5" x14ac:dyDescent="0.25">
      <c r="B23" t="s">
        <v>54</v>
      </c>
      <c r="C23" s="7">
        <f>C20/C6</f>
        <v>0.12043878829408664</v>
      </c>
      <c r="D23" s="7">
        <f>D20/D6</f>
        <v>0.11241503314424849</v>
      </c>
      <c r="E23" s="7">
        <f>E20/E6</f>
        <v>0.1141072940028512</v>
      </c>
      <c r="F23" s="7">
        <f>F20/F6</f>
        <v>0.13815976139841943</v>
      </c>
    </row>
    <row r="25" spans="2:6" ht="14" x14ac:dyDescent="0.3">
      <c r="B25" s="3" t="s">
        <v>55</v>
      </c>
    </row>
    <row r="26" spans="2:6" ht="14" x14ac:dyDescent="0.3">
      <c r="B26" s="4" t="s">
        <v>56</v>
      </c>
      <c r="C26" s="5">
        <v>322235</v>
      </c>
      <c r="D26" s="5">
        <v>564427</v>
      </c>
      <c r="E26" s="5">
        <v>942388</v>
      </c>
      <c r="F26" s="5">
        <v>737411</v>
      </c>
    </row>
    <row r="27" spans="2:6" ht="14" x14ac:dyDescent="0.3">
      <c r="B27" s="4" t="s">
        <v>57</v>
      </c>
      <c r="C27" s="5">
        <v>4333347</v>
      </c>
      <c r="D27" s="5">
        <v>4043058</v>
      </c>
      <c r="E27" s="5">
        <v>3906823</v>
      </c>
      <c r="F27" s="5">
        <v>3674835</v>
      </c>
    </row>
    <row r="28" spans="2:6" ht="14" x14ac:dyDescent="0.3">
      <c r="B28" s="4" t="s">
        <v>58</v>
      </c>
      <c r="C28" s="5">
        <f>C27-C26</f>
        <v>4011112</v>
      </c>
      <c r="D28" s="5">
        <f>D27-D26</f>
        <v>3478631</v>
      </c>
      <c r="E28" s="5">
        <f>E27-E26</f>
        <v>2964435</v>
      </c>
      <c r="F28" s="5">
        <f>F27-F26</f>
        <v>2937424</v>
      </c>
    </row>
    <row r="30" spans="2:6" ht="14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62</v>
      </c>
      <c r="C5" s="7">
        <v>9.7019999999999995E-2</v>
      </c>
    </row>
    <row r="6" spans="2:7" ht="14" x14ac:dyDescent="0.3">
      <c r="B6" s="4" t="s">
        <v>63</v>
      </c>
      <c r="C6" s="7">
        <v>0.25</v>
      </c>
    </row>
    <row r="7" spans="2:7" ht="14" x14ac:dyDescent="0.3">
      <c r="B7" s="4" t="s">
        <v>64</v>
      </c>
      <c r="C7" s="7">
        <v>2.9700000000000001E-2</v>
      </c>
    </row>
    <row r="8" spans="2:7" ht="14" x14ac:dyDescent="0.3">
      <c r="B8" s="4" t="s">
        <v>65</v>
      </c>
      <c r="C8" s="12">
        <v>0.88700000000000001</v>
      </c>
    </row>
    <row r="9" spans="2:7" ht="14" x14ac:dyDescent="0.3">
      <c r="B9" s="4" t="s">
        <v>66</v>
      </c>
      <c r="C9" s="7">
        <v>6.5000000000000002E-2</v>
      </c>
    </row>
    <row r="10" spans="2:7" ht="14" x14ac:dyDescent="0.3">
      <c r="B10" s="4" t="s">
        <v>67</v>
      </c>
      <c r="C10" s="7">
        <v>0.01</v>
      </c>
    </row>
    <row r="11" spans="2:7" ht="14" x14ac:dyDescent="0.3">
      <c r="B11" s="4" t="s">
        <v>68</v>
      </c>
      <c r="C11" s="7">
        <v>8.3999999999999995E-3</v>
      </c>
    </row>
    <row r="12" spans="2:7" ht="14" x14ac:dyDescent="0.3">
      <c r="B12" s="4" t="s">
        <v>69</v>
      </c>
      <c r="C12" s="13">
        <v>0.89470000000000005</v>
      </c>
    </row>
    <row r="13" spans="2:7" ht="14" x14ac:dyDescent="0.3">
      <c r="B13" s="4" t="s">
        <v>70</v>
      </c>
      <c r="C13" s="7">
        <v>0.01</v>
      </c>
    </row>
    <row r="14" spans="2:7" ht="14" x14ac:dyDescent="0.3">
      <c r="B14" s="4" t="s">
        <v>71</v>
      </c>
      <c r="C14" s="14">
        <v>8.6999999999999993</v>
      </c>
    </row>
    <row r="15" spans="2:7" ht="14" x14ac:dyDescent="0.3">
      <c r="B15" s="4" t="s">
        <v>72</v>
      </c>
      <c r="C15" s="15">
        <v>1114056720</v>
      </c>
    </row>
    <row r="16" spans="2:7" ht="14" x14ac:dyDescent="0.3">
      <c r="B16" s="4" t="s">
        <v>73</v>
      </c>
      <c r="C16" s="5">
        <v>2937424</v>
      </c>
    </row>
    <row r="17" spans="2:7" ht="14" x14ac:dyDescent="0.3">
      <c r="B17" s="4" t="s">
        <v>74</v>
      </c>
      <c r="C17" s="5">
        <v>4056637</v>
      </c>
    </row>
    <row r="18" spans="2:7" ht="14" x14ac:dyDescent="0.3">
      <c r="B18" s="4" t="s">
        <v>75</v>
      </c>
      <c r="C18" s="7">
        <v>9.2399999999999996E-2</v>
      </c>
    </row>
    <row r="19" spans="2:7" ht="14" x14ac:dyDescent="0.3">
      <c r="B19" s="4" t="s">
        <v>76</v>
      </c>
      <c r="C19" s="12">
        <v>1</v>
      </c>
    </row>
    <row r="20" spans="2:7" ht="14" x14ac:dyDescent="0.3">
      <c r="B20" s="4" t="s">
        <v>77</v>
      </c>
      <c r="C20" s="5">
        <v>4056638</v>
      </c>
    </row>
    <row r="22" spans="2:7" ht="14" x14ac:dyDescent="0.3">
      <c r="B22" s="8" t="s">
        <v>78</v>
      </c>
      <c r="C22" s="9"/>
      <c r="D22" s="9"/>
      <c r="E22" s="9"/>
      <c r="F22" s="9"/>
      <c r="G22" s="9"/>
    </row>
    <row r="23" spans="2:7" ht="14" x14ac:dyDescent="0.3">
      <c r="B23" s="4" t="s">
        <v>79</v>
      </c>
      <c r="C23" s="16">
        <f>C7+C8*C9+C10</f>
        <v>9.7354999999999997E-2</v>
      </c>
    </row>
    <row r="24" spans="2:7" ht="14" x14ac:dyDescent="0.3">
      <c r="B24" s="4" t="s">
        <v>80</v>
      </c>
      <c r="C24" s="16">
        <f>1/(1+C12)</f>
        <v>0.5277880403230063</v>
      </c>
    </row>
    <row r="25" spans="2:7" ht="14" x14ac:dyDescent="0.3">
      <c r="B25" s="4" t="s">
        <v>81</v>
      </c>
      <c r="C25" s="16">
        <f>C12/(1+C12)</f>
        <v>0.47221195967699375</v>
      </c>
    </row>
    <row r="26" spans="2:7" ht="14" x14ac:dyDescent="0.3">
      <c r="B26" s="4" t="s">
        <v>82</v>
      </c>
      <c r="C26" s="16">
        <f>C23*C24+C11*C25</f>
        <v>5.5349385126933028E-2</v>
      </c>
    </row>
    <row r="27" spans="2:7" ht="14" x14ac:dyDescent="0.3">
      <c r="B27" s="4" t="s">
        <v>83</v>
      </c>
      <c r="C27" s="17" t="s">
        <v>84</v>
      </c>
      <c r="D27" s="6">
        <f>MATCH(C27,B69:B73,0)</f>
        <v>1</v>
      </c>
    </row>
    <row r="28" spans="2:7" ht="14" x14ac:dyDescent="0.3">
      <c r="B28" s="8" t="s">
        <v>85</v>
      </c>
      <c r="C28" s="9"/>
      <c r="D28" s="9"/>
      <c r="E28" s="9"/>
      <c r="F28" s="9"/>
      <c r="G28" s="9"/>
    </row>
    <row r="29" spans="2:7" ht="14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x14ac:dyDescent="0.3">
      <c r="B30" s="4" t="s">
        <v>46</v>
      </c>
      <c r="C30" s="18">
        <f>CHOOSE($D$27,C69,C70,C71,C72,C73)</f>
        <v>0.01</v>
      </c>
      <c r="D30" s="18">
        <f>CHOOSE($D$27,D69,D70,D71,D72,D73)</f>
        <v>1.4999999999999999E-2</v>
      </c>
      <c r="E30" s="18">
        <f>CHOOSE($D$27,E69,E70,E71,E72,E73)</f>
        <v>1.4999999999999999E-2</v>
      </c>
      <c r="F30" s="18">
        <f>CHOOSE($D$27,F69,F70,F71,F72,F73)</f>
        <v>1.4999999999999999E-2</v>
      </c>
      <c r="G30" s="18">
        <f>CHOOSE($D$27,G69,G70,G71,G72,G73)</f>
        <v>0.01</v>
      </c>
    </row>
    <row r="31" spans="2:7" ht="14" x14ac:dyDescent="0.3">
      <c r="B31" s="4" t="s">
        <v>91</v>
      </c>
      <c r="C31" s="18">
        <f>CHOOSE($D$27,C76,C77,C78,C79,C80)</f>
        <v>0.82</v>
      </c>
      <c r="D31" s="18">
        <f>CHOOSE($D$27,D76,D77,D78,D79,D80)</f>
        <v>0.82</v>
      </c>
      <c r="E31" s="18">
        <f>CHOOSE($D$27,E76,E77,E78,E79,E80)</f>
        <v>0.82</v>
      </c>
      <c r="F31" s="18">
        <f>CHOOSE($D$27,F76,F77,F78,F79,F80)</f>
        <v>0.82</v>
      </c>
      <c r="G31" s="18">
        <f>CHOOSE($D$27,G76,G77,G78,G79,G80)</f>
        <v>0.82</v>
      </c>
    </row>
    <row r="32" spans="2:7" ht="14" x14ac:dyDescent="0.3">
      <c r="B32" s="4" t="s">
        <v>92</v>
      </c>
      <c r="C32" s="18">
        <f>CHOOSE($D$27,C83,C84,C85,C86,C87)</f>
        <v>7.2099999999999997E-2</v>
      </c>
      <c r="D32" s="18">
        <f>CHOOSE($D$27,D83,D84,D85,D86,D87)</f>
        <v>7.2099999999999997E-2</v>
      </c>
      <c r="E32" s="18">
        <f>CHOOSE($D$27,E83,E84,E85,E86,E87)</f>
        <v>7.1999999999999995E-2</v>
      </c>
      <c r="F32" s="18">
        <f>CHOOSE($D$27,F83,F84,F85,F86,F87)</f>
        <v>7.1999999999999995E-2</v>
      </c>
      <c r="G32" s="18">
        <f>CHOOSE($D$27,G83,G84,G85,G86,G87)</f>
        <v>7.1999999999999995E-2</v>
      </c>
    </row>
    <row r="33" spans="2:7" ht="14" x14ac:dyDescent="0.3">
      <c r="B33" s="4" t="s">
        <v>37</v>
      </c>
      <c r="C33" s="5">
        <f>C17*(1+C30)</f>
        <v>4097203.37</v>
      </c>
      <c r="D33" s="5">
        <f>C33*(1+D30)</f>
        <v>4158661.4205499999</v>
      </c>
      <c r="E33" s="5">
        <f>D33*(1+E30)</f>
        <v>4221041.3418582492</v>
      </c>
      <c r="F33" s="5">
        <f>E33*(1+F30)</f>
        <v>4284356.9619861227</v>
      </c>
      <c r="G33" s="5">
        <f>F33*(1+G30)</f>
        <v>4327200.5316059841</v>
      </c>
    </row>
    <row r="34" spans="2:7" ht="14" x14ac:dyDescent="0.3">
      <c r="B34" s="4" t="s">
        <v>38</v>
      </c>
      <c r="C34" s="5">
        <f>C33*C31</f>
        <v>3359706.7634000001</v>
      </c>
      <c r="D34" s="5">
        <f>D33*D31</f>
        <v>3410102.3648509998</v>
      </c>
      <c r="E34" s="5">
        <f>E33*E31</f>
        <v>3461253.900323764</v>
      </c>
      <c r="F34" s="5">
        <f>F33*F31</f>
        <v>3513172.7088286201</v>
      </c>
      <c r="G34" s="5">
        <f>G33*G31</f>
        <v>3548304.4359169067</v>
      </c>
    </row>
    <row r="35" spans="2:7" ht="14" x14ac:dyDescent="0.3">
      <c r="B35" s="4" t="s">
        <v>39</v>
      </c>
      <c r="C35" s="19">
        <f>C33-C34</f>
        <v>737496.60660000006</v>
      </c>
      <c r="D35" s="19">
        <f>D33-D34</f>
        <v>748559.05569900014</v>
      </c>
      <c r="E35" s="19">
        <f>E33-E34</f>
        <v>759787.4415344852</v>
      </c>
      <c r="F35" s="19">
        <f>F33-F34</f>
        <v>771184.25315750251</v>
      </c>
      <c r="G35" s="19">
        <f>G33-G34</f>
        <v>778896.0956890774</v>
      </c>
    </row>
    <row r="36" spans="2:7" ht="14" x14ac:dyDescent="0.3">
      <c r="B36" s="4" t="s">
        <v>40</v>
      </c>
      <c r="C36" s="7">
        <f>C35/C33</f>
        <v>0.18000000000000002</v>
      </c>
      <c r="D36" s="7">
        <f>D35/D33</f>
        <v>0.18000000000000005</v>
      </c>
      <c r="E36" s="7">
        <f>E35/E33</f>
        <v>0.18000000000000008</v>
      </c>
      <c r="F36" s="7">
        <f>F35/F33</f>
        <v>0.1800000000000001</v>
      </c>
      <c r="G36" s="7">
        <f>G35/G33</f>
        <v>0.18000000000000005</v>
      </c>
    </row>
    <row r="37" spans="2:7" ht="14" x14ac:dyDescent="0.3">
      <c r="B37" s="4" t="s">
        <v>93</v>
      </c>
      <c r="C37" s="5">
        <f>C33*C32</f>
        <v>295408.36297700001</v>
      </c>
      <c r="D37" s="5">
        <f>D33*D32</f>
        <v>299839.48842165497</v>
      </c>
      <c r="E37" s="5">
        <f>E33*E32</f>
        <v>303914.97661379393</v>
      </c>
      <c r="F37" s="5">
        <f>F33*F32</f>
        <v>308473.70126300078</v>
      </c>
      <c r="G37" s="5">
        <f>G33*G32</f>
        <v>311558.43827563082</v>
      </c>
    </row>
    <row r="38" spans="2:7" ht="14" x14ac:dyDescent="0.3">
      <c r="B38" s="4" t="s">
        <v>94</v>
      </c>
      <c r="C38" s="7">
        <f>(C35-C37)/C33</f>
        <v>0.10790000000000001</v>
      </c>
      <c r="D38" s="7">
        <f>(D35-D37)/D33</f>
        <v>0.10790000000000004</v>
      </c>
      <c r="E38" s="7">
        <f>(E35-E37)/E33</f>
        <v>0.10800000000000008</v>
      </c>
      <c r="F38" s="7">
        <f>(F35-F37)/F33</f>
        <v>0.10800000000000011</v>
      </c>
      <c r="G38" s="7">
        <f>(G35-G37)/G33</f>
        <v>0.10800000000000007</v>
      </c>
    </row>
    <row r="39" spans="2:7" ht="14" x14ac:dyDescent="0.3">
      <c r="B39" s="4" t="s">
        <v>95</v>
      </c>
      <c r="C39" s="19">
        <f>C35-C37</f>
        <v>442088.24362300005</v>
      </c>
      <c r="D39" s="19">
        <f>D35-D37</f>
        <v>448719.56727734517</v>
      </c>
      <c r="E39" s="19">
        <f>E35-E37</f>
        <v>455872.46492069127</v>
      </c>
      <c r="F39" s="19">
        <f>F35-F37</f>
        <v>462710.55189450172</v>
      </c>
      <c r="G39" s="19">
        <f>G35-G37</f>
        <v>467337.65741344658</v>
      </c>
    </row>
    <row r="40" spans="2:7" ht="14" x14ac:dyDescent="0.3">
      <c r="B40" s="4" t="s">
        <v>96</v>
      </c>
      <c r="C40" s="5">
        <f>MAX(0,C39*C6)</f>
        <v>110522.06090575001</v>
      </c>
      <c r="D40" s="5">
        <f>MAX(0,D39*C6)</f>
        <v>112179.89181933629</v>
      </c>
      <c r="E40" s="5">
        <f>MAX(0,E39*C6)</f>
        <v>113968.11623017282</v>
      </c>
      <c r="F40" s="5">
        <f>MAX(0,F39*C6)</f>
        <v>115677.63797362543</v>
      </c>
      <c r="G40" s="5">
        <f>MAX(0,G39*C6)</f>
        <v>116834.41435336164</v>
      </c>
    </row>
    <row r="41" spans="2:7" ht="14" x14ac:dyDescent="0.3">
      <c r="B41" s="4" t="s">
        <v>97</v>
      </c>
      <c r="C41" s="19">
        <f>C39-C40</f>
        <v>331566.18271725002</v>
      </c>
      <c r="D41" s="19">
        <f>D39-D40</f>
        <v>336539.67545800889</v>
      </c>
      <c r="E41" s="19">
        <f>E39-E40</f>
        <v>341904.34869051847</v>
      </c>
      <c r="F41" s="19">
        <f>F39-F40</f>
        <v>347032.91392087628</v>
      </c>
      <c r="G41" s="19">
        <f>G39-G40</f>
        <v>350503.24306008493</v>
      </c>
    </row>
    <row r="42" spans="2:7" ht="14" x14ac:dyDescent="0.3">
      <c r="B42" s="4" t="s">
        <v>98</v>
      </c>
      <c r="C42" s="5">
        <f>C33*C18</f>
        <v>378581.591388</v>
      </c>
      <c r="D42" s="5">
        <f>D33*C18</f>
        <v>384260.31525881996</v>
      </c>
      <c r="E42" s="5">
        <f>E33*C18</f>
        <v>390024.21998770221</v>
      </c>
      <c r="F42" s="5">
        <f>F33*C18</f>
        <v>395874.58328751771</v>
      </c>
      <c r="G42" s="5">
        <f>G33*C18</f>
        <v>399833.32912039291</v>
      </c>
    </row>
    <row r="43" spans="2:7" ht="14" x14ac:dyDescent="0.3">
      <c r="B43" s="4" t="s">
        <v>99</v>
      </c>
      <c r="C43" s="5">
        <v>548500</v>
      </c>
      <c r="D43" s="5">
        <v>516300</v>
      </c>
      <c r="E43" s="5">
        <v>484200</v>
      </c>
      <c r="F43" s="5">
        <v>452000</v>
      </c>
      <c r="G43" s="5">
        <v>419800</v>
      </c>
    </row>
    <row r="44" spans="2:7" ht="14" x14ac:dyDescent="0.3">
      <c r="B44" s="4" t="s">
        <v>100</v>
      </c>
      <c r="C44" s="5">
        <f>'NWC Schedule'!D19</f>
        <v>-59990.432418630167</v>
      </c>
      <c r="D44" s="5">
        <f>'NWC Schedule'!E19</f>
        <v>7502.933513720578</v>
      </c>
      <c r="E44" s="5">
        <f>'NWC Schedule'!F19</f>
        <v>7615.4775164262392</v>
      </c>
      <c r="F44" s="5">
        <f>'NWC Schedule'!G19</f>
        <v>7729.7096791727236</v>
      </c>
      <c r="G44" s="5">
        <f>'NWC Schedule'!H19</f>
        <v>5230.4368829068262</v>
      </c>
    </row>
    <row r="45" spans="2:7" ht="14" x14ac:dyDescent="0.3">
      <c r="B45" s="4" t="s">
        <v>101</v>
      </c>
      <c r="C45" s="20">
        <f>C41+C42-C43-C44</f>
        <v>221638.20652388019</v>
      </c>
      <c r="D45" s="20">
        <f>D41+D42-D43-D44</f>
        <v>196997.05720310827</v>
      </c>
      <c r="E45" s="20">
        <f>E41+E42-E43-E44</f>
        <v>240113.09116179449</v>
      </c>
      <c r="F45" s="20">
        <f>F41+F42-F43-F44</f>
        <v>283177.78752922127</v>
      </c>
      <c r="G45" s="20">
        <f>G41+G42-G43-G44</f>
        <v>325306.13529757108</v>
      </c>
    </row>
    <row r="46" spans="2:7" ht="14" x14ac:dyDescent="0.3">
      <c r="B46" s="4" t="s">
        <v>102</v>
      </c>
      <c r="C46" s="21">
        <f>1/(1+C26)^(C19+0)</f>
        <v>0.9475534965889274</v>
      </c>
      <c r="D46" s="21">
        <f>1/(1+C26)^(C19+1)</f>
        <v>0.89785762889790244</v>
      </c>
      <c r="E46" s="21">
        <f>1/(1+C26)^(C19+2)</f>
        <v>0.85076813570125098</v>
      </c>
      <c r="F46" s="21">
        <f>1/(1+C26)^(C19+3)</f>
        <v>0.8061483217701636</v>
      </c>
      <c r="G46" s="21">
        <f>1/(1+C26)^(C19+4)</f>
        <v>0.7638686610626142</v>
      </c>
    </row>
    <row r="47" spans="2:7" ht="14" x14ac:dyDescent="0.3">
      <c r="B47" s="4" t="s">
        <v>103</v>
      </c>
      <c r="C47" s="19">
        <f>C45*C46</f>
        <v>210014.05756940148</v>
      </c>
      <c r="D47" s="19">
        <f>D45*D46</f>
        <v>176875.31068024723</v>
      </c>
      <c r="E47" s="19">
        <f>E45*E46</f>
        <v>204280.56692518442</v>
      </c>
      <c r="F47" s="19">
        <f>F45*F46</f>
        <v>228283.29817926968</v>
      </c>
      <c r="G47" s="19">
        <f>G45*G46</f>
        <v>248491.16200520925</v>
      </c>
    </row>
    <row r="49" spans="2:7" ht="14" x14ac:dyDescent="0.3">
      <c r="B49" s="22" t="s">
        <v>104</v>
      </c>
      <c r="C49" s="23"/>
      <c r="D49" s="23"/>
      <c r="E49" s="23"/>
      <c r="F49" s="23"/>
      <c r="G49" s="23"/>
    </row>
    <row r="50" spans="2:7" ht="14" x14ac:dyDescent="0.3">
      <c r="B50" s="4" t="s">
        <v>105</v>
      </c>
      <c r="C50" s="5">
        <f>SUM(C47:G47)</f>
        <v>1067944.3953593122</v>
      </c>
    </row>
    <row r="51" spans="2:7" ht="14" x14ac:dyDescent="0.3">
      <c r="B51" s="4" t="s">
        <v>106</v>
      </c>
      <c r="C51" s="5">
        <f>G45*(1+C13)/(C26-C13)</f>
        <v>7245063.9789472101</v>
      </c>
    </row>
    <row r="52" spans="2:7" ht="14" x14ac:dyDescent="0.3">
      <c r="B52" s="4" t="s">
        <v>107</v>
      </c>
      <c r="C52" s="5">
        <f>C51*G46</f>
        <v>5534277.3209113814</v>
      </c>
    </row>
    <row r="53" spans="2:7" ht="14" x14ac:dyDescent="0.3">
      <c r="B53" s="4" t="s">
        <v>108</v>
      </c>
      <c r="C53" s="5">
        <f>C50+C52</f>
        <v>6602221.7162706936</v>
      </c>
    </row>
    <row r="54" spans="2:7" ht="14" x14ac:dyDescent="0.3">
      <c r="B54" s="4" t="s">
        <v>109</v>
      </c>
      <c r="C54" s="5">
        <f>C53-C16</f>
        <v>3664797.7162706936</v>
      </c>
    </row>
    <row r="55" spans="2:7" ht="14" x14ac:dyDescent="0.3">
      <c r="B55" s="4" t="s">
        <v>110</v>
      </c>
      <c r="C55" s="24">
        <f>ROUND(C54*1000000/C15,0)</f>
        <v>3290</v>
      </c>
    </row>
    <row r="57" spans="2:7" ht="14" x14ac:dyDescent="0.3">
      <c r="B57" s="22" t="s">
        <v>111</v>
      </c>
      <c r="C57" s="23"/>
      <c r="D57" s="23"/>
      <c r="E57" s="23"/>
      <c r="F57" s="23"/>
      <c r="G57" s="23"/>
    </row>
    <row r="58" spans="2:7" ht="14" x14ac:dyDescent="0.3">
      <c r="B58" s="4" t="s">
        <v>105</v>
      </c>
      <c r="C58" s="5">
        <f>C50</f>
        <v>1067944.3953593122</v>
      </c>
    </row>
    <row r="59" spans="2:7" ht="14" x14ac:dyDescent="0.3">
      <c r="B59" s="4" t="s">
        <v>112</v>
      </c>
      <c r="C59" s="5">
        <f>G39+G42</f>
        <v>867170.98653383949</v>
      </c>
    </row>
    <row r="60" spans="2:7" ht="14" x14ac:dyDescent="0.3">
      <c r="B60" s="4" t="s">
        <v>113</v>
      </c>
      <c r="C60" s="5">
        <f>C59*C14</f>
        <v>7544387.5828444026</v>
      </c>
    </row>
    <row r="61" spans="2:7" ht="14" x14ac:dyDescent="0.3">
      <c r="B61" s="4" t="s">
        <v>107</v>
      </c>
      <c r="C61" s="5">
        <f>C60*G46</f>
        <v>5762921.2414447665</v>
      </c>
    </row>
    <row r="62" spans="2:7" ht="14" x14ac:dyDescent="0.3">
      <c r="B62" s="4" t="s">
        <v>108</v>
      </c>
      <c r="C62" s="5">
        <f>C58+C61</f>
        <v>6830865.6368040787</v>
      </c>
    </row>
    <row r="63" spans="2:7" ht="14" x14ac:dyDescent="0.3">
      <c r="B63" s="4" t="s">
        <v>109</v>
      </c>
      <c r="C63" s="5">
        <f>C62-C16</f>
        <v>3893441.6368040787</v>
      </c>
    </row>
    <row r="64" spans="2:7" ht="14" x14ac:dyDescent="0.3">
      <c r="B64" s="4" t="s">
        <v>114</v>
      </c>
      <c r="C64" s="24">
        <f>ROUND(C63*1000000/C15,0)</f>
        <v>3495</v>
      </c>
    </row>
    <row r="66" spans="2:7" ht="14" x14ac:dyDescent="0.3">
      <c r="B66" s="22" t="s">
        <v>115</v>
      </c>
      <c r="C66" s="23"/>
      <c r="D66" s="23"/>
      <c r="E66" s="23"/>
      <c r="F66" s="23"/>
      <c r="G66" s="23"/>
    </row>
    <row r="67" spans="2:7" ht="14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x14ac:dyDescent="0.3">
      <c r="B68" s="3" t="s">
        <v>46</v>
      </c>
    </row>
    <row r="69" spans="2:7" ht="14" x14ac:dyDescent="0.3">
      <c r="B69" s="4" t="s">
        <v>84</v>
      </c>
      <c r="C69" s="26">
        <v>0.01</v>
      </c>
      <c r="D69" s="26">
        <v>1.4999999999999999E-2</v>
      </c>
      <c r="E69" s="26">
        <v>1.4999999999999999E-2</v>
      </c>
      <c r="F69" s="26">
        <v>1.4999999999999999E-2</v>
      </c>
      <c r="G69" s="26">
        <v>0.01</v>
      </c>
    </row>
    <row r="70" spans="2:7" ht="14" x14ac:dyDescent="0.3">
      <c r="B70" s="4" t="s">
        <v>121</v>
      </c>
      <c r="C70" s="26">
        <v>0.02</v>
      </c>
      <c r="D70" s="26">
        <v>0.02</v>
      </c>
      <c r="E70" s="26">
        <v>0.02</v>
      </c>
      <c r="F70" s="26">
        <v>0.02</v>
      </c>
      <c r="G70" s="26">
        <v>1.4999999999999999E-2</v>
      </c>
    </row>
    <row r="71" spans="2:7" ht="14" x14ac:dyDescent="0.3">
      <c r="B71" s="4" t="s">
        <v>122</v>
      </c>
      <c r="C71" s="26">
        <v>0.01</v>
      </c>
      <c r="D71" s="26">
        <v>1.4999999999999999E-2</v>
      </c>
      <c r="E71" s="26">
        <v>1.4999999999999999E-2</v>
      </c>
      <c r="F71" s="26">
        <v>1.4999999999999999E-2</v>
      </c>
      <c r="G71" s="26">
        <v>0.01</v>
      </c>
    </row>
    <row r="72" spans="2:7" ht="14" x14ac:dyDescent="0.3">
      <c r="B72" s="4" t="s">
        <v>123</v>
      </c>
      <c r="C72" s="26">
        <v>0</v>
      </c>
      <c r="D72" s="26">
        <v>5.0000000000000001E-3</v>
      </c>
      <c r="E72" s="26">
        <v>0.01</v>
      </c>
      <c r="F72" s="26">
        <v>0.01</v>
      </c>
      <c r="G72" s="26">
        <v>0.01</v>
      </c>
    </row>
    <row r="73" spans="2:7" ht="14" x14ac:dyDescent="0.3">
      <c r="B73" s="4" t="s">
        <v>124</v>
      </c>
      <c r="C73" s="26">
        <v>-0.08</v>
      </c>
      <c r="D73" s="26">
        <v>-0.02</v>
      </c>
      <c r="E73" s="26">
        <v>0.01</v>
      </c>
      <c r="F73" s="26">
        <v>0.01</v>
      </c>
      <c r="G73" s="26">
        <v>0.01</v>
      </c>
    </row>
    <row r="75" spans="2:7" ht="14" x14ac:dyDescent="0.3">
      <c r="B75" s="3" t="s">
        <v>91</v>
      </c>
    </row>
    <row r="76" spans="2:7" ht="14" x14ac:dyDescent="0.3">
      <c r="B76" s="4" t="s">
        <v>84</v>
      </c>
      <c r="C76" s="26">
        <v>0.82</v>
      </c>
      <c r="D76" s="26">
        <v>0.82</v>
      </c>
      <c r="E76" s="26">
        <v>0.82</v>
      </c>
      <c r="F76" s="26">
        <v>0.82</v>
      </c>
      <c r="G76" s="26">
        <v>0.82</v>
      </c>
    </row>
    <row r="77" spans="2:7" ht="14" x14ac:dyDescent="0.3">
      <c r="B77" s="4" t="s">
        <v>121</v>
      </c>
      <c r="C77" s="26">
        <v>0.80800000000000005</v>
      </c>
      <c r="D77" s="26">
        <v>0.80800000000000005</v>
      </c>
      <c r="E77" s="26">
        <v>0.80800000000000005</v>
      </c>
      <c r="F77" s="26">
        <v>0.80800000000000005</v>
      </c>
      <c r="G77" s="26">
        <v>0.80800000000000005</v>
      </c>
    </row>
    <row r="78" spans="2:7" ht="14" x14ac:dyDescent="0.3">
      <c r="B78" s="4" t="s">
        <v>122</v>
      </c>
      <c r="C78" s="26">
        <v>0.82</v>
      </c>
      <c r="D78" s="26">
        <v>0.82</v>
      </c>
      <c r="E78" s="26">
        <v>0.82</v>
      </c>
      <c r="F78" s="26">
        <v>0.82</v>
      </c>
      <c r="G78" s="26">
        <v>0.82</v>
      </c>
    </row>
    <row r="79" spans="2:7" ht="14" x14ac:dyDescent="0.3">
      <c r="B79" s="4" t="s">
        <v>123</v>
      </c>
      <c r="C79" s="26">
        <v>0.83399999999999996</v>
      </c>
      <c r="D79" s="26">
        <v>0.83399999999999996</v>
      </c>
      <c r="E79" s="26">
        <v>0.83399999999999996</v>
      </c>
      <c r="F79" s="26">
        <v>0.83399999999999996</v>
      </c>
      <c r="G79" s="26">
        <v>0.83399999999999996</v>
      </c>
    </row>
    <row r="80" spans="2:7" ht="14" x14ac:dyDescent="0.3">
      <c r="B80" s="4" t="s">
        <v>124</v>
      </c>
      <c r="C80" s="26">
        <v>0.85499999999999998</v>
      </c>
      <c r="D80" s="26">
        <v>0.85499999999999998</v>
      </c>
      <c r="E80" s="26">
        <v>0.85499999999999998</v>
      </c>
      <c r="F80" s="26">
        <v>0.85499999999999998</v>
      </c>
      <c r="G80" s="26">
        <v>0.85499999999999998</v>
      </c>
    </row>
    <row r="82" spans="2:7" ht="14" x14ac:dyDescent="0.3">
      <c r="B82" s="3" t="s">
        <v>92</v>
      </c>
    </row>
    <row r="83" spans="2:7" ht="14" x14ac:dyDescent="0.3">
      <c r="B83" s="4" t="s">
        <v>84</v>
      </c>
      <c r="C83" s="26">
        <v>7.2099999999999997E-2</v>
      </c>
      <c r="D83" s="26">
        <v>7.2099999999999997E-2</v>
      </c>
      <c r="E83" s="26">
        <v>7.1999999999999995E-2</v>
      </c>
      <c r="F83" s="26">
        <v>7.1999999999999995E-2</v>
      </c>
      <c r="G83" s="26">
        <v>7.1999999999999995E-2</v>
      </c>
    </row>
    <row r="84" spans="2:7" ht="14" x14ac:dyDescent="0.3">
      <c r="B84" s="4" t="s">
        <v>121</v>
      </c>
      <c r="C84" s="26">
        <v>7.8E-2</v>
      </c>
      <c r="D84" s="26">
        <v>7.3499999999999996E-2</v>
      </c>
      <c r="E84" s="26">
        <v>7.0000000000000007E-2</v>
      </c>
      <c r="F84" s="26">
        <v>6.7500000000000004E-2</v>
      </c>
      <c r="G84" s="26">
        <v>6.6000000000000003E-2</v>
      </c>
    </row>
    <row r="85" spans="2:7" ht="14" x14ac:dyDescent="0.3">
      <c r="B85" s="4" t="s">
        <v>122</v>
      </c>
      <c r="C85" s="26">
        <v>7.2099999999999997E-2</v>
      </c>
      <c r="D85" s="26">
        <v>7.2099999999999997E-2</v>
      </c>
      <c r="E85" s="26">
        <v>7.1999999999999995E-2</v>
      </c>
      <c r="F85" s="26">
        <v>7.1999999999999995E-2</v>
      </c>
      <c r="G85" s="26">
        <v>7.1999999999999995E-2</v>
      </c>
    </row>
    <row r="86" spans="2:7" ht="14" x14ac:dyDescent="0.3">
      <c r="B86" s="4" t="s">
        <v>123</v>
      </c>
      <c r="C86" s="26">
        <v>6.8000000000000005E-2</v>
      </c>
      <c r="D86" s="26">
        <v>7.5999999999999998E-2</v>
      </c>
      <c r="E86" s="26">
        <v>8.2000000000000003E-2</v>
      </c>
      <c r="F86" s="26">
        <v>8.5999999999999993E-2</v>
      </c>
      <c r="G86" s="26">
        <v>8.8400000000000006E-2</v>
      </c>
    </row>
    <row r="87" spans="2:7" ht="14" x14ac:dyDescent="0.3">
      <c r="B87" s="4" t="s">
        <v>124</v>
      </c>
      <c r="C87" s="26">
        <v>0.09</v>
      </c>
      <c r="D87" s="26">
        <v>0.11</v>
      </c>
      <c r="E87" s="26">
        <v>0.115</v>
      </c>
      <c r="F87" s="26">
        <v>0.113</v>
      </c>
      <c r="G87" s="26">
        <v>0.11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125</v>
      </c>
    </row>
    <row r="3" spans="2:9" ht="14" x14ac:dyDescent="0.3">
      <c r="B3" s="1" t="s">
        <v>126</v>
      </c>
    </row>
    <row r="5" spans="2:9" ht="14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128</v>
      </c>
      <c r="C6" s="15">
        <f>'Executive Summary'!C9</f>
        <v>2947</v>
      </c>
    </row>
    <row r="7" spans="2:9" ht="14" x14ac:dyDescent="0.3">
      <c r="B7" s="4" t="s">
        <v>72</v>
      </c>
      <c r="C7" s="15">
        <f>'DCF Model'!C15</f>
        <v>1114056720</v>
      </c>
    </row>
    <row r="8" spans="2:9" ht="14" x14ac:dyDescent="0.3">
      <c r="B8" s="4" t="s">
        <v>129</v>
      </c>
      <c r="C8" s="5">
        <f>C6*C7/1000000</f>
        <v>3283125.1538399998</v>
      </c>
    </row>
    <row r="9" spans="2:9" ht="14" x14ac:dyDescent="0.3">
      <c r="B9" s="4" t="s">
        <v>73</v>
      </c>
      <c r="C9" s="5">
        <f>'DCF Model'!C16</f>
        <v>2937424</v>
      </c>
    </row>
    <row r="10" spans="2:9" ht="14" x14ac:dyDescent="0.3">
      <c r="B10" s="4" t="s">
        <v>130</v>
      </c>
      <c r="C10" s="5">
        <f>C8+C9</f>
        <v>6220549.1538399998</v>
      </c>
    </row>
    <row r="11" spans="2:9" ht="14" x14ac:dyDescent="0.3">
      <c r="B11" s="4" t="s">
        <v>131</v>
      </c>
      <c r="C11" s="16">
        <f>'DCF Model'!C26</f>
        <v>5.5349385126933028E-2</v>
      </c>
    </row>
    <row r="12" spans="2:9" ht="14" x14ac:dyDescent="0.3">
      <c r="B12" s="4" t="s">
        <v>132</v>
      </c>
      <c r="C12" s="16">
        <f>'DCF Model'!C13</f>
        <v>0.01</v>
      </c>
    </row>
    <row r="13" spans="2:9" ht="14" x14ac:dyDescent="0.3">
      <c r="B13" s="4" t="s">
        <v>133</v>
      </c>
      <c r="C13" s="16">
        <f>'DCF Model'!C6</f>
        <v>0.25</v>
      </c>
    </row>
    <row r="14" spans="2:9" ht="14" x14ac:dyDescent="0.3">
      <c r="B14" s="4" t="s">
        <v>134</v>
      </c>
      <c r="C14" s="27">
        <v>437557</v>
      </c>
    </row>
    <row r="15" spans="2:9" ht="14" x14ac:dyDescent="0.3">
      <c r="B15" s="4" t="s">
        <v>135</v>
      </c>
      <c r="C15" s="27">
        <v>728936</v>
      </c>
    </row>
    <row r="16" spans="2:9" ht="14" x14ac:dyDescent="0.3">
      <c r="B16" s="4" t="s">
        <v>136</v>
      </c>
      <c r="C16" s="5">
        <f>'DCF Model'!G33</f>
        <v>4327200.5316059841</v>
      </c>
    </row>
    <row r="17" spans="2:9" ht="14" x14ac:dyDescent="0.3">
      <c r="B17" s="4" t="s">
        <v>137</v>
      </c>
      <c r="C17" s="5">
        <f>'DCF Model'!C53</f>
        <v>6602221.7162706936</v>
      </c>
    </row>
    <row r="18" spans="2:9" ht="14" x14ac:dyDescent="0.3">
      <c r="B18" s="4" t="s">
        <v>138</v>
      </c>
      <c r="C18" s="26">
        <v>0.17956844116720369</v>
      </c>
    </row>
    <row r="19" spans="2:9" ht="14" x14ac:dyDescent="0.3">
      <c r="B19" s="4" t="s">
        <v>139</v>
      </c>
      <c r="C19" s="5">
        <f>C10-C17</f>
        <v>-381672.56243069377</v>
      </c>
    </row>
    <row r="20" spans="2:9" ht="14" x14ac:dyDescent="0.3">
      <c r="B20" s="4" t="s">
        <v>140</v>
      </c>
      <c r="C20" s="15">
        <f>IFERROR(ROUND(C19*1000000/C7,0),"N/A")</f>
        <v>-343</v>
      </c>
    </row>
    <row r="22" spans="2:9" ht="14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142</v>
      </c>
    </row>
    <row r="24" spans="2:9" ht="14" x14ac:dyDescent="0.3">
      <c r="B24" s="4" t="s">
        <v>143</v>
      </c>
      <c r="C24" s="5">
        <f>C10*(C11-C12)</f>
        <v>282098.0792785075</v>
      </c>
    </row>
    <row r="25" spans="2:9" ht="14" x14ac:dyDescent="0.3">
      <c r="B25" s="4" t="s">
        <v>144</v>
      </c>
      <c r="C25" s="5">
        <f>IFERROR(C24/(1-C13),"N/A")</f>
        <v>376130.77237134334</v>
      </c>
    </row>
    <row r="26" spans="2:9" ht="13.5" x14ac:dyDescent="0.25">
      <c r="B26" s="6" t="s">
        <v>145</v>
      </c>
      <c r="C26" s="14">
        <f>IFERROR(C25/C15,"N/A")</f>
        <v>0.51599972064947175</v>
      </c>
    </row>
    <row r="27" spans="2:9" ht="13.5" x14ac:dyDescent="0.25">
      <c r="B27" s="6" t="s">
        <v>146</v>
      </c>
      <c r="C27" s="14">
        <f>IFERROR(C25/C14,"N/A")</f>
        <v>0.85961548408857213</v>
      </c>
    </row>
    <row r="28" spans="2:9" ht="13.5" x14ac:dyDescent="0.25">
      <c r="B28" s="6" t="s">
        <v>147</v>
      </c>
      <c r="C28" s="7">
        <f>IFERROR(C25/C16,"N/A")</f>
        <v>8.6922427011199149E-2</v>
      </c>
    </row>
    <row r="29" spans="2:9" ht="13.5" x14ac:dyDescent="0.25">
      <c r="B29" s="6" t="s">
        <v>148</v>
      </c>
      <c r="C29" s="5">
        <f>IFERROR(C25/C18,"N/A")</f>
        <v>2094637.3980108912</v>
      </c>
    </row>
    <row r="32" spans="2:9" ht="14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150</v>
      </c>
    </row>
    <row r="34" spans="2:9" ht="14" x14ac:dyDescent="0.3">
      <c r="B34" s="1" t="s">
        <v>151</v>
      </c>
    </row>
    <row r="36" spans="2:9" ht="14" x14ac:dyDescent="0.3">
      <c r="B36" s="28" t="s">
        <v>152</v>
      </c>
      <c r="C36" s="28" t="s">
        <v>153</v>
      </c>
      <c r="D36" s="29">
        <f>'DCF Model'!C26-0.02</f>
        <v>3.5349385126933031E-2</v>
      </c>
      <c r="E36" s="29">
        <f>'DCF Model'!C26-0.01</f>
        <v>4.5349385126933026E-2</v>
      </c>
      <c r="F36" s="29">
        <f>'DCF Model'!C26</f>
        <v>5.5349385126933028E-2</v>
      </c>
      <c r="G36" s="29">
        <f>'DCF Model'!C26+0.01</f>
        <v>6.5349385126933029E-2</v>
      </c>
      <c r="H36" s="29">
        <f>'DCF Model'!C26+0.02</f>
        <v>7.5349385126933024E-2</v>
      </c>
    </row>
    <row r="37" spans="2:9" ht="14" x14ac:dyDescent="0.3">
      <c r="B37" s="3" t="s">
        <v>154</v>
      </c>
    </row>
    <row r="38" spans="2:9" ht="14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0.95486527633193319</v>
      </c>
      <c r="E38" s="13">
        <f t="shared" si="0"/>
        <v>0.94278461843098094</v>
      </c>
      <c r="F38" s="13">
        <f t="shared" si="0"/>
        <v>0.93098820735853671</v>
      </c>
      <c r="G38" s="13">
        <f t="shared" si="0"/>
        <v>0.9194664960178176</v>
      </c>
      <c r="H38" s="13">
        <f t="shared" si="0"/>
        <v>0.9082103492899487</v>
      </c>
    </row>
    <row r="39" spans="2:9" ht="14" x14ac:dyDescent="0.3">
      <c r="B39" s="4" t="s">
        <v>156</v>
      </c>
      <c r="C39" s="30">
        <v>5</v>
      </c>
      <c r="D39" s="13">
        <f t="shared" si="0"/>
        <v>1.866879757070135</v>
      </c>
      <c r="E39" s="13">
        <f t="shared" si="0"/>
        <v>1.83202059180342</v>
      </c>
      <c r="F39" s="13">
        <f t="shared" si="0"/>
        <v>1.7982942932444388</v>
      </c>
      <c r="G39" s="13">
        <f t="shared" si="0"/>
        <v>1.7656507394827474</v>
      </c>
      <c r="H39" s="13">
        <f t="shared" si="0"/>
        <v>1.7340425582178178</v>
      </c>
    </row>
    <row r="40" spans="2:9" ht="14" x14ac:dyDescent="0.3">
      <c r="B40" s="4" t="s">
        <v>157</v>
      </c>
      <c r="C40" s="30">
        <v>7</v>
      </c>
      <c r="D40" s="13">
        <f t="shared" si="0"/>
        <v>2.7382043053873804</v>
      </c>
      <c r="E40" s="13">
        <f t="shared" si="0"/>
        <v>2.6711245520165909</v>
      </c>
      <c r="F40" s="13">
        <f t="shared" si="0"/>
        <v>2.6068100535697369</v>
      </c>
      <c r="G40" s="13">
        <f t="shared" si="0"/>
        <v>2.545109720769176</v>
      </c>
      <c r="H40" s="13">
        <f t="shared" si="0"/>
        <v>2.4858824811160751</v>
      </c>
    </row>
    <row r="41" spans="2:9" ht="14" x14ac:dyDescent="0.3">
      <c r="B41" s="4" t="s">
        <v>158</v>
      </c>
      <c r="C41" s="30">
        <v>10</v>
      </c>
      <c r="D41" s="13">
        <f t="shared" si="0"/>
        <v>3.9733401277039739</v>
      </c>
      <c r="E41" s="13">
        <f t="shared" si="0"/>
        <v>3.8426891084556827</v>
      </c>
      <c r="F41" s="13">
        <f t="shared" si="0"/>
        <v>3.7190755956212667</v>
      </c>
      <c r="G41" s="13">
        <f t="shared" si="0"/>
        <v>3.6020087031677934</v>
      </c>
      <c r="H41" s="13">
        <f t="shared" si="0"/>
        <v>3.4910382710479437</v>
      </c>
    </row>
    <row r="42" spans="2:9" ht="14" x14ac:dyDescent="0.3">
      <c r="B42" s="3" t="s">
        <v>159</v>
      </c>
    </row>
    <row r="43" spans="2:9" ht="14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37.744795961984352</v>
      </c>
      <c r="E43" s="13">
        <f t="shared" si="1"/>
        <v>26.816754552023802</v>
      </c>
      <c r="F43" s="13">
        <f t="shared" si="1"/>
        <v>20.71309552162219</v>
      </c>
      <c r="G43" s="13">
        <f t="shared" si="1"/>
        <v>16.818808190380498</v>
      </c>
      <c r="H43" s="13">
        <f t="shared" si="1"/>
        <v>14.11952083492903</v>
      </c>
    </row>
    <row r="44" spans="2:9" ht="14" x14ac:dyDescent="0.3">
      <c r="B44" s="4" t="s">
        <v>156</v>
      </c>
      <c r="C44" s="30">
        <v>5</v>
      </c>
      <c r="D44" s="13">
        <f t="shared" si="1"/>
        <v>36.134028263078953</v>
      </c>
      <c r="E44" s="13">
        <f t="shared" si="1"/>
        <v>25.442967273100354</v>
      </c>
      <c r="F44" s="13">
        <f t="shared" si="1"/>
        <v>19.480422528812699</v>
      </c>
      <c r="G44" s="13">
        <f t="shared" si="1"/>
        <v>15.682947962994293</v>
      </c>
      <c r="H44" s="13">
        <f t="shared" si="1"/>
        <v>13.056195332313402</v>
      </c>
    </row>
    <row r="45" spans="2:9" ht="14" x14ac:dyDescent="0.3">
      <c r="B45" s="4" t="s">
        <v>157</v>
      </c>
      <c r="C45" s="30">
        <v>7</v>
      </c>
      <c r="D45" s="13">
        <f t="shared" si="1"/>
        <v>34.610850275522054</v>
      </c>
      <c r="E45" s="13">
        <f t="shared" si="1"/>
        <v>24.160441726049807</v>
      </c>
      <c r="F45" s="13">
        <f t="shared" si="1"/>
        <v>18.343859303759224</v>
      </c>
      <c r="G45" s="13">
        <f t="shared" si="1"/>
        <v>14.648260949761173</v>
      </c>
      <c r="H45" s="13">
        <f t="shared" si="1"/>
        <v>12.098978237928076</v>
      </c>
    </row>
    <row r="46" spans="2:9" ht="14" x14ac:dyDescent="0.3">
      <c r="B46" s="4" t="s">
        <v>158</v>
      </c>
      <c r="C46" s="30">
        <v>10</v>
      </c>
      <c r="D46" s="13">
        <f t="shared" si="1"/>
        <v>32.479043565803345</v>
      </c>
      <c r="E46" s="13">
        <f t="shared" si="1"/>
        <v>22.393307797856224</v>
      </c>
      <c r="F46" s="13">
        <f t="shared" si="1"/>
        <v>16.801265576394904</v>
      </c>
      <c r="G46" s="13">
        <f t="shared" si="1"/>
        <v>13.26428354662862</v>
      </c>
      <c r="H46" s="13">
        <f t="shared" si="1"/>
        <v>10.836636838658908</v>
      </c>
    </row>
    <row r="47" spans="2:9" ht="14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155</v>
      </c>
      <c r="C48" s="30">
        <v>3</v>
      </c>
      <c r="D48" s="5">
        <f t="shared" ref="D48:H51" si="2">IFERROR(($C$10/(1-$C$13)-$C$14*D38)/D43,"N/A")</f>
        <v>208671.3506325518</v>
      </c>
      <c r="E48" s="5">
        <f t="shared" si="2"/>
        <v>293903.70538226538</v>
      </c>
      <c r="F48" s="5">
        <f t="shared" si="2"/>
        <v>380759.36661293829</v>
      </c>
      <c r="G48" s="5">
        <f t="shared" si="2"/>
        <v>469221.50770284317</v>
      </c>
      <c r="H48" s="5">
        <f t="shared" si="2"/>
        <v>559273.35176376486</v>
      </c>
    </row>
    <row r="49" spans="2:9" ht="14" x14ac:dyDescent="0.3">
      <c r="B49" s="4" t="s">
        <v>156</v>
      </c>
      <c r="C49" s="30">
        <v>5</v>
      </c>
      <c r="D49" s="5">
        <f t="shared" si="2"/>
        <v>206929.57835063888</v>
      </c>
      <c r="E49" s="5">
        <f t="shared" si="2"/>
        <v>294480.27912558056</v>
      </c>
      <c r="F49" s="5">
        <f t="shared" si="2"/>
        <v>385371.9944359815</v>
      </c>
      <c r="G49" s="5">
        <f t="shared" si="2"/>
        <v>479596.86632802081</v>
      </c>
      <c r="H49" s="5">
        <f t="shared" si="2"/>
        <v>577145.40009658772</v>
      </c>
    </row>
    <row r="50" spans="2:9" ht="14" x14ac:dyDescent="0.3">
      <c r="B50" s="4" t="s">
        <v>157</v>
      </c>
      <c r="C50" s="30">
        <v>7</v>
      </c>
      <c r="D50" s="5">
        <f t="shared" si="2"/>
        <v>205020.82499312176</v>
      </c>
      <c r="E50" s="5">
        <f t="shared" si="2"/>
        <v>294915.81212127052</v>
      </c>
      <c r="F50" s="5">
        <f t="shared" si="2"/>
        <v>389963.60762413609</v>
      </c>
      <c r="G50" s="5">
        <f t="shared" si="2"/>
        <v>490190.26825022569</v>
      </c>
      <c r="H50" s="5">
        <f t="shared" si="2"/>
        <v>595616.43272264441</v>
      </c>
    </row>
    <row r="51" spans="2:9" ht="14" x14ac:dyDescent="0.3">
      <c r="B51" s="4" t="s">
        <v>158</v>
      </c>
      <c r="C51" s="30">
        <v>10</v>
      </c>
      <c r="D51" s="5">
        <f t="shared" si="2"/>
        <v>201837.92478106549</v>
      </c>
      <c r="E51" s="5">
        <f t="shared" si="2"/>
        <v>295296.70560138684</v>
      </c>
      <c r="F51" s="5">
        <f t="shared" si="2"/>
        <v>396800.94024741818</v>
      </c>
      <c r="G51" s="5">
        <f t="shared" si="2"/>
        <v>506471.48733704886</v>
      </c>
      <c r="H51" s="5">
        <f t="shared" si="2"/>
        <v>624413.03574456624</v>
      </c>
    </row>
    <row r="52" spans="2:9" ht="14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155</v>
      </c>
      <c r="C53" s="30">
        <v>3</v>
      </c>
      <c r="D53" s="14">
        <f t="shared" ref="D53:H56" si="3">IFERROR(D48/$C$15,"N/A")</f>
        <v>0.2862684112631998</v>
      </c>
      <c r="E53" s="14">
        <f t="shared" si="3"/>
        <v>0.40319548682225242</v>
      </c>
      <c r="F53" s="14">
        <f t="shared" si="3"/>
        <v>0.52234951575026933</v>
      </c>
      <c r="G53" s="14">
        <f t="shared" si="3"/>
        <v>0.64370741423505384</v>
      </c>
      <c r="H53" s="14">
        <f t="shared" si="3"/>
        <v>0.76724616669195222</v>
      </c>
    </row>
    <row r="54" spans="2:9" ht="14" x14ac:dyDescent="0.3">
      <c r="B54" s="4" t="s">
        <v>156</v>
      </c>
      <c r="C54" s="30">
        <v>5</v>
      </c>
      <c r="D54" s="14">
        <f t="shared" si="3"/>
        <v>0.28387893909841039</v>
      </c>
      <c r="E54" s="14">
        <f t="shared" si="3"/>
        <v>0.40398646674822009</v>
      </c>
      <c r="F54" s="14">
        <f t="shared" si="3"/>
        <v>0.52867740711939248</v>
      </c>
      <c r="G54" s="14">
        <f t="shared" si="3"/>
        <v>0.65794098017935843</v>
      </c>
      <c r="H54" s="14">
        <f t="shared" si="3"/>
        <v>0.79176416049774978</v>
      </c>
    </row>
    <row r="55" spans="2:9" ht="14" x14ac:dyDescent="0.3">
      <c r="B55" s="4" t="s">
        <v>157</v>
      </c>
      <c r="C55" s="30">
        <v>7</v>
      </c>
      <c r="D55" s="14">
        <f t="shared" si="3"/>
        <v>0.2812603918493829</v>
      </c>
      <c r="E55" s="14">
        <f t="shared" si="3"/>
        <v>0.40458395815444775</v>
      </c>
      <c r="F55" s="14">
        <f t="shared" si="3"/>
        <v>0.53497646929790277</v>
      </c>
      <c r="G55" s="14">
        <f t="shared" si="3"/>
        <v>0.67247367155720894</v>
      </c>
      <c r="H55" s="14">
        <f t="shared" si="3"/>
        <v>0.81710387842368115</v>
      </c>
    </row>
    <row r="56" spans="2:9" ht="14" x14ac:dyDescent="0.3">
      <c r="B56" s="4" t="s">
        <v>158</v>
      </c>
      <c r="C56" s="30">
        <v>10</v>
      </c>
      <c r="D56" s="14">
        <f t="shared" si="3"/>
        <v>0.27689389024697025</v>
      </c>
      <c r="E56" s="14">
        <f t="shared" si="3"/>
        <v>0.40510649165549079</v>
      </c>
      <c r="F56" s="14">
        <f t="shared" si="3"/>
        <v>0.54435634986805181</v>
      </c>
      <c r="G56" s="14">
        <f t="shared" si="3"/>
        <v>0.69480926629642226</v>
      </c>
      <c r="H56" s="14">
        <f t="shared" si="3"/>
        <v>0.85660885968667511</v>
      </c>
    </row>
    <row r="58" spans="2:9" ht="14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163</v>
      </c>
    </row>
    <row r="60" spans="2:9" ht="14" x14ac:dyDescent="0.3">
      <c r="B60" s="4" t="s">
        <v>164</v>
      </c>
      <c r="C60" s="5">
        <f>F49</f>
        <v>385371.9944359815</v>
      </c>
    </row>
    <row r="62" spans="2:9" ht="14" x14ac:dyDescent="0.3">
      <c r="B62" s="28" t="s">
        <v>165</v>
      </c>
      <c r="C62" s="28" t="s">
        <v>166</v>
      </c>
      <c r="D62" s="28" t="s">
        <v>167</v>
      </c>
    </row>
    <row r="63" spans="2:9" ht="14" x14ac:dyDescent="0.3">
      <c r="B63" s="31">
        <v>8.9800000000000005E-2</v>
      </c>
      <c r="C63" s="5">
        <f>IFERROR($C$60/B63,"N/A")</f>
        <v>4291447.5995098157</v>
      </c>
      <c r="D63" s="14">
        <f>IFERROR(C63/'DCF Model'!C17,"N/A")</f>
        <v>1.0578830690322589</v>
      </c>
    </row>
    <row r="64" spans="2:9" ht="14" x14ac:dyDescent="0.3">
      <c r="B64" s="31">
        <v>0.13469999999999999</v>
      </c>
      <c r="C64" s="5">
        <f>IFERROR($C$60/B64,"N/A")</f>
        <v>2860965.0663398779</v>
      </c>
      <c r="D64" s="14">
        <f>IFERROR(C64/'DCF Model'!C17,"N/A")</f>
        <v>0.70525537935483951</v>
      </c>
    </row>
    <row r="65" spans="2:9" ht="14" x14ac:dyDescent="0.3">
      <c r="B65" s="4" t="s">
        <v>168</v>
      </c>
      <c r="C65" s="5">
        <f>IFERROR($C$60/$C$18,"N/A")</f>
        <v>2146100.9068800989</v>
      </c>
      <c r="D65" s="14">
        <f>IFERROR(C65/'DCF Model'!C17,"N/A")</f>
        <v>0.52903449504604405</v>
      </c>
    </row>
    <row r="66" spans="2:9" ht="14" x14ac:dyDescent="0.3">
      <c r="B66" s="31">
        <v>0.22450000000000001</v>
      </c>
      <c r="C66" s="5">
        <f>IFERROR($C$60/B66,"N/A")</f>
        <v>1716579.0398039264</v>
      </c>
      <c r="D66" s="14">
        <f>IFERROR(C66/'DCF Model'!C17,"N/A")</f>
        <v>0.42315322761290358</v>
      </c>
    </row>
    <row r="67" spans="2:9" ht="14" x14ac:dyDescent="0.3">
      <c r="B67" s="31">
        <v>0.26939999999999997</v>
      </c>
      <c r="C67" s="5">
        <f>IFERROR($C$60/B67,"N/A")</f>
        <v>1430482.5331699389</v>
      </c>
      <c r="D67" s="14">
        <f>IFERROR(C67/'DCF Model'!C17,"N/A")</f>
        <v>0.35262768967741975</v>
      </c>
    </row>
    <row r="69" spans="2:9" ht="14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170</v>
      </c>
      <c r="C70" s="14">
        <f>IFERROR(C10/'Comps Analysis'!G5,"N/A")</f>
        <v>7.657474184575614</v>
      </c>
    </row>
    <row r="71" spans="2:9" ht="13.5" x14ac:dyDescent="0.25">
      <c r="B71" s="6" t="s">
        <v>171</v>
      </c>
      <c r="C71" s="14">
        <f>IFERROR(C10/'Comps Analysis'!F5,"N/A")</f>
        <v>1.5334251385667488</v>
      </c>
    </row>
    <row r="72" spans="2:9" ht="14" x14ac:dyDescent="0.3">
      <c r="B72" s="4" t="s">
        <v>172</v>
      </c>
      <c r="C72" s="14">
        <f>IFERROR(C10/(C25+'DCF Model'!G42),"N/A")</f>
        <v>8.0165424429834218</v>
      </c>
    </row>
    <row r="73" spans="2:9" ht="14" x14ac:dyDescent="0.3">
      <c r="B73" s="4" t="s">
        <v>173</v>
      </c>
      <c r="C73" s="14">
        <f>IFERROR(C10/(C60+'DCF Model'!G42),"N/A")</f>
        <v>7.922194319398792</v>
      </c>
    </row>
    <row r="74" spans="2:9" ht="14" x14ac:dyDescent="0.3">
      <c r="B74" s="4" t="s">
        <v>174</v>
      </c>
      <c r="C74" s="14">
        <f>IFERROR('Comps Analysis'!D16,"N/A")</f>
        <v>8.6683807421758896</v>
      </c>
    </row>
    <row r="75" spans="2:9" ht="14" x14ac:dyDescent="0.3">
      <c r="B75" s="1" t="s">
        <v>175</v>
      </c>
    </row>
    <row r="77" spans="2:9" ht="14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FY2024 cycle peak of "&amp;TEXT(C15,"#,##0")&amp;" mn - reached in 5 years and sustained for ever, against "&amp;TEXT(C14,"#,##0")&amp;" mn actually earned in FY2026."</f>
        <v>At 2,947 yen the market is paying for a steady-state operating profit of 385,372 mn JPY - 0.53x the FY2024 cycle peak of 728,936 mn - reached in 5 years and sustained for ever, against 437,557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376,131 mn, or 0.52x the peak. The base case supports an EV of only 6,602,222 mn, leaving -343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177</v>
      </c>
    </row>
    <row r="4" spans="2:8" ht="14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x14ac:dyDescent="0.3">
      <c r="B5" s="33" t="s">
        <v>180</v>
      </c>
      <c r="C5" s="34">
        <f>C12/C9*365</f>
        <v>39.521151387220499</v>
      </c>
      <c r="D5" s="34">
        <f>CHOOSE('DCF Model'!$D$27,D25,D26,D27,D28,D29)</f>
        <v>38</v>
      </c>
      <c r="E5" s="34">
        <f>CHOOSE('DCF Model'!$D$27,E25,E26,E27,E28,E29)</f>
        <v>38</v>
      </c>
      <c r="F5" s="34">
        <f>CHOOSE('DCF Model'!$D$27,F25,F26,F27,F28,F29)</f>
        <v>38</v>
      </c>
      <c r="G5" s="34">
        <f>CHOOSE('DCF Model'!$D$27,G25,G26,G27,G28,G29)</f>
        <v>38</v>
      </c>
      <c r="H5" s="34">
        <f>CHOOSE('DCF Model'!$D$27,H25,H26,H27,H28,H29)</f>
        <v>38</v>
      </c>
    </row>
    <row r="6" spans="2:8" ht="14" x14ac:dyDescent="0.3">
      <c r="B6" s="33" t="s">
        <v>181</v>
      </c>
      <c r="C6" s="34">
        <f>C13/C10*365</f>
        <v>33.582182488367209</v>
      </c>
      <c r="D6" s="34">
        <f>CHOOSE('DCF Model'!$D$27,D32,D33,D34,D35,D36)</f>
        <v>28</v>
      </c>
      <c r="E6" s="34">
        <f>CHOOSE('DCF Model'!$D$27,E32,E33,E34,E35,E36)</f>
        <v>28</v>
      </c>
      <c r="F6" s="34">
        <f>CHOOSE('DCF Model'!$D$27,F32,F33,F34,F35,F36)</f>
        <v>28</v>
      </c>
      <c r="G6" s="34">
        <f>CHOOSE('DCF Model'!$D$27,G32,G33,G34,G35,G36)</f>
        <v>28</v>
      </c>
      <c r="H6" s="34">
        <f>CHOOSE('DCF Model'!$D$27,H32,H33,H34,H35,H36)</f>
        <v>28</v>
      </c>
    </row>
    <row r="7" spans="2:8" ht="14" x14ac:dyDescent="0.3">
      <c r="B7" s="33" t="s">
        <v>182</v>
      </c>
      <c r="C7" s="34">
        <f>C15/C10*365</f>
        <v>21.38435182422052</v>
      </c>
      <c r="D7" s="34">
        <f>CHOOSE('DCF Model'!$D$27,D39,D40,D41,D42,D43)</f>
        <v>20</v>
      </c>
      <c r="E7" s="34">
        <f>CHOOSE('DCF Model'!$D$27,E39,E40,E41,E42,E43)</f>
        <v>20</v>
      </c>
      <c r="F7" s="34">
        <f>CHOOSE('DCF Model'!$D$27,F39,F40,F41,F42,F43)</f>
        <v>20</v>
      </c>
      <c r="G7" s="34">
        <f>CHOOSE('DCF Model'!$D$27,G39,G40,G41,G42,G43)</f>
        <v>20</v>
      </c>
      <c r="H7" s="34">
        <f>CHOOSE('DCF Model'!$D$27,H39,H40,H41,H42,H43)</f>
        <v>20</v>
      </c>
    </row>
    <row r="8" spans="2:8" ht="14" x14ac:dyDescent="0.3">
      <c r="B8" s="8" t="s">
        <v>183</v>
      </c>
      <c r="C8" s="9"/>
      <c r="D8" s="9"/>
      <c r="E8" s="9"/>
      <c r="F8" s="9"/>
      <c r="G8" s="9"/>
      <c r="H8" s="9"/>
    </row>
    <row r="9" spans="2:8" ht="14" x14ac:dyDescent="0.3">
      <c r="B9" s="33" t="s">
        <v>37</v>
      </c>
      <c r="C9" s="35">
        <v>4056637</v>
      </c>
      <c r="D9" s="35">
        <f>'DCF Model'!C33</f>
        <v>4097203.37</v>
      </c>
      <c r="E9" s="35">
        <f>'DCF Model'!D33</f>
        <v>4158661.4205499999</v>
      </c>
      <c r="F9" s="35">
        <f>'DCF Model'!E33</f>
        <v>4221041.3418582492</v>
      </c>
      <c r="G9" s="35">
        <f>'DCF Model'!F33</f>
        <v>4284356.9619861227</v>
      </c>
      <c r="H9" s="35">
        <f>'DCF Model'!G33</f>
        <v>4327200.5316059841</v>
      </c>
    </row>
    <row r="10" spans="2:8" ht="14" x14ac:dyDescent="0.3">
      <c r="B10" s="33" t="s">
        <v>38</v>
      </c>
      <c r="C10" s="35">
        <v>3619080</v>
      </c>
      <c r="D10" s="35">
        <f>'DCF Model'!C34</f>
        <v>3359706.7634000001</v>
      </c>
      <c r="E10" s="35">
        <f>'DCF Model'!D34</f>
        <v>3410102.3648509998</v>
      </c>
      <c r="F10" s="35">
        <f>'DCF Model'!E34</f>
        <v>3461253.900323764</v>
      </c>
      <c r="G10" s="35">
        <f>'DCF Model'!F34</f>
        <v>3513172.7088286201</v>
      </c>
      <c r="H10" s="35">
        <f>'DCF Model'!G34</f>
        <v>3548304.4359169067</v>
      </c>
    </row>
    <row r="11" spans="2:8" ht="14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185</v>
      </c>
      <c r="C12" s="35">
        <v>439241</v>
      </c>
      <c r="D12" s="35">
        <f t="shared" ref="D12:H13" si="0">D9*D5/365</f>
        <v>426558.15906849317</v>
      </c>
      <c r="E12" s="35">
        <f t="shared" si="0"/>
        <v>432956.53145452053</v>
      </c>
      <c r="F12" s="35">
        <f t="shared" si="0"/>
        <v>439450.87942633824</v>
      </c>
      <c r="G12" s="35">
        <f t="shared" si="0"/>
        <v>446042.64261773333</v>
      </c>
      <c r="H12" s="35">
        <f t="shared" si="0"/>
        <v>450503.06904391065</v>
      </c>
    </row>
    <row r="13" spans="2:8" ht="14" x14ac:dyDescent="0.3">
      <c r="B13" s="33" t="s">
        <v>186</v>
      </c>
      <c r="C13" s="35">
        <v>332977</v>
      </c>
      <c r="D13" s="35">
        <f t="shared" si="0"/>
        <v>257730.92979506851</v>
      </c>
      <c r="E13" s="35">
        <f t="shared" si="0"/>
        <v>261596.89374199451</v>
      </c>
      <c r="F13" s="35">
        <f t="shared" si="0"/>
        <v>265520.84714812436</v>
      </c>
      <c r="G13" s="35">
        <f t="shared" si="0"/>
        <v>269503.6598553462</v>
      </c>
      <c r="H13" s="35">
        <f t="shared" si="0"/>
        <v>272198.69645389967</v>
      </c>
    </row>
    <row r="14" spans="2:8" ht="14" x14ac:dyDescent="0.3">
      <c r="B14" s="33" t="s">
        <v>187</v>
      </c>
      <c r="C14" s="35">
        <f t="shared" ref="C14:H14" si="1">C12+C13</f>
        <v>772218</v>
      </c>
      <c r="D14" s="35">
        <f t="shared" si="1"/>
        <v>684289.08886356163</v>
      </c>
      <c r="E14" s="35">
        <f t="shared" si="1"/>
        <v>694553.42519651505</v>
      </c>
      <c r="F14" s="35">
        <f t="shared" si="1"/>
        <v>704971.72657446261</v>
      </c>
      <c r="G14" s="35">
        <f t="shared" si="1"/>
        <v>715546.30247307953</v>
      </c>
      <c r="H14" s="35">
        <f t="shared" si="1"/>
        <v>722701.76549781032</v>
      </c>
    </row>
    <row r="15" spans="2:8" ht="14" x14ac:dyDescent="0.3">
      <c r="B15" s="33" t="s">
        <v>188</v>
      </c>
      <c r="C15" s="35">
        <v>212032</v>
      </c>
      <c r="D15" s="35">
        <f>D10*D7/365</f>
        <v>184093.5212821918</v>
      </c>
      <c r="E15" s="35">
        <f>E10*E7/365</f>
        <v>186854.92410142464</v>
      </c>
      <c r="F15" s="35">
        <f>F10*F7/365</f>
        <v>189657.74796294598</v>
      </c>
      <c r="G15" s="35">
        <f>G10*G7/365</f>
        <v>192502.61418239013</v>
      </c>
      <c r="H15" s="35">
        <f>H10*H7/365</f>
        <v>194427.64032421407</v>
      </c>
    </row>
    <row r="16" spans="2:8" ht="14" x14ac:dyDescent="0.3">
      <c r="B16" s="33" t="s">
        <v>189</v>
      </c>
      <c r="C16" s="35">
        <f t="shared" ref="C16:H16" si="2">C15</f>
        <v>212032</v>
      </c>
      <c r="D16" s="35">
        <f t="shared" si="2"/>
        <v>184093.5212821918</v>
      </c>
      <c r="E16" s="35">
        <f t="shared" si="2"/>
        <v>186854.92410142464</v>
      </c>
      <c r="F16" s="35">
        <f t="shared" si="2"/>
        <v>189657.74796294598</v>
      </c>
      <c r="G16" s="35">
        <f t="shared" si="2"/>
        <v>192502.61418239013</v>
      </c>
      <c r="H16" s="35">
        <f t="shared" si="2"/>
        <v>194427.64032421407</v>
      </c>
    </row>
    <row r="17" spans="2:8" ht="14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191</v>
      </c>
      <c r="C18" s="20">
        <f t="shared" ref="C18:H18" si="3">C14-C16</f>
        <v>560186</v>
      </c>
      <c r="D18" s="20">
        <f t="shared" si="3"/>
        <v>500195.56758136983</v>
      </c>
      <c r="E18" s="20">
        <f t="shared" si="3"/>
        <v>507698.50109509041</v>
      </c>
      <c r="F18" s="20">
        <f t="shared" si="3"/>
        <v>515313.97861151665</v>
      </c>
      <c r="G18" s="20">
        <f t="shared" si="3"/>
        <v>523043.68829068937</v>
      </c>
      <c r="H18" s="20">
        <f t="shared" si="3"/>
        <v>528274.1251735962</v>
      </c>
    </row>
    <row r="19" spans="2:8" ht="14" x14ac:dyDescent="0.3">
      <c r="B19" s="33" t="s">
        <v>100</v>
      </c>
      <c r="C19" s="36" t="s">
        <v>47</v>
      </c>
      <c r="D19" s="24">
        <f>D18-C18</f>
        <v>-59990.432418630167</v>
      </c>
      <c r="E19" s="24">
        <f>E18-D18</f>
        <v>7502.933513720578</v>
      </c>
      <c r="F19" s="24">
        <f>F18-E18</f>
        <v>7615.4775164262392</v>
      </c>
      <c r="G19" s="24">
        <f>G18-F18</f>
        <v>7729.7096791727236</v>
      </c>
      <c r="H19" s="24">
        <f>H18-G18</f>
        <v>5230.4368829068262</v>
      </c>
    </row>
    <row r="22" spans="2:8" ht="14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x14ac:dyDescent="0.3">
      <c r="B24" s="3" t="s">
        <v>193</v>
      </c>
    </row>
    <row r="25" spans="2:8" ht="14" x14ac:dyDescent="0.3">
      <c r="B25" s="4" t="s">
        <v>84</v>
      </c>
      <c r="D25" s="30">
        <v>38</v>
      </c>
      <c r="E25" s="30">
        <v>38</v>
      </c>
      <c r="F25" s="30">
        <v>38</v>
      </c>
      <c r="G25" s="30">
        <v>38</v>
      </c>
      <c r="H25" s="30">
        <v>38</v>
      </c>
    </row>
    <row r="26" spans="2:8" ht="14" x14ac:dyDescent="0.3">
      <c r="B26" s="4" t="s">
        <v>121</v>
      </c>
      <c r="D26" s="30">
        <v>35</v>
      </c>
      <c r="E26" s="30">
        <v>35</v>
      </c>
      <c r="F26" s="30">
        <v>35</v>
      </c>
      <c r="G26" s="30">
        <v>35</v>
      </c>
      <c r="H26" s="30">
        <v>35</v>
      </c>
    </row>
    <row r="27" spans="2:8" ht="14" x14ac:dyDescent="0.3">
      <c r="B27" s="4" t="s">
        <v>122</v>
      </c>
      <c r="D27" s="30">
        <v>38</v>
      </c>
      <c r="E27" s="30">
        <v>38</v>
      </c>
      <c r="F27" s="30">
        <v>38</v>
      </c>
      <c r="G27" s="30">
        <v>38</v>
      </c>
      <c r="H27" s="30">
        <v>38</v>
      </c>
    </row>
    <row r="28" spans="2:8" ht="14" x14ac:dyDescent="0.3">
      <c r="B28" s="4" t="s">
        <v>123</v>
      </c>
      <c r="D28" s="30">
        <v>42</v>
      </c>
      <c r="E28" s="30">
        <v>42</v>
      </c>
      <c r="F28" s="30">
        <v>42</v>
      </c>
      <c r="G28" s="30">
        <v>42</v>
      </c>
      <c r="H28" s="30">
        <v>42</v>
      </c>
    </row>
    <row r="29" spans="2:8" ht="14" x14ac:dyDescent="0.3">
      <c r="B29" s="4" t="s">
        <v>124</v>
      </c>
      <c r="D29" s="30">
        <v>46</v>
      </c>
      <c r="E29" s="30">
        <v>46</v>
      </c>
      <c r="F29" s="30">
        <v>46</v>
      </c>
      <c r="G29" s="30">
        <v>46</v>
      </c>
      <c r="H29" s="30">
        <v>46</v>
      </c>
    </row>
    <row r="31" spans="2:8" ht="14" x14ac:dyDescent="0.3">
      <c r="B31" s="3" t="s">
        <v>194</v>
      </c>
    </row>
    <row r="32" spans="2:8" ht="14" x14ac:dyDescent="0.3">
      <c r="B32" s="4" t="s">
        <v>84</v>
      </c>
      <c r="D32" s="30">
        <v>28</v>
      </c>
      <c r="E32" s="30">
        <v>28</v>
      </c>
      <c r="F32" s="30">
        <v>28</v>
      </c>
      <c r="G32" s="30">
        <v>28</v>
      </c>
      <c r="H32" s="30">
        <v>28</v>
      </c>
    </row>
    <row r="33" spans="2:8" ht="14" x14ac:dyDescent="0.3">
      <c r="B33" s="4" t="s">
        <v>121</v>
      </c>
      <c r="D33" s="30">
        <v>22</v>
      </c>
      <c r="E33" s="30">
        <v>22</v>
      </c>
      <c r="F33" s="30">
        <v>22</v>
      </c>
      <c r="G33" s="30">
        <v>22</v>
      </c>
      <c r="H33" s="30">
        <v>22</v>
      </c>
    </row>
    <row r="34" spans="2:8" ht="14" x14ac:dyDescent="0.3">
      <c r="B34" s="4" t="s">
        <v>122</v>
      </c>
      <c r="D34" s="30">
        <v>28</v>
      </c>
      <c r="E34" s="30">
        <v>28</v>
      </c>
      <c r="F34" s="30">
        <v>28</v>
      </c>
      <c r="G34" s="30">
        <v>28</v>
      </c>
      <c r="H34" s="30">
        <v>28</v>
      </c>
    </row>
    <row r="35" spans="2:8" ht="14" x14ac:dyDescent="0.3">
      <c r="B35" s="4" t="s">
        <v>123</v>
      </c>
      <c r="D35" s="30">
        <v>35</v>
      </c>
      <c r="E35" s="30">
        <v>35</v>
      </c>
      <c r="F35" s="30">
        <v>35</v>
      </c>
      <c r="G35" s="30">
        <v>35</v>
      </c>
      <c r="H35" s="30">
        <v>35</v>
      </c>
    </row>
    <row r="36" spans="2:8" ht="14" x14ac:dyDescent="0.3">
      <c r="B36" s="4" t="s">
        <v>124</v>
      </c>
      <c r="D36" s="30">
        <v>42</v>
      </c>
      <c r="E36" s="30">
        <v>42</v>
      </c>
      <c r="F36" s="30">
        <v>42</v>
      </c>
      <c r="G36" s="30">
        <v>42</v>
      </c>
      <c r="H36" s="30">
        <v>42</v>
      </c>
    </row>
    <row r="38" spans="2:8" ht="14" x14ac:dyDescent="0.3">
      <c r="B38" s="3" t="s">
        <v>195</v>
      </c>
    </row>
    <row r="39" spans="2:8" ht="14" x14ac:dyDescent="0.3">
      <c r="B39" s="4" t="s">
        <v>84</v>
      </c>
      <c r="D39" s="30">
        <v>20</v>
      </c>
      <c r="E39" s="30">
        <v>20</v>
      </c>
      <c r="F39" s="30">
        <v>20</v>
      </c>
      <c r="G39" s="30">
        <v>20</v>
      </c>
      <c r="H39" s="30">
        <v>20</v>
      </c>
    </row>
    <row r="40" spans="2:8" ht="14" x14ac:dyDescent="0.3">
      <c r="B40" s="4" t="s">
        <v>121</v>
      </c>
      <c r="D40" s="30">
        <v>22</v>
      </c>
      <c r="E40" s="30">
        <v>22</v>
      </c>
      <c r="F40" s="30">
        <v>22</v>
      </c>
      <c r="G40" s="30">
        <v>22</v>
      </c>
      <c r="H40" s="30">
        <v>22</v>
      </c>
    </row>
    <row r="41" spans="2:8" ht="14" x14ac:dyDescent="0.3">
      <c r="B41" s="4" t="s">
        <v>122</v>
      </c>
      <c r="D41" s="30">
        <v>20</v>
      </c>
      <c r="E41" s="30">
        <v>20</v>
      </c>
      <c r="F41" s="30">
        <v>20</v>
      </c>
      <c r="G41" s="30">
        <v>20</v>
      </c>
      <c r="H41" s="30">
        <v>20</v>
      </c>
    </row>
    <row r="42" spans="2:8" ht="14" x14ac:dyDescent="0.3">
      <c r="B42" s="4" t="s">
        <v>123</v>
      </c>
      <c r="D42" s="30">
        <v>17</v>
      </c>
      <c r="E42" s="30">
        <v>17</v>
      </c>
      <c r="F42" s="30">
        <v>17</v>
      </c>
      <c r="G42" s="30">
        <v>17</v>
      </c>
      <c r="H42" s="30">
        <v>17</v>
      </c>
    </row>
    <row r="43" spans="2:8" ht="14" x14ac:dyDescent="0.3">
      <c r="B43" s="4" t="s">
        <v>124</v>
      </c>
      <c r="D43" s="30">
        <v>14</v>
      </c>
      <c r="E43" s="30">
        <v>14</v>
      </c>
      <c r="F43" s="30">
        <v>14</v>
      </c>
      <c r="G43" s="30">
        <v>14</v>
      </c>
      <c r="H43" s="30">
        <v>14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196</v>
      </c>
    </row>
    <row r="3" spans="2:17" ht="14" x14ac:dyDescent="0.3">
      <c r="B3" s="1" t="s">
        <v>197</v>
      </c>
    </row>
    <row r="4" spans="2:17" ht="28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x14ac:dyDescent="0.3">
      <c r="B5" s="4" t="s">
        <v>212</v>
      </c>
      <c r="C5" t="s">
        <v>213</v>
      </c>
      <c r="D5" s="37">
        <f>'Executive Summary'!C9*C23/1000000</f>
        <v>3283125.1538399998</v>
      </c>
      <c r="E5" s="37">
        <f>D5+C24</f>
        <v>6220549.1538399998</v>
      </c>
      <c r="F5" s="37">
        <v>4056637</v>
      </c>
      <c r="G5" s="37">
        <v>812350</v>
      </c>
      <c r="H5" s="37">
        <v>437557</v>
      </c>
      <c r="I5" s="37">
        <v>380051</v>
      </c>
      <c r="J5" s="38">
        <f t="shared" ref="J5:J10" si="0">IFERROR(E5/G5,"")</f>
        <v>7.657474184575614</v>
      </c>
      <c r="K5" s="38">
        <f t="shared" ref="K5:K10" si="1">IFERROR(E5/F5,"")</f>
        <v>1.5334251385667488</v>
      </c>
      <c r="L5" s="38">
        <f>IFERROR(D5/I5,"")</f>
        <v>8.6386436395115389</v>
      </c>
      <c r="M5" s="38">
        <f t="shared" ref="M5:M10" si="2">IFERROR(D5/P5,"")</f>
        <v>0.95020654666485294</v>
      </c>
      <c r="N5" s="39">
        <f t="shared" ref="N5:N10" si="3">IFERROR(H5/F5,"")</f>
        <v>0.10786200490702028</v>
      </c>
      <c r="O5" s="39">
        <f t="shared" ref="O5:O10" si="4">IFERROR(I5/P5,"")</f>
        <v>0.1099948772419302</v>
      </c>
      <c r="P5" s="37">
        <v>3455170</v>
      </c>
    </row>
    <row r="6" spans="2:17" ht="14" x14ac:dyDescent="0.3">
      <c r="B6" s="4" t="s">
        <v>214</v>
      </c>
      <c r="C6" t="s">
        <v>215</v>
      </c>
      <c r="D6" s="37">
        <v>889500</v>
      </c>
      <c r="E6" s="37">
        <v>6299555</v>
      </c>
      <c r="F6" s="37">
        <v>6328574</v>
      </c>
      <c r="G6" s="37">
        <v>726728</v>
      </c>
      <c r="H6" s="37">
        <v>337691</v>
      </c>
      <c r="I6" s="37">
        <v>-454263</v>
      </c>
      <c r="J6" s="38">
        <f t="shared" si="0"/>
        <v>8.6683807421758896</v>
      </c>
      <c r="K6" s="38">
        <f t="shared" si="1"/>
        <v>0.9954146068292794</v>
      </c>
      <c r="L6" s="40" t="s">
        <v>216</v>
      </c>
      <c r="M6" s="38">
        <f t="shared" si="2"/>
        <v>0.26241693817993866</v>
      </c>
      <c r="N6" s="39">
        <f t="shared" si="3"/>
        <v>5.335973001184785E-2</v>
      </c>
      <c r="O6" s="39">
        <f t="shared" si="4"/>
        <v>-0.13401495850301684</v>
      </c>
      <c r="P6" s="37">
        <v>3389644</v>
      </c>
    </row>
    <row r="7" spans="2:17" ht="14" x14ac:dyDescent="0.3">
      <c r="B7" s="4" t="s">
        <v>217</v>
      </c>
      <c r="C7" t="s">
        <v>218</v>
      </c>
      <c r="D7" s="37">
        <v>2210282</v>
      </c>
      <c r="E7" s="37">
        <v>4808549</v>
      </c>
      <c r="F7" s="37">
        <v>3546041</v>
      </c>
      <c r="G7" s="37">
        <v>402347</v>
      </c>
      <c r="H7" s="37">
        <v>230043</v>
      </c>
      <c r="I7" s="37">
        <v>227795</v>
      </c>
      <c r="J7" s="38">
        <f t="shared" si="0"/>
        <v>11.951248549137933</v>
      </c>
      <c r="K7" s="38">
        <f t="shared" si="1"/>
        <v>1.356033108472237</v>
      </c>
      <c r="L7" s="38">
        <f>IFERROR(D7/I7,"")</f>
        <v>9.7029434359841087</v>
      </c>
      <c r="M7" s="38">
        <f t="shared" si="2"/>
        <v>0.70430264452613167</v>
      </c>
      <c r="N7" s="39">
        <f t="shared" si="3"/>
        <v>6.4873192385536432E-2</v>
      </c>
      <c r="O7" s="39">
        <f t="shared" si="4"/>
        <v>7.2586493899796573E-2</v>
      </c>
      <c r="P7" s="37">
        <v>3138256</v>
      </c>
    </row>
    <row r="8" spans="2:17" ht="14" x14ac:dyDescent="0.3">
      <c r="B8" s="4" t="s">
        <v>219</v>
      </c>
      <c r="C8" t="s">
        <v>220</v>
      </c>
      <c r="D8" s="37">
        <v>1020492</v>
      </c>
      <c r="E8" s="37">
        <v>3905335</v>
      </c>
      <c r="F8" s="37">
        <v>2247213</v>
      </c>
      <c r="G8" s="37">
        <v>475087</v>
      </c>
      <c r="H8" s="37">
        <v>224854</v>
      </c>
      <c r="I8" s="37">
        <v>154535</v>
      </c>
      <c r="J8" s="38">
        <f t="shared" si="0"/>
        <v>8.2202522906330842</v>
      </c>
      <c r="K8" s="38">
        <f t="shared" si="1"/>
        <v>1.7378570700685694</v>
      </c>
      <c r="L8" s="38">
        <f>IFERROR(D8/I8,"")</f>
        <v>6.6036302455754363</v>
      </c>
      <c r="M8" s="38">
        <f t="shared" si="2"/>
        <v>0.85554828038058572</v>
      </c>
      <c r="N8" s="39">
        <f t="shared" si="3"/>
        <v>0.10005905092218673</v>
      </c>
      <c r="O8" s="39">
        <f t="shared" si="4"/>
        <v>0.12955726601346587</v>
      </c>
      <c r="P8" s="37">
        <v>1192793</v>
      </c>
    </row>
    <row r="9" spans="2:17" ht="14" x14ac:dyDescent="0.3">
      <c r="B9" s="4" t="s">
        <v>221</v>
      </c>
      <c r="C9" t="s">
        <v>222</v>
      </c>
      <c r="D9" s="37">
        <v>684838</v>
      </c>
      <c r="E9" s="37">
        <v>3195871</v>
      </c>
      <c r="F9" s="37">
        <v>2372420</v>
      </c>
      <c r="G9" s="37">
        <v>386247</v>
      </c>
      <c r="H9" s="37">
        <v>160381</v>
      </c>
      <c r="I9" s="37">
        <v>84975</v>
      </c>
      <c r="J9" s="38">
        <f t="shared" si="0"/>
        <v>8.2741639417264086</v>
      </c>
      <c r="K9" s="38">
        <f t="shared" si="1"/>
        <v>1.3470932634187875</v>
      </c>
      <c r="L9" s="38">
        <f>IFERROR(D9/I9,"")</f>
        <v>8.059288025889968</v>
      </c>
      <c r="M9" s="38">
        <f t="shared" si="2"/>
        <v>0.6162278116758253</v>
      </c>
      <c r="N9" s="39">
        <f t="shared" si="3"/>
        <v>6.760227952891984E-2</v>
      </c>
      <c r="O9" s="39">
        <f t="shared" si="4"/>
        <v>7.6461817681193589E-2</v>
      </c>
      <c r="P9" s="37">
        <v>1111339</v>
      </c>
    </row>
    <row r="10" spans="2:17" ht="14" x14ac:dyDescent="0.3">
      <c r="B10" s="4" t="s">
        <v>223</v>
      </c>
      <c r="C10" t="s">
        <v>224</v>
      </c>
      <c r="D10" s="37">
        <v>427128</v>
      </c>
      <c r="E10" s="37">
        <v>1219821</v>
      </c>
      <c r="F10" s="37">
        <v>761861</v>
      </c>
      <c r="G10" s="37">
        <v>131282</v>
      </c>
      <c r="H10" s="37">
        <v>67848</v>
      </c>
      <c r="I10" s="37">
        <v>50809</v>
      </c>
      <c r="J10" s="38">
        <f t="shared" si="0"/>
        <v>9.2916089029722269</v>
      </c>
      <c r="K10" s="38">
        <f t="shared" si="1"/>
        <v>1.6011070260848108</v>
      </c>
      <c r="L10" s="38">
        <f>IFERROR(D10/I10,"")</f>
        <v>8.4065421480446378</v>
      </c>
      <c r="M10" s="38">
        <f t="shared" si="2"/>
        <v>0.9000733329399766</v>
      </c>
      <c r="N10" s="39">
        <f t="shared" si="3"/>
        <v>8.9055615131894139E-2</v>
      </c>
      <c r="O10" s="39">
        <f t="shared" si="4"/>
        <v>0.10706819963417821</v>
      </c>
      <c r="P10" s="37">
        <v>474548</v>
      </c>
    </row>
    <row r="14" spans="2:17" ht="14" x14ac:dyDescent="0.3">
      <c r="B14" s="3" t="s">
        <v>225</v>
      </c>
    </row>
    <row r="15" spans="2:17" ht="14" x14ac:dyDescent="0.3">
      <c r="B15" s="4" t="s">
        <v>226</v>
      </c>
      <c r="D15" s="38">
        <f t="shared" ref="D15:I15" si="5">PERCENTILE(J6:J10,0.25)</f>
        <v>8.2741639417264086</v>
      </c>
      <c r="E15" s="38">
        <f t="shared" si="5"/>
        <v>1.3470932634187875</v>
      </c>
      <c r="F15" s="38">
        <f t="shared" si="5"/>
        <v>7.695373580811335</v>
      </c>
      <c r="G15" s="38">
        <f t="shared" si="5"/>
        <v>0.6162278116758253</v>
      </c>
      <c r="H15" s="39">
        <f t="shared" si="5"/>
        <v>6.4873192385536432E-2</v>
      </c>
      <c r="I15" s="39">
        <f t="shared" si="5"/>
        <v>7.2586493899796573E-2</v>
      </c>
    </row>
    <row r="16" spans="2:17" ht="14" x14ac:dyDescent="0.3">
      <c r="B16" s="4" t="s">
        <v>227</v>
      </c>
      <c r="D16" s="38">
        <f t="shared" ref="D16:I16" si="6">MEDIAN(J6:J10)</f>
        <v>8.6683807421758896</v>
      </c>
      <c r="E16" s="38">
        <f t="shared" si="6"/>
        <v>1.356033108472237</v>
      </c>
      <c r="F16" s="38">
        <f t="shared" si="6"/>
        <v>8.2329150869673029</v>
      </c>
      <c r="G16" s="38">
        <f t="shared" si="6"/>
        <v>0.70430264452613167</v>
      </c>
      <c r="H16" s="39">
        <f t="shared" si="6"/>
        <v>6.760227952891984E-2</v>
      </c>
      <c r="I16" s="39">
        <f t="shared" si="6"/>
        <v>7.6461817681193589E-2</v>
      </c>
    </row>
    <row r="17" spans="2:9" ht="14" x14ac:dyDescent="0.3">
      <c r="B17" s="4" t="s">
        <v>228</v>
      </c>
      <c r="D17" s="38">
        <f t="shared" ref="D17:I17" si="7">PERCENTILE(J6:J10,0.75)</f>
        <v>9.2916089029722269</v>
      </c>
      <c r="E17" s="38">
        <f t="shared" si="7"/>
        <v>1.6011070260848108</v>
      </c>
      <c r="F17" s="38">
        <f t="shared" si="7"/>
        <v>8.7306424700295047</v>
      </c>
      <c r="G17" s="38">
        <f t="shared" si="7"/>
        <v>0.85554828038058572</v>
      </c>
      <c r="H17" s="39">
        <f t="shared" si="7"/>
        <v>8.9055615131894139E-2</v>
      </c>
      <c r="I17" s="39">
        <f t="shared" si="7"/>
        <v>0.10706819963417821</v>
      </c>
    </row>
    <row r="19" spans="2:9" ht="14" x14ac:dyDescent="0.3">
      <c r="B19" s="22" t="s">
        <v>229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230</v>
      </c>
    </row>
    <row r="21" spans="2:9" ht="14" x14ac:dyDescent="0.3">
      <c r="B21" s="4" t="s">
        <v>231</v>
      </c>
      <c r="C21" s="5">
        <v>812350</v>
      </c>
    </row>
    <row r="22" spans="2:9" ht="14" x14ac:dyDescent="0.3">
      <c r="B22" s="4" t="s">
        <v>232</v>
      </c>
      <c r="C22" s="5">
        <v>380051</v>
      </c>
    </row>
    <row r="23" spans="2:9" ht="14" x14ac:dyDescent="0.3">
      <c r="B23" s="4" t="s">
        <v>233</v>
      </c>
      <c r="C23" s="15">
        <v>1114056720</v>
      </c>
    </row>
    <row r="24" spans="2:9" ht="14" x14ac:dyDescent="0.3">
      <c r="B24" s="4" t="s">
        <v>73</v>
      </c>
      <c r="C24" s="5">
        <v>2937424</v>
      </c>
    </row>
    <row r="26" spans="2:9" ht="14" x14ac:dyDescent="0.3">
      <c r="B26" s="3" t="s">
        <v>234</v>
      </c>
    </row>
    <row r="27" spans="2:9" ht="14" x14ac:dyDescent="0.3">
      <c r="B27" s="4" t="s">
        <v>235</v>
      </c>
      <c r="C27" s="24">
        <f>ROUND((C21*D16-C24)*1000000/C23,0)</f>
        <v>3684</v>
      </c>
    </row>
    <row r="28" spans="2:9" ht="14" x14ac:dyDescent="0.3">
      <c r="B28" s="4" t="s">
        <v>236</v>
      </c>
      <c r="C28" s="24">
        <f>ROUND(C22*F16*1000000/C23,0)</f>
        <v>2809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237</v>
      </c>
    </row>
    <row r="3" spans="2:9" ht="14" x14ac:dyDescent="0.3">
      <c r="B3" s="4" t="s">
        <v>238</v>
      </c>
      <c r="C3" s="16">
        <f>'DCF Model'!C26</f>
        <v>5.5349385126933028E-2</v>
      </c>
      <c r="E3" s="4" t="s">
        <v>239</v>
      </c>
      <c r="F3" s="16">
        <f>'DCF Model'!C13</f>
        <v>0.01</v>
      </c>
      <c r="H3" s="4" t="s">
        <v>240</v>
      </c>
      <c r="I3" s="14">
        <f>'DCF Model'!C14</f>
        <v>8.6999999999999993</v>
      </c>
    </row>
    <row r="5" spans="2:9" ht="14" x14ac:dyDescent="0.3">
      <c r="B5" s="3" t="s">
        <v>241</v>
      </c>
    </row>
    <row r="6" spans="2:9" ht="14" x14ac:dyDescent="0.3">
      <c r="B6" s="41" t="s">
        <v>242</v>
      </c>
      <c r="C6" s="42">
        <f>$F$3-0.0075</f>
        <v>2.5000000000000005E-3</v>
      </c>
      <c r="D6" s="42">
        <f>$F$3-0.005</f>
        <v>5.0000000000000001E-3</v>
      </c>
      <c r="E6" s="42">
        <f>$F$3-0.0025</f>
        <v>7.4999999999999997E-3</v>
      </c>
      <c r="F6" s="42">
        <f>$F$3</f>
        <v>0.01</v>
      </c>
      <c r="G6" s="42">
        <f>$F$3+0.0025</f>
        <v>1.2500000000000001E-2</v>
      </c>
      <c r="H6" s="42">
        <f>$F$3+0.005</f>
        <v>1.4999999999999999E-2</v>
      </c>
      <c r="I6" s="42">
        <f>$F$3+0.0075</f>
        <v>1.7500000000000002E-2</v>
      </c>
    </row>
    <row r="7" spans="2:9" ht="13.5" x14ac:dyDescent="0.25">
      <c r="B7" s="39">
        <f>$C$3-0.015</f>
        <v>4.0349385126933028E-2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4712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5178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5715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6340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7077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7960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9036</v>
      </c>
    </row>
    <row r="8" spans="2:9" ht="13.5" x14ac:dyDescent="0.25">
      <c r="B8" s="39">
        <f>$C$3-0.01</f>
        <v>4.5349385126933026E-2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3824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4177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4578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5035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5561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6174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6898</v>
      </c>
    </row>
    <row r="9" spans="2:9" ht="13.5" x14ac:dyDescent="0.25">
      <c r="B9" s="39">
        <f>$C$3-0.005</f>
        <v>5.034938512693303E-2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3122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3398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3707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4054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4446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4895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5411</v>
      </c>
    </row>
    <row r="10" spans="2:9" ht="13.5" x14ac:dyDescent="0.25">
      <c r="B10" s="39">
        <f>$C$3</f>
        <v>5.5349385126933028E-2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2553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2774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3018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3290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3592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3933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4318</v>
      </c>
    </row>
    <row r="11" spans="2:9" ht="13.5" x14ac:dyDescent="0.25">
      <c r="B11" s="39">
        <f>$C$3+0.005</f>
        <v>6.0349385126933025E-2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2083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2263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2461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2678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2917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3184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3481</v>
      </c>
    </row>
    <row r="12" spans="2:9" ht="13.5" x14ac:dyDescent="0.25">
      <c r="B12" s="39">
        <f>$C$3+0.01</f>
        <v>6.5349385126933029E-2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1688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1838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2000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2177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2371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2584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2819</v>
      </c>
    </row>
    <row r="13" spans="2:9" ht="13.5" x14ac:dyDescent="0.25">
      <c r="B13" s="39">
        <f>$C$3+0.015</f>
        <v>7.0349385126933034E-2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1352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1477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1613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1759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1919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2092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2283</v>
      </c>
    </row>
    <row r="16" spans="2:9" ht="14" x14ac:dyDescent="0.3">
      <c r="B16" s="3" t="s">
        <v>243</v>
      </c>
    </row>
    <row r="17" spans="2:9" ht="14" x14ac:dyDescent="0.3">
      <c r="B17" s="41" t="s">
        <v>244</v>
      </c>
      <c r="C17" s="43">
        <f>$I$3-3</f>
        <v>5.6999999999999993</v>
      </c>
      <c r="D17" s="43">
        <f>$I$3-2</f>
        <v>6.6999999999999993</v>
      </c>
      <c r="E17" s="43">
        <f>$I$3-1</f>
        <v>7.6999999999999993</v>
      </c>
      <c r="F17" s="43">
        <f>$I$3</f>
        <v>8.6999999999999993</v>
      </c>
      <c r="G17" s="43">
        <f>$I$3+1</f>
        <v>9.6999999999999993</v>
      </c>
      <c r="H17" s="43">
        <f>$I$3+2</f>
        <v>10.7</v>
      </c>
      <c r="I17" s="43">
        <f>$I$3+3</f>
        <v>11.7</v>
      </c>
    </row>
    <row r="18" spans="2:9" ht="13.5" x14ac:dyDescent="0.25">
      <c r="B18" s="39">
        <f>$C$3-0.015</f>
        <v>4.0349385126933028E-2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2007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2645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3284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3923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4561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5200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5839</v>
      </c>
    </row>
    <row r="19" spans="2:9" ht="13.5" x14ac:dyDescent="0.25">
      <c r="B19" s="39">
        <f>$C$3-0.01</f>
        <v>4.5349385126933026E-2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1905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2529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3152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3776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4400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5023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5647</v>
      </c>
    </row>
    <row r="20" spans="2:9" ht="13.5" x14ac:dyDescent="0.25">
      <c r="B20" s="39">
        <f>$C$3-0.005</f>
        <v>5.034938512693303E-2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1807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2416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3025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3633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4242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4851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5460</v>
      </c>
    </row>
    <row r="21" spans="2:9" ht="13.5" x14ac:dyDescent="0.25">
      <c r="B21" s="39">
        <f>$C$3</f>
        <v>5.5349385126933028E-2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1711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2306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2900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3495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4089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4684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5279</v>
      </c>
    </row>
    <row r="22" spans="2:9" ht="13.5" x14ac:dyDescent="0.25">
      <c r="B22" s="39">
        <f>$C$3+0.005</f>
        <v>6.0349385126933025E-2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1618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2199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2779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3360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3941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4521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5102</v>
      </c>
    </row>
    <row r="23" spans="2:9" ht="13.5" x14ac:dyDescent="0.25">
      <c r="B23" s="39">
        <f>$C$3+0.01</f>
        <v>6.5349385126933029E-2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1527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2094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2662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3229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3796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4363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4930</v>
      </c>
    </row>
    <row r="24" spans="2:9" ht="13.5" x14ac:dyDescent="0.25">
      <c r="B24" s="39">
        <f>$C$3+0.015</f>
        <v>7.0349385126933034E-2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1439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1993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2547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3101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3655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4209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4764</v>
      </c>
    </row>
    <row r="26" spans="2:9" ht="14" x14ac:dyDescent="0.3">
      <c r="B26" s="46" t="s">
        <v>245</v>
      </c>
      <c r="C26" s="45"/>
      <c r="D26" s="45"/>
      <c r="E26" s="45"/>
      <c r="F26" s="45"/>
      <c r="G26" s="45"/>
      <c r="H26" s="45"/>
      <c r="I26" s="45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4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246</v>
      </c>
    </row>
    <row r="4" spans="2:7" ht="14" x14ac:dyDescent="0.3">
      <c r="B4" s="10" t="s">
        <v>247</v>
      </c>
      <c r="C4" s="10" t="s">
        <v>248</v>
      </c>
      <c r="D4" s="10" t="s">
        <v>249</v>
      </c>
      <c r="E4" s="10" t="s">
        <v>250</v>
      </c>
      <c r="F4" s="10" t="s">
        <v>251</v>
      </c>
      <c r="G4" s="10" t="s">
        <v>252</v>
      </c>
    </row>
    <row r="5" spans="2:7" x14ac:dyDescent="0.2">
      <c r="B5" t="s">
        <v>253</v>
      </c>
      <c r="C5" t="s">
        <v>254</v>
      </c>
      <c r="D5" t="s">
        <v>255</v>
      </c>
      <c r="E5" t="s">
        <v>256</v>
      </c>
      <c r="F5" t="s">
        <v>254</v>
      </c>
      <c r="G5" t="s">
        <v>257</v>
      </c>
    </row>
    <row r="6" spans="2:7" ht="30" customHeight="1" x14ac:dyDescent="0.3">
      <c r="B6" t="s">
        <v>253</v>
      </c>
      <c r="C6" s="4" t="s">
        <v>258</v>
      </c>
      <c r="D6" t="s">
        <v>259</v>
      </c>
      <c r="E6" t="s">
        <v>260</v>
      </c>
      <c r="F6" t="s">
        <v>261</v>
      </c>
      <c r="G6" t="s">
        <v>262</v>
      </c>
    </row>
    <row r="7" spans="2:7" ht="30" customHeight="1" x14ac:dyDescent="0.3">
      <c r="B7" t="s">
        <v>253</v>
      </c>
      <c r="C7" s="4" t="s">
        <v>263</v>
      </c>
      <c r="D7" t="s">
        <v>264</v>
      </c>
      <c r="E7" t="s">
        <v>265</v>
      </c>
      <c r="F7" t="s">
        <v>266</v>
      </c>
      <c r="G7" t="s">
        <v>267</v>
      </c>
    </row>
    <row r="12" spans="2:7" ht="14" x14ac:dyDescent="0.3">
      <c r="B12" s="8" t="s">
        <v>268</v>
      </c>
    </row>
    <row r="13" spans="2:7" ht="14" x14ac:dyDescent="0.3">
      <c r="B13" s="10" t="s">
        <v>269</v>
      </c>
      <c r="C13" s="10" t="s">
        <v>270</v>
      </c>
    </row>
    <row r="14" spans="2:7" ht="14" x14ac:dyDescent="0.3">
      <c r="B14" s="4" t="s">
        <v>271</v>
      </c>
      <c r="C14" t="s">
        <v>272</v>
      </c>
    </row>
    <row r="15" spans="2:7" ht="14" x14ac:dyDescent="0.3">
      <c r="B15" s="4" t="s">
        <v>273</v>
      </c>
      <c r="C15" t="s">
        <v>274</v>
      </c>
    </row>
    <row r="16" spans="2:7" ht="14" x14ac:dyDescent="0.3">
      <c r="B16" s="4" t="s">
        <v>275</v>
      </c>
      <c r="C16" t="s">
        <v>276</v>
      </c>
    </row>
    <row r="17" spans="2:3" ht="14" x14ac:dyDescent="0.3">
      <c r="B17" s="4" t="s">
        <v>277</v>
      </c>
      <c r="C17" t="s">
        <v>274</v>
      </c>
    </row>
    <row r="18" spans="2:3" ht="14" x14ac:dyDescent="0.3">
      <c r="B18" s="4" t="s">
        <v>278</v>
      </c>
      <c r="C18" t="s">
        <v>279</v>
      </c>
    </row>
    <row r="19" spans="2:3" ht="14" x14ac:dyDescent="0.3">
      <c r="B19" s="4" t="s">
        <v>280</v>
      </c>
      <c r="C19" t="s">
        <v>281</v>
      </c>
    </row>
    <row r="20" spans="2:3" ht="14" x14ac:dyDescent="0.3">
      <c r="B20" s="4" t="s">
        <v>282</v>
      </c>
      <c r="C20" t="s">
        <v>283</v>
      </c>
    </row>
    <row r="21" spans="2:3" ht="14" x14ac:dyDescent="0.3">
      <c r="B21" s="4" t="s">
        <v>284</v>
      </c>
      <c r="C21" t="s">
        <v>285</v>
      </c>
    </row>
    <row r="22" spans="2:3" ht="14" x14ac:dyDescent="0.3">
      <c r="B22" s="4" t="s">
        <v>286</v>
      </c>
      <c r="C22" t="s">
        <v>287</v>
      </c>
    </row>
    <row r="23" spans="2:3" ht="14" x14ac:dyDescent="0.3">
      <c r="B23" s="4" t="s">
        <v>288</v>
      </c>
      <c r="C23" t="s">
        <v>4</v>
      </c>
    </row>
    <row r="24" spans="2:3" ht="14" x14ac:dyDescent="0.3">
      <c r="B24" s="4" t="s">
        <v>289</v>
      </c>
      <c r="C24" t="s">
        <v>253</v>
      </c>
    </row>
    <row r="25" spans="2:3" ht="14" x14ac:dyDescent="0.3">
      <c r="B25" s="4" t="s">
        <v>290</v>
      </c>
      <c r="C25" t="s">
        <v>291</v>
      </c>
    </row>
    <row r="26" spans="2:3" ht="14" x14ac:dyDescent="0.3">
      <c r="B26" s="4" t="s">
        <v>292</v>
      </c>
      <c r="C26" t="s">
        <v>279</v>
      </c>
    </row>
    <row r="27" spans="2:3" ht="14" x14ac:dyDescent="0.3">
      <c r="B27" s="4" t="s">
        <v>293</v>
      </c>
      <c r="C27" t="s">
        <v>279</v>
      </c>
    </row>
    <row r="28" spans="2:3" ht="14" x14ac:dyDescent="0.3">
      <c r="B28" s="4" t="s">
        <v>294</v>
      </c>
      <c r="C28" t="s">
        <v>295</v>
      </c>
    </row>
    <row r="29" spans="2:3" ht="14" x14ac:dyDescent="0.3">
      <c r="B29" s="4" t="s">
        <v>296</v>
      </c>
      <c r="C29" t="s">
        <v>297</v>
      </c>
    </row>
    <row r="30" spans="2:3" ht="14" x14ac:dyDescent="0.3">
      <c r="B30" s="4" t="s">
        <v>298</v>
      </c>
      <c r="C30" t="s">
        <v>299</v>
      </c>
    </row>
    <row r="31" spans="2:3" ht="14" x14ac:dyDescent="0.3">
      <c r="B31" s="4" t="s">
        <v>300</v>
      </c>
      <c r="C31" t="s">
        <v>295</v>
      </c>
    </row>
    <row r="32" spans="2:3" ht="14" x14ac:dyDescent="0.3">
      <c r="B32" s="4" t="s">
        <v>301</v>
      </c>
      <c r="C32" t="s">
        <v>279</v>
      </c>
    </row>
    <row r="33" spans="2:3" ht="14" x14ac:dyDescent="0.3">
      <c r="B33" s="4" t="s">
        <v>302</v>
      </c>
      <c r="C33" t="s">
        <v>291</v>
      </c>
    </row>
    <row r="34" spans="2:3" ht="14" x14ac:dyDescent="0.3">
      <c r="B34" s="4" t="s">
        <v>303</v>
      </c>
      <c r="C34" t="s">
        <v>304</v>
      </c>
    </row>
    <row r="35" spans="2:3" ht="14" x14ac:dyDescent="0.3">
      <c r="B35" s="4" t="s">
        <v>305</v>
      </c>
      <c r="C35" t="s">
        <v>306</v>
      </c>
    </row>
    <row r="36" spans="2:3" ht="14" x14ac:dyDescent="0.3">
      <c r="B36" s="4" t="s">
        <v>307</v>
      </c>
      <c r="C36" t="s">
        <v>308</v>
      </c>
    </row>
    <row r="37" spans="2:3" ht="14" x14ac:dyDescent="0.3">
      <c r="B37" s="4" t="s">
        <v>309</v>
      </c>
      <c r="C37" t="s">
        <v>310</v>
      </c>
    </row>
    <row r="38" spans="2:3" ht="14" x14ac:dyDescent="0.3">
      <c r="B38" s="4" t="s">
        <v>311</v>
      </c>
      <c r="C38" t="s">
        <v>312</v>
      </c>
    </row>
    <row r="39" spans="2:3" ht="14" x14ac:dyDescent="0.3">
      <c r="B39" s="4" t="s">
        <v>313</v>
      </c>
      <c r="C39" t="s">
        <v>314</v>
      </c>
    </row>
    <row r="40" spans="2:3" ht="14" x14ac:dyDescent="0.3">
      <c r="B40" s="4" t="s">
        <v>315</v>
      </c>
      <c r="C40" t="s">
        <v>316</v>
      </c>
    </row>
    <row r="41" spans="2:3" ht="14" x14ac:dyDescent="0.3">
      <c r="B41" s="4" t="s">
        <v>317</v>
      </c>
      <c r="C41" t="s">
        <v>318</v>
      </c>
    </row>
    <row r="42" spans="2:3" ht="14" x14ac:dyDescent="0.3">
      <c r="B42" s="4" t="s">
        <v>319</v>
      </c>
      <c r="C42" t="s">
        <v>320</v>
      </c>
    </row>
    <row r="43" spans="2:3" ht="14" x14ac:dyDescent="0.3">
      <c r="B43" s="4" t="s">
        <v>321</v>
      </c>
      <c r="C43" t="s">
        <v>322</v>
      </c>
    </row>
    <row r="44" spans="2:3" ht="14" x14ac:dyDescent="0.3">
      <c r="B44" s="4" t="s">
        <v>323</v>
      </c>
      <c r="C44" t="s">
        <v>283</v>
      </c>
    </row>
    <row r="45" spans="2:3" ht="14" x14ac:dyDescent="0.3">
      <c r="B45" s="4" t="s">
        <v>324</v>
      </c>
      <c r="C45" t="s">
        <v>325</v>
      </c>
    </row>
    <row r="46" spans="2:3" ht="14" x14ac:dyDescent="0.3">
      <c r="B46" s="4" t="s">
        <v>326</v>
      </c>
      <c r="C46" t="s">
        <v>327</v>
      </c>
    </row>
    <row r="47" spans="2:3" ht="14" x14ac:dyDescent="0.3">
      <c r="B47" s="4" t="s">
        <v>328</v>
      </c>
      <c r="C47" t="s">
        <v>329</v>
      </c>
    </row>
    <row r="48" spans="2:3" ht="14" x14ac:dyDescent="0.3">
      <c r="B48" s="4" t="s">
        <v>330</v>
      </c>
      <c r="C48" t="s">
        <v>331</v>
      </c>
    </row>
    <row r="49" spans="2:3" ht="14" x14ac:dyDescent="0.3">
      <c r="B49" s="4" t="s">
        <v>332</v>
      </c>
      <c r="C49" t="s">
        <v>333</v>
      </c>
    </row>
    <row r="50" spans="2:3" ht="14" x14ac:dyDescent="0.3">
      <c r="B50" s="4" t="s">
        <v>334</v>
      </c>
      <c r="C50" t="s">
        <v>335</v>
      </c>
    </row>
    <row r="51" spans="2:3" ht="14" x14ac:dyDescent="0.3">
      <c r="B51" s="4" t="s">
        <v>336</v>
      </c>
      <c r="C51" t="s">
        <v>337</v>
      </c>
    </row>
    <row r="52" spans="2:3" ht="14" x14ac:dyDescent="0.3">
      <c r="B52" s="4" t="s">
        <v>338</v>
      </c>
      <c r="C52" t="s">
        <v>339</v>
      </c>
    </row>
    <row r="53" spans="2:3" ht="14" x14ac:dyDescent="0.3">
      <c r="B53" s="4" t="s">
        <v>340</v>
      </c>
      <c r="C53" t="s">
        <v>341</v>
      </c>
    </row>
    <row r="54" spans="2:3" ht="14" x14ac:dyDescent="0.3">
      <c r="B54" s="4" t="s">
        <v>342</v>
      </c>
      <c r="C54" t="s">
        <v>343</v>
      </c>
    </row>
    <row r="55" spans="2:3" ht="14" x14ac:dyDescent="0.3">
      <c r="B55" s="4" t="s">
        <v>344</v>
      </c>
      <c r="C55" t="s">
        <v>345</v>
      </c>
    </row>
    <row r="56" spans="2:3" ht="14" x14ac:dyDescent="0.3">
      <c r="B56" s="4" t="s">
        <v>346</v>
      </c>
      <c r="C56" t="s">
        <v>347</v>
      </c>
    </row>
    <row r="57" spans="2:3" ht="14" x14ac:dyDescent="0.3">
      <c r="B57" s="4" t="s">
        <v>348</v>
      </c>
      <c r="C57" t="s">
        <v>349</v>
      </c>
    </row>
    <row r="58" spans="2:3" ht="14" x14ac:dyDescent="0.3">
      <c r="B58" s="4" t="s">
        <v>350</v>
      </c>
      <c r="C58" t="s">
        <v>291</v>
      </c>
    </row>
    <row r="59" spans="2:3" ht="14" x14ac:dyDescent="0.3">
      <c r="B59" s="4" t="s">
        <v>351</v>
      </c>
      <c r="C59" t="s">
        <v>352</v>
      </c>
    </row>
    <row r="60" spans="2:3" ht="14" x14ac:dyDescent="0.3">
      <c r="B60" s="4" t="s">
        <v>353</v>
      </c>
      <c r="C60" t="s">
        <v>354</v>
      </c>
    </row>
    <row r="61" spans="2:3" ht="14" x14ac:dyDescent="0.3">
      <c r="B61" s="4" t="s">
        <v>355</v>
      </c>
      <c r="C61" t="s">
        <v>356</v>
      </c>
    </row>
    <row r="62" spans="2:3" ht="14" x14ac:dyDescent="0.3">
      <c r="B62" s="4" t="s">
        <v>357</v>
      </c>
      <c r="C62" t="s">
        <v>358</v>
      </c>
    </row>
    <row r="63" spans="2:3" ht="14" x14ac:dyDescent="0.3">
      <c r="B63" s="4" t="s">
        <v>359</v>
      </c>
      <c r="C63" t="s">
        <v>360</v>
      </c>
    </row>
    <row r="64" spans="2:3" ht="14" x14ac:dyDescent="0.3">
      <c r="B64" s="4" t="s">
        <v>361</v>
      </c>
      <c r="C64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2026-09-06T10:33:33Z</dcterms:created>
  <dcterms:modified xsi:type="dcterms:W3CDTF">2026-09-06T10:33:36Z</dcterms:modified>
</cp:coreProperties>
</file>