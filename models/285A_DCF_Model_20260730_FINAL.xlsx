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3"/>
    <sheet name="Financial Statements" sheetId="2" state="visible" r:id="rId4"/>
    <sheet name="DCF Model" sheetId="3" state="visible" r:id="rId5"/>
    <sheet name="NWC Schedule" sheetId="4" state="visible" r:id="rId6"/>
    <sheet name="Comps Analysis" sheetId="5" state="visible" r:id="rId7"/>
    <sheet name="Sensitivity Analysis" sheetId="6" state="visible" r:id="rId8"/>
    <sheet name="Adjustments 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<sst xmlns="http://schemas.openxmlformats.org/spreadsheetml/2006/main" count="292" uniqueCount="235">
  <si>
    <t xml:space="preserve">DISCLAIMER: This is a sample analysis for demonstration purposes only. It does not constitute investment advice.</t>
  </si>
  <si>
    <r>
      <rPr>
        <b val="true"/>
        <sz val="14"/>
        <rFont val="Noto Sans CJK SC"/>
        <family val="2"/>
      </rPr>
      <t xml:space="preserve">キオクシアホールディングス株式会社 </t>
    </r>
    <r>
      <rPr>
        <b val="true"/>
        <sz val="14"/>
        <rFont val="Arial"/>
        <family val="0"/>
        <charset val="1"/>
      </rPr>
      <t xml:space="preserve">(285A)</t>
    </r>
  </si>
  <si>
    <t xml:space="preserve">Equity Research Report</t>
  </si>
  <si>
    <t xml:space="preserve">Company</t>
  </si>
  <si>
    <t xml:space="preserve">キオクシアホールディングス株式会社</t>
  </si>
  <si>
    <t xml:space="preserve">Ticker</t>
  </si>
  <si>
    <t xml:space="preserve">285A (TSE)</t>
  </si>
  <si>
    <t xml:space="preserve">Sector</t>
  </si>
  <si>
    <t xml:space="preserve">Semiconductors / NAND Flash Memory</t>
  </si>
  <si>
    <t xml:space="preserve">Current Price</t>
  </si>
  <si>
    <t xml:space="preserve">Target Price (Mid)</t>
  </si>
  <si>
    <t xml:space="preserve">Recommendation</t>
  </si>
  <si>
    <t xml:space="preserve">Upside / Downside</t>
  </si>
  <si>
    <t xml:space="preserve">Valuation Summary</t>
  </si>
  <si>
    <t xml:space="preserve">Methodology</t>
  </si>
  <si>
    <t xml:space="preserve">Implied Value (JPY)</t>
  </si>
  <si>
    <t xml:space="preserve">vs Current Price</t>
  </si>
  <si>
    <t xml:space="preserve">DCF - Perpetuity Growth</t>
  </si>
  <si>
    <t xml:space="preserve">DCF - Exit Multiple</t>
  </si>
  <si>
    <t xml:space="preserve">Comps - EV/EBITDA Median</t>
  </si>
  <si>
    <t xml:space="preserve">Comps - PER Median</t>
  </si>
  <si>
    <t xml:space="preserve">Integrated Valuation Range</t>
  </si>
  <si>
    <t xml:space="preserve">Key Investment Thesis</t>
  </si>
  <si>
    <t xml:space="preserve">1. Cycle position is the entire investment question — FY2026/3 operating margin of 37.2% is not sustainable. The stock trades at 19.1x peak EBITDA against a 4-6x mid-cycle norm, implying the market either expects structural change or has priced in a very different normalization path than a standard DCF.</t>
  </si>
  <si>
    <t xml:space="preserve">2. Potential AI-driven structural shift — enterprise SSD demand for AI datacenters may flatten the traditional smartphone/PC-led NAND cycle. If durable, mid-cycle margins reset materially higher.</t>
  </si>
  <si>
    <t xml:space="preserve">3. Balance sheet materially repaired — preferred shares fully redeemed (322,996), cash of 470,707, equity attributable to owners nearly doubled to 1,398,929 from 737,565, net debt down to 782,482 from 831,589.</t>
  </si>
  <si>
    <t xml:space="preserve">Key Risks</t>
  </si>
  <si>
    <t xml:space="preserve">1. Extreme cyclicality — operating profit swung from △252,698 (FY2024/3) to +870,369 (FY2026/3), a 1,123,067 range in three years. Applying any multiple to peak earnings is hazardous.</t>
  </si>
  <si>
    <t xml:space="preserve">2. Chinese supply expansion — CXMT/YMTC 3D NAND ramp could impose structural price deflation independent of the demand cycle.</t>
  </si>
  <si>
    <t xml:space="preserve">3. Working capital deterioration plus non-deferrable capex — receivables rose 2.77x (238,594 to 660,559) against 1.37x revenue growth; DSO doubled from 51 to 103 days. Capex at 12-14% of revenue cannot pause during a downturn without ceding technology generations.</t>
  </si>
  <si>
    <r>
      <rPr>
        <b val="true"/>
        <sz val="14"/>
        <rFont val="Noto Sans CJK SC"/>
        <family val="2"/>
      </rPr>
      <t xml:space="preserve">キオクシアホールディングス株式会社 </t>
    </r>
    <r>
      <rPr>
        <b val="true"/>
        <sz val="14"/>
        <rFont val="Arial"/>
        <family val="0"/>
        <charset val="1"/>
      </rPr>
      <t xml:space="preserve">- Historical Financials (JPY mn)</t>
    </r>
  </si>
  <si>
    <t xml:space="preserve">FY2024/3</t>
  </si>
  <si>
    <t xml:space="preserve">FY2025/3</t>
  </si>
  <si>
    <t xml:space="preserve">FY2026/3</t>
  </si>
  <si>
    <t xml:space="preserve">Income Statement</t>
  </si>
  <si>
    <t xml:space="preserve">Revenue</t>
  </si>
  <si>
    <t xml:space="preserve">COGS</t>
  </si>
  <si>
    <t xml:space="preserve">Gross Profit</t>
  </si>
  <si>
    <t xml:space="preserve">Gross Margin</t>
  </si>
  <si>
    <t xml:space="preserve">SGA</t>
  </si>
  <si>
    <t xml:space="preserve">Operating Income</t>
  </si>
  <si>
    <t xml:space="preserve">Net Income</t>
  </si>
  <si>
    <t xml:space="preserve">Operating Margin</t>
  </si>
  <si>
    <t xml:space="preserve">Net Margin</t>
  </si>
  <si>
    <t xml:space="preserve">Revenue Growth (YoY)</t>
  </si>
  <si>
    <t xml:space="preserve">n/a</t>
  </si>
  <si>
    <t xml:space="preserve">Operating Income Growth (YoY)</t>
  </si>
  <si>
    <t xml:space="preserve">Cash Flow Statement</t>
  </si>
  <si>
    <t xml:space="preserve">Operating Cash Flow</t>
  </si>
  <si>
    <t xml:space="preserve">Capex</t>
  </si>
  <si>
    <t xml:space="preserve">Free Cash Flow</t>
  </si>
  <si>
    <t xml:space="preserve">FCF Margin</t>
  </si>
  <si>
    <t xml:space="preserve">Capex / Revenue</t>
  </si>
  <si>
    <t xml:space="preserve">Balance Sheet Highlights</t>
  </si>
  <si>
    <t xml:space="preserve">Cash &amp; Deposits</t>
  </si>
  <si>
    <t xml:space="preserve">Total Interest-Bearing Debt</t>
  </si>
  <si>
    <t xml:space="preserve">Net Debt (Cash)</t>
  </si>
  <si>
    <r>
      <rPr>
        <i val="true"/>
        <sz val="8"/>
        <rFont val="Arial"/>
        <family val="0"/>
        <charset val="1"/>
      </rPr>
      <t xml:space="preserve">Source: </t>
    </r>
    <r>
      <rPr>
        <i val="true"/>
        <sz val="8"/>
        <rFont val="Noto Sans CJK SC"/>
        <family val="2"/>
      </rPr>
      <t xml:space="preserve">決算短信 </t>
    </r>
    <r>
      <rPr>
        <i val="true"/>
        <sz val="8"/>
        <rFont val="Arial"/>
        <family val="0"/>
        <charset val="1"/>
      </rPr>
      <t xml:space="preserve">(FY2024/3, FY2025/3, FY2026/3). Operating Cash Flow, Cash &amp; Equivalents and Total Interest-Bearing Debt (</t>
    </r>
    <r>
      <rPr>
        <i val="true"/>
        <sz val="8"/>
        <rFont val="Noto Sans CJK SC"/>
        <family val="2"/>
      </rPr>
      <t xml:space="preserve">社債及び借入金 </t>
    </r>
    <r>
      <rPr>
        <i val="true"/>
        <sz val="8"/>
        <rFont val="Arial"/>
        <family val="0"/>
        <charset val="1"/>
      </rPr>
      <t xml:space="preserve">+ </t>
    </r>
    <r>
      <rPr>
        <i val="true"/>
        <sz val="8"/>
        <rFont val="Noto Sans CJK SC"/>
        <family val="2"/>
      </rPr>
      <t xml:space="preserve">リース負債</t>
    </r>
    <r>
      <rPr>
        <i val="true"/>
        <sz val="8"/>
        <rFont val="Arial"/>
        <family val="0"/>
        <charset val="1"/>
      </rPr>
      <t xml:space="preserve">, current + non-current) taken directly from the </t>
    </r>
    <r>
      <rPr>
        <i val="true"/>
        <sz val="8"/>
        <rFont val="Noto Sans CJK SC"/>
        <family val="2"/>
      </rPr>
      <t xml:space="preserve">連結キャッシュ・フロー計算書 </t>
    </r>
    <r>
      <rPr>
        <i val="true"/>
        <sz val="8"/>
        <rFont val="Arial"/>
        <family val="0"/>
        <charset val="1"/>
      </rPr>
      <t xml:space="preserve">and </t>
    </r>
    <r>
      <rPr>
        <i val="true"/>
        <sz val="8"/>
        <rFont val="Noto Sans CJK SC"/>
        <family val="2"/>
      </rPr>
      <t xml:space="preserve">連結財政状態計算書</t>
    </r>
    <r>
      <rPr>
        <i val="true"/>
        <sz val="8"/>
        <rFont val="Arial"/>
        <family val="0"/>
        <charset val="1"/>
      </rPr>
      <t xml:space="preserve">. Net Debt below ties to 'DCF Model'!C16 (782,482) for FY2026/3.</t>
    </r>
  </si>
  <si>
    <r>
      <rPr>
        <i val="true"/>
        <sz val="8"/>
        <rFont val="Arial"/>
        <family val="0"/>
        <charset val="1"/>
      </rPr>
      <t xml:space="preserve">Note: Income Statement rows are IFRS. Operating Income is NOT Revenue - COGS - SGA (it also includes </t>
    </r>
    <r>
      <rPr>
        <i val="true"/>
        <sz val="8"/>
        <rFont val="Noto Sans CJK SC"/>
        <family val="2"/>
      </rPr>
      <t xml:space="preserve">その他の収益 </t>
    </r>
    <r>
      <rPr>
        <i val="true"/>
        <sz val="8"/>
        <rFont val="Arial"/>
        <family val="0"/>
        <charset val="1"/>
      </rPr>
      <t xml:space="preserve">/ </t>
    </r>
    <r>
      <rPr>
        <i val="true"/>
        <sz val="8"/>
        <rFont val="Noto Sans CJK SC"/>
        <family val="2"/>
      </rPr>
      <t xml:space="preserve">その他の費用</t>
    </r>
    <r>
      <rPr>
        <i val="true"/>
        <sz val="8"/>
        <rFont val="Arial"/>
        <family val="0"/>
        <charset val="1"/>
      </rPr>
      <t xml:space="preserve">); FY2026/3 difference = 4,046.</t>
    </r>
  </si>
  <si>
    <r>
      <rPr>
        <b val="true"/>
        <sz val="14"/>
        <rFont val="Arial"/>
        <family val="0"/>
        <charset val="1"/>
      </rPr>
      <t xml:space="preserve">DCF Valuation Model - </t>
    </r>
    <r>
      <rPr>
        <b val="true"/>
        <sz val="14"/>
        <rFont val="Noto Sans CJK SC"/>
        <family val="2"/>
      </rPr>
      <t xml:space="preserve">キオクシアホールディングス株式会社</t>
    </r>
  </si>
  <si>
    <t xml:space="preserve">Assumptions</t>
  </si>
  <si>
    <t xml:space="preserve">Effective Tax Rate</t>
  </si>
  <si>
    <t xml:space="preserve">Risk-Free Rate</t>
  </si>
  <si>
    <t xml:space="preserve">Beta</t>
  </si>
  <si>
    <t xml:space="preserve">Equity Risk Premium</t>
  </si>
  <si>
    <t xml:space="preserve">Size Premium</t>
  </si>
  <si>
    <t xml:space="preserve">After-tax Cost of Debt</t>
  </si>
  <si>
    <t xml:space="preserve">D/E Ratio</t>
  </si>
  <si>
    <t xml:space="preserve">Terminal Growth Rate</t>
  </si>
  <si>
    <t xml:space="preserve">Exit Multiple (EV/EBITDA)</t>
  </si>
  <si>
    <t xml:space="preserve">Fully Diluted Shares</t>
  </si>
  <si>
    <t xml:space="preserve">Net Debt (JPY mn)</t>
  </si>
  <si>
    <t xml:space="preserve">Base Year Revenue (JPY mn)</t>
  </si>
  <si>
    <t xml:space="preserve">D&amp;A / Revenue</t>
  </si>
  <si>
    <t xml:space="preserve">Stub Fraction (yr remaining)</t>
  </si>
  <si>
    <t xml:space="preserve">LTM Revenue (JPY mn)</t>
  </si>
  <si>
    <t xml:space="preserve">WACC Calculation</t>
  </si>
  <si>
    <t xml:space="preserve">Cost of Equity (Ke)</t>
  </si>
  <si>
    <t xml:space="preserve">Weight of Equity</t>
  </si>
  <si>
    <t xml:space="preserve">Weight of Debt</t>
  </si>
  <si>
    <t xml:space="preserve">WACC</t>
  </si>
  <si>
    <t xml:space="preserve">Active Scenario</t>
  </si>
  <si>
    <t xml:space="preserve">Base</t>
  </si>
  <si>
    <t xml:space="preserve">Projected Free Cash Flow</t>
  </si>
  <si>
    <t xml:space="preserve">FY2027(E)</t>
  </si>
  <si>
    <t xml:space="preserve">FY2028(E)</t>
  </si>
  <si>
    <t xml:space="preserve">FY2029(E)</t>
  </si>
  <si>
    <t xml:space="preserve">FY2030(E)</t>
  </si>
  <si>
    <t xml:space="preserve">FY2031(E)</t>
  </si>
  <si>
    <t xml:space="preserve">COGS % of Revenue</t>
  </si>
  <si>
    <t xml:space="preserve">SGA % of Revenue</t>
  </si>
  <si>
    <t xml:space="preserve">SGA Expense</t>
  </si>
  <si>
    <t xml:space="preserve">Implied Operating Margin</t>
  </si>
  <si>
    <t xml:space="preserve">Operating Income (EBIT)</t>
  </si>
  <si>
    <t xml:space="preserve">Less: Tax</t>
  </si>
  <si>
    <t xml:space="preserve">NOPAT</t>
  </si>
  <si>
    <t xml:space="preserve">Plus: D&amp;A</t>
  </si>
  <si>
    <t xml:space="preserve">Less: Capex</t>
  </si>
  <si>
    <t xml:space="preserve">Change in NWC</t>
  </si>
  <si>
    <t xml:space="preserve">Unlevered Free Cash Flow</t>
  </si>
  <si>
    <t xml:space="preserve">Discount Factor</t>
  </si>
  <si>
    <t xml:space="preserve">PV of FCF</t>
  </si>
  <si>
    <t xml:space="preserve">Valuation - Perpetuity Growth Method</t>
  </si>
  <si>
    <t xml:space="preserve">Sum of PV of FCFs</t>
  </si>
  <si>
    <t xml:space="preserve">Terminal Value (PGM)</t>
  </si>
  <si>
    <t xml:space="preserve">PV of Terminal Value</t>
  </si>
  <si>
    <t xml:space="preserve">Enterprise Value</t>
  </si>
  <si>
    <t xml:space="preserve">Equity Value</t>
  </si>
  <si>
    <t xml:space="preserve">Implied Share Price (PGM)</t>
  </si>
  <si>
    <t xml:space="preserve">Valuation - Exit Multiple Method</t>
  </si>
  <si>
    <t xml:space="preserve">Year 5 EBITDA</t>
  </si>
  <si>
    <t xml:space="preserve">Terminal Value (Exit Multiple)</t>
  </si>
  <si>
    <t xml:space="preserve">Implied Share Price (Exit Multiple)</t>
  </si>
  <si>
    <t xml:space="preserve">Scenario Input Matrix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</si>
  <si>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</si>
  <si>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</si>
  <si>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</si>
  <si>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</si>
  <si>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</si>
  <si>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Upside</t>
  </si>
  <si>
    <t xml:space="preserve">Management</t>
  </si>
  <si>
    <t xml:space="preserve">Downside 1</t>
  </si>
  <si>
    <t xml:space="preserve">Downside 2</t>
  </si>
  <si>
    <r>
      <rPr>
        <b val="true"/>
        <sz val="14"/>
        <rFont val="Arial"/>
        <family val="0"/>
        <charset val="1"/>
      </rPr>
      <t xml:space="preserve">NWC Schedule - </t>
    </r>
    <r>
      <rPr>
        <b val="true"/>
        <sz val="14"/>
        <rFont val="Noto Sans CJK SC"/>
        <family val="2"/>
      </rPr>
      <t xml:space="preserve">キオクシアホールディングス株式会社</t>
    </r>
  </si>
  <si>
    <t xml:space="preserve">Working Capital Drivers (Days)</t>
  </si>
  <si>
    <t xml:space="preserve">Base Year</t>
  </si>
  <si>
    <t xml:space="preserve">DSO (Days Sales Outstanding)</t>
  </si>
  <si>
    <t xml:space="preserve">DIH (Days Inventory Held)</t>
  </si>
  <si>
    <t xml:space="preserve">DPO (Days Payable Outstanding)</t>
  </si>
  <si>
    <t xml:space="preserve">P&amp;L Reference (JPY mn)</t>
  </si>
  <si>
    <t xml:space="preserve">Working Capital Items (JPY mn)</t>
  </si>
  <si>
    <t xml:space="preserve">Accounts Receivable</t>
  </si>
  <si>
    <t xml:space="preserve">Inventory</t>
  </si>
  <si>
    <t xml:space="preserve">Current Assets (AR + Inv)</t>
  </si>
  <si>
    <t xml:space="preserve">Accounts Payable</t>
  </si>
  <si>
    <t xml:space="preserve">Current Liabilities (AP)</t>
  </si>
  <si>
    <t xml:space="preserve">Net Working Capital (JPY mn)</t>
  </si>
  <si>
    <t xml:space="preserve">Net Working Capital</t>
  </si>
  <si>
    <t xml:space="preserve">Scenario Input Matrix (Working Capital Days)</t>
  </si>
  <si>
    <t xml:space="preserve">DSO (Days)</t>
  </si>
  <si>
    <t xml:space="preserve">DIH (Days)</t>
  </si>
  <si>
    <t xml:space="preserve">DPO (Days)</t>
  </si>
  <si>
    <t xml:space="preserve">Comparable Company Analysis</t>
  </si>
  <si>
    <t xml:space="preserve">Mkt Cap
(JPY mn)</t>
  </si>
  <si>
    <t xml:space="preserve">EV
(JPY mn)</t>
  </si>
  <si>
    <t xml:space="preserve">Revenue
(JPY mn)</t>
  </si>
  <si>
    <t xml:space="preserve">EBITDA
(JPY mn)</t>
  </si>
  <si>
    <t xml:space="preserve">Op Income
(JPY mn)</t>
  </si>
  <si>
    <t xml:space="preserve">Net Income
(JPY mn)</t>
  </si>
  <si>
    <t xml:space="preserve">EV/EBITDA</t>
  </si>
  <si>
    <t xml:space="preserve">EV/Revenue</t>
  </si>
  <si>
    <t xml:space="preserve">PER</t>
  </si>
  <si>
    <t xml:space="preserve">PBR</t>
  </si>
  <si>
    <t xml:space="preserve">Op Margin</t>
  </si>
  <si>
    <t xml:space="preserve">ROE</t>
  </si>
  <si>
    <t xml:space="preserve">Book Value
(JPY mn)</t>
  </si>
  <si>
    <t xml:space="preserve">Kioxia Holdings</t>
  </si>
  <si>
    <t xml:space="preserve">285A.T</t>
  </si>
  <si>
    <t xml:space="preserve">SanDisk</t>
  </si>
  <si>
    <t xml:space="preserve">SNDK</t>
  </si>
  <si>
    <t xml:space="preserve">Micron Technology</t>
  </si>
  <si>
    <t xml:space="preserve">MU</t>
  </si>
  <si>
    <t xml:space="preserve">SK Hynix</t>
  </si>
  <si>
    <t xml:space="preserve">000660.KS</t>
  </si>
  <si>
    <t xml:space="preserve">Statistics</t>
  </si>
  <si>
    <t xml:space="preserve">25th Percentile</t>
  </si>
  <si>
    <t xml:space="preserve">Median (50th)</t>
  </si>
  <si>
    <t xml:space="preserve">75th Percentile</t>
  </si>
  <si>
    <t xml:space="preserve">Note: Statistics above are peers ONLY (rows 6-8). Kioxia (row 5) is shown for reference but excluded from the median/percentiles - including the subject company would value it off its own multiple. Micron/SanDisk/SK Hynix figures are LTM, converted at 163.4632 JPY/USD (Micron) as supplied in the source CSV.</t>
  </si>
  <si>
    <r>
      <rPr>
        <b val="true"/>
        <sz val="11"/>
        <rFont val="Arial"/>
        <family val="0"/>
        <charset val="1"/>
      </rPr>
      <t xml:space="preserve">Implied Valuation for </t>
    </r>
    <r>
      <rPr>
        <b val="true"/>
        <sz val="11"/>
        <rFont val="Noto Sans CJK SC"/>
        <family val="2"/>
      </rPr>
      <t xml:space="preserve">キオクシアホールディングス株式会社</t>
    </r>
  </si>
  <si>
    <r>
      <rPr>
        <b val="true"/>
        <sz val="11"/>
        <rFont val="Noto Sans CJK SC"/>
        <family val="2"/>
      </rPr>
      <t xml:space="preserve">キオクシアホールディングス株式会社 </t>
    </r>
    <r>
      <rPr>
        <b val="true"/>
        <sz val="11"/>
        <rFont val="Arial"/>
        <family val="0"/>
        <charset val="1"/>
      </rPr>
      <t xml:space="preserve">Financials</t>
    </r>
  </si>
  <si>
    <t xml:space="preserve">EBITDA (JPY mn)</t>
  </si>
  <si>
    <t xml:space="preserve">Net Income (JPY mn)</t>
  </si>
  <si>
    <t xml:space="preserve">Shares Outstanding</t>
  </si>
  <si>
    <t xml:space="preserve">Implied Share Price (Median Multiples)</t>
  </si>
  <si>
    <t xml:space="preserve">Via EV/EBITDA (Median)</t>
  </si>
  <si>
    <t xml:space="preserve">Via PER (Median)</t>
  </si>
  <si>
    <t xml:space="preserve">Sensitivity Analysis</t>
  </si>
  <si>
    <t xml:space="preserve">Current WACC:</t>
  </si>
  <si>
    <t xml:space="preserve">Terminal g:</t>
  </si>
  <si>
    <t xml:space="preserve">Exit Multiple:</t>
  </si>
  <si>
    <t xml:space="preserve">Table 1: WACC vs Terminal Growth Rate (PGM - Implied Share Price, JPY)</t>
  </si>
  <si>
    <t xml:space="preserve">WACC \ Terminal g</t>
  </si>
  <si>
    <t xml:space="preserve">Table 2: WACC vs Exit Multiple (Exit Multiple - Implied Share Price, JPY)</t>
  </si>
  <si>
    <t xml:space="preserve">WACC \ Exit Multiple</t>
  </si>
  <si>
    <t xml:space="preserve">All values dynamically linked to DCF Model. Headers auto-center on current WACC / Terminal g / Exit Multiple.</t>
  </si>
  <si>
    <t xml:space="preserve">Manual Adjustments Log — 285A Kioxia DCF (finalised 2026-07-30)</t>
  </si>
  <si>
    <t xml:space="preserve">#</t>
  </si>
  <si>
    <t xml:space="preserve">Sheet / Cell</t>
  </si>
  <si>
    <t xml:space="preserve">Was</t>
  </si>
  <si>
    <t xml:space="preserve">Now</t>
  </si>
  <si>
    <t xml:space="preserve">Why / Source</t>
  </si>
  <si>
    <t xml:space="preserve">1</t>
  </si>
  <si>
    <t xml:space="preserve">Comps!G7 (Micron EBITDA)</t>
  </si>
  <si>
    <t xml:space="preserve">15,345,788</t>
  </si>
  <si>
    <t xml:space="preserve">11,156,992</t>
  </si>
  <si>
    <t xml:space="preserve">Was IMPOSSIBLE: EBITDA exceeded Revenue (14,756,188) by 589,600. Rebuilt as LTM GAAP operating income 59,242 + LTM D&amp;A 9,012 = 68,254 USDmn @ 163.4632. LTM = FQ4-25 + FQ1..FQ3-26. Source: Micron FQ3 FY2026 8-K (SEC, 2026-06-24): 9M rev 78,959 / OI 55,589 / NI 47,268 / D&amp;A 6,862; FQ4-25 rev 11,320, NI 3,200. FQ4-25 D&amp;A ~2,150 is an ESTIMATE (9M FY2025 D&amp;A 6,203); +/-200 moves EBITDA &lt;0.4%. Revenue, Op Income and Net Income in this row reconcile to LTM within 0.01% and were NOT changed. Op margin 65.6% is CORRECT, not an error (FQ3-26 alone: 80.4%).</t>
  </si>
  <si>
    <t xml:space="preserve">2</t>
  </si>
  <si>
    <t xml:space="preserve">Comps!D5, E5, M5:M8, O5:O8</t>
  </si>
  <si>
    <t xml:space="preserve">D5 21,780,257 (@39,800)</t>
  </si>
  <si>
    <t xml:space="preserve">live formulas</t>
  </si>
  <si>
    <r>
      <rPr>
        <sz val="9"/>
        <rFont val="Arial"/>
        <family val="0"/>
        <charset val="1"/>
      </rPr>
      <t xml:space="preserve">Market cap, EV and PBR were hardcoded at the superseded 39,800 price while Exec Summary!C9 = 42,500. D5 now = Exec Summary!C9 * C23 / 1e6, E5 = D5 + C24. Added col P (Book Value) so PBR = D/P and ROE = I/P are formulas. Kioxia BV 1,398,929 = </t>
    </r>
    <r>
      <rPr>
        <sz val="9"/>
        <rFont val="Noto Sans CJK SC"/>
        <family val="2"/>
      </rPr>
      <t xml:space="preserve">親会社の所有者に帰属する持分合計 </t>
    </r>
    <r>
      <rPr>
        <sz val="9"/>
        <rFont val="Arial"/>
        <family val="0"/>
        <charset val="1"/>
      </rPr>
      <t xml:space="preserve">(2026/3/31, </t>
    </r>
    <r>
      <rPr>
        <sz val="9"/>
        <rFont val="Noto Sans CJK SC"/>
        <family val="2"/>
      </rPr>
      <t xml:space="preserve">短信</t>
    </r>
    <r>
      <rPr>
        <sz val="9"/>
        <rFont val="Arial"/>
        <family val="0"/>
        <charset val="1"/>
      </rPr>
      <t xml:space="preserve">); peer BVs recovered from the source CSV as MktCap / PBR.</t>
    </r>
  </si>
  <si>
    <t xml:space="preserve">3</t>
  </si>
  <si>
    <t xml:space="preserve">Comps!D15:I17</t>
  </si>
  <si>
    <t xml:space="preserve">PERCENTILE/MEDIAN(x5:x8)</t>
  </si>
  <si>
    <t xml:space="preserve">(x6:x8)</t>
  </si>
  <si>
    <t xml:space="preserve">Statistics included Kioxia itself, so the median used to value Kioxia contained Kioxia — circular. Now peers only (SanDisk, Micron, SK Hynix). n=3.</t>
  </si>
  <si>
    <t xml:space="preserve">4</t>
  </si>
  <si>
    <t xml:space="preserve">FS!C19:E19, C26:E27, B27</t>
  </si>
  <si>
    <t xml:space="preserve">see col C</t>
  </si>
  <si>
    <t xml:space="preserve">see col D</t>
  </si>
  <si>
    <r>
      <rPr>
        <sz val="9"/>
        <rFont val="Arial"/>
        <family val="0"/>
        <charset val="1"/>
      </rPr>
      <t xml:space="preserve">EDINET residuals shifted two fiscal years: OCF read 0 / 0 / 195,111 (195,111 is FY2024/3), Cash read 0 / 261,351 / 187,593 (FY2023/3 and FY2024/3), Short-term Debt read 0 / 0 / 0. FCF therefore showed -88,563 for FY2026/3 when the actual is +332,866, and Net Debt showed net CASH of -187,593 against 'DCF Model'!C16 = +782,482. Replaced with </t>
    </r>
    <r>
      <rPr>
        <sz val="9"/>
        <rFont val="Noto Sans CJK SC"/>
        <family val="2"/>
      </rPr>
      <t xml:space="preserve">短信 </t>
    </r>
    <r>
      <rPr>
        <sz val="9"/>
        <rFont val="Arial"/>
        <family val="0"/>
        <charset val="1"/>
      </rPr>
      <t xml:space="preserve">actuals; row 27 relabelled to TOTAL interest-bearing debt (</t>
    </r>
    <r>
      <rPr>
        <sz val="9"/>
        <rFont val="Noto Sans CJK SC"/>
        <family val="2"/>
      </rPr>
      <t xml:space="preserve">社債及び借入金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リース負債</t>
    </r>
    <r>
      <rPr>
        <sz val="9"/>
        <rFont val="Arial"/>
        <family val="0"/>
        <charset val="1"/>
      </rPr>
      <t xml:space="preserve">, current + non-current) so row 28 now ties exactly to the DCF.</t>
    </r>
  </si>
  <si>
    <t xml:space="preserve">5</t>
  </si>
  <si>
    <t xml:space="preserve">DCF!C12 (D/E)</t>
  </si>
  <si>
    <t xml:space="preserve">0.0359</t>
  </si>
  <si>
    <t xml:space="preserve">live formula</t>
  </si>
  <si>
    <t xml:space="preserve">Same staleness as #2 — computed at 39,800. Now = C16 / (Exec Summary!C9 * C15 / 1e6). NOTE: this is the ONLY fix that moves the DCF output, because it moves WACC.</t>
  </si>
  <si>
    <t xml:space="preserve">6</t>
  </si>
  <si>
    <t xml:space="preserve">DCF!C20 (LTM Revenue)</t>
  </si>
  <si>
    <t xml:space="preserve">2,219,365</t>
  </si>
  <si>
    <t xml:space="preserve">2,337,628</t>
  </si>
  <si>
    <t xml:space="preserve">EDINET/yfinance residual. LTM = FY2026/3 actual (no later quarter reported as of 2026-07-30). Reference cell only — stub fraction is 1.0, so no effect on valuation.</t>
  </si>
  <si>
    <t xml:space="preserve">7</t>
  </si>
  <si>
    <t xml:space="preserve">DCF!C5, C18</t>
  </si>
  <si>
    <t xml:space="preserve">11.98% / 13.52%</t>
  </si>
  <si>
    <t xml:space="preserve">12.14% / 13.38%</t>
  </si>
  <si>
    <r>
      <rPr>
        <sz val="9"/>
        <rFont val="Arial"/>
        <family val="0"/>
        <charset val="1"/>
      </rPr>
      <t xml:space="preserve">revenue_pct FALLBACKS, unused because capex/D&amp;A run on the direct method (rows 42-43 are absolute). Corrected to tie to </t>
    </r>
    <r>
      <rPr>
        <sz val="9"/>
        <rFont val="Noto Sans CJK SC"/>
        <family val="2"/>
      </rPr>
      <t xml:space="preserve">短信</t>
    </r>
    <r>
      <rPr>
        <sz val="9"/>
        <rFont val="Arial"/>
        <family val="0"/>
        <charset val="1"/>
      </rPr>
      <t xml:space="preserve">: capex 283,674 and D&amp;A 312,826 over base revenue 2,337,628. No effect on output.</t>
    </r>
  </si>
  <si>
    <t xml:space="preserve">NOT CHANGED — per instruction</t>
  </si>
  <si>
    <t xml:space="preserve">Revenue growth (rows 69-73), COGS%/SGA% (76-87), Exit Multiple C14 = 14.0x, Terminal Growth C13 = 2.0%, Beta 1.5, Tax 30%, Size Premium 0.0%, Cost of Debt 2.24%, Net Debt 782,482, Shares 547,242,648, NWC day drivers, disclaimer text.</t>
  </si>
  <si>
    <t xml:space="preserve">OPEN ITEM — not fixed</t>
  </si>
  <si>
    <t xml:space="preserve">DCF!D27 = 1 (constant)</t>
  </si>
  <si>
    <t xml:space="preserve">The scenario dropdown sits on C27 but the index in D27 is a hardcoded 1, so selecting Upside / Downside in the dropdown does NOT switch the model. Changing it alters model behaviour, so it is left alone. To drive it from the dropdown: D27 = MATCH(C27,{"Base";"Upside";"Management";"Downside 1";"Downside 2"},0).</t>
  </si>
  <si>
    <t xml:space="preserve">OPEN ITEM — verify</t>
  </si>
  <si>
    <t xml:space="preserve">Comps!G6 (SanDisk EBITDA)</t>
  </si>
  <si>
    <t xml:space="preserve">Implied D&amp;A = 901,972 - 877,780 = 24,192 (~1.1% of revenue). Low even allowing for Flash Ventures being equity-method rather than consolidated. Not changed (no primary source pulled); worth confirming against SanDisk's 10-Q before publication.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</si>
</sst>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"/>
    <numFmt numFmtId="166" formatCode="0.0%;\(0.0%\)"/>
    <numFmt numFmtId="167" formatCode="0.00"/>
    <numFmt numFmtId="168" formatCode="0.000"/>
    <numFmt numFmtId="169" formatCode="0.00\x"/>
    <numFmt numFmtId="170" formatCode="#,##0"/>
    <numFmt numFmtId="171" formatCode="0.00%;\(0.00%\)"/>
    <numFmt numFmtId="172" formatCode="0.0000"/>
  </numFmts>
  <fonts count="19">
    <font>
      <sz val="11"/>
      <color theme="1"/>
      <name val="ＭＳ Ｐゴシック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808080"/>
      <name val="Arial"/>
      <family val="0"/>
      <charset val="1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Noto Sans CJK SC"/>
      <family val="2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6600"/>
      <name val="Arial"/>
      <family val="0"/>
      <charset val="1"/>
    </font>
    <font>
      <i val="true"/>
      <sz val="8"/>
      <name val="Arial"/>
      <family val="0"/>
      <charset val="1"/>
    </font>
    <font>
      <i val="true"/>
      <sz val="8"/>
      <name val="Noto Sans CJK SC"/>
      <family val="2"/>
    </font>
    <font>
      <b val="true"/>
      <sz val="11"/>
      <name val="Noto Sans CJK SC"/>
      <family val="2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E2EFDA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CE6F1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B0B0B0"/>
      <rgbColor rgb="FF808080"/>
      <rgbColor rgb="FF9999FF"/>
      <rgbColor rgb="FF993366"/>
      <rgbColor rgb="FFF2F2F2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C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B1:E31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C10" activeCellId="0" sqref="C10"/>
    </sheetView>
  </sheetViews>
  <sheetFormatPr defaultColWidth="8.5390625" defaultRowHeight="12.7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5" min="3" style="0" width="22"/>
  </cols>
  <sheetData>
    <row r="1" customFormat="false" ht="13.5" hidden="false" customHeight="true" outlineLevel="0" collapsed="false">
      <c r="B1" s="1" t="s">
        <v>0</v>
      </c>
      <c r="C1" s="1"/>
      <c r="D1" s="1"/>
      <c r="E1" s="1"/>
    </row>
    <row r="2" customFormat="false" ht="13.8" hidden="false" customHeight="false" outlineLevel="0" collapsed="false"/>
    <row r="3" customFormat="false" ht="18" hidden="false" customHeight="true" outlineLevel="0" collapsed="false">
      <c r="B3" s="2" t="s">
        <v>1</v>
      </c>
      <c r="C3" s="2"/>
      <c r="D3" s="2"/>
    </row>
    <row r="4" customFormat="false" ht="13.5" hidden="false" customHeight="true" outlineLevel="0" collapsed="false">
      <c r="B4" s="3" t="s">
        <v>2</v>
      </c>
    </row>
    <row r="5" customFormat="false" ht="13.8" hidden="false" customHeight="false" outlineLevel="0" collapsed="false"/>
    <row r="6" customFormat="false" ht="13.5" hidden="false" customHeight="true" outlineLevel="0" collapsed="false">
      <c r="B6" s="4" t="s">
        <v>3</v>
      </c>
      <c r="C6" s="5" t="s">
        <v>4</v>
      </c>
    </row>
    <row r="7" customFormat="false" ht="13.5" hidden="false" customHeight="true" outlineLevel="0" collapsed="false">
      <c r="B7" s="4" t="s">
        <v>5</v>
      </c>
      <c r="C7" s="0" t="s">
        <v>6</v>
      </c>
    </row>
    <row r="8" customFormat="false" ht="13.5" hidden="false" customHeight="true" outlineLevel="0" collapsed="false">
      <c r="B8" s="4" t="s">
        <v>7</v>
      </c>
      <c r="C8" s="0" t="s">
        <v>8</v>
      </c>
    </row>
    <row r="9" customFormat="false" ht="13.5" hidden="false" customHeight="true" outlineLevel="0" collapsed="false">
      <c r="B9" s="4" t="s">
        <v>9</v>
      </c>
      <c r="C9" s="6" t="n">
        <v>42500</v>
      </c>
    </row>
    <row r="10" customFormat="false" ht="13.5" hidden="false" customHeight="true" outlineLevel="0" collapsed="false">
      <c r="B10" s="4" t="s">
        <v>10</v>
      </c>
      <c r="C10" s="6" t="n">
        <f aca="false">ROUND(AVERAGE(C16:C19),0)</f>
        <v>34941</v>
      </c>
    </row>
    <row r="11" customFormat="false" ht="13.5" hidden="false" customHeight="true" outlineLevel="0" collapsed="false">
      <c r="B11" s="4" t="s">
        <v>11</v>
      </c>
      <c r="C11" s="7" t="str">
        <f aca="false">IF(C12&gt;0.15,"BUY",IF(C12&gt;0.05,"HOLD","SELL"))</f>
        <v>SELL</v>
      </c>
    </row>
    <row r="12" customFormat="false" ht="13.5" hidden="false" customHeight="true" outlineLevel="0" collapsed="false">
      <c r="B12" s="4" t="s">
        <v>12</v>
      </c>
      <c r="C12" s="8" t="n">
        <f aca="false">(C10-C9)/C9</f>
        <v>-0.177858823529412</v>
      </c>
    </row>
    <row r="13" customFormat="false" ht="13.8" hidden="false" customHeight="false" outlineLevel="0" collapsed="false"/>
    <row r="14" customFormat="false" ht="13.5" hidden="false" customHeight="true" outlineLevel="0" collapsed="false">
      <c r="B14" s="9" t="s">
        <v>13</v>
      </c>
      <c r="C14" s="10"/>
      <c r="D14" s="10"/>
    </row>
    <row r="15" customFormat="false" ht="13.5" hidden="false" customHeight="true" outlineLevel="0" collapsed="false">
      <c r="B15" s="11" t="s">
        <v>14</v>
      </c>
      <c r="C15" s="11" t="s">
        <v>15</v>
      </c>
      <c r="D15" s="11" t="s">
        <v>16</v>
      </c>
    </row>
    <row r="16" customFormat="false" ht="13.5" hidden="false" customHeight="true" outlineLevel="0" collapsed="false">
      <c r="B16" s="0" t="s">
        <v>17</v>
      </c>
      <c r="C16" s="12" t="n">
        <f aca="false">'DCF Model'!C55</f>
        <v>27746</v>
      </c>
      <c r="D16" s="8" t="n">
        <f aca="false">(C16-C9)/C9</f>
        <v>-0.347152941176471</v>
      </c>
    </row>
    <row r="17" customFormat="false" ht="13.5" hidden="false" customHeight="true" outlineLevel="0" collapsed="false">
      <c r="B17" s="0" t="s">
        <v>18</v>
      </c>
      <c r="C17" s="12" t="n">
        <f aca="false">'DCF Model'!C64</f>
        <v>52879</v>
      </c>
      <c r="D17" s="8" t="n">
        <f aca="false">(C17-C9)/C9</f>
        <v>0.244211764705882</v>
      </c>
    </row>
    <row r="18" customFormat="false" ht="13.5" hidden="false" customHeight="true" outlineLevel="0" collapsed="false">
      <c r="B18" s="0" t="s">
        <v>19</v>
      </c>
      <c r="C18" s="12" t="n">
        <f aca="false">'Comps Analysis'!C27</f>
        <v>35031</v>
      </c>
      <c r="D18" s="8" t="n">
        <f aca="false">IF(ISNUMBER(C18),(C18-C9)/C9,"N/A")</f>
        <v>-0.175741176470588</v>
      </c>
    </row>
    <row r="19" customFormat="false" ht="13.5" hidden="false" customHeight="true" outlineLevel="0" collapsed="false">
      <c r="B19" s="0" t="s">
        <v>20</v>
      </c>
      <c r="C19" s="12" t="n">
        <f aca="false">'Comps Analysis'!C28</f>
        <v>24107</v>
      </c>
      <c r="D19" s="8" t="n">
        <f aca="false">IF(ISNUMBER(C19),(C19-C9)/C9,"N/A")</f>
        <v>-0.432776470588235</v>
      </c>
    </row>
    <row r="20" customFormat="false" ht="13.8" hidden="false" customHeight="false" outlineLevel="0" collapsed="false"/>
    <row r="21" customFormat="false" ht="13.5" hidden="false" customHeight="true" outlineLevel="0" collapsed="false">
      <c r="B21" s="4" t="s">
        <v>21</v>
      </c>
      <c r="C21" s="7" t="str">
        <f aca="false">MIN(C16:C19)&amp;" - "&amp;MAX(C16:C19)</f>
        <v>24107 - 52879</v>
      </c>
    </row>
    <row r="22" customFormat="false" ht="13.8" hidden="false" customHeight="false" outlineLevel="0" collapsed="false"/>
    <row r="23" customFormat="false" ht="13.5" hidden="false" customHeight="true" outlineLevel="0" collapsed="false">
      <c r="B23" s="9" t="s">
        <v>22</v>
      </c>
      <c r="C23" s="10"/>
      <c r="D23" s="10"/>
    </row>
    <row r="24" customFormat="false" ht="13.8" hidden="false" customHeight="false" outlineLevel="0" collapsed="false">
      <c r="B24" s="0" t="s">
        <v>23</v>
      </c>
    </row>
    <row r="25" customFormat="false" ht="13.8" hidden="false" customHeight="false" outlineLevel="0" collapsed="false">
      <c r="B25" s="0" t="s">
        <v>24</v>
      </c>
    </row>
    <row r="26" customFormat="false" ht="13.8" hidden="false" customHeight="false" outlineLevel="0" collapsed="false">
      <c r="B26" s="0" t="s">
        <v>25</v>
      </c>
    </row>
    <row r="27" customFormat="false" ht="13.8" hidden="false" customHeight="false" outlineLevel="0" collapsed="false"/>
    <row r="28" customFormat="false" ht="13.5" hidden="false" customHeight="true" outlineLevel="0" collapsed="false">
      <c r="B28" s="9" t="s">
        <v>26</v>
      </c>
      <c r="C28" s="10"/>
      <c r="D28" s="10"/>
    </row>
    <row r="29" customFormat="false" ht="13.8" hidden="false" customHeight="false" outlineLevel="0" collapsed="false">
      <c r="B29" s="0" t="s">
        <v>27</v>
      </c>
    </row>
    <row r="30" customFormat="false" ht="13.8" hidden="false" customHeight="false" outlineLevel="0" collapsed="false">
      <c r="B30" s="0" t="s">
        <v>28</v>
      </c>
    </row>
    <row r="31" customFormat="false" ht="13.8" hidden="false" customHeight="false" outlineLevel="0" collapsed="false">
      <c r="B31" s="0" t="s">
        <v>29</v>
      </c>
    </row>
  </sheetData>
  <mergeCells count="2">
    <mergeCell ref="B1:E1"/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B1:E31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A1" activeCellId="0" sqref="A1"/>
    </sheetView>
  </sheetViews>
  <sheetFormatPr defaultColWidth="8.5390625" defaultRowHeight="12.7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5" min="3" style="0" width="18"/>
  </cols>
  <sheetData>
    <row r="1" customFormat="false" ht="13.8" hidden="false" customHeight="false" outlineLevel="0" collapsed="false"/>
    <row r="2" customFormat="false" ht="18" hidden="false" customHeight="true" outlineLevel="0" collapsed="false">
      <c r="B2" s="13" t="s">
        <v>30</v>
      </c>
    </row>
    <row r="3" customFormat="false" ht="13.8" hidden="false" customHeight="false" outlineLevel="0" collapsed="false"/>
    <row r="4" customFormat="false" ht="13.5" hidden="false" customHeight="true" outlineLevel="0" collapsed="false">
      <c r="C4" s="11" t="s">
        <v>31</v>
      </c>
      <c r="D4" s="11" t="s">
        <v>32</v>
      </c>
      <c r="E4" s="11" t="s">
        <v>33</v>
      </c>
    </row>
    <row r="5" customFormat="false" ht="13.5" hidden="false" customHeight="true" outlineLevel="0" collapsed="false">
      <c r="B5" s="3" t="s">
        <v>34</v>
      </c>
    </row>
    <row r="6" customFormat="false" ht="13.5" hidden="false" customHeight="true" outlineLevel="0" collapsed="false">
      <c r="B6" s="4" t="s">
        <v>35</v>
      </c>
      <c r="C6" s="6" t="n">
        <v>1076584</v>
      </c>
      <c r="D6" s="6" t="n">
        <v>1706460</v>
      </c>
      <c r="E6" s="6" t="n">
        <v>2337628</v>
      </c>
    </row>
    <row r="7" customFormat="false" ht="13.5" hidden="false" customHeight="true" outlineLevel="0" collapsed="false">
      <c r="B7" s="4" t="s">
        <v>36</v>
      </c>
      <c r="C7" s="6" t="n">
        <v>1205927</v>
      </c>
      <c r="D7" s="6" t="n">
        <v>1137027</v>
      </c>
      <c r="E7" s="6" t="n">
        <v>1324724</v>
      </c>
    </row>
    <row r="8" customFormat="false" ht="13.5" hidden="false" customHeight="true" outlineLevel="0" collapsed="false">
      <c r="B8" s="4" t="s">
        <v>37</v>
      </c>
      <c r="C8" s="6" t="n">
        <f aca="false">C6-C7</f>
        <v>-129343</v>
      </c>
      <c r="D8" s="6" t="n">
        <f aca="false">D6-D7</f>
        <v>569433</v>
      </c>
      <c r="E8" s="6" t="n">
        <f aca="false">E6-E7</f>
        <v>1012904</v>
      </c>
    </row>
    <row r="9" customFormat="false" ht="13.5" hidden="false" customHeight="true" outlineLevel="0" collapsed="false">
      <c r="B9" s="0" t="s">
        <v>38</v>
      </c>
      <c r="C9" s="8" t="n">
        <f aca="false">C8/C6</f>
        <v>-0.120142041865753</v>
      </c>
      <c r="D9" s="8" t="n">
        <f aca="false">D8/D6</f>
        <v>0.333692556520516</v>
      </c>
      <c r="E9" s="8" t="n">
        <f aca="false">E8/E6</f>
        <v>0.43330418697928</v>
      </c>
    </row>
    <row r="10" customFormat="false" ht="13.5" hidden="false" customHeight="true" outlineLevel="0" collapsed="false">
      <c r="B10" s="4" t="s">
        <v>39</v>
      </c>
      <c r="C10" s="6" t="n">
        <v>128774</v>
      </c>
      <c r="D10" s="6" t="n">
        <v>127851</v>
      </c>
      <c r="E10" s="6" t="n">
        <v>146581</v>
      </c>
    </row>
    <row r="11" customFormat="false" ht="13.5" hidden="false" customHeight="true" outlineLevel="0" collapsed="false">
      <c r="B11" s="4" t="s">
        <v>40</v>
      </c>
      <c r="C11" s="6" t="n">
        <v>-252698</v>
      </c>
      <c r="D11" s="6" t="n">
        <v>451748</v>
      </c>
      <c r="E11" s="6" t="n">
        <v>870369</v>
      </c>
    </row>
    <row r="12" customFormat="false" ht="13.5" hidden="false" customHeight="true" outlineLevel="0" collapsed="false">
      <c r="B12" s="4" t="s">
        <v>41</v>
      </c>
      <c r="C12" s="6" t="n">
        <v>-243721</v>
      </c>
      <c r="D12" s="6" t="n">
        <v>272321</v>
      </c>
      <c r="E12" s="6" t="n">
        <v>554496</v>
      </c>
    </row>
    <row r="13" customFormat="false" ht="13.5" hidden="false" customHeight="true" outlineLevel="0" collapsed="false">
      <c r="B13" s="0" t="s">
        <v>42</v>
      </c>
      <c r="C13" s="8" t="n">
        <f aca="false">C11/C6</f>
        <v>-0.234722046770154</v>
      </c>
      <c r="D13" s="8" t="n">
        <f aca="false">D11/D6</f>
        <v>0.264728150674496</v>
      </c>
      <c r="E13" s="8" t="n">
        <f aca="false">E11/E6</f>
        <v>0.372329985780458</v>
      </c>
    </row>
    <row r="14" customFormat="false" ht="13.5" hidden="false" customHeight="true" outlineLevel="0" collapsed="false">
      <c r="B14" s="0" t="s">
        <v>43</v>
      </c>
      <c r="C14" s="8" t="n">
        <f aca="false">C12/C6</f>
        <v>-0.226383635647567</v>
      </c>
      <c r="D14" s="8" t="n">
        <f aca="false">D12/D6</f>
        <v>0.159582410370006</v>
      </c>
      <c r="E14" s="8" t="n">
        <f aca="false">E12/E6</f>
        <v>0.237204550937959</v>
      </c>
    </row>
    <row r="15" customFormat="false" ht="13.5" hidden="false" customHeight="true" outlineLevel="0" collapsed="false">
      <c r="B15" s="0" t="s">
        <v>44</v>
      </c>
      <c r="C15" s="0" t="s">
        <v>45</v>
      </c>
      <c r="D15" s="8" t="n">
        <f aca="false">(D6-C6)/C6</f>
        <v>0.585069070318712</v>
      </c>
      <c r="E15" s="8" t="n">
        <f aca="false">(E6-D6)/D6</f>
        <v>0.369869788919752</v>
      </c>
    </row>
    <row r="16" customFormat="false" ht="13.5" hidden="false" customHeight="true" outlineLevel="0" collapsed="false">
      <c r="B16" s="0" t="s">
        <v>46</v>
      </c>
      <c r="C16" s="0" t="s">
        <v>45</v>
      </c>
      <c r="D16" s="8" t="n">
        <f aca="false">(D11-C11)/C11</f>
        <v>-2.78769915076495</v>
      </c>
      <c r="E16" s="8" t="n">
        <f aca="false">(E11-D11)/D11</f>
        <v>0.926669293499916</v>
      </c>
    </row>
    <row r="17" customFormat="false" ht="13.8" hidden="false" customHeight="false" outlineLevel="0" collapsed="false"/>
    <row r="18" customFormat="false" ht="13.5" hidden="false" customHeight="true" outlineLevel="0" collapsed="false">
      <c r="B18" s="3" t="s">
        <v>47</v>
      </c>
    </row>
    <row r="19" customFormat="false" ht="13.5" hidden="false" customHeight="true" outlineLevel="0" collapsed="false">
      <c r="B19" s="4" t="s">
        <v>48</v>
      </c>
      <c r="C19" s="6" t="n">
        <v>195111</v>
      </c>
      <c r="D19" s="6" t="n">
        <v>476416</v>
      </c>
      <c r="E19" s="6" t="n">
        <v>616540</v>
      </c>
    </row>
    <row r="20" customFormat="false" ht="13.5" hidden="false" customHeight="true" outlineLevel="0" collapsed="false">
      <c r="B20" s="4" t="s">
        <v>49</v>
      </c>
      <c r="C20" s="6" t="n">
        <v>305097</v>
      </c>
      <c r="D20" s="6" t="n">
        <v>225603</v>
      </c>
      <c r="E20" s="6" t="n">
        <v>283674</v>
      </c>
    </row>
    <row r="21" customFormat="false" ht="13.5" hidden="false" customHeight="true" outlineLevel="0" collapsed="false">
      <c r="B21" s="4" t="s">
        <v>50</v>
      </c>
      <c r="C21" s="6" t="n">
        <f aca="false">C19-C20</f>
        <v>-109986</v>
      </c>
      <c r="D21" s="6" t="n">
        <f aca="false">D19-D20</f>
        <v>250813</v>
      </c>
      <c r="E21" s="6" t="n">
        <f aca="false">E19-E20</f>
        <v>332866</v>
      </c>
    </row>
    <row r="22" customFormat="false" ht="13.5" hidden="false" customHeight="true" outlineLevel="0" collapsed="false">
      <c r="B22" s="0" t="s">
        <v>51</v>
      </c>
      <c r="C22" s="8" t="n">
        <f aca="false">C21/C6</f>
        <v>-0.102162023585712</v>
      </c>
      <c r="D22" s="8" t="n">
        <f aca="false">D21/D6</f>
        <v>0.146978540370123</v>
      </c>
      <c r="E22" s="8" t="n">
        <f aca="false">E21/E6</f>
        <v>0.142394769398724</v>
      </c>
    </row>
    <row r="23" customFormat="false" ht="13.5" hidden="false" customHeight="true" outlineLevel="0" collapsed="false">
      <c r="B23" s="0" t="s">
        <v>52</v>
      </c>
      <c r="C23" s="8" t="n">
        <f aca="false">C20/C6</f>
        <v>0.283393585637535</v>
      </c>
      <c r="D23" s="8" t="n">
        <f aca="false">D20/D6</f>
        <v>0.132205267044056</v>
      </c>
      <c r="E23" s="8" t="n">
        <f aca="false">E20/E6</f>
        <v>0.121351215847859</v>
      </c>
    </row>
    <row r="24" customFormat="false" ht="13.8" hidden="false" customHeight="false" outlineLevel="0" collapsed="false"/>
    <row r="25" customFormat="false" ht="13.5" hidden="false" customHeight="true" outlineLevel="0" collapsed="false">
      <c r="B25" s="3" t="s">
        <v>53</v>
      </c>
    </row>
    <row r="26" customFormat="false" ht="13.5" hidden="false" customHeight="true" outlineLevel="0" collapsed="false">
      <c r="B26" s="4" t="s">
        <v>54</v>
      </c>
      <c r="C26" s="6" t="n">
        <v>187593</v>
      </c>
      <c r="D26" s="6" t="n">
        <v>167932</v>
      </c>
      <c r="E26" s="6" t="n">
        <v>470707</v>
      </c>
    </row>
    <row r="27" customFormat="false" ht="13.5" hidden="false" customHeight="true" outlineLevel="0" collapsed="false">
      <c r="B27" s="4" t="s">
        <v>55</v>
      </c>
      <c r="C27" s="6" t="n">
        <v>1294208</v>
      </c>
      <c r="D27" s="6" t="n">
        <v>999521</v>
      </c>
      <c r="E27" s="6" t="n">
        <v>1253189</v>
      </c>
    </row>
    <row r="28" customFormat="false" ht="13.5" hidden="false" customHeight="true" outlineLevel="0" collapsed="false">
      <c r="B28" s="4" t="s">
        <v>56</v>
      </c>
      <c r="C28" s="6" t="n">
        <f aca="false">C27-C26</f>
        <v>1106615</v>
      </c>
      <c r="D28" s="6" t="n">
        <f aca="false">D27-D26</f>
        <v>831589</v>
      </c>
      <c r="E28" s="6" t="n">
        <f aca="false">E27-E26</f>
        <v>782482</v>
      </c>
    </row>
    <row r="29" customFormat="false" ht="13.8" hidden="false" customHeight="false" outlineLevel="0" collapsed="false"/>
    <row r="30" customFormat="false" ht="13.8" hidden="false" customHeight="false" outlineLevel="0" collapsed="false">
      <c r="B30" s="14" t="s">
        <v>57</v>
      </c>
    </row>
    <row r="31" customFormat="false" ht="13.8" hidden="false" customHeight="false" outlineLevel="0" collapsed="false">
      <c r="B31" s="14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600"/>
    <pageSetUpPr fitToPage="false"/>
  </sheetPr>
  <dimension ref="B1:G87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H65" activeCellId="0" sqref="H65"/>
    </sheetView>
  </sheetViews>
  <sheetFormatPr defaultColWidth="8.5390625" defaultRowHeight="12.7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7" min="3" style="0" width="16"/>
  </cols>
  <sheetData>
    <row r="1" customFormat="false" ht="13.8" hidden="false" customHeight="false" outlineLevel="0" collapsed="false"/>
    <row r="2" customFormat="false" ht="18" hidden="false" customHeight="true" outlineLevel="0" collapsed="false">
      <c r="B2" s="15" t="s">
        <v>59</v>
      </c>
    </row>
    <row r="3" customFormat="false" ht="13.8" hidden="false" customHeight="false" outlineLevel="0" collapsed="false"/>
    <row r="4" customFormat="false" ht="13.5" hidden="false" customHeight="true" outlineLevel="0" collapsed="false">
      <c r="B4" s="9" t="s">
        <v>60</v>
      </c>
      <c r="C4" s="10"/>
      <c r="D4" s="10"/>
      <c r="E4" s="10"/>
      <c r="F4" s="10"/>
      <c r="G4" s="10"/>
    </row>
    <row r="5" customFormat="false" ht="13.5" hidden="false" customHeight="true" outlineLevel="0" collapsed="false">
      <c r="B5" s="4" t="s">
        <v>52</v>
      </c>
      <c r="C5" s="8" t="n">
        <v>0.121351215847859</v>
      </c>
    </row>
    <row r="6" customFormat="false" ht="13.5" hidden="false" customHeight="true" outlineLevel="0" collapsed="false">
      <c r="B6" s="4" t="s">
        <v>61</v>
      </c>
      <c r="C6" s="8" t="n">
        <v>0.3</v>
      </c>
    </row>
    <row r="7" customFormat="false" ht="13.5" hidden="false" customHeight="true" outlineLevel="0" collapsed="false">
      <c r="B7" s="4" t="s">
        <v>62</v>
      </c>
      <c r="C7" s="8" t="n">
        <v>0.023</v>
      </c>
    </row>
    <row r="8" customFormat="false" ht="13.5" hidden="false" customHeight="true" outlineLevel="0" collapsed="false">
      <c r="B8" s="4" t="s">
        <v>63</v>
      </c>
      <c r="C8" s="16" t="n">
        <v>1.5</v>
      </c>
    </row>
    <row r="9" customFormat="false" ht="13.5" hidden="false" customHeight="true" outlineLevel="0" collapsed="false">
      <c r="B9" s="4" t="s">
        <v>64</v>
      </c>
      <c r="C9" s="8" t="n">
        <v>0.06</v>
      </c>
    </row>
    <row r="10" customFormat="false" ht="13.5" hidden="false" customHeight="true" outlineLevel="0" collapsed="false">
      <c r="B10" s="4" t="s">
        <v>65</v>
      </c>
      <c r="C10" s="8" t="n">
        <v>0</v>
      </c>
    </row>
    <row r="11" customFormat="false" ht="13.5" hidden="false" customHeight="true" outlineLevel="0" collapsed="false">
      <c r="B11" s="4" t="s">
        <v>66</v>
      </c>
      <c r="C11" s="8" t="n">
        <v>0.0224</v>
      </c>
    </row>
    <row r="12" customFormat="false" ht="13.5" hidden="false" customHeight="true" outlineLevel="0" collapsed="false">
      <c r="B12" s="4" t="s">
        <v>67</v>
      </c>
      <c r="C12" s="17" t="n">
        <f aca="false">C16/('Executive Summary'!C9*C15/1000000)</f>
        <v>0.0336438346750902</v>
      </c>
    </row>
    <row r="13" customFormat="false" ht="13.5" hidden="false" customHeight="true" outlineLevel="0" collapsed="false">
      <c r="B13" s="4" t="s">
        <v>68</v>
      </c>
      <c r="C13" s="8" t="n">
        <v>0.02</v>
      </c>
    </row>
    <row r="14" customFormat="false" ht="13.5" hidden="false" customHeight="true" outlineLevel="0" collapsed="false">
      <c r="B14" s="4" t="s">
        <v>69</v>
      </c>
      <c r="C14" s="18" t="n">
        <v>14</v>
      </c>
    </row>
    <row r="15" customFormat="false" ht="13.5" hidden="false" customHeight="true" outlineLevel="0" collapsed="false">
      <c r="B15" s="4" t="s">
        <v>70</v>
      </c>
      <c r="C15" s="19" t="n">
        <v>547242648</v>
      </c>
    </row>
    <row r="16" customFormat="false" ht="13.5" hidden="false" customHeight="true" outlineLevel="0" collapsed="false">
      <c r="B16" s="4" t="s">
        <v>71</v>
      </c>
      <c r="C16" s="6" t="n">
        <v>782482</v>
      </c>
    </row>
    <row r="17" customFormat="false" ht="13.5" hidden="false" customHeight="true" outlineLevel="0" collapsed="false">
      <c r="B17" s="4" t="s">
        <v>72</v>
      </c>
      <c r="C17" s="6" t="n">
        <v>2337628</v>
      </c>
    </row>
    <row r="18" customFormat="false" ht="13.5" hidden="false" customHeight="true" outlineLevel="0" collapsed="false">
      <c r="B18" s="4" t="s">
        <v>73</v>
      </c>
      <c r="C18" s="8" t="n">
        <v>0.133821976807259</v>
      </c>
    </row>
    <row r="19" customFormat="false" ht="13.5" hidden="false" customHeight="true" outlineLevel="0" collapsed="false">
      <c r="B19" s="4" t="s">
        <v>74</v>
      </c>
      <c r="C19" s="16" t="n">
        <v>1</v>
      </c>
    </row>
    <row r="20" customFormat="false" ht="13.5" hidden="false" customHeight="true" outlineLevel="0" collapsed="false">
      <c r="B20" s="4" t="s">
        <v>75</v>
      </c>
      <c r="C20" s="6" t="n">
        <v>2337628</v>
      </c>
    </row>
    <row r="21" customFormat="false" ht="13.8" hidden="false" customHeight="false" outlineLevel="0" collapsed="false"/>
    <row r="22" customFormat="false" ht="13.5" hidden="false" customHeight="true" outlineLevel="0" collapsed="false">
      <c r="B22" s="9" t="s">
        <v>76</v>
      </c>
      <c r="C22" s="10"/>
      <c r="D22" s="10"/>
      <c r="E22" s="10"/>
      <c r="F22" s="10"/>
      <c r="G22" s="10"/>
    </row>
    <row r="23" customFormat="false" ht="13.5" hidden="false" customHeight="true" outlineLevel="0" collapsed="false">
      <c r="B23" s="4" t="s">
        <v>77</v>
      </c>
      <c r="C23" s="20" t="n">
        <f aca="false">C7+C8*C9+C10</f>
        <v>0.113</v>
      </c>
    </row>
    <row r="24" customFormat="false" ht="13.5" hidden="false" customHeight="true" outlineLevel="0" collapsed="false">
      <c r="B24" s="4" t="s">
        <v>78</v>
      </c>
      <c r="C24" s="20" t="n">
        <f aca="false">1/(1+C12)</f>
        <v>0.967451230736876</v>
      </c>
    </row>
    <row r="25" customFormat="false" ht="13.5" hidden="false" customHeight="true" outlineLevel="0" collapsed="false">
      <c r="B25" s="4" t="s">
        <v>79</v>
      </c>
      <c r="C25" s="20" t="n">
        <f aca="false">C12/(1+C12)</f>
        <v>0.032548769263124</v>
      </c>
    </row>
    <row r="26" customFormat="false" ht="13.5" hidden="false" customHeight="true" outlineLevel="0" collapsed="false">
      <c r="B26" s="4" t="s">
        <v>80</v>
      </c>
      <c r="C26" s="20" t="n">
        <f aca="false">C23*C24+C11*C25</f>
        <v>0.110051081504761</v>
      </c>
    </row>
    <row r="27" customFormat="false" ht="13.5" hidden="false" customHeight="true" outlineLevel="0" collapsed="false">
      <c r="B27" s="4" t="s">
        <v>81</v>
      </c>
      <c r="C27" s="21" t="s">
        <v>82</v>
      </c>
      <c r="D27" s="7" t="n">
        <v>1</v>
      </c>
    </row>
    <row r="28" customFormat="false" ht="13.5" hidden="false" customHeight="true" outlineLevel="0" collapsed="false">
      <c r="B28" s="9" t="s">
        <v>83</v>
      </c>
      <c r="C28" s="10"/>
      <c r="D28" s="10"/>
      <c r="E28" s="10"/>
      <c r="F28" s="10"/>
      <c r="G28" s="10"/>
    </row>
    <row r="29" customFormat="false" ht="13.5" hidden="false" customHeight="true" outlineLevel="0" collapsed="false">
      <c r="C29" s="11" t="s">
        <v>84</v>
      </c>
      <c r="D29" s="11" t="s">
        <v>85</v>
      </c>
      <c r="E29" s="11" t="s">
        <v>86</v>
      </c>
      <c r="F29" s="11" t="s">
        <v>87</v>
      </c>
      <c r="G29" s="11" t="s">
        <v>88</v>
      </c>
    </row>
    <row r="30" customFormat="false" ht="13.5" hidden="false" customHeight="true" outlineLevel="0" collapsed="false">
      <c r="B30" s="4" t="s">
        <v>44</v>
      </c>
      <c r="C30" s="22" t="n">
        <f aca="false">CHOOSE($D$27,C69,C70,C71,C72,C73)</f>
        <v>0.6</v>
      </c>
      <c r="D30" s="22" t="n">
        <f aca="false">CHOOSE($D$27,D69,D70,D71,D72,D73)</f>
        <v>0.3</v>
      </c>
      <c r="E30" s="22" t="n">
        <f aca="false">CHOOSE($D$27,E69,E70,E71,E72,E73)</f>
        <v>0.2</v>
      </c>
      <c r="F30" s="22" t="n">
        <f aca="false">CHOOSE($D$27,F69,F70,F71,F72,F73)</f>
        <v>0.15</v>
      </c>
      <c r="G30" s="22" t="n">
        <f aca="false">CHOOSE($D$27,G69,G70,G71,G72,G73)</f>
        <v>0.15</v>
      </c>
    </row>
    <row r="31" customFormat="false" ht="13.5" hidden="false" customHeight="true" outlineLevel="0" collapsed="false">
      <c r="B31" s="4" t="s">
        <v>89</v>
      </c>
      <c r="C31" s="22" t="n">
        <f aca="false">CHOOSE($D$27,C76,C77,C78,C79,C80)</f>
        <v>0.6</v>
      </c>
      <c r="D31" s="22" t="n">
        <f aca="false">CHOOSE($D$27,D76,D77,D78,D79,D80)</f>
        <v>0.68</v>
      </c>
      <c r="E31" s="22" t="n">
        <f aca="false">CHOOSE($D$27,E76,E77,E78,E79,E80)</f>
        <v>0.64</v>
      </c>
      <c r="F31" s="22" t="n">
        <f aca="false">CHOOSE($D$27,F76,F77,F78,F79,F80)</f>
        <v>0.57</v>
      </c>
      <c r="G31" s="22" t="n">
        <f aca="false">CHOOSE($D$27,G76,G77,G78,G79,G80)</f>
        <v>0.58</v>
      </c>
    </row>
    <row r="32" customFormat="false" ht="13.5" hidden="false" customHeight="true" outlineLevel="0" collapsed="false">
      <c r="B32" s="4" t="s">
        <v>90</v>
      </c>
      <c r="C32" s="22" t="n">
        <f aca="false">CHOOSE($D$27,C83,C84,C85,C86,C87)</f>
        <v>0.065</v>
      </c>
      <c r="D32" s="22" t="n">
        <f aca="false">CHOOSE($D$27,D83,D84,D85,D86,D87)</f>
        <v>0.075</v>
      </c>
      <c r="E32" s="22" t="n">
        <f aca="false">CHOOSE($D$27,E83,E84,E85,E86,E87)</f>
        <v>0.07</v>
      </c>
      <c r="F32" s="22" t="n">
        <f aca="false">CHOOSE($D$27,F83,F84,F85,F86,F87)</f>
        <v>0.06</v>
      </c>
      <c r="G32" s="22" t="n">
        <f aca="false">CHOOSE($D$27,G83,G84,G85,G86,G87)</f>
        <v>0.062</v>
      </c>
    </row>
    <row r="33" customFormat="false" ht="13.5" hidden="false" customHeight="true" outlineLevel="0" collapsed="false">
      <c r="B33" s="4" t="s">
        <v>35</v>
      </c>
      <c r="C33" s="6" t="n">
        <f aca="false">C17*(1+C30)</f>
        <v>3740204.8</v>
      </c>
      <c r="D33" s="6" t="n">
        <f aca="false">C33*(1+D30)</f>
        <v>4862266.24</v>
      </c>
      <c r="E33" s="6" t="n">
        <f aca="false">D33*(1+E30)</f>
        <v>5834719.488</v>
      </c>
      <c r="F33" s="6" t="n">
        <f aca="false">E33*(1+F30)</f>
        <v>6709927.4112</v>
      </c>
      <c r="G33" s="6" t="n">
        <f aca="false">F33*(1+G30)</f>
        <v>7716416.52288</v>
      </c>
    </row>
    <row r="34" customFormat="false" ht="13.5" hidden="false" customHeight="true" outlineLevel="0" collapsed="false">
      <c r="B34" s="4" t="s">
        <v>36</v>
      </c>
      <c r="C34" s="6" t="n">
        <f aca="false">C33*C31</f>
        <v>2244122.88</v>
      </c>
      <c r="D34" s="6" t="n">
        <f aca="false">D33*D31</f>
        <v>3306341.0432</v>
      </c>
      <c r="E34" s="6" t="n">
        <f aca="false">E33*E31</f>
        <v>3734220.47232</v>
      </c>
      <c r="F34" s="6" t="n">
        <f aca="false">F33*F31</f>
        <v>3824658.624384</v>
      </c>
      <c r="G34" s="6" t="n">
        <f aca="false">G33*G31</f>
        <v>4475521.5832704</v>
      </c>
    </row>
    <row r="35" customFormat="false" ht="13.5" hidden="false" customHeight="true" outlineLevel="0" collapsed="false">
      <c r="B35" s="4" t="s">
        <v>37</v>
      </c>
      <c r="C35" s="23" t="n">
        <f aca="false">C33-C34</f>
        <v>1496081.92</v>
      </c>
      <c r="D35" s="23" t="n">
        <f aca="false">D33-D34</f>
        <v>1555925.1968</v>
      </c>
      <c r="E35" s="23" t="n">
        <f aca="false">E33-E34</f>
        <v>2100499.01568</v>
      </c>
      <c r="F35" s="23" t="n">
        <f aca="false">F33-F34</f>
        <v>2885268.786816</v>
      </c>
      <c r="G35" s="23" t="n">
        <f aca="false">G33-G34</f>
        <v>3240894.9396096</v>
      </c>
    </row>
    <row r="36" customFormat="false" ht="13.5" hidden="false" customHeight="true" outlineLevel="0" collapsed="false">
      <c r="B36" s="4" t="s">
        <v>38</v>
      </c>
      <c r="C36" s="8" t="n">
        <f aca="false">C35/C33</f>
        <v>0.4</v>
      </c>
      <c r="D36" s="8" t="n">
        <f aca="false">D35/D33</f>
        <v>0.32</v>
      </c>
      <c r="E36" s="8" t="n">
        <f aca="false">E35/E33</f>
        <v>0.36</v>
      </c>
      <c r="F36" s="8" t="n">
        <f aca="false">F35/F33</f>
        <v>0.43</v>
      </c>
      <c r="G36" s="8" t="n">
        <f aca="false">G35/G33</f>
        <v>0.42</v>
      </c>
    </row>
    <row r="37" customFormat="false" ht="13.5" hidden="false" customHeight="true" outlineLevel="0" collapsed="false">
      <c r="B37" s="4" t="s">
        <v>91</v>
      </c>
      <c r="C37" s="6" t="n">
        <f aca="false">C33*C32</f>
        <v>243113.312</v>
      </c>
      <c r="D37" s="6" t="n">
        <f aca="false">D33*D32</f>
        <v>364669.968</v>
      </c>
      <c r="E37" s="6" t="n">
        <f aca="false">E33*E32</f>
        <v>408430.36416</v>
      </c>
      <c r="F37" s="6" t="n">
        <f aca="false">F33*F32</f>
        <v>402595.644672</v>
      </c>
      <c r="G37" s="6" t="n">
        <f aca="false">G33*G32</f>
        <v>478417.82441856</v>
      </c>
    </row>
    <row r="38" customFormat="false" ht="13.5" hidden="false" customHeight="true" outlineLevel="0" collapsed="false">
      <c r="B38" s="4" t="s">
        <v>92</v>
      </c>
      <c r="C38" s="8" t="n">
        <f aca="false">(C35-C37)/C33</f>
        <v>0.335</v>
      </c>
      <c r="D38" s="8" t="n">
        <f aca="false">(D35-D37)/D33</f>
        <v>0.245</v>
      </c>
      <c r="E38" s="8" t="n">
        <f aca="false">(E35-E37)/E33</f>
        <v>0.29</v>
      </c>
      <c r="F38" s="8" t="n">
        <f aca="false">(F35-F37)/F33</f>
        <v>0.37</v>
      </c>
      <c r="G38" s="8" t="n">
        <f aca="false">(G35-G37)/G33</f>
        <v>0.358</v>
      </c>
    </row>
    <row r="39" customFormat="false" ht="13.5" hidden="false" customHeight="true" outlineLevel="0" collapsed="false">
      <c r="B39" s="4" t="s">
        <v>93</v>
      </c>
      <c r="C39" s="23" t="n">
        <f aca="false">C35-C37</f>
        <v>1252968.608</v>
      </c>
      <c r="D39" s="23" t="n">
        <f aca="false">D35-D37</f>
        <v>1191255.2288</v>
      </c>
      <c r="E39" s="23" t="n">
        <f aca="false">E35-E37</f>
        <v>1692068.65152</v>
      </c>
      <c r="F39" s="23" t="n">
        <f aca="false">F35-F37</f>
        <v>2482673.142144</v>
      </c>
      <c r="G39" s="23" t="n">
        <f aca="false">G35-G37</f>
        <v>2762477.11519104</v>
      </c>
    </row>
    <row r="40" customFormat="false" ht="13.5" hidden="false" customHeight="true" outlineLevel="0" collapsed="false">
      <c r="B40" s="4" t="s">
        <v>94</v>
      </c>
      <c r="C40" s="6" t="n">
        <f aca="false">MAX(0,C39*C6)</f>
        <v>375890.5824</v>
      </c>
      <c r="D40" s="6" t="n">
        <f aca="false">MAX(0,D39*C6)</f>
        <v>357376.56864</v>
      </c>
      <c r="E40" s="6" t="n">
        <f aca="false">MAX(0,E39*C6)</f>
        <v>507620.595456</v>
      </c>
      <c r="F40" s="6" t="n">
        <f aca="false">MAX(0,F39*C6)</f>
        <v>744801.9426432</v>
      </c>
      <c r="G40" s="6" t="n">
        <f aca="false">MAX(0,G39*C6)</f>
        <v>828743.134557312</v>
      </c>
    </row>
    <row r="41" customFormat="false" ht="13.5" hidden="false" customHeight="true" outlineLevel="0" collapsed="false">
      <c r="B41" s="4" t="s">
        <v>95</v>
      </c>
      <c r="C41" s="23" t="n">
        <f aca="false">C39-C40</f>
        <v>877078.0256</v>
      </c>
      <c r="D41" s="23" t="n">
        <f aca="false">D39-D40</f>
        <v>833878.66016</v>
      </c>
      <c r="E41" s="23" t="n">
        <f aca="false">E39-E40</f>
        <v>1184448.056064</v>
      </c>
      <c r="F41" s="23" t="n">
        <f aca="false">F39-F40</f>
        <v>1737871.1995008</v>
      </c>
      <c r="G41" s="23" t="n">
        <f aca="false">G39-G40</f>
        <v>1933733.98063373</v>
      </c>
    </row>
    <row r="42" customFormat="false" ht="13.5" hidden="false" customHeight="true" outlineLevel="0" collapsed="false">
      <c r="B42" s="4" t="s">
        <v>96</v>
      </c>
      <c r="C42" s="6" t="n">
        <v>315000</v>
      </c>
      <c r="D42" s="6" t="n">
        <v>315000</v>
      </c>
      <c r="E42" s="6" t="n">
        <v>310000</v>
      </c>
      <c r="F42" s="6" t="n">
        <v>315000</v>
      </c>
      <c r="G42" s="6" t="n">
        <v>325000</v>
      </c>
    </row>
    <row r="43" customFormat="false" ht="13.5" hidden="false" customHeight="true" outlineLevel="0" collapsed="false">
      <c r="B43" s="4" t="s">
        <v>97</v>
      </c>
      <c r="C43" s="6" t="n">
        <v>290000</v>
      </c>
      <c r="D43" s="6" t="n">
        <v>240000</v>
      </c>
      <c r="E43" s="6" t="n">
        <v>250000</v>
      </c>
      <c r="F43" s="6" t="n">
        <v>300000</v>
      </c>
      <c r="G43" s="6" t="n">
        <v>320000</v>
      </c>
    </row>
    <row r="44" customFormat="false" ht="13.5" hidden="false" customHeight="true" outlineLevel="0" collapsed="false">
      <c r="B44" s="4" t="s">
        <v>98</v>
      </c>
      <c r="C44" s="6" t="n">
        <f aca="false">'NWC Schedule'!D19</f>
        <v>269786.96</v>
      </c>
      <c r="D44" s="6" t="n">
        <f aca="false">'NWC Schedule'!E19</f>
        <v>258514.758066849</v>
      </c>
      <c r="E44" s="6" t="n">
        <f aca="false">'NWC Schedule'!F19</f>
        <v>118825.794139179</v>
      </c>
      <c r="F44" s="6" t="n">
        <f aca="false">'NWC Schedule'!G19</f>
        <v>76155.078468032</v>
      </c>
      <c r="G44" s="6" t="n">
        <f aca="false">'NWC Schedule'!H19</f>
        <v>169237.237664404</v>
      </c>
    </row>
    <row r="45" customFormat="false" ht="13.5" hidden="false" customHeight="true" outlineLevel="0" collapsed="false">
      <c r="B45" s="4" t="s">
        <v>99</v>
      </c>
      <c r="C45" s="24" t="n">
        <f aca="false">C41+C42-C43-C44</f>
        <v>632291.0656</v>
      </c>
      <c r="D45" s="24" t="n">
        <f aca="false">D41+D42-D43-D44</f>
        <v>650363.902093151</v>
      </c>
      <c r="E45" s="24" t="n">
        <f aca="false">E41+E42-E43-E44</f>
        <v>1125622.26192482</v>
      </c>
      <c r="F45" s="24" t="n">
        <f aca="false">F41+F42-F43-F44</f>
        <v>1676716.12103277</v>
      </c>
      <c r="G45" s="24" t="n">
        <f aca="false">G41+G42-G43-G44</f>
        <v>1769496.74296932</v>
      </c>
    </row>
    <row r="46" customFormat="false" ht="13.5" hidden="false" customHeight="true" outlineLevel="0" collapsed="false">
      <c r="B46" s="4" t="s">
        <v>100</v>
      </c>
      <c r="C46" s="25" t="n">
        <f aca="false">1/(1+C26)^(C19+0)</f>
        <v>0.900859443913538</v>
      </c>
      <c r="D46" s="25" t="n">
        <f aca="false">1/(1+C26)^(C19+1)</f>
        <v>0.811547737688208</v>
      </c>
      <c r="E46" s="25" t="n">
        <f aca="false">1/(1+C26)^(C19+2)</f>
        <v>0.731090443683089</v>
      </c>
      <c r="F46" s="25" t="n">
        <f aca="false">1/(1+C26)^(C19+3)</f>
        <v>0.658609730546849</v>
      </c>
      <c r="G46" s="25" t="n">
        <f aca="false">1/(1+C26)^(C19+4)</f>
        <v>0.593314795616479</v>
      </c>
    </row>
    <row r="47" customFormat="false" ht="13.5" hidden="false" customHeight="true" outlineLevel="0" collapsed="false">
      <c r="B47" s="4" t="s">
        <v>101</v>
      </c>
      <c r="C47" s="23" t="n">
        <f aca="false">C45*C46</f>
        <v>569605.377747914</v>
      </c>
      <c r="D47" s="23" t="n">
        <f aca="false">D45*D46</f>
        <v>527801.353417772</v>
      </c>
      <c r="E47" s="23" t="n">
        <f aca="false">E45*E46</f>
        <v>822931.678890179</v>
      </c>
      <c r="F47" s="23" t="n">
        <f aca="false">F45*F46</f>
        <v>1104301.55267695</v>
      </c>
      <c r="G47" s="23" t="n">
        <f aca="false">G45*G46</f>
        <v>1049868.59839887</v>
      </c>
    </row>
    <row r="48" customFormat="false" ht="13.8" hidden="false" customHeight="false" outlineLevel="0" collapsed="false"/>
    <row r="49" customFormat="false" ht="13.5" hidden="false" customHeight="true" outlineLevel="0" collapsed="false">
      <c r="B49" s="26" t="s">
        <v>102</v>
      </c>
      <c r="C49" s="27"/>
      <c r="D49" s="27"/>
      <c r="E49" s="27"/>
      <c r="F49" s="27"/>
      <c r="G49" s="27"/>
    </row>
    <row r="50" customFormat="false" ht="13.5" hidden="false" customHeight="true" outlineLevel="0" collapsed="false">
      <c r="B50" s="4" t="s">
        <v>103</v>
      </c>
      <c r="C50" s="6" t="n">
        <f aca="false">SUM(C47:G47)</f>
        <v>4074508.56113168</v>
      </c>
    </row>
    <row r="51" customFormat="false" ht="13.5" hidden="false" customHeight="true" outlineLevel="0" collapsed="false">
      <c r="B51" s="4" t="s">
        <v>104</v>
      </c>
      <c r="C51" s="6" t="n">
        <f aca="false">G45*(1+C13)/(C26-C13)</f>
        <v>20042920.6142659</v>
      </c>
    </row>
    <row r="52" customFormat="false" ht="13.5" hidden="false" customHeight="true" outlineLevel="0" collapsed="false">
      <c r="B52" s="4" t="s">
        <v>105</v>
      </c>
      <c r="C52" s="6" t="n">
        <f aca="false">C51*G46</f>
        <v>11891761.3478105</v>
      </c>
    </row>
    <row r="53" customFormat="false" ht="13.5" hidden="false" customHeight="true" outlineLevel="0" collapsed="false">
      <c r="B53" s="4" t="s">
        <v>106</v>
      </c>
      <c r="C53" s="6" t="n">
        <f aca="false">C50+C52</f>
        <v>15966269.9089422</v>
      </c>
    </row>
    <row r="54" customFormat="false" ht="13.5" hidden="false" customHeight="true" outlineLevel="0" collapsed="false">
      <c r="B54" s="4" t="s">
        <v>107</v>
      </c>
      <c r="C54" s="6" t="n">
        <f aca="false">C53-C16</f>
        <v>15183787.9089422</v>
      </c>
    </row>
    <row r="55" customFormat="false" ht="13.5" hidden="false" customHeight="true" outlineLevel="0" collapsed="false">
      <c r="B55" s="4" t="s">
        <v>108</v>
      </c>
      <c r="C55" s="28" t="n">
        <f aca="false">ROUND(C54*1000000/C15,0)</f>
        <v>27746</v>
      </c>
    </row>
    <row r="56" customFormat="false" ht="13.8" hidden="false" customHeight="false" outlineLevel="0" collapsed="false"/>
    <row r="57" customFormat="false" ht="13.5" hidden="false" customHeight="true" outlineLevel="0" collapsed="false">
      <c r="B57" s="26" t="s">
        <v>109</v>
      </c>
      <c r="C57" s="27"/>
      <c r="D57" s="27"/>
      <c r="E57" s="27"/>
      <c r="F57" s="27"/>
      <c r="G57" s="27"/>
    </row>
    <row r="58" customFormat="false" ht="13.5" hidden="false" customHeight="true" outlineLevel="0" collapsed="false">
      <c r="B58" s="4" t="s">
        <v>103</v>
      </c>
      <c r="C58" s="6" t="n">
        <f aca="false">C50</f>
        <v>4074508.56113168</v>
      </c>
    </row>
    <row r="59" customFormat="false" ht="13.5" hidden="false" customHeight="true" outlineLevel="0" collapsed="false">
      <c r="B59" s="4" t="s">
        <v>110</v>
      </c>
      <c r="C59" s="6" t="n">
        <f aca="false">G39+G42</f>
        <v>3087477.11519104</v>
      </c>
    </row>
    <row r="60" customFormat="false" ht="13.5" hidden="false" customHeight="true" outlineLevel="0" collapsed="false">
      <c r="B60" s="4" t="s">
        <v>111</v>
      </c>
      <c r="C60" s="6" t="n">
        <f aca="false">C59*C14</f>
        <v>43224679.6126746</v>
      </c>
    </row>
    <row r="61" customFormat="false" ht="13.5" hidden="false" customHeight="true" outlineLevel="0" collapsed="false">
      <c r="B61" s="4" t="s">
        <v>105</v>
      </c>
      <c r="C61" s="6" t="n">
        <f aca="false">C60*G46</f>
        <v>25645841.9499818</v>
      </c>
    </row>
    <row r="62" customFormat="false" ht="13.5" hidden="false" customHeight="true" outlineLevel="0" collapsed="false">
      <c r="B62" s="4" t="s">
        <v>106</v>
      </c>
      <c r="C62" s="6" t="n">
        <f aca="false">C58+C61</f>
        <v>29720350.5111135</v>
      </c>
    </row>
    <row r="63" customFormat="false" ht="13.5" hidden="false" customHeight="true" outlineLevel="0" collapsed="false">
      <c r="B63" s="4" t="s">
        <v>107</v>
      </c>
      <c r="C63" s="6" t="n">
        <f aca="false">C62-C16</f>
        <v>28937868.5111135</v>
      </c>
    </row>
    <row r="64" customFormat="false" ht="13.5" hidden="false" customHeight="true" outlineLevel="0" collapsed="false">
      <c r="B64" s="4" t="s">
        <v>112</v>
      </c>
      <c r="C64" s="28" t="n">
        <f aca="false">ROUND(C63*1000000/C15,0)</f>
        <v>52879</v>
      </c>
    </row>
    <row r="65" customFormat="false" ht="13.8" hidden="false" customHeight="false" outlineLevel="0" collapsed="false"/>
    <row r="66" customFormat="false" ht="13.5" hidden="false" customHeight="true" outlineLevel="0" collapsed="false">
      <c r="B66" s="26" t="s">
        <v>113</v>
      </c>
      <c r="C66" s="27"/>
      <c r="D66" s="27"/>
      <c r="E66" s="27"/>
      <c r="F66" s="27"/>
      <c r="G66" s="27"/>
    </row>
    <row r="67" customFormat="false" ht="13.5" hidden="false" customHeight="true" outlineLevel="0" collapsed="false">
      <c r="C67" s="29" t="s">
        <v>114</v>
      </c>
      <c r="D67" s="29" t="s">
        <v>115</v>
      </c>
      <c r="E67" s="29" t="s">
        <v>116</v>
      </c>
      <c r="F67" s="29" t="s">
        <v>117</v>
      </c>
      <c r="G67" s="29" t="s">
        <v>118</v>
      </c>
    </row>
    <row r="68" customFormat="false" ht="13.5" hidden="false" customHeight="true" outlineLevel="0" collapsed="false">
      <c r="B68" s="3" t="s">
        <v>44</v>
      </c>
    </row>
    <row r="69" customFormat="false" ht="13.5" hidden="false" customHeight="true" outlineLevel="0" collapsed="false">
      <c r="B69" s="4" t="s">
        <v>82</v>
      </c>
      <c r="C69" s="30" t="n">
        <v>0.6</v>
      </c>
      <c r="D69" s="30" t="n">
        <v>0.3</v>
      </c>
      <c r="E69" s="30" t="n">
        <v>0.2</v>
      </c>
      <c r="F69" s="30" t="n">
        <v>0.15</v>
      </c>
      <c r="G69" s="30" t="n">
        <v>0.15</v>
      </c>
    </row>
    <row r="70" customFormat="false" ht="13.5" hidden="false" customHeight="true" outlineLevel="0" collapsed="false">
      <c r="B70" s="4" t="s">
        <v>119</v>
      </c>
      <c r="C70" s="30" t="n">
        <v>0.9</v>
      </c>
      <c r="D70" s="30" t="n">
        <v>0.45</v>
      </c>
      <c r="E70" s="30" t="n">
        <v>0.5</v>
      </c>
      <c r="F70" s="30" t="n">
        <v>0.3539</v>
      </c>
      <c r="G70" s="30" t="n">
        <v>0.3</v>
      </c>
    </row>
    <row r="71" customFormat="false" ht="13.5" hidden="false" customHeight="true" outlineLevel="0" collapsed="false">
      <c r="B71" s="4" t="s">
        <v>120</v>
      </c>
      <c r="C71" s="30" t="n">
        <v>0.6</v>
      </c>
      <c r="D71" s="30" t="n">
        <v>0.3539</v>
      </c>
      <c r="E71" s="30" t="n">
        <v>0.3539</v>
      </c>
      <c r="F71" s="30" t="n">
        <v>0.3539</v>
      </c>
      <c r="G71" s="30" t="n">
        <v>0.3539</v>
      </c>
    </row>
    <row r="72" customFormat="false" ht="13.5" hidden="false" customHeight="true" outlineLevel="0" collapsed="false">
      <c r="B72" s="4" t="s">
        <v>121</v>
      </c>
      <c r="C72" s="30" t="n">
        <v>-0.3</v>
      </c>
      <c r="D72" s="30" t="n">
        <v>-0.25</v>
      </c>
      <c r="E72" s="30" t="n">
        <v>0.05</v>
      </c>
      <c r="F72" s="30" t="n">
        <v>0.15</v>
      </c>
      <c r="G72" s="30" t="n">
        <v>0.1</v>
      </c>
    </row>
    <row r="73" customFormat="false" ht="13.5" hidden="false" customHeight="true" outlineLevel="0" collapsed="false">
      <c r="B73" s="4" t="s">
        <v>122</v>
      </c>
      <c r="C73" s="30" t="n">
        <v>-0.35</v>
      </c>
      <c r="D73" s="30" t="n">
        <v>-0.3</v>
      </c>
      <c r="E73" s="30" t="n">
        <v>-0.05</v>
      </c>
      <c r="F73" s="30" t="n">
        <v>0.05</v>
      </c>
      <c r="G73" s="30" t="n">
        <v>0.05</v>
      </c>
    </row>
    <row r="74" customFormat="false" ht="13.8" hidden="false" customHeight="false" outlineLevel="0" collapsed="false"/>
    <row r="75" customFormat="false" ht="13.5" hidden="false" customHeight="true" outlineLevel="0" collapsed="false">
      <c r="B75" s="3" t="s">
        <v>89</v>
      </c>
    </row>
    <row r="76" customFormat="false" ht="13.5" hidden="false" customHeight="true" outlineLevel="0" collapsed="false">
      <c r="B76" s="4" t="s">
        <v>82</v>
      </c>
      <c r="C76" s="30" t="n">
        <v>0.6</v>
      </c>
      <c r="D76" s="30" t="n">
        <v>0.68</v>
      </c>
      <c r="E76" s="30" t="n">
        <v>0.64</v>
      </c>
      <c r="F76" s="30" t="n">
        <v>0.57</v>
      </c>
      <c r="G76" s="30" t="n">
        <v>0.58</v>
      </c>
    </row>
    <row r="77" customFormat="false" ht="13.5" hidden="false" customHeight="true" outlineLevel="0" collapsed="false">
      <c r="B77" s="4" t="s">
        <v>119</v>
      </c>
      <c r="C77" s="30" t="n">
        <v>0.57</v>
      </c>
      <c r="D77" s="30" t="n">
        <v>0.6</v>
      </c>
      <c r="E77" s="30" t="n">
        <v>0.58</v>
      </c>
      <c r="F77" s="30" t="n">
        <v>0.56</v>
      </c>
      <c r="G77" s="30" t="n">
        <v>0.55</v>
      </c>
    </row>
    <row r="78" customFormat="false" ht="13.5" hidden="false" customHeight="true" outlineLevel="0" collapsed="false">
      <c r="B78" s="4" t="s">
        <v>120</v>
      </c>
      <c r="C78" s="30" t="n">
        <v>0.61</v>
      </c>
      <c r="D78" s="30" t="n">
        <v>0.66</v>
      </c>
      <c r="E78" s="30" t="n">
        <v>0.63</v>
      </c>
      <c r="F78" s="30" t="n">
        <v>0.59</v>
      </c>
      <c r="G78" s="30" t="n">
        <v>0.59</v>
      </c>
    </row>
    <row r="79" customFormat="false" ht="13.5" hidden="false" customHeight="true" outlineLevel="0" collapsed="false">
      <c r="B79" s="4" t="s">
        <v>121</v>
      </c>
      <c r="C79" s="30" t="n">
        <v>0.72</v>
      </c>
      <c r="D79" s="30" t="n">
        <v>0.85</v>
      </c>
      <c r="E79" s="30" t="n">
        <v>0.78</v>
      </c>
      <c r="F79" s="30" t="n">
        <v>0.7</v>
      </c>
      <c r="G79" s="30" t="n">
        <v>0.68</v>
      </c>
    </row>
    <row r="80" customFormat="false" ht="13.5" hidden="false" customHeight="true" outlineLevel="0" collapsed="false">
      <c r="B80" s="4" t="s">
        <v>122</v>
      </c>
      <c r="C80" s="30" t="n">
        <v>0.78</v>
      </c>
      <c r="D80" s="30" t="n">
        <v>0.95</v>
      </c>
      <c r="E80" s="30" t="n">
        <v>0.92</v>
      </c>
      <c r="F80" s="30" t="n">
        <v>0.85</v>
      </c>
      <c r="G80" s="30" t="n">
        <v>0.82</v>
      </c>
    </row>
    <row r="81" customFormat="false" ht="13.8" hidden="false" customHeight="false" outlineLevel="0" collapsed="false"/>
    <row r="82" customFormat="false" ht="13.5" hidden="false" customHeight="true" outlineLevel="0" collapsed="false">
      <c r="B82" s="3" t="s">
        <v>90</v>
      </c>
    </row>
    <row r="83" customFormat="false" ht="13.5" hidden="false" customHeight="true" outlineLevel="0" collapsed="false">
      <c r="B83" s="4" t="s">
        <v>82</v>
      </c>
      <c r="C83" s="30" t="n">
        <v>0.065</v>
      </c>
      <c r="D83" s="30" t="n">
        <v>0.075</v>
      </c>
      <c r="E83" s="30" t="n">
        <v>0.07</v>
      </c>
      <c r="F83" s="30" t="n">
        <v>0.06</v>
      </c>
      <c r="G83" s="30" t="n">
        <v>0.062</v>
      </c>
    </row>
    <row r="84" customFormat="false" ht="13.5" hidden="false" customHeight="true" outlineLevel="0" collapsed="false">
      <c r="B84" s="4" t="s">
        <v>119</v>
      </c>
      <c r="C84" s="30" t="n">
        <v>0.06</v>
      </c>
      <c r="D84" s="30" t="n">
        <v>0.065</v>
      </c>
      <c r="E84" s="30" t="n">
        <v>0.062</v>
      </c>
      <c r="F84" s="30" t="n">
        <v>0.058</v>
      </c>
      <c r="G84" s="30" t="n">
        <v>0.058</v>
      </c>
    </row>
    <row r="85" customFormat="false" ht="13.5" hidden="false" customHeight="true" outlineLevel="0" collapsed="false">
      <c r="B85" s="4" t="s">
        <v>120</v>
      </c>
      <c r="C85" s="30" t="n">
        <v>0.063</v>
      </c>
      <c r="D85" s="30" t="n">
        <v>0.07</v>
      </c>
      <c r="E85" s="30" t="n">
        <v>0.067</v>
      </c>
      <c r="F85" s="30" t="n">
        <v>0.062</v>
      </c>
      <c r="G85" s="30" t="n">
        <v>0.062</v>
      </c>
    </row>
    <row r="86" customFormat="false" ht="13.5" hidden="false" customHeight="true" outlineLevel="0" collapsed="false">
      <c r="B86" s="4" t="s">
        <v>121</v>
      </c>
      <c r="C86" s="30" t="n">
        <v>0.08</v>
      </c>
      <c r="D86" s="30" t="n">
        <v>0.095</v>
      </c>
      <c r="E86" s="30" t="n">
        <v>0.088</v>
      </c>
      <c r="F86" s="30" t="n">
        <v>0.078</v>
      </c>
      <c r="G86" s="30" t="n">
        <v>0.075</v>
      </c>
    </row>
    <row r="87" customFormat="false" ht="13.5" hidden="false" customHeight="true" outlineLevel="0" collapsed="false">
      <c r="B87" s="4" t="s">
        <v>122</v>
      </c>
      <c r="C87" s="30" t="n">
        <v>0.085</v>
      </c>
      <c r="D87" s="30" t="n">
        <v>0.105</v>
      </c>
      <c r="E87" s="30" t="n">
        <v>0.1</v>
      </c>
      <c r="F87" s="30" t="n">
        <v>0.092</v>
      </c>
      <c r="G87" s="30" t="n">
        <v>0.088</v>
      </c>
    </row>
  </sheetData>
  <dataValidations count="1">
    <dataValidation allowBlank="false" errorStyle="stop" operator="between" showDropDown="false" showErrorMessage="false" showInputMessage="false" sqref="C27" type="list">
      <formula1>"Base,Upside,Management,Downside 1,Downside 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6600"/>
    <pageSetUpPr fitToPage="false"/>
  </sheetPr>
  <dimension ref="B1:H43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1" activeCellId="0" sqref="A1"/>
    </sheetView>
  </sheetViews>
  <sheetFormatPr defaultColWidth="8.5390625" defaultRowHeight="12.7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8" min="3" style="0" width="16"/>
  </cols>
  <sheetData>
    <row r="1" customFormat="false" ht="13.8" hidden="false" customHeight="false" outlineLevel="0" collapsed="false"/>
    <row r="2" customFormat="false" ht="18" hidden="false" customHeight="true" outlineLevel="0" collapsed="false">
      <c r="B2" s="15" t="s">
        <v>123</v>
      </c>
    </row>
    <row r="3" customFormat="false" ht="13.8" hidden="false" customHeight="false" outlineLevel="0" collapsed="false"/>
    <row r="4" customFormat="false" ht="13.5" hidden="false" customHeight="true" outlineLevel="0" collapsed="false">
      <c r="B4" s="9" t="s">
        <v>124</v>
      </c>
      <c r="C4" s="31" t="s">
        <v>125</v>
      </c>
      <c r="D4" s="31" t="s">
        <v>84</v>
      </c>
      <c r="E4" s="31" t="s">
        <v>85</v>
      </c>
      <c r="F4" s="31" t="s">
        <v>86</v>
      </c>
      <c r="G4" s="31" t="s">
        <v>87</v>
      </c>
      <c r="H4" s="31" t="s">
        <v>88</v>
      </c>
    </row>
    <row r="5" customFormat="false" ht="13.5" hidden="false" customHeight="true" outlineLevel="0" collapsed="false">
      <c r="B5" s="32" t="s">
        <v>126</v>
      </c>
      <c r="C5" s="33" t="n">
        <f aca="false">C12/C9*365</f>
        <v>103.140463324361</v>
      </c>
      <c r="D5" s="33" t="n">
        <f aca="false">CHOOSE('DCF Model'!$D$27,D25,D26,D27,D28,D29)</f>
        <v>100</v>
      </c>
      <c r="E5" s="33" t="n">
        <f aca="false">CHOOSE('DCF Model'!$D$27,E25,E26,E27,E28,E29)</f>
        <v>98</v>
      </c>
      <c r="F5" s="33" t="n">
        <f aca="false">CHOOSE('DCF Model'!$D$27,F25,F26,F27,F28,F29)</f>
        <v>96</v>
      </c>
      <c r="G5" s="33" t="n">
        <f aca="false">CHOOSE('DCF Model'!$D$27,G25,G26,G27,G28,G29)</f>
        <v>95</v>
      </c>
      <c r="H5" s="33" t="n">
        <f aca="false">CHOOSE('DCF Model'!$D$27,H25,H26,H27,H28,H29)</f>
        <v>95</v>
      </c>
    </row>
    <row r="6" customFormat="false" ht="13.5" hidden="false" customHeight="true" outlineLevel="0" collapsed="false">
      <c r="B6" s="32" t="s">
        <v>127</v>
      </c>
      <c r="C6" s="33" t="n">
        <f aca="false">C13/C10*365</f>
        <v>113.686609437136</v>
      </c>
      <c r="D6" s="33" t="n">
        <f aca="false">CHOOSE('DCF Model'!$D$27,D32,D33,D34,D35,D36)</f>
        <v>115</v>
      </c>
      <c r="E6" s="33" t="n">
        <f aca="false">CHOOSE('DCF Model'!$D$27,E32,E33,E34,E35,E36)</f>
        <v>125</v>
      </c>
      <c r="F6" s="33" t="n">
        <f aca="false">CHOOSE('DCF Model'!$D$27,F32,F33,F34,F35,F36)</f>
        <v>118</v>
      </c>
      <c r="G6" s="33" t="n">
        <f aca="false">CHOOSE('DCF Model'!$D$27,G32,G33,G34,G35,G36)</f>
        <v>108</v>
      </c>
      <c r="H6" s="33" t="n">
        <f aca="false">CHOOSE('DCF Model'!$D$27,H32,H33,H34,H35,H36)</f>
        <v>108</v>
      </c>
    </row>
    <row r="7" customFormat="false" ht="13.5" hidden="false" customHeight="true" outlineLevel="0" collapsed="false">
      <c r="B7" s="32" t="s">
        <v>128</v>
      </c>
      <c r="C7" s="33" t="n">
        <f aca="false">C15/C10*365</f>
        <v>163.916940434385</v>
      </c>
      <c r="D7" s="33" t="n">
        <f aca="false">CHOOSE('DCF Model'!$D$27,D39,D40,D41,D42,D43)</f>
        <v>160</v>
      </c>
      <c r="E7" s="33" t="n">
        <f aca="false">CHOOSE('DCF Model'!$D$27,E39,E40,E41,E42,E43)</f>
        <v>158</v>
      </c>
      <c r="F7" s="33" t="n">
        <f aca="false">CHOOSE('DCF Model'!$D$27,F39,F40,F41,F42,F43)</f>
        <v>158</v>
      </c>
      <c r="G7" s="33" t="n">
        <f aca="false">CHOOSE('DCF Model'!$D$27,G39,G40,G41,G42,G43)</f>
        <v>160</v>
      </c>
      <c r="H7" s="33" t="n">
        <f aca="false">CHOOSE('DCF Model'!$D$27,H39,H40,H41,H42,H43)</f>
        <v>160</v>
      </c>
    </row>
    <row r="8" customFormat="false" ht="13.5" hidden="false" customHeight="true" outlineLevel="0" collapsed="false">
      <c r="B8" s="9" t="s">
        <v>129</v>
      </c>
      <c r="C8" s="10"/>
      <c r="D8" s="10"/>
      <c r="E8" s="10"/>
      <c r="F8" s="10"/>
      <c r="G8" s="10"/>
      <c r="H8" s="10"/>
    </row>
    <row r="9" customFormat="false" ht="13.5" hidden="false" customHeight="true" outlineLevel="0" collapsed="false">
      <c r="B9" s="32" t="s">
        <v>35</v>
      </c>
      <c r="C9" s="34" t="n">
        <v>2337628</v>
      </c>
      <c r="D9" s="34" t="n">
        <f aca="false">'DCF Model'!C33</f>
        <v>3740204.8</v>
      </c>
      <c r="E9" s="34" t="n">
        <f aca="false">'DCF Model'!D33</f>
        <v>4862266.24</v>
      </c>
      <c r="F9" s="34" t="n">
        <f aca="false">'DCF Model'!E33</f>
        <v>5834719.488</v>
      </c>
      <c r="G9" s="34" t="n">
        <f aca="false">'DCF Model'!F33</f>
        <v>6709927.4112</v>
      </c>
      <c r="H9" s="34" t="n">
        <f aca="false">'DCF Model'!G33</f>
        <v>7716416.52288</v>
      </c>
    </row>
    <row r="10" customFormat="false" ht="13.5" hidden="false" customHeight="true" outlineLevel="0" collapsed="false">
      <c r="B10" s="32" t="s">
        <v>36</v>
      </c>
      <c r="C10" s="34" t="n">
        <v>1324724</v>
      </c>
      <c r="D10" s="34" t="n">
        <f aca="false">'DCF Model'!C34</f>
        <v>2244122.88</v>
      </c>
      <c r="E10" s="34" t="n">
        <f aca="false">'DCF Model'!D34</f>
        <v>3306341.0432</v>
      </c>
      <c r="F10" s="34" t="n">
        <f aca="false">'DCF Model'!E34</f>
        <v>3734220.47232</v>
      </c>
      <c r="G10" s="34" t="n">
        <f aca="false">'DCF Model'!F34</f>
        <v>3824658.624384</v>
      </c>
      <c r="H10" s="34" t="n">
        <f aca="false">'DCF Model'!G34</f>
        <v>4475521.5832704</v>
      </c>
    </row>
    <row r="11" customFormat="false" ht="13.5" hidden="false" customHeight="true" outlineLevel="0" collapsed="false">
      <c r="B11" s="9" t="s">
        <v>130</v>
      </c>
      <c r="C11" s="10"/>
      <c r="D11" s="10"/>
      <c r="E11" s="10"/>
      <c r="F11" s="10"/>
      <c r="G11" s="10"/>
      <c r="H11" s="10"/>
    </row>
    <row r="12" customFormat="false" ht="13.5" hidden="false" customHeight="true" outlineLevel="0" collapsed="false">
      <c r="B12" s="32" t="s">
        <v>131</v>
      </c>
      <c r="C12" s="34" t="n">
        <v>660559</v>
      </c>
      <c r="D12" s="34" t="n">
        <f aca="false">D9*D5/365</f>
        <v>1024713.64383562</v>
      </c>
      <c r="E12" s="34" t="n">
        <f aca="false">E9*E5/365</f>
        <v>1305485.18224658</v>
      </c>
      <c r="F12" s="34" t="n">
        <f aca="false">F9*F5/365</f>
        <v>1534611.15300822</v>
      </c>
      <c r="G12" s="34" t="n">
        <f aca="false">G9*G5/365</f>
        <v>1746419.46318904</v>
      </c>
      <c r="H12" s="34" t="n">
        <f aca="false">H9*H5/365</f>
        <v>2008382.3826674</v>
      </c>
    </row>
    <row r="13" customFormat="false" ht="13.5" hidden="false" customHeight="true" outlineLevel="0" collapsed="false">
      <c r="B13" s="32" t="s">
        <v>132</v>
      </c>
      <c r="C13" s="34" t="n">
        <v>412612</v>
      </c>
      <c r="D13" s="34" t="n">
        <f aca="false">D10*D6/365</f>
        <v>707052.414246575</v>
      </c>
      <c r="E13" s="34" t="n">
        <f aca="false">E10*E6/365</f>
        <v>1132308.57643836</v>
      </c>
      <c r="F13" s="34" t="n">
        <f aca="false">F10*F6/365</f>
        <v>1207227.44036647</v>
      </c>
      <c r="G13" s="34" t="n">
        <f aca="false">G10*G6/365</f>
        <v>1131679.8121465</v>
      </c>
      <c r="H13" s="34" t="n">
        <f aca="false">H10*H6/365</f>
        <v>1324263.92052932</v>
      </c>
    </row>
    <row r="14" customFormat="false" ht="13.5" hidden="false" customHeight="true" outlineLevel="0" collapsed="false">
      <c r="B14" s="32" t="s">
        <v>133</v>
      </c>
      <c r="C14" s="34" t="n">
        <f aca="false">C12+C13</f>
        <v>1073171</v>
      </c>
      <c r="D14" s="34" t="n">
        <f aca="false">D12+D13</f>
        <v>1731766.05808219</v>
      </c>
      <c r="E14" s="34" t="n">
        <f aca="false">E12+E13</f>
        <v>2437793.75868493</v>
      </c>
      <c r="F14" s="34" t="n">
        <f aca="false">F12+F13</f>
        <v>2741838.59337469</v>
      </c>
      <c r="G14" s="34" t="n">
        <f aca="false">G12+G13</f>
        <v>2878099.27533554</v>
      </c>
      <c r="H14" s="34" t="n">
        <f aca="false">H12+H13</f>
        <v>3332646.30319672</v>
      </c>
    </row>
    <row r="15" customFormat="false" ht="13.5" hidden="false" customHeight="true" outlineLevel="0" collapsed="false">
      <c r="B15" s="32" t="s">
        <v>134</v>
      </c>
      <c r="C15" s="34" t="n">
        <v>594917</v>
      </c>
      <c r="D15" s="34" t="n">
        <f aca="false">D10*D7/365</f>
        <v>983725.098082192</v>
      </c>
      <c r="E15" s="34" t="n">
        <f aca="false">E10*E7/365</f>
        <v>1431238.04061808</v>
      </c>
      <c r="F15" s="34" t="n">
        <f aca="false">F10*F7/365</f>
        <v>1616457.08116866</v>
      </c>
      <c r="G15" s="34" t="n">
        <f aca="false">G10*G7/365</f>
        <v>1676562.68466148</v>
      </c>
      <c r="H15" s="34" t="n">
        <f aca="false">H10*H7/365</f>
        <v>1961872.47485826</v>
      </c>
    </row>
    <row r="16" customFormat="false" ht="13.5" hidden="false" customHeight="true" outlineLevel="0" collapsed="false">
      <c r="B16" s="32" t="s">
        <v>135</v>
      </c>
      <c r="C16" s="34" t="n">
        <f aca="false">C15</f>
        <v>594917</v>
      </c>
      <c r="D16" s="34" t="n">
        <f aca="false">D15</f>
        <v>983725.098082192</v>
      </c>
      <c r="E16" s="34" t="n">
        <f aca="false">E15</f>
        <v>1431238.04061808</v>
      </c>
      <c r="F16" s="34" t="n">
        <f aca="false">F15</f>
        <v>1616457.08116866</v>
      </c>
      <c r="G16" s="34" t="n">
        <f aca="false">G15</f>
        <v>1676562.68466148</v>
      </c>
      <c r="H16" s="34" t="n">
        <f aca="false">H15</f>
        <v>1961872.47485826</v>
      </c>
    </row>
    <row r="17" customFormat="false" ht="13.5" hidden="false" customHeight="true" outlineLevel="0" collapsed="false">
      <c r="B17" s="26" t="s">
        <v>136</v>
      </c>
      <c r="C17" s="27"/>
      <c r="D17" s="27"/>
      <c r="E17" s="27"/>
      <c r="F17" s="27"/>
      <c r="G17" s="27"/>
      <c r="H17" s="27"/>
    </row>
    <row r="18" customFormat="false" ht="13.5" hidden="false" customHeight="true" outlineLevel="0" collapsed="false">
      <c r="B18" s="32" t="s">
        <v>137</v>
      </c>
      <c r="C18" s="24" t="n">
        <f aca="false">C14-C16</f>
        <v>478254</v>
      </c>
      <c r="D18" s="24" t="n">
        <f aca="false">D14-D16</f>
        <v>748040.96</v>
      </c>
      <c r="E18" s="24" t="n">
        <f aca="false">E14-E16</f>
        <v>1006555.71806685</v>
      </c>
      <c r="F18" s="24" t="n">
        <f aca="false">F14-F16</f>
        <v>1125381.51220603</v>
      </c>
      <c r="G18" s="24" t="n">
        <f aca="false">G14-G16</f>
        <v>1201536.59067406</v>
      </c>
      <c r="H18" s="24" t="n">
        <f aca="false">H14-H16</f>
        <v>1370773.82833846</v>
      </c>
    </row>
    <row r="19" customFormat="false" ht="13.5" hidden="false" customHeight="true" outlineLevel="0" collapsed="false">
      <c r="B19" s="32" t="s">
        <v>98</v>
      </c>
      <c r="C19" s="35" t="s">
        <v>45</v>
      </c>
      <c r="D19" s="28" t="n">
        <f aca="false">D18-C18</f>
        <v>269786.96</v>
      </c>
      <c r="E19" s="28" t="n">
        <f aca="false">E18-D18</f>
        <v>258514.758066849</v>
      </c>
      <c r="F19" s="28" t="n">
        <f aca="false">F18-E18</f>
        <v>118825.794139179</v>
      </c>
      <c r="G19" s="28" t="n">
        <f aca="false">G18-F18</f>
        <v>76155.078468032</v>
      </c>
      <c r="H19" s="28" t="n">
        <f aca="false">H18-G18</f>
        <v>169237.237664404</v>
      </c>
    </row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5" hidden="false" customHeight="true" outlineLevel="0" collapsed="false">
      <c r="B22" s="26" t="s">
        <v>138</v>
      </c>
      <c r="C22" s="27"/>
      <c r="D22" s="27"/>
      <c r="E22" s="27"/>
      <c r="F22" s="27"/>
      <c r="G22" s="27"/>
      <c r="H22" s="27"/>
    </row>
    <row r="23" customFormat="false" ht="13.5" hidden="false" customHeight="true" outlineLevel="0" collapsed="false">
      <c r="D23" s="29" t="s">
        <v>84</v>
      </c>
      <c r="E23" s="29" t="s">
        <v>85</v>
      </c>
      <c r="F23" s="29" t="s">
        <v>86</v>
      </c>
      <c r="G23" s="29" t="s">
        <v>87</v>
      </c>
      <c r="H23" s="29" t="s">
        <v>88</v>
      </c>
    </row>
    <row r="24" customFormat="false" ht="13.5" hidden="false" customHeight="true" outlineLevel="0" collapsed="false">
      <c r="B24" s="3" t="s">
        <v>139</v>
      </c>
    </row>
    <row r="25" customFormat="false" ht="13.5" hidden="false" customHeight="true" outlineLevel="0" collapsed="false">
      <c r="B25" s="4" t="s">
        <v>82</v>
      </c>
      <c r="D25" s="36" t="n">
        <v>100</v>
      </c>
      <c r="E25" s="36" t="n">
        <v>98</v>
      </c>
      <c r="F25" s="36" t="n">
        <v>96</v>
      </c>
      <c r="G25" s="36" t="n">
        <v>95</v>
      </c>
      <c r="H25" s="36" t="n">
        <v>95</v>
      </c>
    </row>
    <row r="26" customFormat="false" ht="13.5" hidden="false" customHeight="true" outlineLevel="0" collapsed="false">
      <c r="B26" s="4" t="s">
        <v>119</v>
      </c>
      <c r="D26" s="36" t="n">
        <v>98</v>
      </c>
      <c r="E26" s="36" t="n">
        <v>95</v>
      </c>
      <c r="F26" s="36" t="n">
        <v>93</v>
      </c>
      <c r="G26" s="36" t="n">
        <v>92</v>
      </c>
      <c r="H26" s="36" t="n">
        <v>90</v>
      </c>
    </row>
    <row r="27" customFormat="false" ht="13.5" hidden="false" customHeight="true" outlineLevel="0" collapsed="false">
      <c r="B27" s="4" t="s">
        <v>120</v>
      </c>
      <c r="D27" s="36" t="n">
        <v>100</v>
      </c>
      <c r="E27" s="36" t="n">
        <v>98</v>
      </c>
      <c r="F27" s="36" t="n">
        <v>96</v>
      </c>
      <c r="G27" s="36" t="n">
        <v>95</v>
      </c>
      <c r="H27" s="36" t="n">
        <v>95</v>
      </c>
    </row>
    <row r="28" customFormat="false" ht="13.5" hidden="false" customHeight="true" outlineLevel="0" collapsed="false">
      <c r="B28" s="4" t="s">
        <v>121</v>
      </c>
      <c r="D28" s="36" t="n">
        <v>105</v>
      </c>
      <c r="E28" s="36" t="n">
        <v>110</v>
      </c>
      <c r="F28" s="36" t="n">
        <v>108</v>
      </c>
      <c r="G28" s="36" t="n">
        <v>105</v>
      </c>
      <c r="H28" s="36" t="n">
        <v>103</v>
      </c>
    </row>
    <row r="29" customFormat="false" ht="13.5" hidden="false" customHeight="true" outlineLevel="0" collapsed="false">
      <c r="B29" s="4" t="s">
        <v>122</v>
      </c>
      <c r="D29" s="36" t="n">
        <v>110</v>
      </c>
      <c r="E29" s="36" t="n">
        <v>118</v>
      </c>
      <c r="F29" s="36" t="n">
        <v>118</v>
      </c>
      <c r="G29" s="36" t="n">
        <v>115</v>
      </c>
      <c r="H29" s="36" t="n">
        <v>115</v>
      </c>
    </row>
    <row r="30" customFormat="false" ht="13.8" hidden="false" customHeight="false" outlineLevel="0" collapsed="false"/>
    <row r="31" customFormat="false" ht="13.5" hidden="false" customHeight="true" outlineLevel="0" collapsed="false">
      <c r="B31" s="3" t="s">
        <v>140</v>
      </c>
    </row>
    <row r="32" customFormat="false" ht="13.5" hidden="false" customHeight="true" outlineLevel="0" collapsed="false">
      <c r="B32" s="4" t="s">
        <v>82</v>
      </c>
      <c r="D32" s="36" t="n">
        <v>115</v>
      </c>
      <c r="E32" s="36" t="n">
        <v>125</v>
      </c>
      <c r="F32" s="36" t="n">
        <v>118</v>
      </c>
      <c r="G32" s="36" t="n">
        <v>108</v>
      </c>
      <c r="H32" s="36" t="n">
        <v>108</v>
      </c>
    </row>
    <row r="33" customFormat="false" ht="13.5" hidden="false" customHeight="true" outlineLevel="0" collapsed="false">
      <c r="B33" s="4" t="s">
        <v>119</v>
      </c>
      <c r="D33" s="36" t="n">
        <v>110</v>
      </c>
      <c r="E33" s="36" t="n">
        <v>112</v>
      </c>
      <c r="F33" s="36" t="n">
        <v>105</v>
      </c>
      <c r="G33" s="36" t="n">
        <v>100</v>
      </c>
      <c r="H33" s="36" t="n">
        <v>98</v>
      </c>
    </row>
    <row r="34" customFormat="false" ht="13.5" hidden="false" customHeight="true" outlineLevel="0" collapsed="false">
      <c r="B34" s="4" t="s">
        <v>120</v>
      </c>
      <c r="D34" s="36" t="n">
        <v>115</v>
      </c>
      <c r="E34" s="36" t="n">
        <v>122</v>
      </c>
      <c r="F34" s="36" t="n">
        <v>116</v>
      </c>
      <c r="G34" s="36" t="n">
        <v>108</v>
      </c>
      <c r="H34" s="36" t="n">
        <v>108</v>
      </c>
    </row>
    <row r="35" customFormat="false" ht="13.5" hidden="false" customHeight="true" outlineLevel="0" collapsed="false">
      <c r="B35" s="4" t="s">
        <v>121</v>
      </c>
      <c r="D35" s="36" t="n">
        <v>130</v>
      </c>
      <c r="E35" s="36" t="n">
        <v>150</v>
      </c>
      <c r="F35" s="36" t="n">
        <v>140</v>
      </c>
      <c r="G35" s="36" t="n">
        <v>125</v>
      </c>
      <c r="H35" s="36" t="n">
        <v>120</v>
      </c>
    </row>
    <row r="36" customFormat="false" ht="13.5" hidden="false" customHeight="true" outlineLevel="0" collapsed="false">
      <c r="B36" s="4" t="s">
        <v>122</v>
      </c>
      <c r="D36" s="36" t="n">
        <v>145</v>
      </c>
      <c r="E36" s="36" t="n">
        <v>175</v>
      </c>
      <c r="F36" s="36" t="n">
        <v>170</v>
      </c>
      <c r="G36" s="36" t="n">
        <v>160</v>
      </c>
      <c r="H36" s="36" t="n">
        <v>155</v>
      </c>
    </row>
    <row r="37" customFormat="false" ht="13.8" hidden="false" customHeight="false" outlineLevel="0" collapsed="false"/>
    <row r="38" customFormat="false" ht="13.5" hidden="false" customHeight="true" outlineLevel="0" collapsed="false">
      <c r="B38" s="3" t="s">
        <v>141</v>
      </c>
    </row>
    <row r="39" customFormat="false" ht="13.5" hidden="false" customHeight="true" outlineLevel="0" collapsed="false">
      <c r="B39" s="4" t="s">
        <v>82</v>
      </c>
      <c r="D39" s="36" t="n">
        <v>160</v>
      </c>
      <c r="E39" s="36" t="n">
        <v>158</v>
      </c>
      <c r="F39" s="36" t="n">
        <v>158</v>
      </c>
      <c r="G39" s="36" t="n">
        <v>160</v>
      </c>
      <c r="H39" s="36" t="n">
        <v>160</v>
      </c>
    </row>
    <row r="40" customFormat="false" ht="13.5" hidden="false" customHeight="true" outlineLevel="0" collapsed="false">
      <c r="B40" s="4" t="s">
        <v>119</v>
      </c>
      <c r="D40" s="36" t="n">
        <v>162</v>
      </c>
      <c r="E40" s="36" t="n">
        <v>162</v>
      </c>
      <c r="F40" s="36" t="n">
        <v>165</v>
      </c>
      <c r="G40" s="36" t="n">
        <v>165</v>
      </c>
      <c r="H40" s="36" t="n">
        <v>165</v>
      </c>
    </row>
    <row r="41" customFormat="false" ht="13.5" hidden="false" customHeight="true" outlineLevel="0" collapsed="false">
      <c r="B41" s="4" t="s">
        <v>120</v>
      </c>
      <c r="D41" s="36" t="n">
        <v>160</v>
      </c>
      <c r="E41" s="36" t="n">
        <v>160</v>
      </c>
      <c r="F41" s="36" t="n">
        <v>160</v>
      </c>
      <c r="G41" s="36" t="n">
        <v>160</v>
      </c>
      <c r="H41" s="36" t="n">
        <v>160</v>
      </c>
    </row>
    <row r="42" customFormat="false" ht="13.5" hidden="false" customHeight="true" outlineLevel="0" collapsed="false">
      <c r="B42" s="4" t="s">
        <v>121</v>
      </c>
      <c r="D42" s="36" t="n">
        <v>155</v>
      </c>
      <c r="E42" s="36" t="n">
        <v>148</v>
      </c>
      <c r="F42" s="36" t="n">
        <v>150</v>
      </c>
      <c r="G42" s="36" t="n">
        <v>155</v>
      </c>
      <c r="H42" s="36" t="n">
        <v>155</v>
      </c>
    </row>
    <row r="43" customFormat="false" ht="13.5" hidden="false" customHeight="true" outlineLevel="0" collapsed="false">
      <c r="B43" s="4" t="s">
        <v>122</v>
      </c>
      <c r="D43" s="36" t="n">
        <v>150</v>
      </c>
      <c r="E43" s="36" t="n">
        <v>140</v>
      </c>
      <c r="F43" s="36" t="n">
        <v>142</v>
      </c>
      <c r="G43" s="36" t="n">
        <v>145</v>
      </c>
      <c r="H43" s="36" t="n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600"/>
    <pageSetUpPr fitToPage="false"/>
  </sheetPr>
  <dimension ref="B1:P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2.7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15" min="4" style="0" width="12"/>
    <col collapsed="false" customWidth="true" hidden="false" outlineLevel="0" max="16" min="16" style="0" width="13"/>
  </cols>
  <sheetData>
    <row r="1" customFormat="false" ht="13.8" hidden="false" customHeight="false" outlineLevel="0" collapsed="false"/>
    <row r="2" customFormat="false" ht="18" hidden="false" customHeight="true" outlineLevel="0" collapsed="false">
      <c r="B2" s="15" t="s">
        <v>142</v>
      </c>
    </row>
    <row r="3" customFormat="false" ht="13.8" hidden="false" customHeight="false" outlineLevel="0" collapsed="false"/>
    <row r="4" customFormat="false" ht="27.75" hidden="false" customHeight="true" outlineLevel="0" collapsed="false">
      <c r="B4" s="11" t="s">
        <v>3</v>
      </c>
      <c r="C4" s="11" t="s">
        <v>5</v>
      </c>
      <c r="D4" s="11" t="s">
        <v>143</v>
      </c>
      <c r="E4" s="11" t="s">
        <v>144</v>
      </c>
      <c r="F4" s="11" t="s">
        <v>145</v>
      </c>
      <c r="G4" s="11" t="s">
        <v>146</v>
      </c>
      <c r="H4" s="11" t="s">
        <v>147</v>
      </c>
      <c r="I4" s="11" t="s">
        <v>148</v>
      </c>
      <c r="J4" s="11" t="s">
        <v>149</v>
      </c>
      <c r="K4" s="11" t="s">
        <v>150</v>
      </c>
      <c r="L4" s="11" t="s">
        <v>151</v>
      </c>
      <c r="M4" s="11" t="s">
        <v>152</v>
      </c>
      <c r="N4" s="11" t="s">
        <v>153</v>
      </c>
      <c r="O4" s="11" t="s">
        <v>154</v>
      </c>
      <c r="P4" s="11" t="s">
        <v>155</v>
      </c>
    </row>
    <row r="5" customFormat="false" ht="13.5" hidden="false" customHeight="true" outlineLevel="0" collapsed="false">
      <c r="B5" s="4" t="s">
        <v>156</v>
      </c>
      <c r="C5" s="0" t="s">
        <v>157</v>
      </c>
      <c r="D5" s="37" t="n">
        <f aca="false">'Executive Summary'!C9*C23/1000000</f>
        <v>23257812.54</v>
      </c>
      <c r="E5" s="37" t="n">
        <f aca="false">D5+C24</f>
        <v>24040294.54</v>
      </c>
      <c r="F5" s="37" t="n">
        <v>2337628</v>
      </c>
      <c r="G5" s="37" t="n">
        <v>1183195</v>
      </c>
      <c r="H5" s="37" t="n">
        <v>870369</v>
      </c>
      <c r="I5" s="37" t="n">
        <v>554490</v>
      </c>
      <c r="J5" s="38" t="n">
        <f aca="false">E5/G5</f>
        <v>20.3181170812926</v>
      </c>
      <c r="K5" s="38" t="n">
        <f aca="false">E5/F5</f>
        <v>10.2840548367833</v>
      </c>
      <c r="L5" s="38" t="n">
        <f aca="false">D5/I5</f>
        <v>41.9445121462966</v>
      </c>
      <c r="M5" s="38" t="n">
        <f aca="false">IFERROR(D5/P5,"")</f>
        <v>16.6254417057621</v>
      </c>
      <c r="N5" s="39" t="n">
        <f aca="false">H5/F5</f>
        <v>0.372329985780458</v>
      </c>
      <c r="O5" s="39" t="n">
        <f aca="false">IFERROR(I5/P5,"")</f>
        <v>0.396367506857031</v>
      </c>
      <c r="P5" s="37" t="n">
        <v>1398929</v>
      </c>
    </row>
    <row r="6" customFormat="false" ht="13.5" hidden="false" customHeight="true" outlineLevel="0" collapsed="false">
      <c r="B6" s="4" t="s">
        <v>158</v>
      </c>
      <c r="C6" s="0" t="s">
        <v>159</v>
      </c>
      <c r="D6" s="37" t="n">
        <v>24590922</v>
      </c>
      <c r="E6" s="37" t="n">
        <v>23980399</v>
      </c>
      <c r="F6" s="37" t="n">
        <v>2155057</v>
      </c>
      <c r="G6" s="37" t="n">
        <v>901972</v>
      </c>
      <c r="H6" s="37" t="n">
        <v>877780</v>
      </c>
      <c r="I6" s="37" t="n">
        <v>736714</v>
      </c>
      <c r="J6" s="38" t="n">
        <f aca="false">E6/G6</f>
        <v>26.5866335096877</v>
      </c>
      <c r="K6" s="38" t="n">
        <f aca="false">E6/F6</f>
        <v>11.1275010359355</v>
      </c>
      <c r="L6" s="38" t="n">
        <f aca="false">D6/I6</f>
        <v>33.3791973547401</v>
      </c>
      <c r="M6" s="38" t="n">
        <f aca="false">IFERROR(D6/P6,"")</f>
        <v>10.9196505487596</v>
      </c>
      <c r="N6" s="39" t="n">
        <f aca="false">H6/F6</f>
        <v>0.407311732357891</v>
      </c>
      <c r="O6" s="39" t="n">
        <f aca="false">IFERROR(I6/P6,"")</f>
        <v>0.32713939861136</v>
      </c>
      <c r="P6" s="37" t="n">
        <v>2251988</v>
      </c>
    </row>
    <row r="7" customFormat="false" ht="13.5" hidden="false" customHeight="true" outlineLevel="0" collapsed="false">
      <c r="B7" s="4" t="s">
        <v>160</v>
      </c>
      <c r="C7" s="0" t="s">
        <v>161</v>
      </c>
      <c r="D7" s="37" t="n">
        <v>136426985</v>
      </c>
      <c r="E7" s="37" t="n">
        <v>133383523</v>
      </c>
      <c r="F7" s="37" t="n">
        <v>14756188</v>
      </c>
      <c r="G7" s="37" t="n">
        <v>11156992</v>
      </c>
      <c r="H7" s="37" t="n">
        <v>9683861</v>
      </c>
      <c r="I7" s="37" t="n">
        <v>8249663</v>
      </c>
      <c r="J7" s="38" t="n">
        <f aca="false">E7/G7</f>
        <v>11.9551509044732</v>
      </c>
      <c r="K7" s="38" t="n">
        <f aca="false">E7/F7</f>
        <v>9.03915855504145</v>
      </c>
      <c r="L7" s="38" t="n">
        <f aca="false">D7/I7</f>
        <v>16.5372797652462</v>
      </c>
      <c r="M7" s="38" t="n">
        <f aca="false">IFERROR(D7/P7,"")</f>
        <v>8.28620786311269</v>
      </c>
      <c r="N7" s="39" t="n">
        <f aca="false">H7/F7</f>
        <v>0.656257632391238</v>
      </c>
      <c r="O7" s="39" t="n">
        <f aca="false">IFERROR(I7/P7,"")</f>
        <v>0.501062325892709</v>
      </c>
      <c r="P7" s="37" t="n">
        <v>16464345</v>
      </c>
    </row>
    <row r="8" customFormat="false" ht="13.5" hidden="false" customHeight="true" outlineLevel="0" collapsed="false">
      <c r="B8" s="4" t="s">
        <v>162</v>
      </c>
      <c r="C8" s="0" t="s">
        <v>163</v>
      </c>
      <c r="D8" s="37" t="n">
        <v>115787065</v>
      </c>
      <c r="E8" s="37" t="n">
        <v>116902152</v>
      </c>
      <c r="F8" s="37" t="n">
        <v>11015461</v>
      </c>
      <c r="G8" s="37" t="n">
        <v>6932262</v>
      </c>
      <c r="H8" s="37" t="n">
        <v>5352725</v>
      </c>
      <c r="I8" s="37" t="n">
        <v>4866618</v>
      </c>
      <c r="J8" s="38" t="n">
        <f aca="false">E8/G8</f>
        <v>16.8634930416652</v>
      </c>
      <c r="K8" s="38" t="n">
        <f aca="false">E8/F8</f>
        <v>10.6125519394967</v>
      </c>
      <c r="L8" s="38" t="n">
        <f aca="false">D8/I8</f>
        <v>23.7921005922388</v>
      </c>
      <c r="M8" s="38" t="n">
        <f aca="false">IFERROR(D8/P8,"")</f>
        <v>8.46248023830317</v>
      </c>
      <c r="N8" s="39" t="n">
        <f aca="false">H8/F8</f>
        <v>0.485928369225764</v>
      </c>
      <c r="O8" s="39" t="n">
        <f aca="false">IFERROR(I8/P8,"")</f>
        <v>0.355684451042701</v>
      </c>
      <c r="P8" s="37" t="n">
        <v>13682403</v>
      </c>
    </row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5" hidden="false" customHeight="true" outlineLevel="0" collapsed="false">
      <c r="B14" s="3" t="s">
        <v>164</v>
      </c>
    </row>
    <row r="15" customFormat="false" ht="13.5" hidden="false" customHeight="true" outlineLevel="0" collapsed="false">
      <c r="B15" s="4" t="s">
        <v>165</v>
      </c>
      <c r="D15" s="38" t="n">
        <f aca="false">PERCENTILE(J6:J8,0.25)</f>
        <v>14.4093219730692</v>
      </c>
      <c r="E15" s="38" t="n">
        <f aca="false">PERCENTILE(K6:K8,0.25)</f>
        <v>9.82585524726907</v>
      </c>
      <c r="F15" s="38" t="n">
        <f aca="false">PERCENTILE(L6:L8,0.25)</f>
        <v>20.1646901787425</v>
      </c>
      <c r="G15" s="38" t="n">
        <f aca="false">PERCENTILE(M6:M8,0.25)</f>
        <v>8.37434405070793</v>
      </c>
      <c r="H15" s="39" t="n">
        <f aca="false">PERCENTILE(N6:N8,0.25)</f>
        <v>0.446620050791827</v>
      </c>
      <c r="I15" s="39" t="n">
        <f aca="false">PERCENTILE(O6:O8,0.25)</f>
        <v>0.34141192482703</v>
      </c>
    </row>
    <row r="16" customFormat="false" ht="13.5" hidden="false" customHeight="true" outlineLevel="0" collapsed="false">
      <c r="B16" s="4" t="s">
        <v>166</v>
      </c>
      <c r="D16" s="38" t="n">
        <f aca="false">MEDIAN(J6:J8)</f>
        <v>16.8634930416652</v>
      </c>
      <c r="E16" s="38" t="n">
        <f aca="false">MEDIAN(K6:K8)</f>
        <v>10.6125519394967</v>
      </c>
      <c r="F16" s="38" t="n">
        <f aca="false">MEDIAN(L6:L8)</f>
        <v>23.7921005922388</v>
      </c>
      <c r="G16" s="38" t="n">
        <f aca="false">MEDIAN(M6:M8)</f>
        <v>8.46248023830317</v>
      </c>
      <c r="H16" s="39" t="n">
        <f aca="false">MEDIAN(N6:N8)</f>
        <v>0.485928369225764</v>
      </c>
      <c r="I16" s="39" t="n">
        <f aca="false">MEDIAN(O6:O8)</f>
        <v>0.355684451042701</v>
      </c>
    </row>
    <row r="17" customFormat="false" ht="13.5" hidden="false" customHeight="true" outlineLevel="0" collapsed="false">
      <c r="B17" s="4" t="s">
        <v>167</v>
      </c>
      <c r="D17" s="38" t="n">
        <f aca="false">PERCENTILE(J6:J8,0.75)</f>
        <v>21.7250632756764</v>
      </c>
      <c r="E17" s="38" t="n">
        <f aca="false">PERCENTILE(K6:K8,0.75)</f>
        <v>10.8700264877161</v>
      </c>
      <c r="F17" s="38" t="n">
        <f aca="false">PERCENTILE(L6:L8,0.75)</f>
        <v>28.5856489734894</v>
      </c>
      <c r="G17" s="38" t="n">
        <f aca="false">PERCENTILE(M6:M8,0.75)</f>
        <v>9.69106539353138</v>
      </c>
      <c r="H17" s="39" t="n">
        <f aca="false">PERCENTILE(N6:N8,0.75)</f>
        <v>0.571093000808501</v>
      </c>
      <c r="I17" s="39" t="n">
        <f aca="false">PERCENTILE(O6:O8,0.75)</f>
        <v>0.428373388467705</v>
      </c>
    </row>
    <row r="18" customFormat="false" ht="13.8" hidden="false" customHeight="false" outlineLevel="0" collapsed="false">
      <c r="B18" s="14" t="s">
        <v>168</v>
      </c>
    </row>
    <row r="19" customFormat="false" ht="13.5" hidden="false" customHeight="true" outlineLevel="0" collapsed="false">
      <c r="B19" s="26" t="s">
        <v>169</v>
      </c>
      <c r="C19" s="27"/>
      <c r="D19" s="27"/>
      <c r="E19" s="27"/>
      <c r="F19" s="27"/>
      <c r="G19" s="27"/>
      <c r="H19" s="27"/>
      <c r="I19" s="27"/>
    </row>
    <row r="20" customFormat="false" ht="13.5" hidden="false" customHeight="true" outlineLevel="0" collapsed="false">
      <c r="B20" s="40" t="s">
        <v>170</v>
      </c>
    </row>
    <row r="21" customFormat="false" ht="13.5" hidden="false" customHeight="true" outlineLevel="0" collapsed="false">
      <c r="B21" s="4" t="s">
        <v>171</v>
      </c>
      <c r="C21" s="6" t="n">
        <v>1183195</v>
      </c>
    </row>
    <row r="22" customFormat="false" ht="13.5" hidden="false" customHeight="true" outlineLevel="0" collapsed="false">
      <c r="B22" s="4" t="s">
        <v>172</v>
      </c>
      <c r="C22" s="6" t="n">
        <v>554490</v>
      </c>
    </row>
    <row r="23" customFormat="false" ht="13.5" hidden="false" customHeight="true" outlineLevel="0" collapsed="false">
      <c r="B23" s="4" t="s">
        <v>173</v>
      </c>
      <c r="C23" s="19" t="n">
        <v>547242648</v>
      </c>
    </row>
    <row r="24" customFormat="false" ht="13.5" hidden="false" customHeight="true" outlineLevel="0" collapsed="false">
      <c r="B24" s="4" t="s">
        <v>71</v>
      </c>
      <c r="C24" s="6" t="n">
        <v>782482</v>
      </c>
    </row>
    <row r="25" customFormat="false" ht="13.8" hidden="false" customHeight="false" outlineLevel="0" collapsed="false"/>
    <row r="26" customFormat="false" ht="13.5" hidden="false" customHeight="true" outlineLevel="0" collapsed="false">
      <c r="B26" s="3" t="s">
        <v>174</v>
      </c>
    </row>
    <row r="27" customFormat="false" ht="13.5" hidden="false" customHeight="true" outlineLevel="0" collapsed="false">
      <c r="B27" s="4" t="s">
        <v>175</v>
      </c>
      <c r="C27" s="28" t="n">
        <f aca="false">ROUND((C21*D16-C24)*1000000/C23,0)</f>
        <v>35031</v>
      </c>
    </row>
    <row r="28" customFormat="false" ht="13.5" hidden="false" customHeight="true" outlineLevel="0" collapsed="false">
      <c r="B28" s="4" t="s">
        <v>176</v>
      </c>
      <c r="C28" s="28" t="n">
        <f aca="false">ROUND(C22*F16*1000000/C23,0)</f>
        <v>24107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6600"/>
    <pageSetUpPr fitToPage="false"/>
  </sheetPr>
  <dimension ref="B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2.7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9" min="3" style="0" width="14"/>
  </cols>
  <sheetData>
    <row r="1" customFormat="false" ht="13.8" hidden="false" customHeight="false" outlineLevel="0" collapsed="false"/>
    <row r="2" customFormat="false" ht="18" hidden="false" customHeight="true" outlineLevel="0" collapsed="false">
      <c r="B2" s="15" t="s">
        <v>177</v>
      </c>
    </row>
    <row r="3" customFormat="false" ht="13.5" hidden="false" customHeight="true" outlineLevel="0" collapsed="false">
      <c r="B3" s="4" t="s">
        <v>178</v>
      </c>
      <c r="C3" s="20" t="n">
        <f aca="false">'DCF Model'!C26</f>
        <v>0.110051081504761</v>
      </c>
      <c r="E3" s="4" t="s">
        <v>179</v>
      </c>
      <c r="F3" s="20" t="n">
        <f aca="false">'DCF Model'!C13</f>
        <v>0.02</v>
      </c>
      <c r="H3" s="4" t="s">
        <v>180</v>
      </c>
      <c r="I3" s="18" t="n">
        <f aca="false">'DCF Model'!C14</f>
        <v>14</v>
      </c>
    </row>
    <row r="4" customFormat="false" ht="13.8" hidden="false" customHeight="false" outlineLevel="0" collapsed="false"/>
    <row r="5" customFormat="false" ht="13.5" hidden="false" customHeight="true" outlineLevel="0" collapsed="false">
      <c r="B5" s="3" t="s">
        <v>181</v>
      </c>
    </row>
    <row r="6" customFormat="false" ht="13.5" hidden="false" customHeight="true" outlineLevel="0" collapsed="false">
      <c r="B6" s="41" t="s">
        <v>182</v>
      </c>
      <c r="C6" s="42" t="n">
        <f aca="false">$F$3-0.0075</f>
        <v>0.0125</v>
      </c>
      <c r="D6" s="42" t="n">
        <f aca="false">$F$3-0.005</f>
        <v>0.015</v>
      </c>
      <c r="E6" s="42" t="n">
        <f aca="false">$F$3-0.0025</f>
        <v>0.0175</v>
      </c>
      <c r="F6" s="42" t="n">
        <f aca="false">$F$3</f>
        <v>0.02</v>
      </c>
      <c r="G6" s="42" t="n">
        <f aca="false">$F$3+0.0025</f>
        <v>0.0225</v>
      </c>
      <c r="H6" s="42" t="n">
        <f aca="false">$F$3+0.005</f>
        <v>0.025</v>
      </c>
      <c r="I6" s="42" t="n">
        <f aca="false">$F$3+0.0075</f>
        <v>0.0275</v>
      </c>
    </row>
    <row r="7" customFormat="false" ht="13.5" hidden="false" customHeight="true" outlineLevel="0" collapsed="false">
      <c r="B7" s="39" t="n">
        <f aca="false">$C$3-0.015</f>
        <v>0.095051081504761</v>
      </c>
      <c r="C7" s="37" t="n">
        <f aca="false"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31554</v>
      </c>
      <c r="D7" s="37" t="n">
        <f aca="false"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32404</v>
      </c>
      <c r="E7" s="37" t="n">
        <f aca="false"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33310</v>
      </c>
      <c r="F7" s="37" t="n">
        <f aca="false"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34276</v>
      </c>
      <c r="G7" s="37" t="n">
        <f aca="false"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35308</v>
      </c>
      <c r="H7" s="37" t="n">
        <f aca="false"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36414</v>
      </c>
      <c r="I7" s="37" t="n">
        <f aca="false"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37603</v>
      </c>
    </row>
    <row r="8" customFormat="false" ht="13.5" hidden="false" customHeight="true" outlineLevel="0" collapsed="false">
      <c r="B8" s="39" t="n">
        <f aca="false">$C$3-0.01</f>
        <v>0.100051081504761</v>
      </c>
      <c r="C8" s="37" t="n">
        <f aca="false"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29461</v>
      </c>
      <c r="D8" s="37" t="n">
        <f aca="false"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30202</v>
      </c>
      <c r="E8" s="37" t="n">
        <f aca="false"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30988</v>
      </c>
      <c r="F8" s="37" t="n">
        <f aca="false"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31824</v>
      </c>
      <c r="G8" s="37" t="n">
        <f aca="false"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32713</v>
      </c>
      <c r="H8" s="37" t="n">
        <f aca="false"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33661</v>
      </c>
      <c r="I8" s="37" t="n">
        <f aca="false"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34675</v>
      </c>
    </row>
    <row r="9" customFormat="false" ht="13.5" hidden="false" customHeight="true" outlineLevel="0" collapsed="false">
      <c r="B9" s="39" t="n">
        <f aca="false">$C$3-0.005</f>
        <v>0.105051081504761</v>
      </c>
      <c r="C9" s="37" t="n">
        <f aca="false"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27597</v>
      </c>
      <c r="D9" s="37" t="n">
        <f aca="false"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28248</v>
      </c>
      <c r="E9" s="37" t="n">
        <f aca="false"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28935</v>
      </c>
      <c r="F9" s="37" t="n">
        <f aca="false"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29663</v>
      </c>
      <c r="G9" s="37" t="n">
        <f aca="false"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30435</v>
      </c>
      <c r="H9" s="37" t="n">
        <f aca="false"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31256</v>
      </c>
      <c r="I9" s="37" t="n">
        <f aca="false"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32129</v>
      </c>
    </row>
    <row r="10" customFormat="false" ht="13.5" hidden="false" customHeight="true" outlineLevel="0" collapsed="false">
      <c r="B10" s="39" t="n">
        <f aca="false">$C$3</f>
        <v>0.110051081504761</v>
      </c>
      <c r="C10" s="37" t="n">
        <f aca="false"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25928</v>
      </c>
      <c r="D10" s="37" t="n">
        <f aca="false"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26502</v>
      </c>
      <c r="E10" s="37" t="n">
        <f aca="false"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27107</v>
      </c>
      <c r="F10" s="37" t="n">
        <f aca="false"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27746</v>
      </c>
      <c r="G10" s="37" t="n">
        <f aca="false"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28421</v>
      </c>
      <c r="H10" s="37" t="n">
        <f aca="false"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29136</v>
      </c>
      <c r="I10" s="37" t="n">
        <f aca="false"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29895</v>
      </c>
    </row>
    <row r="11" customFormat="false" ht="13.5" hidden="false" customHeight="true" outlineLevel="0" collapsed="false">
      <c r="B11" s="39" t="n">
        <f aca="false">$C$3+0.005</f>
        <v>0.115051081504761</v>
      </c>
      <c r="C11" s="37" t="n">
        <f aca="false"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24424</v>
      </c>
      <c r="D11" s="37" t="n">
        <f aca="false"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24934</v>
      </c>
      <c r="E11" s="37" t="n">
        <f aca="false"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25469</v>
      </c>
      <c r="F11" s="37" t="n">
        <f aca="false"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26033</v>
      </c>
      <c r="G11" s="37" t="n">
        <f aca="false"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26628</v>
      </c>
      <c r="H11" s="37" t="n">
        <f aca="false"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27255</v>
      </c>
      <c r="I11" s="37" t="n">
        <f aca="false"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27919</v>
      </c>
    </row>
    <row r="12" customFormat="false" ht="13.5" hidden="false" customHeight="true" outlineLevel="0" collapsed="false">
      <c r="B12" s="39" t="n">
        <f aca="false">$C$3+0.01</f>
        <v>0.120051081504761</v>
      </c>
      <c r="C12" s="37" t="n">
        <f aca="false"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23063</v>
      </c>
      <c r="D12" s="37" t="n">
        <f aca="false"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23517</v>
      </c>
      <c r="E12" s="37" t="n">
        <f aca="false"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23994</v>
      </c>
      <c r="F12" s="37" t="n">
        <f aca="false"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24495</v>
      </c>
      <c r="G12" s="37" t="n">
        <f aca="false"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25021</v>
      </c>
      <c r="H12" s="37" t="n">
        <f aca="false"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25575</v>
      </c>
      <c r="I12" s="37" t="n">
        <f aca="false"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26159</v>
      </c>
    </row>
    <row r="13" customFormat="false" ht="13.5" hidden="false" customHeight="true" outlineLevel="0" collapsed="false">
      <c r="B13" s="39" t="n">
        <f aca="false">$C$3+0.015</f>
        <v>0.125051081504761</v>
      </c>
      <c r="C13" s="37" t="n">
        <f aca="false"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21825</v>
      </c>
      <c r="D13" s="37" t="n">
        <f aca="false"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22232</v>
      </c>
      <c r="E13" s="37" t="n">
        <f aca="false"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22659</v>
      </c>
      <c r="F13" s="37" t="n">
        <f aca="false"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23105</v>
      </c>
      <c r="G13" s="37" t="n">
        <f aca="false"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23574</v>
      </c>
      <c r="H13" s="37" t="n">
        <f aca="false"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24065</v>
      </c>
      <c r="I13" s="37" t="n">
        <f aca="false"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24582</v>
      </c>
    </row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5" hidden="false" customHeight="true" outlineLevel="0" collapsed="false">
      <c r="B16" s="3" t="s">
        <v>183</v>
      </c>
    </row>
    <row r="17" customFormat="false" ht="13.5" hidden="false" customHeight="true" outlineLevel="0" collapsed="false">
      <c r="B17" s="41" t="s">
        <v>184</v>
      </c>
      <c r="C17" s="43" t="n">
        <f aca="false">$I$3-3</f>
        <v>11</v>
      </c>
      <c r="D17" s="43" t="n">
        <f aca="false">$I$3-2</f>
        <v>12</v>
      </c>
      <c r="E17" s="43" t="n">
        <f aca="false">$I$3-1</f>
        <v>13</v>
      </c>
      <c r="F17" s="43" t="n">
        <f aca="false">$I$3</f>
        <v>14</v>
      </c>
      <c r="G17" s="43" t="n">
        <f aca="false">$I$3+1</f>
        <v>15</v>
      </c>
      <c r="H17" s="43" t="n">
        <f aca="false">$I$3+2</f>
        <v>16</v>
      </c>
      <c r="I17" s="43" t="n">
        <f aca="false">$I$3+3</f>
        <v>17</v>
      </c>
    </row>
    <row r="18" customFormat="false" ht="13.5" hidden="false" customHeight="true" outlineLevel="0" collapsed="false">
      <c r="B18" s="39" t="n">
        <f aca="false">$C$3-0.015</f>
        <v>0.095051081504761</v>
      </c>
      <c r="C18" s="37" t="n">
        <f aca="false"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45781</v>
      </c>
      <c r="D18" s="37" t="n">
        <f aca="false"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49364</v>
      </c>
      <c r="E18" s="37" t="n">
        <f aca="false"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52947</v>
      </c>
      <c r="F18" s="37" t="n">
        <f aca="false"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56530</v>
      </c>
      <c r="G18" s="37" t="n">
        <f aca="false"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60113</v>
      </c>
      <c r="H18" s="37" t="n">
        <f aca="false"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63696</v>
      </c>
      <c r="I18" s="37" t="n">
        <f aca="false"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67279</v>
      </c>
    </row>
    <row r="19" customFormat="false" ht="13.5" hidden="false" customHeight="true" outlineLevel="0" collapsed="false">
      <c r="B19" s="39" t="n">
        <f aca="false">$C$3-0.01</f>
        <v>0.100051081504761</v>
      </c>
      <c r="C19" s="37" t="n">
        <f aca="false"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44773</v>
      </c>
      <c r="D19" s="37" t="n">
        <f aca="false"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48276</v>
      </c>
      <c r="E19" s="37" t="n">
        <f aca="false"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51778</v>
      </c>
      <c r="F19" s="37" t="n">
        <f aca="false"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55280</v>
      </c>
      <c r="G19" s="37" t="n">
        <f aca="false"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58783</v>
      </c>
      <c r="H19" s="37" t="n">
        <f aca="false"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62285</v>
      </c>
      <c r="I19" s="37" t="n">
        <f aca="false"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65787</v>
      </c>
    </row>
    <row r="20" customFormat="false" ht="13.5" hidden="false" customHeight="true" outlineLevel="0" collapsed="false">
      <c r="B20" s="39" t="n">
        <f aca="false">$C$3-0.005</f>
        <v>0.105051081504761</v>
      </c>
      <c r="C20" s="37" t="n">
        <f aca="false"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43792</v>
      </c>
      <c r="D20" s="37" t="n">
        <f aca="false"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47216</v>
      </c>
      <c r="E20" s="37" t="n">
        <f aca="false"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50640</v>
      </c>
      <c r="F20" s="37" t="n">
        <f aca="false"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54064</v>
      </c>
      <c r="G20" s="37" t="n">
        <f aca="false"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57488</v>
      </c>
      <c r="H20" s="37" t="n">
        <f aca="false"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60911</v>
      </c>
      <c r="I20" s="37" t="n">
        <f aca="false"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64335</v>
      </c>
    </row>
    <row r="21" customFormat="false" ht="13.5" hidden="false" customHeight="true" outlineLevel="0" collapsed="false">
      <c r="B21" s="39" t="n">
        <f aca="false">$C$3</f>
        <v>0.110051081504761</v>
      </c>
      <c r="C21" s="37" t="n">
        <f aca="false"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42837</v>
      </c>
      <c r="D21" s="37" t="n">
        <f aca="false"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46185</v>
      </c>
      <c r="E21" s="37" t="n">
        <f aca="false"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49532</v>
      </c>
      <c r="F21" s="37" t="n">
        <f aca="false"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52879</v>
      </c>
      <c r="G21" s="37" t="n">
        <f aca="false"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56227</v>
      </c>
      <c r="H21" s="37" t="n">
        <f aca="false"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59574</v>
      </c>
      <c r="I21" s="37" t="n">
        <f aca="false"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62922</v>
      </c>
    </row>
    <row r="22" customFormat="false" ht="13.5" hidden="false" customHeight="true" outlineLevel="0" collapsed="false">
      <c r="B22" s="39" t="n">
        <f aca="false">$C$3+0.005</f>
        <v>0.115051081504761</v>
      </c>
      <c r="C22" s="37" t="n">
        <f aca="false"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41907</v>
      </c>
      <c r="D22" s="37" t="n">
        <f aca="false"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45180</v>
      </c>
      <c r="E22" s="37" t="n">
        <f aca="false"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48453</v>
      </c>
      <c r="F22" s="37" t="n">
        <f aca="false"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51726</v>
      </c>
      <c r="G22" s="37" t="n">
        <f aca="false"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54999</v>
      </c>
      <c r="H22" s="37" t="n">
        <f aca="false"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58272</v>
      </c>
      <c r="I22" s="37" t="n">
        <f aca="false"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61545</v>
      </c>
    </row>
    <row r="23" customFormat="false" ht="13.5" hidden="false" customHeight="true" outlineLevel="0" collapsed="false">
      <c r="B23" s="39" t="n">
        <f aca="false">$C$3+0.01</f>
        <v>0.120051081504761</v>
      </c>
      <c r="C23" s="37" t="n">
        <f aca="false"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41001</v>
      </c>
      <c r="D23" s="37" t="n">
        <f aca="false"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44202</v>
      </c>
      <c r="E23" s="37" t="n">
        <f aca="false"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47402</v>
      </c>
      <c r="F23" s="37" t="n">
        <f aca="false"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50603</v>
      </c>
      <c r="G23" s="37" t="n">
        <f aca="false"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53803</v>
      </c>
      <c r="H23" s="37" t="n">
        <f aca="false"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57004</v>
      </c>
      <c r="I23" s="37" t="n">
        <f aca="false"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60205</v>
      </c>
    </row>
    <row r="24" customFormat="false" ht="13.5" hidden="false" customHeight="true" outlineLevel="0" collapsed="false">
      <c r="B24" s="39" t="n">
        <f aca="false">$C$3+0.015</f>
        <v>0.125051081504761</v>
      </c>
      <c r="C24" s="37" t="n">
        <f aca="false"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40118</v>
      </c>
      <c r="D24" s="37" t="n">
        <f aca="false"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43248</v>
      </c>
      <c r="E24" s="37" t="n">
        <f aca="false"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46379</v>
      </c>
      <c r="F24" s="37" t="n">
        <f aca="false"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49509</v>
      </c>
      <c r="G24" s="37" t="n">
        <f aca="false"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52639</v>
      </c>
      <c r="H24" s="37" t="n">
        <f aca="false"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55769</v>
      </c>
      <c r="I24" s="37" t="n">
        <f aca="false"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58899</v>
      </c>
    </row>
    <row r="25" customFormat="false" ht="13.8" hidden="false" customHeight="false" outlineLevel="0" collapsed="false"/>
    <row r="26" customFormat="false" ht="13.5" hidden="false" customHeight="true" outlineLevel="0" collapsed="false">
      <c r="B26" s="1" t="s">
        <v>185</v>
      </c>
      <c r="C26" s="1"/>
      <c r="D26" s="1"/>
      <c r="E26" s="1"/>
      <c r="F26" s="1"/>
      <c r="G26" s="1"/>
      <c r="H26" s="1"/>
      <c r="I26" s="1"/>
    </row>
  </sheetData>
  <mergeCells count="1">
    <mergeCell ref="B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4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96"/>
  </cols>
  <sheetData>
    <row r="2" customFormat="false" ht="15" hidden="false" customHeight="false" outlineLevel="0" collapsed="false">
      <c r="B2" s="3" t="s">
        <v>186</v>
      </c>
    </row>
    <row r="4" customFormat="false" ht="15" hidden="false" customHeight="true" outlineLevel="0" collapsed="false">
      <c r="B4" s="44" t="s">
        <v>187</v>
      </c>
      <c r="C4" s="44" t="s">
        <v>188</v>
      </c>
      <c r="D4" s="44" t="s">
        <v>189</v>
      </c>
      <c r="E4" s="44" t="s">
        <v>190</v>
      </c>
      <c r="F4" s="44" t="s">
        <v>191</v>
      </c>
    </row>
    <row r="5" customFormat="false" ht="78" hidden="false" customHeight="true" outlineLevel="0" collapsed="false">
      <c r="B5" s="45" t="s">
        <v>192</v>
      </c>
      <c r="C5" s="45" t="s">
        <v>193</v>
      </c>
      <c r="D5" s="45" t="s">
        <v>194</v>
      </c>
      <c r="E5" s="45" t="s">
        <v>195</v>
      </c>
      <c r="F5" s="45" t="s">
        <v>196</v>
      </c>
    </row>
    <row r="6" customFormat="false" ht="78" hidden="false" customHeight="true" outlineLevel="0" collapsed="false">
      <c r="B6" s="45" t="s">
        <v>197</v>
      </c>
      <c r="C6" s="45" t="s">
        <v>198</v>
      </c>
      <c r="D6" s="45" t="s">
        <v>199</v>
      </c>
      <c r="E6" s="45" t="s">
        <v>200</v>
      </c>
      <c r="F6" s="45" t="s">
        <v>201</v>
      </c>
    </row>
    <row r="7" customFormat="false" ht="78" hidden="false" customHeight="true" outlineLevel="0" collapsed="false">
      <c r="B7" s="45" t="s">
        <v>202</v>
      </c>
      <c r="C7" s="45" t="s">
        <v>203</v>
      </c>
      <c r="D7" s="45" t="s">
        <v>204</v>
      </c>
      <c r="E7" s="45" t="s">
        <v>205</v>
      </c>
      <c r="F7" s="45" t="s">
        <v>206</v>
      </c>
    </row>
    <row r="8" customFormat="false" ht="78" hidden="false" customHeight="true" outlineLevel="0" collapsed="false">
      <c r="B8" s="45" t="s">
        <v>207</v>
      </c>
      <c r="C8" s="45" t="s">
        <v>208</v>
      </c>
      <c r="D8" s="45" t="s">
        <v>209</v>
      </c>
      <c r="E8" s="45" t="s">
        <v>210</v>
      </c>
      <c r="F8" s="45" t="s">
        <v>211</v>
      </c>
    </row>
    <row r="9" customFormat="false" ht="78" hidden="false" customHeight="true" outlineLevel="0" collapsed="false">
      <c r="B9" s="45" t="s">
        <v>212</v>
      </c>
      <c r="C9" s="45" t="s">
        <v>213</v>
      </c>
      <c r="D9" s="45" t="s">
        <v>214</v>
      </c>
      <c r="E9" s="45" t="s">
        <v>215</v>
      </c>
      <c r="F9" s="45" t="s">
        <v>216</v>
      </c>
    </row>
    <row r="10" customFormat="false" ht="78" hidden="false" customHeight="true" outlineLevel="0" collapsed="false">
      <c r="B10" s="45" t="s">
        <v>217</v>
      </c>
      <c r="C10" s="45" t="s">
        <v>218</v>
      </c>
      <c r="D10" s="45" t="s">
        <v>219</v>
      </c>
      <c r="E10" s="45" t="s">
        <v>220</v>
      </c>
      <c r="F10" s="45" t="s">
        <v>221</v>
      </c>
    </row>
    <row r="11" customFormat="false" ht="78" hidden="false" customHeight="true" outlineLevel="0" collapsed="false">
      <c r="B11" s="45" t="s">
        <v>222</v>
      </c>
      <c r="C11" s="45" t="s">
        <v>223</v>
      </c>
      <c r="D11" s="45" t="s">
        <v>224</v>
      </c>
      <c r="E11" s="45" t="s">
        <v>225</v>
      </c>
      <c r="F11" s="45" t="s">
        <v>226</v>
      </c>
    </row>
    <row r="12" customFormat="false" ht="78" hidden="false" customHeight="true" outlineLevel="0" collapsed="false">
      <c r="B12" s="45"/>
      <c r="C12" s="45" t="s">
        <v>227</v>
      </c>
      <c r="D12" s="45"/>
      <c r="E12" s="45"/>
      <c r="F12" s="45" t="s">
        <v>228</v>
      </c>
    </row>
    <row r="13" customFormat="false" ht="78" hidden="false" customHeight="true" outlineLevel="0" collapsed="false">
      <c r="B13" s="45"/>
      <c r="C13" s="45" t="s">
        <v>229</v>
      </c>
      <c r="D13" s="45" t="s">
        <v>230</v>
      </c>
      <c r="E13" s="45"/>
      <c r="F13" s="45" t="s">
        <v>231</v>
      </c>
    </row>
    <row r="14" customFormat="false" ht="78" hidden="false" customHeight="true" outlineLevel="0" collapsed="false">
      <c r="B14" s="45"/>
      <c r="C14" s="45" t="s">
        <v>232</v>
      </c>
      <c r="D14" s="45" t="s">
        <v>233</v>
      </c>
      <c r="E14" s="45"/>
      <c r="F14" s="45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2026-07-30T01:27:06Z</dcterms:created>
  <dc:creator>openpyxl</dc:creator>
  <dc:description/>
  <dc:language>en-US</dc:language>
  <cp:lastModifiedBy>良亮 佐藤</cp:lastModifiedBy>
  <dcterms:modified xsi:type="dcterms:W3CDTF">2026-07-30T01:48:58Z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