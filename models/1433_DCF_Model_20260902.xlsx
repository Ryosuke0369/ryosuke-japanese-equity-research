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0A3268B-265F-4127-BC5B-E92378E74E36}" xr6:coauthVersionLast="47" xr6:coauthVersionMax="47" xr10:uidLastSave="{00000000-0000-0000-0000-000000000000}"/>
  <bookViews>
    <workbookView xWindow="-110" yWindow="-110" windowWidth="19420" windowHeight="10300" activeTab="3"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6" i="6" s="1"/>
  <c r="L6" i="6"/>
  <c r="F15" i="6" s="1"/>
  <c r="K6" i="6"/>
  <c r="J6" i="6"/>
  <c r="O5" i="6"/>
  <c r="N5" i="6"/>
  <c r="D5" i="6"/>
  <c r="M5" i="6" s="1"/>
  <c r="C16" i="5"/>
  <c r="C14" i="5"/>
  <c r="C18" i="5" s="1"/>
  <c r="C7" i="5"/>
  <c r="C6" i="5"/>
  <c r="C5" i="5"/>
  <c r="C79" i="4"/>
  <c r="C78" i="4"/>
  <c r="C13" i="4"/>
  <c r="C12" i="4"/>
  <c r="C9" i="4"/>
  <c r="C80" i="4" s="1"/>
  <c r="C7" i="4"/>
  <c r="C6" i="4"/>
  <c r="D27" i="3"/>
  <c r="D7" i="5" s="1"/>
  <c r="C25" i="3"/>
  <c r="C24" i="3"/>
  <c r="C23" i="3"/>
  <c r="C26" i="3" s="1"/>
  <c r="G28" i="2"/>
  <c r="F28" i="2"/>
  <c r="E28" i="2"/>
  <c r="D28" i="2"/>
  <c r="C28" i="2"/>
  <c r="G23" i="2"/>
  <c r="F23" i="2"/>
  <c r="E23" i="2"/>
  <c r="D23" i="2"/>
  <c r="C23" i="2"/>
  <c r="G21" i="2"/>
  <c r="G22" i="2" s="1"/>
  <c r="F21" i="2"/>
  <c r="F22" i="2" s="1"/>
  <c r="E21" i="2"/>
  <c r="E22" i="2" s="1"/>
  <c r="D21" i="2"/>
  <c r="D22" i="2" s="1"/>
  <c r="C21" i="2"/>
  <c r="C22" i="2" s="1"/>
  <c r="G16" i="2"/>
  <c r="F16" i="2"/>
  <c r="E16" i="2"/>
  <c r="D16" i="2"/>
  <c r="G15" i="2"/>
  <c r="F15" i="2"/>
  <c r="E15" i="2"/>
  <c r="D15" i="2"/>
  <c r="G14" i="2"/>
  <c r="F14" i="2"/>
  <c r="E14" i="2"/>
  <c r="D14" i="2"/>
  <c r="C14" i="2"/>
  <c r="G13" i="2"/>
  <c r="F13" i="2"/>
  <c r="E13" i="2"/>
  <c r="D13" i="2"/>
  <c r="C13" i="2"/>
  <c r="G8" i="2"/>
  <c r="G9" i="2" s="1"/>
  <c r="F8" i="2"/>
  <c r="F9" i="2" s="1"/>
  <c r="E8" i="2"/>
  <c r="E9" i="2" s="1"/>
  <c r="D8" i="2"/>
  <c r="D9" i="2" s="1"/>
  <c r="C8" i="2"/>
  <c r="C9" i="2" s="1"/>
  <c r="H15" i="6" l="1"/>
  <c r="E5" i="6"/>
  <c r="K5" i="6" s="1"/>
  <c r="I15" i="6"/>
  <c r="G15" i="6"/>
  <c r="I16" i="6"/>
  <c r="C8" i="4"/>
  <c r="C10" i="4" s="1"/>
  <c r="D17" i="6"/>
  <c r="E17" i="6"/>
  <c r="C3" i="7"/>
  <c r="D36" i="4"/>
  <c r="D46" i="3"/>
  <c r="C46" i="3"/>
  <c r="B25" i="1"/>
  <c r="H36" i="4"/>
  <c r="G36" i="4"/>
  <c r="C11" i="4"/>
  <c r="C24" i="4" s="1"/>
  <c r="C25" i="4" s="1"/>
  <c r="G46" i="3"/>
  <c r="F36" i="4"/>
  <c r="F46" i="3"/>
  <c r="E46" i="3"/>
  <c r="E36" i="4"/>
  <c r="C70" i="4"/>
  <c r="C71" i="4"/>
  <c r="E7" i="5"/>
  <c r="L5" i="6"/>
  <c r="D16" i="6"/>
  <c r="F17" i="6"/>
  <c r="I6" i="7"/>
  <c r="E30" i="3"/>
  <c r="C32" i="3"/>
  <c r="F30" i="3"/>
  <c r="D32" i="3"/>
  <c r="D6" i="5"/>
  <c r="F7" i="5"/>
  <c r="E16" i="6"/>
  <c r="G17" i="6"/>
  <c r="C17" i="7"/>
  <c r="G30" i="3"/>
  <c r="E32" i="3"/>
  <c r="E6" i="5"/>
  <c r="G7" i="5"/>
  <c r="D15" i="6"/>
  <c r="F16" i="6"/>
  <c r="H17" i="6"/>
  <c r="C6" i="7"/>
  <c r="D17" i="7"/>
  <c r="C31" i="3"/>
  <c r="F32" i="3"/>
  <c r="D5" i="5"/>
  <c r="F6" i="5"/>
  <c r="H7" i="5"/>
  <c r="E15" i="6"/>
  <c r="I17" i="6"/>
  <c r="D6" i="7"/>
  <c r="E17" i="7"/>
  <c r="D31" i="3"/>
  <c r="G32" i="3"/>
  <c r="E5" i="5"/>
  <c r="G6" i="5"/>
  <c r="H16" i="6"/>
  <c r="E6" i="7"/>
  <c r="F17" i="7"/>
  <c r="F6" i="7"/>
  <c r="G17" i="7"/>
  <c r="C30" i="3"/>
  <c r="C33" i="3" s="1"/>
  <c r="F31" i="3"/>
  <c r="G5" i="5"/>
  <c r="J5" i="6"/>
  <c r="G6" i="7"/>
  <c r="H17" i="7"/>
  <c r="E31" i="3"/>
  <c r="F5" i="5"/>
  <c r="H6" i="5"/>
  <c r="D30" i="3"/>
  <c r="G31" i="3"/>
  <c r="C81" i="4"/>
  <c r="H5" i="5"/>
  <c r="C29" i="4" l="1"/>
  <c r="C27" i="4"/>
  <c r="C26" i="4"/>
  <c r="G38" i="4"/>
  <c r="G45" i="4"/>
  <c r="G41" i="4"/>
  <c r="G39" i="4"/>
  <c r="G43" i="4"/>
  <c r="G46" i="4"/>
  <c r="G40" i="4"/>
  <c r="G44" i="4"/>
  <c r="H41" i="4"/>
  <c r="H39" i="4"/>
  <c r="H49" i="4" s="1"/>
  <c r="H54" i="4" s="1"/>
  <c r="H45" i="4"/>
  <c r="H43" i="4"/>
  <c r="H46" i="4"/>
  <c r="H40" i="4"/>
  <c r="H44" i="4"/>
  <c r="H38" i="4"/>
  <c r="C30" i="6"/>
  <c r="C28" i="6"/>
  <c r="C19" i="1" s="1"/>
  <c r="D19" i="1" s="1"/>
  <c r="C27" i="6"/>
  <c r="C18" i="1" s="1"/>
  <c r="D18" i="1" s="1"/>
  <c r="C74" i="4"/>
  <c r="C43" i="3"/>
  <c r="D33" i="3"/>
  <c r="D9" i="5"/>
  <c r="D12" i="5" s="1"/>
  <c r="C42" i="3"/>
  <c r="C34" i="3"/>
  <c r="D10" i="5" s="1"/>
  <c r="C37" i="3"/>
  <c r="B24" i="1"/>
  <c r="B31" i="1"/>
  <c r="F44" i="4"/>
  <c r="F38" i="4"/>
  <c r="F45" i="4"/>
  <c r="F39" i="4"/>
  <c r="F43" i="4"/>
  <c r="F46" i="4"/>
  <c r="F41" i="4"/>
  <c r="F51" i="4" s="1"/>
  <c r="F56" i="4" s="1"/>
  <c r="F40" i="4"/>
  <c r="F50" i="4" s="1"/>
  <c r="F55" i="4" s="1"/>
  <c r="D46" i="4"/>
  <c r="D40" i="4"/>
  <c r="D38" i="4"/>
  <c r="D41" i="4"/>
  <c r="D44" i="4"/>
  <c r="D45" i="4"/>
  <c r="D39" i="4"/>
  <c r="D43" i="4"/>
  <c r="E40" i="4"/>
  <c r="E44" i="4"/>
  <c r="E41" i="4"/>
  <c r="E45" i="4"/>
  <c r="E38" i="4"/>
  <c r="E39" i="4"/>
  <c r="E43" i="4"/>
  <c r="E46" i="4"/>
  <c r="B13" i="7"/>
  <c r="B12" i="7"/>
  <c r="B11" i="7"/>
  <c r="B10" i="7"/>
  <c r="B9" i="7"/>
  <c r="B8" i="7"/>
  <c r="B7" i="7"/>
  <c r="B24" i="7"/>
  <c r="B23" i="7"/>
  <c r="B22" i="7"/>
  <c r="B21" i="7"/>
  <c r="B20" i="7"/>
  <c r="B19" i="7"/>
  <c r="B18" i="7"/>
  <c r="H51" i="4" l="1"/>
  <c r="H56" i="4" s="1"/>
  <c r="G48" i="4"/>
  <c r="G53" i="4" s="1"/>
  <c r="D51" i="4"/>
  <c r="D56" i="4" s="1"/>
  <c r="H48" i="4"/>
  <c r="H53" i="4" s="1"/>
  <c r="E48" i="4"/>
  <c r="E53" i="4" s="1"/>
  <c r="F49" i="4"/>
  <c r="C60" i="4" s="1"/>
  <c r="D50" i="4"/>
  <c r="D55" i="4" s="1"/>
  <c r="H50" i="4"/>
  <c r="H55" i="4" s="1"/>
  <c r="F54" i="4"/>
  <c r="B88" i="4"/>
  <c r="E51" i="4"/>
  <c r="E56" i="4" s="1"/>
  <c r="D48" i="4"/>
  <c r="D53" i="4" s="1"/>
  <c r="D15" i="5"/>
  <c r="D16" i="5" s="1"/>
  <c r="D13" i="5"/>
  <c r="D14" i="5" s="1"/>
  <c r="D18" i="5" s="1"/>
  <c r="D19" i="5" s="1"/>
  <c r="C44" i="3" s="1"/>
  <c r="F48" i="4"/>
  <c r="F53" i="4" s="1"/>
  <c r="E33" i="3"/>
  <c r="D42" i="3"/>
  <c r="D34" i="3"/>
  <c r="E10" i="5" s="1"/>
  <c r="E9" i="5"/>
  <c r="E12" i="5" s="1"/>
  <c r="D37" i="3"/>
  <c r="D43" i="3"/>
  <c r="G50" i="4"/>
  <c r="G55" i="4" s="1"/>
  <c r="E50" i="4"/>
  <c r="E55" i="4" s="1"/>
  <c r="C35" i="3"/>
  <c r="G49" i="4"/>
  <c r="G54" i="4" s="1"/>
  <c r="D49" i="4"/>
  <c r="D54" i="4" s="1"/>
  <c r="E49" i="4"/>
  <c r="E54" i="4" s="1"/>
  <c r="G51" i="4"/>
  <c r="G56" i="4" s="1"/>
  <c r="C64" i="4" l="1"/>
  <c r="D64" i="4" s="1"/>
  <c r="C66" i="4"/>
  <c r="D66" i="4" s="1"/>
  <c r="C67" i="4"/>
  <c r="D67" i="4" s="1"/>
  <c r="C65" i="4"/>
  <c r="D65" i="4" s="1"/>
  <c r="C63" i="4"/>
  <c r="D63" i="4" s="1"/>
  <c r="E15" i="5"/>
  <c r="E16" i="5" s="1"/>
  <c r="E13" i="5"/>
  <c r="E14" i="5" s="1"/>
  <c r="E18" i="5" s="1"/>
  <c r="E19" i="5" s="1"/>
  <c r="D44" i="3" s="1"/>
  <c r="C38" i="3"/>
  <c r="C36" i="3"/>
  <c r="C39" i="3"/>
  <c r="F9" i="5"/>
  <c r="F12" i="5" s="1"/>
  <c r="E42" i="3"/>
  <c r="E34" i="3"/>
  <c r="F10" i="5" s="1"/>
  <c r="E37" i="3"/>
  <c r="E43" i="3"/>
  <c r="F33" i="3"/>
  <c r="D35" i="3"/>
  <c r="F13" i="5" l="1"/>
  <c r="F14" i="5" s="1"/>
  <c r="F18" i="5" s="1"/>
  <c r="F19" i="5" s="1"/>
  <c r="E44" i="3" s="1"/>
  <c r="F15" i="5"/>
  <c r="F16" i="5" s="1"/>
  <c r="D38" i="3"/>
  <c r="D39" i="3"/>
  <c r="D36" i="3"/>
  <c r="C40" i="3"/>
  <c r="C41" i="3" s="1"/>
  <c r="C45" i="3" s="1"/>
  <c r="G9" i="5"/>
  <c r="G12" i="5" s="1"/>
  <c r="F34" i="3"/>
  <c r="G10" i="5" s="1"/>
  <c r="F37" i="3"/>
  <c r="F42" i="3"/>
  <c r="F43" i="3"/>
  <c r="G33" i="3"/>
  <c r="E35" i="3"/>
  <c r="F35" i="3" l="1"/>
  <c r="C47" i="3"/>
  <c r="F36" i="3"/>
  <c r="F39" i="3"/>
  <c r="F38" i="3"/>
  <c r="E39" i="3"/>
  <c r="E36" i="3"/>
  <c r="E38" i="3"/>
  <c r="G42" i="3"/>
  <c r="G34" i="3"/>
  <c r="H10" i="5" s="1"/>
  <c r="G43" i="3"/>
  <c r="G35" i="3"/>
  <c r="C16" i="4"/>
  <c r="C28" i="4" s="1"/>
  <c r="G37" i="3"/>
  <c r="H9" i="5"/>
  <c r="H12" i="5" s="1"/>
  <c r="D40" i="3"/>
  <c r="D41" i="3" s="1"/>
  <c r="D45" i="3" s="1"/>
  <c r="G13" i="5"/>
  <c r="G15" i="5"/>
  <c r="G16" i="5" s="1"/>
  <c r="G14" i="5"/>
  <c r="G18" i="5" s="1"/>
  <c r="G19" i="5" s="1"/>
  <c r="F44" i="3" s="1"/>
  <c r="D47" i="3" l="1"/>
  <c r="E40" i="3"/>
  <c r="E41" i="3" s="1"/>
  <c r="E45" i="3" s="1"/>
  <c r="G39" i="3"/>
  <c r="G36" i="3"/>
  <c r="G38" i="3"/>
  <c r="H13" i="5"/>
  <c r="H14" i="5" s="1"/>
  <c r="H15" i="5"/>
  <c r="H16" i="5" s="1"/>
  <c r="F40" i="3"/>
  <c r="F41" i="3" s="1"/>
  <c r="F45" i="3" s="1"/>
  <c r="F47" i="3" s="1"/>
  <c r="C72" i="4"/>
  <c r="C73" i="4"/>
  <c r="H18" i="5" l="1"/>
  <c r="H19" i="5" s="1"/>
  <c r="G44" i="3" s="1"/>
  <c r="E47" i="3"/>
  <c r="C59" i="3"/>
  <c r="C60" i="3" s="1"/>
  <c r="C61" i="3" s="1"/>
  <c r="G40" i="3"/>
  <c r="G41" i="3" s="1"/>
  <c r="G45" i="3" s="1"/>
  <c r="G47" i="3" l="1"/>
  <c r="C51" i="3"/>
  <c r="C52" i="3" s="1"/>
  <c r="E24" i="7"/>
  <c r="I20" i="7"/>
  <c r="I18" i="7"/>
  <c r="I24" i="7"/>
  <c r="E21" i="7"/>
  <c r="C21" i="7"/>
  <c r="H12" i="7"/>
  <c r="C24" i="7"/>
  <c r="E23" i="7"/>
  <c r="F23" i="7"/>
  <c r="H11" i="7"/>
  <c r="F18" i="7"/>
  <c r="I12" i="7"/>
  <c r="F9" i="7"/>
  <c r="F22" i="7"/>
  <c r="I7" i="7"/>
  <c r="D10" i="7"/>
  <c r="G7" i="7"/>
  <c r="C9" i="7"/>
  <c r="D18" i="7"/>
  <c r="C18" i="7"/>
  <c r="I10" i="7"/>
  <c r="E19" i="7"/>
  <c r="E10" i="7"/>
  <c r="G11" i="7"/>
  <c r="I23" i="7"/>
  <c r="D12" i="7"/>
  <c r="H8" i="7"/>
  <c r="D11" i="7"/>
  <c r="D23" i="7"/>
  <c r="G13" i="7"/>
  <c r="D8" i="7"/>
  <c r="G10" i="7"/>
  <c r="D22" i="7"/>
  <c r="I11" i="7"/>
  <c r="H23" i="7"/>
  <c r="I8" i="7"/>
  <c r="F20" i="7"/>
  <c r="E20" i="7"/>
  <c r="H24" i="7"/>
  <c r="D20" i="7"/>
  <c r="E12" i="7"/>
  <c r="C10" i="7"/>
  <c r="I19" i="7"/>
  <c r="E18" i="7"/>
  <c r="I13" i="7"/>
  <c r="E7" i="7"/>
  <c r="G24" i="7"/>
  <c r="G9" i="7"/>
  <c r="G19" i="7"/>
  <c r="D7" i="7"/>
  <c r="C7" i="7"/>
  <c r="D19" i="7"/>
  <c r="D24" i="7"/>
  <c r="H19" i="7"/>
  <c r="G21" i="7"/>
  <c r="G23" i="7"/>
  <c r="G18" i="7"/>
  <c r="F24" i="7"/>
  <c r="F19" i="7"/>
  <c r="F8" i="7"/>
  <c r="F7" i="7"/>
  <c r="G8" i="7"/>
  <c r="F13" i="7"/>
  <c r="C12" i="7"/>
  <c r="E9" i="7"/>
  <c r="H13" i="7"/>
  <c r="I21" i="7"/>
  <c r="C11" i="7"/>
  <c r="C22" i="7"/>
  <c r="C23" i="7"/>
  <c r="F21" i="7"/>
  <c r="I9" i="7"/>
  <c r="H10" i="7"/>
  <c r="E13" i="7"/>
  <c r="C13" i="7"/>
  <c r="C8" i="7"/>
  <c r="E8" i="7"/>
  <c r="G12" i="7"/>
  <c r="D9" i="7"/>
  <c r="H9" i="7"/>
  <c r="H21" i="7"/>
  <c r="F10" i="7"/>
  <c r="I22" i="7"/>
  <c r="G20" i="7"/>
  <c r="E11" i="7"/>
  <c r="D13" i="7"/>
  <c r="E22" i="7"/>
  <c r="D21" i="7"/>
  <c r="C19" i="7"/>
  <c r="G22" i="7"/>
  <c r="H20" i="7"/>
  <c r="F12" i="7"/>
  <c r="F11" i="7"/>
  <c r="H18" i="7"/>
  <c r="H22" i="7"/>
  <c r="H7" i="7"/>
  <c r="C20" i="7"/>
  <c r="C50" i="3"/>
  <c r="C58" i="3" l="1"/>
  <c r="C62" i="3" s="1"/>
  <c r="C53" i="3"/>
  <c r="C63" i="3" l="1"/>
  <c r="C64" i="3" s="1"/>
  <c r="C17" i="1" s="1"/>
  <c r="D17" i="1" s="1"/>
  <c r="C17" i="4"/>
  <c r="C54" i="3"/>
  <c r="C55" i="3" s="1"/>
  <c r="C16" i="1"/>
  <c r="C21" i="1" l="1"/>
  <c r="C10" i="1"/>
  <c r="D16" i="1"/>
  <c r="C19" i="4"/>
  <c r="C20" i="4" s="1"/>
  <c r="B89" i="4" s="1"/>
  <c r="C12" i="1" l="1"/>
  <c r="C11" i="1" s="1"/>
  <c r="B26" i="1" l="1"/>
</calcChain>
</file>

<file path=xl/sharedStrings.xml><?xml version="1.0" encoding="utf-8"?>
<sst xmlns="http://schemas.openxmlformats.org/spreadsheetml/2006/main" count="645" uniqueCount="491">
  <si>
    <t>DISCLAIMER: This is a sample analysis for demonstration purposes only. It does not constitute investment advice.</t>
  </si>
  <si>
    <t>Besterra (1433.T)</t>
  </si>
  <si>
    <t>Equity Research Report</t>
  </si>
  <si>
    <t>Company</t>
  </si>
  <si>
    <t>Besterra</t>
  </si>
  <si>
    <t>Ticker</t>
  </si>
  <si>
    <t>1433.T (TSE Prime)</t>
  </si>
  <si>
    <t>Sector</t>
  </si>
  <si>
    <t>Construction / Plant Dismantling</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</si>
  <si>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</si>
  <si>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</si>
  <si>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</si>
  <si>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</si>
  <si>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</si>
  <si>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</si>
  <si>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</si>
  <si>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</si>
  <si>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</si>
  <si>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</si>
  <si>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</si>
  <si>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</si>
  <si>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</si>
  <si>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</si>
  <si>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</si>
  <si>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</si>
  <si>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Safety incidents are a live operational risk rather than a theoretical one: a prior fiscal year carried accident compensation losses, and a fatal-accident investigation has been reported in the press. A recurrence can suspend sites and trigger customer suspension, which is what the Downside 2 case models.</t>
  </si>
  <si>
    <t>Revenue is concentrated in a small number of large dismantling projects and a leading customer in the steel engineering chain, so a gap between projects can swing operating margin by several points within a single year.</t>
  </si>
  <si>
    <t>Besterra - Historical Financials (JPY mn)</t>
  </si>
  <si>
    <t>FY2022/1</t>
  </si>
  <si>
    <t>FY2023/1</t>
  </si>
  <si>
    <t>FY2024/1</t>
  </si>
  <si>
    <t>FY2025/1</t>
  </si>
  <si>
    <t>FY2026/1</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</si>
  <si>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</si>
  <si>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</si>
  <si>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</si>
  <si>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</si>
  <si>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</si>
  <si>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</si>
  <si>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</si>
  <si>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</si>
  <si>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</si>
  <si>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</si>
  <si>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</si>
  <si>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</si>
  <si>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</si>
  <si>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</si>
  <si>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</si>
  <si>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</si>
  <si>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</si>
  <si>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</si>
  <si>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</si>
  <si>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</si>
  <si>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</si>
  <si>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</si>
  <si>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</si>
  <si>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5/5, Cash 5/5, Debt 5/5 — blank cells are years with no year-key match in the source data (verify against 決算短信 or set hist_ocf / hist_cash / hist_debt in overrides).</t>
  </si>
  <si>
    <t>DCF Valuation Model - Besterra</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</si>
  <si>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</si>
  <si>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</si>
  <si>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</si>
  <si>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</si>
  <si>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</si>
  <si>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</si>
  <si>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</si>
  <si>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</si>
  <si>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</si>
  <si>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</si>
  <si>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</si>
  <si>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</si>
  <si>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</si>
  <si>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</si>
  <si>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</si>
  <si>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</si>
  <si>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</si>
  <si>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</si>
  <si>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</si>
  <si>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</si>
  <si>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</si>
  <si>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</si>
  <si>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</si>
  <si>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</si>
  <si>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</si>
  <si>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</si>
  <si>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</si>
  <si>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</si>
  <si>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</si>
  <si>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</si>
  <si>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</si>
  <si>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</si>
  <si>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</si>
  <si>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</si>
  <si>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</si>
  <si>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</si>
  <si>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</si>
  <si>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</si>
  <si>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</si>
  <si>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</si>
  <si>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</si>
  <si>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</si>
  <si>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</si>
  <si>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</si>
  <si>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</si>
  <si>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</si>
  <si>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</si>
  <si>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</si>
  <si>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</si>
  <si>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</si>
  <si>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</si>
  <si>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</si>
  <si>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</si>
  <si>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</si>
  <si>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</si>
  <si>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</si>
  <si>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</si>
  <si>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</si>
  <si>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</si>
  <si>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</si>
  <si>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</si>
  <si>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</si>
  <si>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</si>
  <si>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Besterra (1433.T)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</si>
  <si>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</si>
  <si>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</si>
  <si>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</si>
  <si>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</si>
  <si>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</si>
  <si>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</si>
  <si>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</si>
  <si>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</si>
  <si>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(LTM (2025/05-2026/04) actual)</t>
  </si>
  <si>
    <t>Cycle-peak Operating Profit (FY2027/1 会社予想 actual)</t>
  </si>
  <si>
    <t>Terminal-year Revenue, active scenario (JPY mn)</t>
  </si>
  <si>
    <t>Base-case DCF Enterprise Value, PGM (JPY mn)</t>
  </si>
  <si>
    <t>Cycle-peak Operating Margin (FY2027/1 会社予想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</si>
  <si>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</si>
  <si>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</si>
  <si>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</si>
  <si>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</si>
  <si>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</si>
  <si>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</si>
  <si>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FY2027/1 会社予想 peak</t>
  </si>
  <si>
    <t>... as a multiple of LTM (2025/05-2026/04)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</si>
  <si>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</si>
  <si>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</si>
  <si>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</si>
  <si>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</si>
  <si>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</si>
  <si>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</si>
  <si>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</si>
  <si>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</si>
  <si>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</si>
  <si>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</si>
  <si>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</si>
  <si>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</si>
  <si>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</si>
  <si>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</si>
  <si>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FY2027/1 会社予想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</si>
  <si>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</si>
  <si>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</si>
  <si>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</si>
  <si>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</si>
  <si>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</si>
  <si>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</si>
  <si>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(FY2027/1 会社予想)</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</si>
  <si>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</si>
  <si>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</si>
  <si>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</si>
  <si>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</si>
  <si>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</si>
  <si>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</si>
  <si>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</si>
  <si>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E: Transaction benchmark (control price paid for the direct peer)</t>
  </si>
  <si>
    <t>Peer row EV / EBITDA at the announced deal terms</t>
  </si>
  <si>
    <t>Peer row EV / Revenue at the announced deal terms</t>
  </si>
  <si>
    <t>Subject share price implied by that EV / EBITDA</t>
  </si>
  <si>
    <t>Subject share price implied by that EV / Revenue</t>
  </si>
  <si>
    <t>注1: 上の2行は M&amp;A の支配プレミアム付き取引条件ではなく、レイズネクスト(6379)の 2026-09-02 終値ベースの実勢売買倍率である。プラント現場工事の上場最大手として、当社が『成熟後にどの倍率で評価されるか』の代替アンカーに用いた。シート表題の 'deal terms' は汎用テンプレの文言。</t>
  </si>
  <si>
    <t>注2: 上場ピア5社の実勢PER(2026-09-02終値 / 直近本決算純利益)は 1966高田工業所 10.1x / 1716第一カッター 11.6x / 1968太平電業 13.1x / 6379レイズネクスト 15.3x / 1945東京エネシス 15.9x、中央値 13.1x。プロンプト記載の『概ね10〜12倍』より上のレンジに実勢がある。</t>
  </si>
  <si>
    <t>注3: ビーエイブル(604A、廃炉・原子力プラント工事、2026-07-29上場)のIPO時想定PER・公開価格は本実行環境から一次ソースで確認できなかったため【取得不可】とし、推測値は置いていない。同社の 2026-09-02 実勢は 時価総額11,225 / FY2025/7実績純利益475.6 = PER 23.6x、EV 12,430 / EBITDA 914 = 13.6x。上場から1か月・7月期決算で比較期間がずれるため comps 統計には入れていない。</t>
  </si>
  <si>
    <t>Block F: The one-line answer</t>
  </si>
  <si>
    <t>NWC Schedule - Besterra</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</si>
  <si>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</si>
  <si>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</si>
  <si>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</si>
  <si>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</si>
  <si>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</si>
  <si>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</si>
  <si>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</si>
  <si>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</si>
  <si>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</si>
  <si>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</si>
  <si>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</si>
  <si>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</si>
  <si>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</si>
  <si>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</si>
  <si>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</si>
  <si>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</si>
  <si>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</si>
  <si>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</si>
  <si>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</si>
  <si>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2026-09-03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</si>
  <si>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</si>
  <si>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</si>
  <si>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</si>
  <si>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</si>
  <si>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</si>
  <si>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</si>
  <si>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</si>
  <si>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</si>
  <si>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</si>
  <si>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</si>
  <si>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</si>
  <si>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</si>
  <si>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</si>
  <si>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</si>
  <si>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Besterra (1433) [subject]</t>
  </si>
  <si>
    <t>1433.T</t>
  </si>
  <si>
    <t>RAIZNEXT (6379) FY2026/3</t>
  </si>
  <si>
    <t>6379.T</t>
  </si>
  <si>
    <t>Taihei Dengyo (1968) FY2026/3</t>
  </si>
  <si>
    <t>1968.T</t>
  </si>
  <si>
    <t>Tokyo Energy &amp; Systems (1945) FY2026/3</t>
  </si>
  <si>
    <t>1945.T</t>
  </si>
  <si>
    <t>Takada Corporation (1966) FY2026/3</t>
  </si>
  <si>
    <t>1966.T</t>
  </si>
  <si>
    <t>Dai-ichi Cutter Kogyo (1716) FY2025/6</t>
  </si>
  <si>
    <t>1716.T</t>
  </si>
  <si>
    <t>Statistics</t>
  </si>
  <si>
    <t>25th Percentile</t>
  </si>
  <si>
    <t>Median (50th)</t>
  </si>
  <si>
    <t>75th Percentile</t>
  </si>
  <si>
    <t>Implied Valuation for Besterra</t>
  </si>
  <si>
    <t>Besterra Financials</t>
  </si>
  <si>
    <t>EBITDA (JPY mn)</t>
  </si>
  <si>
    <t>Net Income (JPY mn)</t>
  </si>
  <si>
    <t>Shares Outstanding</t>
  </si>
  <si>
    <t>Implied Share Price (Median Multiples)</t>
  </si>
  <si>
    <t>Via EV/EBITDA (Median)</t>
  </si>
  <si>
    <t>Via PER (Median)</t>
  </si>
  <si>
    <t>Net Income normalized (FY2026/1、特別損益の税後影響を控除) [参考・Target不算入]</t>
  </si>
  <si>
    <t>567 = 報告純利益 732.617 − (特別利益 252.044 − 特別損失 13.221) × (1 − 0.306)。FY2026/1 の特別利益252.0の内訳は 投資有価証券売却益 140.0 + 関係会社株式売却益 111.8 + 固定資産売却益 0.2 + その他 0.1 で、いずれも本業の稼得力ではない。ヘッドラインPERは分母が膨らんだぶん実力より低く出る(現値1,269円で 報告ベース 15.3x に対し正常化ベース 19.8x)。■もう一段厳しい正常化: 経常利益 763.546 に法定税率30.6%を掛けると 530.1(PER 21.2x)。報告純利益の実効税率が26.9%と法定より低い分も落とす分だけ保守的で、こちらの方が理論的には整合する。プロンプト指定の567を採用し、530は本ログに併記した。■同種の売却益は FY2025/1 にも 167.2 あり、投資有価証券残高は 3,403 → 2,236 → 1,919 と取り崩しが続いている。残高1,919百万に対し年140百万ペースなら、この『益』はあと十数年で尽きる性格のものである。</t>
  </si>
  <si>
    <t>Via PER (Median, normalized NI) [参考・Target不算入]</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</si>
  <si>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</si>
  <si>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</si>
  <si>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</si>
  <si>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</si>
  <si>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</si>
  <si>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</si>
  <si>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</si>
  <si>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</si>
  <si>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</si>
  <si>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Besterra</t>
  </si>
  <si>
    <t>日付</t>
  </si>
  <si>
    <t>セル</t>
  </si>
  <si>
    <t>変更内容</t>
  </si>
  <si>
    <t>理由</t>
  </si>
  <si>
    <t>元の値</t>
  </si>
  <si>
    <t>状態</t>
  </si>
  <si>
    <t>2026-09-03</t>
  </si>
  <si>
    <t>-</t>
  </si>
  <si>
    <t>Generated by pipeline on 2026-09-03 10:32, template rev c9b5dd9</t>
  </si>
  <si>
    <t>初期生成（手修正なし）</t>
  </si>
  <si>
    <t>generated</t>
  </si>
  <si>
    <t>2026-09-02</t>
  </si>
  <si>
    <t>全シート(単位)</t>
  </si>
  <si>
    <t>原典の決算短信・有価証券報告書は【千円】表記。本モデルは全て【百万円】</t>
  </si>
  <si>
    <t>桁事故の温床のため冒頭に明示する。EDINET有報のXBRLは円単位で取得し、パイプラインが百万円に換算している。相互検算: FY2026/1 売上 11,140,386,000円 = 11,140.386百万 = プロンプト転記値11,140 と一致。営業利益 741,091,000円 = 741.1 = 741 と一致。純利益 732,617,000円 = 732.6 = 733 と一致。以下このログの数値は全て百万円。</t>
  </si>
  <si>
    <t>確定</t>
  </si>
  <si>
    <t>Executive Summary!C9 / DCF Model 現在株価</t>
  </si>
  <si>
    <t>Current Price = 1,269円(プロンプト指定 1,433円 から変更)</t>
  </si>
  <si>
    <t>【プロンプトからの変更・ユーザー確認済み】1,269円は 2026-09-02 の実測終値(yfinance 1433.T)。プロンプトが根拠として併記した参照点2つは実測と完全一致した(8/12終値 1,148円 ✓、8/28終値 1,300円 ✓)が、1,433円は 2026/07/27-09/02 の実測レンジ(安値1,097 / 高値1,336、いずれも日中値込み)の外側で一度も成立していない。銘柄コード1433と同一の数字であることから転記事故と判断し、ユーザーに提示して 1,269円 の採用を確認した。■結論への影響は大きい: 時価総額 13,323 → 11,244百万、EV 11,244 → 10,190百万。Target に対する騰落率が約13ポイント変わる。</t>
  </si>
  <si>
    <t>プロンプト指定 1,433円</t>
  </si>
  <si>
    <t>確定(プロンプトからの変更・ユーザー確認済み)</t>
  </si>
  <si>
    <t>DCF Model!C15 / Comps Analysis 株数</t>
  </si>
  <si>
    <t>Fully Diluted Shares = 8,860,910株(プロンプト暫定指定 9,297,200株 から変更)</t>
  </si>
  <si>
    <t>【プロンプト §2-1 が指示した自己株控除の検算を実施した結果】検算3本が一致する: (1) EDINET FY2026/1有報(docID S100XZ7G)— 発行済株式総数 9,297,200株(NumberOfIssuedSharesAsOfFiscalYearEnd / AsOfFilingDate とも同数、提出日2026-04-16)、自己株式数 436,290株(TotalNumberOfSharesHeldTreasurySharesEtc、2026-01-31時点、うち完全議決権436,200 + 単元未満90)→ 9,297,200 − 436,290 = 8,860,910株。(2) 同報告書の1株当たり純資産 609.14円 × 8,860,910 = 5,397.5百万 = 開示純資産 5,397,535千円と一致し、BPSの分母が自己株控除後であることを確認。(3) yfinance sharesOutstanding = 8,860,910 で完全一致。よってプロンプトの9,297,200は自己株控除【前】の数字。■基準日: プロンプトは2026-04-30(Q1末)を優先指定したが、四半期報告書制度の廃止により1月期の当社はQ1のXBRLをEDINETに提出しておらず、TDnet短信PDFも本実行環境から取得できなかったため 2026-01-31 基準(プロンプトが代替として認めた基準日)を採用した。</t>
  </si>
  <si>
    <t>プロンプト暫定値 9,297,200株</t>
  </si>
  <si>
    <t>確定(プロンプトからの変更)</t>
  </si>
  <si>
    <t>DCF Model!C15(株数の基準日)</t>
  </si>
  <si>
    <t>2026/2-4 期中の自己株式異動が未確認。控除後株数はさらに減る可能性がある</t>
  </si>
  <si>
    <t>純資産は 2026/1末 5,397.5 → 2026/4末 5,360 と37.5百万減っているが、同四半期に純利益260百万を計上している。差引 約298百万が配当・自己株取得・その他包括利益の変動で流出した計算になる。年間配当40円(期末25円 × 8.86百万株 ≒ 222百万)で大半は説明できるが、追加の自己株取得があれば株数は 8,860,910 を下回り、1株あたり価値はその分上振れる。9月中間決算または次回有報での確認事項。</t>
  </si>
  <si>
    <t>要確認</t>
  </si>
  <si>
    <t>DCF Model!C15(希薄化)</t>
  </si>
  <si>
    <t>未行使の新株予約権による希薄化要因はゼロ</t>
  </si>
  <si>
    <t>SubscriptionRightsToShares は FY2025/1末 7,548千円 → FY2026/1末は空欄(ゼロ)。第10回新株予約権は期中に全て行使され、株主資本等変動計算書の『新株予約権の行使』519,355千円(資本金+263,451 / 資本剰余金+263,451 / 新株予約権△7,548)として資本に振り替わっている。基本EPS 81.35 に対し潜在株式調整後EPS 81.22 の差は期中行使分によるもので、期末時点の潜在株式は存在しない。</t>
  </si>
  <si>
    <t>DCF Model!C16</t>
  </si>
  <si>
    <t>Net Debt = △1,054(ネットキャッシュ)。有利子負債857 − 現金及び預金1,912(2026/4/30)</t>
  </si>
  <si>
    <t>内訳: 短期借入金700 + 1年内返済予定長期借入金53 + 長期借入金105 = 857(短信転記値。個別項目の合計は858で、原表の千円単位の丸め差)。■【設計判断】投資有価証券 1,919百万は net_debt に含めない。含めない理由は (a) 内訳(上場株/非上場株/匿名組合出資の別、売却制約の有無)が未確認、(b) 保守側(EV高め=Target低め)に倒すため。■非事業資産としての性格は強い: 毎期売却して特別利益化しており(FY2025/1 売却益167.2 / FY2026/1 140.0 / Q1 41)、売却収入も FY2025/1 1,414.1・FY2026/1 1,414.1 と2期連続、残高は 3,403(2025/1末)→ 2,236(2026/1末)→ 1,919(2026/4末)と一貫して取り崩されている。DCFのFCFは営業利益ベースで、これらが生む受取配当金・匿名組合損益分配額は営業外のためFCFに含まれておらず、控除しても二重計上にはならない。</t>
  </si>
  <si>
    <t>テンプレ自動値(EDINET FY2026/1ベース)△863.7</t>
  </si>
  <si>
    <t>設計判断</t>
  </si>
  <si>
    <t>DCF Model!C16(感応度)</t>
  </si>
  <si>
    <t>投資有価証券1,919を100%控除すると net_debt = △2,973、1株あたり +217円</t>
  </si>
  <si>
    <t>【要確認】有価証券報告書の『その他有価証券』明細で、上場株か非上場株か、政策保有(取引先との関係維持目的)で売却制約があるか、匿名組合出資が含まれるかを検証する必要がある。FY2026/1有報の特定投資株式の記載は2銘柄のみ(915,000株 / 120,000株、いずれも『取引先との協力関係の維持強化のため』)で、うち1銘柄は前期1,751,600株から915,000株へ減らしている。残高1,919百万の全額が即時換金可能とは限らない。控除した場合の株価インパクト +217円は現値1,269円の約17%に相当し、判断を左右しうる大きさである。</t>
  </si>
  <si>
    <t>DCF Model!C12 (D/E Ratio)</t>
  </si>
  <si>
    <t>de_ratio = 0.0762(プロンプト指定 0.060 から変更)</t>
  </si>
  <si>
    <t>【スキーマ semantics の訂正】テンプレの de_ratio は D/(D+E) ではなく D/E である(dcf_comps_template.py calc_wacc: we = 1/(1+de_ratio)、wd = de_ratio/(1+de_ratio))。プロンプトは『D/(D+E) = 857/(857+13,323) = 6.05%』として0.060を指定していたが、そのまま入れると負債ウェイトは 0.060/1.060 = 5.66% となり意図とずれる。株価・株数訂正後のグロス有利子負債基準 D/E = 857 / 11,244 = 0.0762 を採用し、負債ウェイト wd = 7.08%(= プロンプトが意図した D/(D+E) 定義)を実現した。■ネット基準ならネットキャッシュのため de_ratio = 0 で WACC は 12.00%(+0.81pt、Target 約 -8%)。EV→株式価値ブリッジがネット控除である点との整合ではネット基準に理があるが、プロンプトの明示的意図がグロス基準であることを優先した。</t>
  </si>
  <si>
    <t>プロンプト指定 0.060</t>
  </si>
  <si>
    <t>設計判断(プロンプトからの変更)</t>
  </si>
  <si>
    <t>DCF Model!C7 (Risk-Free Rate)</t>
  </si>
  <si>
    <t>Risk-Free = 3.0%</t>
  </si>
  <si>
    <t>プロンプト指定の新発10年国債利回り 2.99%(2026-09-01時点)を丸めた値。本実行では財務省『国債金利情報』jgbcm.csv を再取得できなかったため、プロンプト提供値をそのまま採用した。yfinance では日本国債利回りは取得できない。</t>
  </si>
  <si>
    <t>テンプレ既定 2.2%</t>
  </si>
  <si>
    <t>要確認(プロンプト提供値・一次ソース未再取得)</t>
  </si>
  <si>
    <t>DCF Model!C8 (Beta)</t>
  </si>
  <si>
    <t>Beta = 1.0</t>
  </si>
  <si>
    <t>プロンプトのルール『yfinanceの5年月次βを取得。取得失敗、または0.6未満/1.8超なら1.0を使用』をそのまま適用した結果。実測: 1433.T vs 1306.T(TOPIX連動ETF)の5年月次 β = -0.010(n=59、相関 -0.158)、3年月次 β = -0.012(相関 -0.240)、2年週次 β = 0.524(相関 0.299)、5年週次 β = 0.562(相関 0.301)。vs 日経225では 5年月次 β = 0.437。いずれも 0.6 未満のためルール適用。■統計的信頼度は低い: 相関が全期間で0.30以下で、浮動株が薄い超小型株(日商 数万株)であることに加え、プラント解体需要は顧客の設備更新サイクルに依存し株式市場の景気循環との連動が弱い。実測βをそのまま使えば WACC は 6.5% 前後まで下がり Target が非現実的に膨らむため、1.0(=市場並み)への切り上げは保守的かつ妥当。yfinance info.beta は 1.342 だが算出基準が非開示のため採用しない。</t>
  </si>
  <si>
    <t>yfinance 実測 5年月次 -0.010</t>
  </si>
  <si>
    <t>設計判断(ルール適用)</t>
  </si>
  <si>
    <t>DCF Model!C10 (Size Premium)</t>
  </si>
  <si>
    <t>Size Premium = 3.5%</t>
  </si>
  <si>
    <t>時価総額112億円のマイクロキャップ。テンプレの自動判定は『1,000億円未満 → 3.0%』だが、同規模帯の 3441山王(117億円)で4.0%、2962(142億円)で4.0%を採用してきた実績に照らすと3.0%は過小。本銘柄はネットキャッシュ・自己資本比率64.8%と財務安全性が高い一方、流動性リスクは残るため中間の3.5%とした。既存銘柄からの無検討流用ではなく本銘柄の時価総額と流動性で判断(手順書v2 §8-4)。±0.5ptの振れでWACCは約±0.46pt動く。</t>
  </si>
  <si>
    <t>テンプレ自動値 3.0%</t>
  </si>
  <si>
    <t>DCF Model!C11 (After-tax Cost of Debt)</t>
  </si>
  <si>
    <t>実績Kd(税引前)0.7335% → C11 = 0.51%。プロンプトの『採用値マージナル2.0%』とは異なる</t>
  </si>
  <si>
    <t>【プロンプト内の矛盾を実装優先で解決】プロンプト §3-4 は『実績負債コストのモジュールを使う(interest_expense / debt_beginning / debt_ending を渡す)』と『採用値は保守的にマージナル2.0%』を同時に指定しているが、テンプレの実装(dcf_comps_template.py L1840-1878)は interest_expense を与えた時点で C11 を実績値に上書きする仕様であり、両立しない。プロンプト §0『スキーマ/実装が正本、食い違えばそちらを優先し報告する』に従い実績値を採用した。■算出: 支払利息 15.853(有報XBRL InterestExpensesNOE = 15,853千円) ÷ 平均有利子負債 2,161.402(期首 3,752.104 = 2025/1/31 の短期借入3,000.000 + 1年内返済長期79.260 + 1年内償還社債50.000 + 長期借入622.844、期末 570.700 = 2026/1/31 の 1年内返済長期452.644 + 長期借入118.056)= 0.7335% 税引前 → × (1-0.306) = 0.5090% → 4桁丸めで 0.0051。プロンプト期待値 0.73% と一致。■loan_fees は渡していない: FY2026/1 の支払手数料 49,803千円は内訳が資金調達手数料と特定できず(短期借入3,000百万の一括返済と自己株取得412百万が同時期)、加算すると実績Kdは 3.038% と過大になる恐れがあるため。■WACCへの影響は軽微: 負債ウェイト7.08%のため、Kd税引前を 0.73%〜3.04% で動かしてもWACCは 11.19%〜11.35% の 0.16pt レンジに収まる。マージナル2.0%を採った場合は 11.25%。実績Kdは既存借入の平均コストであり新規調達の限界コストではない。</t>
  </si>
  <si>
    <t>テンプレ既定 / プロンプト指定マージナル 2.0%(税引後1.39%)</t>
  </si>
  <si>
    <t>設計判断(プロンプト内矛盾の解決)</t>
  </si>
  <si>
    <t>DCF Model!C6 (Tax Rate)</t>
  </si>
  <si>
    <t>Tax Rate = 30.6%(法定実効税率)</t>
  </si>
  <si>
    <t>実績実効税率は FY2026/1 26.91%(法人税等269.752 / 税前1,002.369)、FY2025/1 38.23%(253.587 / 663.393)、Q1 FY2027/1 約36.8% と大きくばらつく。特別損益の発生と均等割の影響によるもので持続性がないため法定を採用した。26.9%を適用すると NOPAT 係数が 0.694 → 0.731 に広がり事業価値はおおむね +5% 動く。</t>
  </si>
  <si>
    <t>テンプレ既定 30.0%</t>
  </si>
  <si>
    <t>DCF Model!C13 / C14 (Terminal Growth / Exit Multiple)</t>
  </si>
  <si>
    <t>g = 1.0%、Exit = 6.0x(EV/EBITDA)</t>
  </si>
  <si>
    <t>g 1.0%: プラント解体需要は高度成長期設備の更新と脱炭素に伴う休止設備の除却で構造的に増えるが、成長律速は解体技能者の供給(労務制約)であり数量成長に天井がある。名目GDP並みは置けないと判断。■Exit 6.0x はプロンプト指定値をそのまま採用したが、プロンプト記載の『プラント工事・メンテ系ピアのレンジ4〜7倍』は実測と合わない。2026-09-02 終値ベースの実測ピア5社は 1716第一カッター 2.39x / 1966高田工業所 7.64x / 1968太平電業 8.40x / 6379レイズネクスト 9.42x / 1945東京エネシス 11.28x、中央値 8.40x、レンジ 2.4〜11.3x。6.0x は中央値を28%下回る保守側の設定である。当社の現値換算は EV 10,190 / FY2026/1 EBITDA 816 = 12.5x でピア最上位を超えており、これは利益率が階段を上っている途中であることの表現。ターミナル年は成熟後の姿として評価すべきという考えから 6.0x を維持した。</t>
  </si>
  <si>
    <t>テンプレ既定 g 2.0% / Exit 10.0x</t>
  </si>
  <si>
    <t>DCF Model!C5 / C18 (Capex % / D&amp;A %)</t>
  </si>
  <si>
    <t>capex 0.45% of revenue / D&amp;A 0.42% of revenue。ターミナル年比率 1.07</t>
  </si>
  <si>
    <t>【設計判断】実績はこれより1桁小さい。有形固定資産の取得(CF)は FY2022/1 37.9 → FY2023/1 13.7 → FY2024/1 14.8 → FY2025/1 30.8 → FY2026/1 4.9(売上比 0.64% / 0.25% / 0.16% / 0.28% / 0.04%)、減価償却費(CF)は 22.4 / 50.6 / 24.0 / 35.4 / 29.4(同 0.37% / 0.93% / 0.26% / 0.32% / 0.26%)。解体は重機をリース・外注で調達し工法特許とマネジメントで稼ぐ極端なアセットライト・モデルで、設備投資はFCFのドライバーではない。■実績水準をそのまま延伸するとターミナル年で capex が D&amp;A を恒常的に下回り、PGMが永久に資産を食い潰す前提になる(8267のPGMマイナス事故と同型)。売上が11,140 → 16,700規模へ拡大する過程での重機内製化・DX投資の再開を織り込んだ保守的水準として0.45%を採用。Y5売上16,721に対し capex 75.2 / D&amp;A 70.2 という絶対額で、売上規模比では依然として極小。ターミナル年比率 0.0045/0.0042 = 1.07 は手順書v2 §3-2-8 の許容範囲 [0.90, 1.15] 内。</t>
  </si>
  <si>
    <t>EDINET自動算出(実績平均、テンプレのクランプ下限0.5%に張り付く)</t>
  </si>
  <si>
    <t>DCF Model!C18 / Comps Analysis(EBITDA定義)</t>
  </si>
  <si>
    <t>EBITDA = 営業利益 + 減価償却費 + のれん償却 で全社統一。当社 FY2026/1 は 816.0</t>
  </si>
  <si>
    <t>【設計判断・全社統一の明示】当社: 741.1(営業利益) + 29.4(減価償却費・CF) + 45.5(のれん償却) = 816.0。ピア5社は yfinance の Depreciation And Amortization(無形資産償却込み)を営業利益に加算しており、定義が一致する。■のれん償却を除いた EBITDA は 770.5 で、EV/EBITDA は 12.5x → 13.2x に上がる。のれん残高は 70.7(2026/1末)→ 59(2026/4末)であと1〜2年で償却完了するため、ターミナル年のEBITDAには含まれない。この非対称(足元のCompsには含め、ターミナルには含めない)は意図的であり、da_pct 0.42% にものれん償却は含めていない。</t>
  </si>
  <si>
    <t>テンプレ自動値 core_ebitda = 741.1 + 29.4 = 770.5(のれん償却を含まない)</t>
  </si>
  <si>
    <t>NWC Schedule(基準日数)</t>
  </si>
  <si>
    <t>DSO 130.3日 / DIH 3.4日 / DPO 50.8日 → CCC 82.9日(FY2026/1実績から算出)</t>
  </si>
  <si>
    <t>本銘柄はFCFが運転資本に支配される。基準値は FY2026/1(2026-01-31)の有報BS実額: AR = 受取手形・完成工事未収入金等及び契約資産 3,384.245 + 電子記録債権 592.292 = 3,976.537 / INV = 未成工事支出金 82.505 / AP = 工事未払金等 1,239.187。■前期(FY2025/1)は DSO 172.1日 / DIH 2.3日 / DPO 48.1日 → CCC 126.3日。DSOの42日短縮が営業CFを △607.5 → +1,644.3 と2,252百万反転させた最大要因(売上債権の増減によるCF寄与は △489.2 → +1,121.0)。■直近検算: Q1末(2026/4/30)の売上債権 3,600 + 542 = 4,142 ÷ LTM売上 11,882 × 365 = 127.2日で、130日という基準は直近でも維持されている(むしろ僅かに改善)。</t>
  </si>
  <si>
    <t>EDINET自動算出(accounts_receivable 617.6 のみを拾い DSO 20日相当)</t>
  </si>
  <si>
    <t>DCF Model!C19 / C21 (Stub Fraction)</t>
  </si>
  <si>
    <t>stub_fraction = 0.42(経過7ヶ月)。テンプレ自動値 1.0 から変更</t>
  </si>
  <si>
    <t>【設計判断・プロンプト未指定】分析日 2026-09-02 は FY2027/1期(2026/02/01-2027/01/31)の8ヶ月目で、期末 2027-01-31 まで151日 = 0.414年。テンプレの割引指数は (C19 + yr)、yr は0始まりなので Y1 が0.42年、Y5 が4.42年で割り引かれる。■テンプレ自動値が 1.0 になるのは、四半期データが無く stub を推定できないため。1.0 のままでは実質『2026-01-31時点の価値』を出すことになり7ヶ月古い。■0.42 を採ると 1.0 の場合より Target は約 +6% 高くなる。一方 FY2027/1 のFCFのうち既に経過した7ヶ月ぶんも将来キャッシュとして割り引く点では甘さが残る(net_debt は 2026/4/30 基準なのでQ1ぶんはBSに反映済み)。3441(山王)で確立した本パイプラインの慣行(stub = 予測Y1期末までの残存年数)に合わせた。</t>
  </si>
  <si>
    <t>テンプレ自動値 1.00</t>
  </si>
  <si>
    <t>DCF Model!C20 (LTM Revenue)</t>
  </si>
  <si>
    <t>ltm_revenue = 11,882(override)。プロンプトは『指定しない』としていた</t>
  </si>
  <si>
    <t>【プロンプトからの変更・理由明記】LTM = 直近本決算FY実績 11,140.4 − 前年同期累計Q 2,532 + 当期累計Q 3,274 = 11,882.4(2025/05-2026/04)。プロンプト §2-4 の期待値と一致する。■自動構築が働かない理由: 四半期報告書制度の廃止により、1月期の当社がEDINETに提出する期中開示は半期報告書(7月末基準)のみで、Q1(4月末)のXBRLが存在しない。パイプラインのLTM自動構築は『最新FY実績 11,140.4』にフォールバックし、3成分ログも出ない。放置すると C20 が実勢より6.2%低い値で固定され、プロンプト §2-4 の『1%超乖離なら停止して報告』条件に抵触する。スコープ調整ではなく自動経路が構築できなかった値の補完としてoverrideした。自動値との乖離 +6.7% は警告閾値20%の内側。■LTM営業利益 = 741.1 − 134 + 353 = 960.1(営業利益率 8.1%)。会社の通期予想 営業利益1,000百万を Q1終了時点でほぼ達成している水準であり、逆算DCFの起点(reverse_dcf.op0)に置いた。</t>
  </si>
  <si>
    <t>テンプレ自動値 11,140.4(最新FY実績へのフォールバック)</t>
  </si>
  <si>
    <t>Financial Statements(hist 5期)</t>
  </si>
  <si>
    <t>FY2022/1〜FY2026/1 の5期を EDINET有報5本から明示供給</t>
  </si>
  <si>
    <t>docID: FY2022/1 = S100NYS4(2022-04-28提出)/ FY2023/1 = S100QO52(2023-04-28)/ FY2024/1 = S100TC0E(2024-04-26)/ FY2025/1 = S100VOAE(2025-04-25)/ FY2026/1 = S100XZ7G(2026-04-16)。■パイプラインの標準経路は FY2026/1 の1本しか発見できない: get_document_ids の adaptive_search が最新提出日(4/16)の ±5日でしか過去年を探さないのに対し、当社の提出日は 4/16 → 4/25 → 4/26 → 4/28 → 4/28 と年により最大12日ずれるため。4/1-5/20 を総当たりして4本を特定し、hist_* 系列として明示供給した。§7のフォールバック(2期構成)に落とす必要はなくなり、Financial Statements の5期表に欠損はない。</t>
  </si>
  <si>
    <t>EDINET自動取得 1期(FY2026/1のみ、他は空欄)</t>
  </si>
  <si>
    <t>Financial Statements!FY2022/1 列(販管費・営業利益)</t>
  </si>
  <si>
    <t>FY2022/1 は【遡及修正後】の 販管費868.4 / 営業利益488.8 を採用</t>
  </si>
  <si>
    <t>FY2022/1有報の原表は 販管費749.292 / 営業利益607.908 / 経常840.423 だが、翌期(FY2023/1有報)の比較列では 販管費868.449 / 営業利益488.751 / 経常721.265 に組み替えられている(差額119.157が営業外費用から販管費へ振替)。FY2026/1有報の『主要な経営指標等の推移』5年表も 経常721.265 を採用しており、遡及修正後が公式値。原表を使うと FY2022/1 のOPMが 8.19% → 10.19% と2pt過大に見え、利益率の時系列比較を歪める。</t>
  </si>
  <si>
    <t>FY2022/1有報 原表 販管費749.3 / 営業利益607.9</t>
  </si>
  <si>
    <t>Financial Statements!有利子負債行</t>
  </si>
  <si>
    <t>hist_debt はリース債務を除く有利子負債合計。FY2025/1 は社債50を含む3,752.1</t>
  </si>
  <si>
    <t>内訳: FY2022/1 = 1年内返済長期262.695 + 長期2,126.694 = 2,389.4 / FY2023/1 = 短期300.000 + 1年内256.318 + 長期1,870.376 = 2,426.7 / FY2024/1 = 短期2,100.000 + 1年内602.192 + 長期1,540.244 + 社債50.000 = 4,292.4 / FY2025/1 = 短期3,000.000 + 1年内79.260 + 1年内償還社債50.000 + 長期622.844 = 3,752.1 / FY2026/1 = 1年内452.644 + 長期118.056 = 570.7(短期借入ゼロ)。■EDINETパーサの total_debt は FY2025/1 を 3,702.1 と算出しており、1年内償還社債50.0 を拾っていない(1.33%の過小)。プロンプト転記値 3,752 が正しく、負債コスト計算の debt_beginning もこちらを使用した。リース債務(各期1.6〜5.4百万)は金額が僅少で当社の有利子負債合計の開示定義にも含まれないため除外した。</t>
  </si>
  <si>
    <t>EDINETパーサ total_debt FY2025/1 = 3,702.1</t>
  </si>
  <si>
    <t>Comps Analysis(ピア構成)</t>
  </si>
  <si>
    <t>上場ピア5社。全社の上場状態・株価鮮度を 2026-09-02 に確認済み</t>
  </si>
  <si>
    <t>6379 レイズネクスト(東証プライム、石油精製プラント補修首位)/ 1968 太平電業(プライム、発電プラント建設・保守・解体)/ 1945 東京エネシス(プライム、電力プラント工事)/ 1966 高田工業所(スタンダード、プラントエンジニアリング・メンテナンス)/ 1716 第一カッター興業(スタンダード、コンクリート切断・解体の専業、工法特許型)。5社とも 2026-09-02 の終値を取得でき(鮮度チェック 0日)、上場廃止・TOB進行中の社は無い。■財務は各社の直近本決算実績。1966/1945/1968/6379 は FY2026/3、1716 のみ FY2025/6(yfinance が FY2026/6 実績をまだ反映していないため約14ヶ月古い — 統計には残したが、この期ズレを本ログに記録する)。■EBITDA は全社 営業利益 + D&amp;A(yfinance Depreciation And Amortization)で統一し、D&amp;Aが取得できず EBITDA = 営業利益 になる社は無い。Net_Debt は全社 Total Debt − 現金及び現金同等物 + 非支配株主持分 で統一。Book_Value は Stockholders Equity(非支配株主持分を除く自己資本)。時価総額は 2026-09-02 終値 × 発行済株式数 を Market_Cap 列に静的記入(再現性のため、yfinanceライブ取得を使わない)。</t>
  </si>
  <si>
    <t>Comps Analysis(604A ビーエイブルの扱い)</t>
  </si>
  <si>
    <t>604A は comps CSV から除外した(プロンプトは『残置+統計除外』を指定していた)</t>
  </si>
  <si>
    <t>【プロンプトからの変更・テンプレート制約】プロンプトは『行は削除せず残置し、Noteに理由を書いて25/50/75パーセンタイル統計からは除外(東邦方式)』を指定したが、現行テンプレートで peer を統計から除外できる経路は (a) generate_dcf.py の株価鮮度チェック(45日超の陳腐化・取得不能)と (b) D&amp;A欠損(EBITDA空欄)の2つしかない。604A は 2026-09-02 の終値を正常に取得でき D&amp;A も取得できるため、どちらにも該当せず、CSVに残すと必ず統計に入る。統計汚染(プロンプトが避けようとしたもの)と行の非表示のどちらを取るかの選択となり、実質的な誤りである統計汚染を避けてCSVから外した。■604A の検証済みデータは失っていない: 2026-07-29上場(東証スタンダード、廃炉・原子力プラント工事)、2026-09-02 終値1,067円 × 10,519,800株 = 時価総額11,225百万、FY2025/7実績 売上8,984 / 営業利益671 / 純利益476 / D&amp;A 243 → EBITDA 914、純資産5,096、Net_Debt 1,205。PER 23.6x、EV/EBITDA 13.6x。除外理由は上場から約1か月で株価形成が未成熟、かつ7月期決算で比較期間がずれること。この数値は Reverse DCF Block E の注記にも残した。■604A を統計に含めた場合の影響: EV/EBITDA 中央値 8.40x → 8.91x、PER 中央値 13.05x → 14.18x。■テンプレート改善候補(手順書v2 §6-6): comps CSV に任意列 Exclude_From_Stats(+ Exclude_Reason)を設け、comps_fetcher.py が comp['exclude_from_stats'] / ['exclude_reason'] にセットすれば、既存の stale 経路(全統計から除外+行は残置+Note)がそのまま再利用でき『東邦方式』を live 銘柄にも適用できる。列が無ければ現行と完全に同一挙動になる後方互換の追加。</t>
  </si>
  <si>
    <t>プロンプト指定『残置+統計除外』</t>
  </si>
  <si>
    <t>設計判断(プロンプトからの変更・テンプレ制約)</t>
  </si>
  <si>
    <t>Comps Analysis!6379行(Net_Debt)</t>
  </si>
  <si>
    <t>レイズネクストの現金5,797は yfinance の Cash And Cash Equivalents 実額</t>
  </si>
  <si>
    <t>【要確認】売上174,531・総資産約120,000の規模に対し現金5,797は低く見える。yfinance の Cash Cash Equivalents And Short Term Investments も同額で、短期有価証券は別掲されていない。同社が有価証券や譲渡性預金を『その他流動資産』等に計上している場合、実質ネットキャッシュはこれより大きく、EV/EBITDA 9.42x は過大評価となる。有利子負債は Total Debt / Long Term Debt / Current Debt がいずれもゼロで、実質無借金であること自体は複数項目で整合している。全ピアを同一の yfinance 定義で揃える方針を優先し、そのまま採用した。</t>
  </si>
  <si>
    <t>Comps Analysis!1716行(期ズレ)</t>
  </si>
  <si>
    <t>第一カッター興業の財務は FY2025/6 実績(他4社は FY2026/3)</t>
  </si>
  <si>
    <t>【要確認】yfinance が同社の FY2026/6(2026-06-30期末)実績をまだ反映しておらず、約14ヶ月古い数字で比較している。時価総額は 2026-09-02 終値ベースの最新値なので、倍率(EV/EBITDA 2.39x、PER 11.6x)は『新しい株価 ÷ 古い利益』の組み合わせになる。同社が増益していれば実際の倍率はさらに低い。EV/EBITDA 2.39x が5社中の最低値でパーセンタイル(特にp25)を押し下げているため、chat側検証で短信の一次値に差し替える候補として記録する。</t>
  </si>
  <si>
    <t>Comps Analysis(正常化純利益 参考行)</t>
  </si>
  <si>
    <t>Normalized Net Income = 567(報告 732.6 から特別損益の税後影響を控除)</t>
  </si>
  <si>
    <t>567 = 732.617 − (特別利益 252.044 − 特別損失 13.221) × (1 − 0.306)。FY2026/1 の特別利益252.0 の内訳は 投資有価証券売却益 140.0 + 関係会社株式売却益 111.8 + 固定資産売却益 0.2 + その他 0.1 で、いずれも本業の稼得力ではない。現値1,269円で 報告ベースPER 15.3x に対し正常化ベース 19.8x。ピア中央値13.1xとの比較で『割安』に見える部分は分母の歪みで説明がつく。■もう一段厳しい正常化: 経常利益 763.546 × (1 − 0.306) = 530.1(PER 21.2x)。報告純利益の実効税率が法定より低い(26.9%)分も落とす分だけ保守的で、理論的にはこちらの方が整合する。プロンプト指定の567を採用し530を併記した。■同種の売却益は FY2025/1 にも 167.2 あり、投資有価証券残高は 3,403 → 2,236 → 1,919 と取り崩しが続いている。残高1,919に対し年140ペースなら十数年で尽きる性格の利益である。Target には不算入。</t>
  </si>
  <si>
    <t>Reverse DCF(問いの設定)</t>
  </si>
  <si>
    <t>op0 = LTM営業利益 960.1、peak = 会社予想 1,000(OPM 7.69%)</t>
  </si>
  <si>
    <t>逆算の問い: 現値は、会社予想の営業利益10億円に対して、定常営業利益いくらを・売上いくら×利益率いくらで・何年で達成することを織り込んだ価格か。■op0 に LTM営業利益 960.1(= FY2026/1 741.1 − 前年同期Q1 134 + 当期Q1 353)を置いた。直近実績の稼得ペースが起点。■peak_op には本来の『サイクルピーク』ではなく会社予想1,000を置いた(peak_opm 7.69% = 1,000/13,000)。本銘柄はシクリカルではなく傾き実現型で、比較の基準になるのは過去のピークではなく会社が公表した到達点だから。これにより Block A / B-4 の『... as a multiple of the FY2027/1 会社予想 peak』行が問いの答えそのものになる。■opm_grid の 8.32% / 10.40% / 12.80% は、Block B-3(N=5、モデルWACC)の必要営業利益に対して Required Revenue が 20,000 / 16,000 / 13,000百万 に着地するよう逆算した値。プロンプト §1 が要求した『売上13,000 / 16,000 / 20,000 に対する必要営業利益率』を、OPM→必要売上 という表の向きのまま読めるようにしている。6.7% は FY2026/1実績OPM、null 行は会社予想OPM(7.69%)への生き参照。</t>
  </si>
  <si>
    <t>テンプレ自動導出(op0 = FY2026/1実績 741.1、peak = 実績最大の FY2026/1)</t>
  </si>
  <si>
    <t>Reverse DCF Block E(取引ベンチマーク)</t>
  </si>
  <si>
    <t>benchmark_ticker = 6379.T。取引事例ではなく実勢売買倍率のアンカー</t>
  </si>
  <si>
    <t>【設計判断・一部取得不可】プロンプト §5 は『プラント工事・原子力メンテ業界の上場PER水準(概ね10〜12倍)と、2026年7月のビーエイブルIPO時の想定PER水準を代替アンカーに置く。確認できなければ取得不可と明記して空欄にする』を指示。■ビーエイブル(604A)のIPO時想定PER・公開価格は本実行環境から一次ソースで確認できなかったため【取得不可】とし、推測値は置いていない。代わりに同社の 2026-09-02 実勢(PER 23.6x / EV/EBITDA 13.6x)を Block E の注記に事実として記録した。■上場PER水準も実測とプロンプト記載が食い違う: ピア5社の実勢PERは 1966 10.1x / 1716 11.6x / 1968 13.1x / 6379 15.3x / 1945 15.9x で中央値 13.1x。『概ね10〜12倍』はレンジの下端でしかない。この実測値を注記2に記載した。■Block E 本体は 6379(レイズネクスト、プラント現場工事の上場最大手)の実勢 EV/EBITDA・EV/Revenue への生き参照とし、シート表題の 'deal terms' が汎用テンプレの文言であること(支配プレミアム付き取引条件ではないこと)を注記1で明示した。</t>
  </si>
  <si>
    <t>プロンプト指定(ビーエイブルIPO想定PER)</t>
  </si>
  <si>
    <t>設計判断(一部 取得不可)</t>
  </si>
  <si>
    <t>Segment Bridge / DDM / RI / SOTP</t>
  </si>
  <si>
    <t>いずれも生成しない</t>
  </si>
  <si>
    <t>銘柄型は A(通常の事業会社)。銀行・captive finance は無く、連結セグメントは実質単一(解体・メンテナンス事業が売上の約97%、残り3%は人材サービス等の『その他』)。セグメント分解に意味のある情報量が無いため Segment Bridge シートは作らない。DDM / RI は銀行型(D型)専用、SOTP は持株会社型(E型)専用で、いずれも該当しない。</t>
  </si>
  <si>
    <t>Sensitivity Analysis!Table 3(為替感応度)</t>
  </si>
  <si>
    <t>生成しない</t>
  </si>
  <si>
    <t>国内プラント(製鉄・電力・ガス・石油)の解体工事が事実上全量で、輸出比率・海外売上高比率は開示されていない。fx_sensitivity の必須キー usd_revenue_ratio / usd_cogs_ratio に確定値を与える根拠がなく、手順書v2の禁止事項(未検証の比率を置かない)に従い enabled: false とした。</t>
  </si>
  <si>
    <t>会社予想 FY2027/1</t>
  </si>
  <si>
    <t>売上13,000 / 営業利益1,000 は二次情報のまま。一次ソース未突合</t>
  </si>
  <si>
    <t>【要確認】プロンプトは『EDINET/TDnetから2026年3月12日開示の通期業績予想を取得して突合せよ』と指示したが、決算短信はTDnet開示でEDINETには存在せず、本実行環境からTDnetのPDFを取得できなかった。EDINET有報(S100XZ7G)にも業績予想の記載はない。したがってプロンプト §2-3 の二次情報(市場データベース集計値)をそのまま使用している。■この値は Management シナリオ Y1 の設計根拠(売上13,000 / 営業利益1,001 = OPM 7.7%)であり、Base シナリオ Y1 の売上13,000 とも一致させているため、誤っていればシナリオ全体の起点がずれる。9月中間決算の開示で確認できる。</t>
  </si>
  <si>
    <t>Q1(2026/02-04)実績 / 2026-04-30 BS</t>
  </si>
  <si>
    <t>Q1のPL・BSはプロンプト転記値をそのまま使用。一次ソース未突合</t>
  </si>
  <si>
    <t>【要確認】net_debt(有利子負債857 / 現金1,912)、投資有価証券1,919、book_value 5,360、LTM構築の当期Q1累計3,274・前年同期2,532、Q1営業利益353/134 は、いずれも 2026-06-09 開示のQ1決算短信からのプロンプト転記値。四半期報告書制度の廃止により1月期の当社はQ1のXBRLをEDINETに提出しておらず、TDnet短信PDFも本実行環境から取得できなかったため、一次ソースでの突合ができていない。■一方 FY2026/1・FY2025/1 の通期数値はEDINET有報で全項目を突合済みで、プロンプト転記値との乖離は1%超が1件のみ(FY2025/1 有利子負債、社債50の扱い、下記参照)。転記の精度は高いと判断できる。</t>
  </si>
  <si>
    <t>EDINET突合(1%超の乖離)</t>
  </si>
  <si>
    <t>FY2025/1 有利子負債のみ 1.33% 乖離。他は全項目一致</t>
  </si>
  <si>
    <t>EDINETパーサの total_debt = 3,702.1 に対しプロンプト転記値 3,752(乖離 1.33%)。原因はパーサが 1年内償還社債50.0 を拾っていないこと(BS原表 CurrentPortionOfBonds = 50,000千円を確認)。プロンプト転記値が正しい。■他は全項目1%以内で一致した: FY2026/1 売上11,140.386 / 売上原価8,902.775 / 販管費1,496.519 / 営業利益741.091 / 純利益732.617 / 現金1,434.387 / 営業CF1,644.324 / capex 4.878 / 減価償却29.427 / 有利子負債570.7 / 投資有価証券2,236.196 / 純資産5,397.535 / 総資産8,333.903 / のれん70.734 / 有形固定資産284.198 / 未成工事支出金82.505 / 工事未払金1,239.187 / 支払利息15.853 / 支払手数料49.803 / 特別利益252.044 / 特別損失13.221 / 税前1,002.369 / 法人税等269.752。FY2025/1 も同様に一致(売上10,897.474 / 営業利益373.633 / 純利益409.806 / 営業CF△607.470 / 現金1,599.484 / 工事未払金1,185.865 / 電子記録債権253.259 / 受取手形等4,883.931 / 未成工事支出金56.117 / のれん償却75.770)。</t>
  </si>
  <si>
    <t>出力ファイル名</t>
  </si>
  <si>
    <t>1433_DCF_Model_20260902.xlsx(生成時のシステム日付は 2026-09-03)</t>
  </si>
  <si>
    <t>generate_dcf.py は出力名を datetime.now() から組み立てるため 1433_DCF_Model_20260903.xlsx が生成される。プロンプト指定の納品名(分析基準日 2026-09-02)に合わせてリネームし、validate_output.py はリネーム後のファイルに対して再実行した(検証レポート 1433_DCF_Model_20260902_validation.txt もリネーム後の名前で出力)。株価・ピア株価・BS基準日はすべて 2026-09-02 時点で統一されており、モデルの内容は分析基準日と整合している。</t>
  </si>
  <si>
    <t>1433_DCF_Model_20260903.xlsx</t>
  </si>
  <si>
    <t>Executive Summary!B24 / B25(投資テーゼ1・2)</t>
  </si>
  <si>
    <t>プロンプト原文の文言を短縮した。Excel の『数式内文字列リテラル255文字』制限に抵触するため</t>
  </si>
  <si>
    <t>【テンプレート起因・要報告】トークン({per} {pb} {wacc} 等)を含む thesis / risks の行は TEXT 連結数式に変換されるが、Excel は1つの文字列リテラルを255文字までしか許さない。プロンプト原文はテーゼ1が320字・テーゼ2が324字の連続リテラルを生み、生成された .xlsx を Excel が開けなくなった(COM: Workbooks.Open が HRESULT 0x800A03EC で失敗、recalc も走らず validate が5項目SKIP)。■切り分け: シート単位の二分探索で Executive Summary を特定 → 数式セル単位で B24/B25 を特定 → 対照実験で『254字リテラル=開ける / 256字リテラル=開けない』を確認し、原因を255字制限と断定した。■テンプレの分割ロジックは『1セル8,192字超で文単位に分割』であり、リテラル連続長は見ていないためこの制約を検出できない。openpyxl は不正を検知せず書き込み、validate_output も(recalcが失敗するため)SKIPになるだけで FAIL にならない — 『エラーなく間違う』型の失敗。■対処: 内容(受注残・粗利率3期連続改善・LTM営業利益が通期予想に到達・アセットライト・DSO 42日短縮・営業CF反転)を保持したままトークンを文中に前置し、最大リテラル連続長を242字/232字に収めた。リスク1・2はトークンを含まず素のテキストとして書かれる(上限32,767字)ため原文のまま。</t>
  </si>
  <si>
    <t>プロンプト原文(テーゼ1 320字 / テーゼ2 324字の連続リテラル)</t>
  </si>
  <si>
    <t>設計判断(テンプレート制約回避)</t>
  </si>
  <si>
    <t>Comps Analysis!B3(as-of 表記)</t>
  </si>
  <si>
    <t>シート上部の注記が『Peer prices as of 2026-09-03』と出るが、実際のピア株価・時価総額は 2026-09-02 終値</t>
  </si>
  <si>
    <t>テンプレはこの注記に生成日(datetime.now())を書き込む仕様で、CSV の Market_Cap 列に記入した静的値の as-of とは連動しない。本モデルの Market_Cap は全6行とも 2026-09-02 終値 × 発行済株式数(6379 2,965円 / 1968 2,462円 / 1945 2,050円 / 1966 1,738円 / 1716 1,372円、自社 1,269円)であり、分析基準日と一致している。生成が日付をまたいだことによる表示上のズレで、数値には影響しない。docs/overrides_schema.md の as-of 表にも 2026-09-02 として記録済み。</t>
  </si>
  <si>
    <t>確定(表示のみ)</t>
  </si>
  <si>
    <t>モデルの賞味期限</t>
  </si>
  <si>
    <t>2026-09-09 に FY2027/1 中間期決算が発表予定。それ以降は再計算が必要</t>
  </si>
  <si>
    <t>本モデルの基準年は FY2026/1 実績、直近の期中情報は Q1(2026/02-04)のみである。9月9日に開示される中間期(2026/02-07)実績は、(a) 粗利率の階段(17.3% → 20.1% → 21.9%)が続いたか、(b) DSO 130日が維持されたか、(c) 通期予想(売上13,000 / 営業利益1,000)が上方修正されるか、の3点を同時に確定させる。LTM営業利益960がQ1時点で既に通期予想をほぼ達成している以上、上方修正の可能性は高く、Base / Management シナリオのY1前提が入れ替わる。中間期開示後は本モデルを再生成すること。</t>
  </si>
  <si>
    <t>未解決(期限付き)</t>
  </si>
  <si>
    <t>Pipeline Metadata (do not edit — read by scripts/validate_output.py)</t>
  </si>
  <si>
    <t>key</t>
  </si>
  <si>
    <t>value</t>
  </si>
  <si>
    <t>auto_log_entries</t>
  </si>
  <si>
    <t>1</t>
  </si>
  <si>
    <t>capex_pct_basis</t>
  </si>
  <si>
    <t>assumption</t>
  </si>
  <si>
    <t>capex_pct_c5</t>
  </si>
  <si>
    <t>0.0045</t>
  </si>
  <si>
    <t>capex_pct_hist3yr</t>
  </si>
  <si>
    <t>0.001614</t>
  </si>
  <si>
    <t>company_name</t>
  </si>
  <si>
    <t>comps_asof</t>
  </si>
  <si>
    <t>comps_da_missing</t>
  </si>
  <si>
    <t>none</t>
  </si>
  <si>
    <t>comps_ev_ebitda_invalid</t>
  </si>
  <si>
    <t>no</t>
  </si>
  <si>
    <t>comps_ev_ebitda_rows</t>
  </si>
  <si>
    <t>6,7,8,9,10</t>
  </si>
  <si>
    <t>comps_impl_mult_row</t>
  </si>
  <si>
    <t>27</t>
  </si>
  <si>
    <t>comps_impl_per_row</t>
  </si>
  <si>
    <t>28</t>
  </si>
  <si>
    <t>comps_normalized_ni_row</t>
  </si>
  <si>
    <t>29</t>
  </si>
  <si>
    <t>comps_normalized_per_row</t>
  </si>
  <si>
    <t>30</t>
  </si>
  <si>
    <t>comps_peer_rows</t>
  </si>
  <si>
    <t>comps_stale_excluded</t>
  </si>
  <si>
    <t>comps_stat_median_row</t>
  </si>
  <si>
    <t>16</t>
  </si>
  <si>
    <t>comps_subject_row</t>
  </si>
  <si>
    <t>5</t>
  </si>
  <si>
    <t>cost_of_debt_actual</t>
  </si>
  <si>
    <t>interest 16 (expense 16 + fees 0) / avg debt 2,161 (debt_beginning/debt_ending) = 0.007335 pre-tax -&gt; 0.005100 after-tax</t>
  </si>
  <si>
    <t>cost_of_debt_at_c11</t>
  </si>
  <si>
    <t>0.0051</t>
  </si>
  <si>
    <t>cost_of_debt_avg_debt</t>
  </si>
  <si>
    <t>2161.402</t>
  </si>
  <si>
    <t>cost_of_debt_basis</t>
  </si>
  <si>
    <t>actual</t>
  </si>
  <si>
    <t>cost_of_debt_interest</t>
  </si>
  <si>
    <t>15.853</t>
  </si>
  <si>
    <t>cost_of_debt_pretax</t>
  </si>
  <si>
    <t>0.007334591158886686</t>
  </si>
  <si>
    <t>da_pct_basis</t>
  </si>
  <si>
    <t>da_pct_c18</t>
  </si>
  <si>
    <t>0.0042</t>
  </si>
  <si>
    <t>da_pct_hist3yr</t>
  </si>
  <si>
    <t>0.002814</t>
  </si>
  <si>
    <t>fs_year_coverage</t>
  </si>
  <si>
    <t>OCF 5/5, Cash 5/5, Debt 5/5</t>
  </si>
  <si>
    <t>fs_year_map</t>
  </si>
  <si>
    <t>FY2022/1&lt;-BLANK[ocf+cash+debt]; FY2023/1&lt;-BLANK[ocf+cash+debt]; FY2024/1&lt;-BLANK[ocf+cash+debt]; FY2025/1&lt;-FY2025[ocf+cash+debt]; FY2026/1&lt;-FY2026[ocf+cash+debt]</t>
  </si>
  <si>
    <t>fs_year_sources</t>
  </si>
  <si>
    <t>overrides: hist_ocf, hist_cash, hist_debt, hist_capex, hist_depreciation | EDINET year-key match: none</t>
  </si>
  <si>
    <t>fx_sensitivity</t>
  </si>
  <si>
    <t>not enabled</t>
  </si>
  <si>
    <t>generated_at</t>
  </si>
  <si>
    <t>2026-09-03 10:32:38</t>
  </si>
  <si>
    <t>ltm_revenue_c20</t>
  </si>
  <si>
    <t>11882</t>
  </si>
  <si>
    <t>ltm_revenue_source</t>
  </si>
  <si>
    <t>override</t>
  </si>
  <si>
    <t>narrative_tokens_used</t>
  </si>
  <si>
    <t>pb,per,price,target_price,upside_pct,wacc</t>
  </si>
  <si>
    <t>reverse_dcf_sheet</t>
  </si>
  <si>
    <t>op0=960(LTM (2025/05-2026/04)) peak=1,000(FY2027/1 会社予想) peak_opm=0.0769 N=3/5/7/10 benchmark_row=6</t>
  </si>
  <si>
    <t>scenario_index_range</t>
  </si>
  <si>
    <t>B69:B73</t>
  </si>
  <si>
    <t>tax_rate_c6</t>
  </si>
  <si>
    <t>0.306</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</si>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</sst>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opLeftCell="A4"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1269</v>
      </c>
    </row>
    <row r="10" spans="2:5" ht="14" customHeight="1" x14ac:dyDescent="0.3">
      <c r="B10" s="4" t="s">
        <v>10</v>
      </c>
      <c r="C10" s="5">
        <f>IF(COUNT(C16:C17)=0,"N/A",ROUND(AVERAGE(C16:C17),0))</f>
        <v>1131</v>
      </c>
    </row>
    <row r="11" spans="2:5" ht="14" customHeight="1" x14ac:dyDescent="0.3">
      <c r="B11" s="4" t="s">
        <v>11</v>
      </c>
      <c r="C11" s="6" t="str">
        <f>IF(NOT(ISNUMBER(C12)),"N/A",IF(C12&gt;0.15,"BUY",IF(C12&gt;0.05,"HOLD","SELL")))</f>
        <v>SELL</v>
      </c>
    </row>
    <row r="12" spans="2:5" ht="14" customHeight="1" x14ac:dyDescent="0.3">
      <c r="B12" s="4" t="s">
        <v>12</v>
      </c>
      <c r="C12" s="7">
        <f>IF(ISNUMBER(C10),(C10-C9)/C9,"N/A")</f>
        <v>-0.10874704491725769</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1071</v>
      </c>
      <c r="D16" s="7">
        <f>IF(ISNUMBER(C16),(C16-C9)/C9,"N/A")</f>
        <v>-0.15602836879432624</v>
      </c>
    </row>
    <row r="17" spans="2:5" ht="13.5" customHeight="1" x14ac:dyDescent="0.25">
      <c r="B17" t="s">
        <v>18</v>
      </c>
      <c r="C17" s="11">
        <f>IF('DCF Model'!C62&lt;'DCF Model'!C16,"INVALID (EV &lt; net debt)",'DCF Model'!C64)</f>
        <v>1191</v>
      </c>
      <c r="D17" s="7">
        <f>IF(ISNUMBER(C17),(C17-C9)/C9,"N/A")</f>
        <v>-6.1465721040189124E-2</v>
      </c>
    </row>
    <row r="18" spans="2:5" ht="13.5" customHeight="1" x14ac:dyDescent="0.25">
      <c r="B18" t="s">
        <v>19</v>
      </c>
      <c r="C18" s="11">
        <f>'Comps Analysis'!C27</f>
        <v>892</v>
      </c>
      <c r="D18" s="7">
        <f>IF(ISNUMBER(C18),(C18-C9)/C9,"N/A")</f>
        <v>-0.29708431836091409</v>
      </c>
    </row>
    <row r="19" spans="2:5" ht="13.5" customHeight="1" x14ac:dyDescent="0.25">
      <c r="B19" t="s">
        <v>20</v>
      </c>
      <c r="C19" s="11">
        <f>'Comps Analysis'!C28</f>
        <v>1079</v>
      </c>
      <c r="D19" s="7">
        <f>IF(ISNUMBER(C19),(C19-C9)/C9,"N/A")</f>
        <v>-0.14972419227738376</v>
      </c>
    </row>
    <row r="20" spans="2:5" ht="14" customHeight="1" x14ac:dyDescent="0.3">
      <c r="B20" s="46" t="s">
        <v>21</v>
      </c>
      <c r="C20" s="45"/>
      <c r="D20" s="45"/>
      <c r="E20" s="45"/>
    </row>
    <row r="21" spans="2:5" ht="14" customHeight="1" x14ac:dyDescent="0.3">
      <c r="B21" s="4" t="s">
        <v>22</v>
      </c>
      <c r="C21" s="6" t="str">
        <f>IF(COUNT(C16:C17)=0,"N/A",MIN(C16:C17)&amp;" - "&amp;MAX(C16:C17))</f>
        <v>1071 - 1191</v>
      </c>
    </row>
    <row r="23" spans="2:5" ht="14" customHeight="1" x14ac:dyDescent="0.3">
      <c r="B23" s="8" t="s">
        <v>23</v>
      </c>
      <c r="C23" s="9"/>
      <c r="D23" s="9"/>
    </row>
    <row r="24" spans="2:5" x14ac:dyDescent="0.2">
      <c r="B24" t="str">
        <f>"At "&amp;TEXT(C9,"#,##0")&amp;" the shares trade at "&amp;TEXT('Comps Analysis'!L5,"0.0""x""")&amp;" on reported earnings and "&amp;TEXT('Comps Analysis'!M5,"0.00""x""")&amp;" on book, yet order backlog grew double digits and gross margin stepped up in three straight reporting periods. The slope is in the reported numbers, not a plan: trailing twelve-month operating profit already matches full-year guidance."</f>
        <v>At 1,269 the shares trade at 15.3x on reported earnings and 2.10x on book, yet order backlog grew double digits and gross margin stepped up in three straight reporting periods. The slope is in the reported numbers, not a plan: trailing twelve-month operating profit already matches full-year guidance.</v>
      </c>
    </row>
    <row r="25" spans="2:5" x14ac:dyDescent="0.2">
      <c r="B25" t="str">
        <f>"Free cash flow discounts back at "&amp;TEXT('DCF Model'!C26,"0.00%")&amp;" and is governed almost entirely by receivable days: the business is asset-light, with capex running near zero against sales, and the 42-day fall in DSO last fiscal year turned operating cash flow from negative to strongly positive."</f>
        <v>Free cash flow discounts back at 12.12% and is governed almost entirely by receivable days: the business is asset-light, with capex running near zero against sales, and the 42-day fall in DSO last fiscal year turned operating cash flow from negative to strongly positive.</v>
      </c>
    </row>
    <row r="26" spans="2:5" x14ac:dyDescent="0.2">
      <c r="B26" t="str">
        <f>"Net cash and a liquid securities portfolio cover a meaningful share of market value, which cushions the downside case; the DCF mid-point of "&amp;TEXT(C10,"#,##0")&amp;" implies "&amp;TEXT(C12,"+0.0%;-0.0%")&amp;" against "&amp;TEXT(C9,"#,##0")&amp;"."</f>
        <v>Net cash and a liquid securities portfolio cover a meaningful share of market value, which cushions the downside case; the DCF mid-point of 1,131 implies -10.9% against 1,269.</v>
      </c>
    </row>
    <row r="28" spans="2:5" ht="14" customHeight="1" x14ac:dyDescent="0.3">
      <c r="B28" s="8" t="s">
        <v>24</v>
      </c>
      <c r="C28" s="9"/>
      <c r="D28" s="9"/>
    </row>
    <row r="29" spans="2:5" x14ac:dyDescent="0.2">
      <c r="B29" t="s">
        <v>25</v>
      </c>
    </row>
    <row r="30" spans="2:5" x14ac:dyDescent="0.2">
      <c r="B30" t="s">
        <v>26</v>
      </c>
    </row>
    <row r="31" spans="2:5" x14ac:dyDescent="0.2">
      <c r="B31" t="str">
        <f>"Reported earnings are flattered by recurring gains on securities and subsidiary disposals; on normalized earnings the multiple is materially above the headline "&amp;TEXT('Comps Analysis'!L5,"0.0""x""")&amp;", and the first-half result due in September can reset the slope in either direction."</f>
        <v>Reported earnings are flattered by recurring gains on securities and subsidiary disposals; on normalized earnings the multiple is materially above the headline 15.3x, and the first-half result due in September can reset the slope in either direction.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G30"/>
  <sheetViews>
    <sheetView workbookViewId="0"/>
  </sheetViews>
  <sheetFormatPr defaultRowHeight="13" x14ac:dyDescent="0.2"/>
  <cols>
    <col min="1" max="1" width="3" customWidth="1"/>
    <col min="2" max="2" width="32" customWidth="1"/>
    <col min="3" max="7" width="18" customWidth="1"/>
  </cols>
  <sheetData>
    <row r="2" spans="2:7" ht="18" customHeight="1" x14ac:dyDescent="0.4">
      <c r="B2" s="2" t="s">
        <v>27</v>
      </c>
    </row>
    <row r="4" spans="2:7" ht="14" customHeight="1" x14ac:dyDescent="0.3">
      <c r="C4" s="10" t="s">
        <v>28</v>
      </c>
      <c r="D4" s="10" t="s">
        <v>29</v>
      </c>
      <c r="E4" s="10" t="s">
        <v>30</v>
      </c>
      <c r="F4" s="10" t="s">
        <v>31</v>
      </c>
      <c r="G4" s="10" t="s">
        <v>32</v>
      </c>
    </row>
    <row r="5" spans="2:7" ht="14" customHeight="1" x14ac:dyDescent="0.3">
      <c r="B5" s="3" t="s">
        <v>33</v>
      </c>
    </row>
    <row r="6" spans="2:7" ht="14" customHeight="1" x14ac:dyDescent="0.3">
      <c r="B6" s="4" t="s">
        <v>34</v>
      </c>
      <c r="C6" s="5">
        <v>5966.9</v>
      </c>
      <c r="D6" s="5">
        <v>5458.7</v>
      </c>
      <c r="E6" s="5">
        <v>9394.7999999999993</v>
      </c>
      <c r="F6" s="5">
        <v>10897.5</v>
      </c>
      <c r="G6" s="5">
        <v>11140.4</v>
      </c>
    </row>
    <row r="7" spans="2:7" ht="14" customHeight="1" x14ac:dyDescent="0.3">
      <c r="B7" s="4" t="s">
        <v>35</v>
      </c>
      <c r="C7" s="5">
        <v>4609.7</v>
      </c>
      <c r="D7" s="5">
        <v>4569.1000000000004</v>
      </c>
      <c r="E7" s="5">
        <v>7875.1</v>
      </c>
      <c r="F7" s="5">
        <v>9006.7999999999993</v>
      </c>
      <c r="G7" s="5">
        <v>8902.7999999999993</v>
      </c>
    </row>
    <row r="8" spans="2:7" ht="14" customHeight="1" x14ac:dyDescent="0.3">
      <c r="B8" s="4" t="s">
        <v>36</v>
      </c>
      <c r="C8" s="5">
        <f>C6-C7</f>
        <v>1357.1999999999998</v>
      </c>
      <c r="D8" s="5">
        <f>D6-D7</f>
        <v>889.59999999999945</v>
      </c>
      <c r="E8" s="5">
        <f>E6-E7</f>
        <v>1519.6999999999989</v>
      </c>
      <c r="F8" s="5">
        <f>F6-F7</f>
        <v>1890.7000000000007</v>
      </c>
      <c r="G8" s="5">
        <f>G6-G7</f>
        <v>2237.6000000000004</v>
      </c>
    </row>
    <row r="9" spans="2:7" ht="13.5" customHeight="1" x14ac:dyDescent="0.25">
      <c r="B9" t="s">
        <v>37</v>
      </c>
      <c r="C9" s="7">
        <f>C8/C6</f>
        <v>0.22745479227069332</v>
      </c>
      <c r="D9" s="7">
        <f>D8/D6</f>
        <v>0.16296920512209859</v>
      </c>
      <c r="E9" s="7">
        <f>E8/E6</f>
        <v>0.16175969685357847</v>
      </c>
      <c r="F9" s="7">
        <f>F8/F6</f>
        <v>0.17349850883230106</v>
      </c>
      <c r="G9" s="7">
        <f>G8/G6</f>
        <v>0.20085454741301931</v>
      </c>
    </row>
    <row r="10" spans="2:7" ht="14" customHeight="1" x14ac:dyDescent="0.3">
      <c r="B10" s="4" t="s">
        <v>38</v>
      </c>
      <c r="C10" s="5">
        <v>868.4</v>
      </c>
      <c r="D10" s="5">
        <v>1105.3</v>
      </c>
      <c r="E10" s="5">
        <v>1272.8</v>
      </c>
      <c r="F10" s="5">
        <v>1517</v>
      </c>
      <c r="G10" s="5">
        <v>1496.5</v>
      </c>
    </row>
    <row r="11" spans="2:7" ht="14" customHeight="1" x14ac:dyDescent="0.3">
      <c r="B11" s="4" t="s">
        <v>39</v>
      </c>
      <c r="C11" s="5">
        <v>488.8</v>
      </c>
      <c r="D11" s="5">
        <v>-215.7</v>
      </c>
      <c r="E11" s="5">
        <v>246.9</v>
      </c>
      <c r="F11" s="5">
        <v>373.6</v>
      </c>
      <c r="G11" s="5">
        <v>741.1</v>
      </c>
    </row>
    <row r="12" spans="2:7" ht="14" customHeight="1" x14ac:dyDescent="0.3">
      <c r="B12" s="4" t="s">
        <v>40</v>
      </c>
      <c r="C12" s="5">
        <v>1391.8</v>
      </c>
      <c r="D12" s="5">
        <v>-64.400000000000006</v>
      </c>
      <c r="E12" s="5">
        <v>231.1</v>
      </c>
      <c r="F12" s="5">
        <v>409.8</v>
      </c>
      <c r="G12" s="5">
        <v>732.6</v>
      </c>
    </row>
    <row r="13" spans="2:7" ht="13.5" customHeight="1" x14ac:dyDescent="0.25">
      <c r="B13" t="s">
        <v>41</v>
      </c>
      <c r="C13" s="7">
        <f>C11/C6</f>
        <v>8.1918584189445115E-2</v>
      </c>
      <c r="D13" s="7">
        <f>D11/D6</f>
        <v>-3.9514902815688716E-2</v>
      </c>
      <c r="E13" s="7">
        <f>E11/E6</f>
        <v>2.6280495593306939E-2</v>
      </c>
      <c r="F13" s="7">
        <f>F11/F6</f>
        <v>3.4283092452397343E-2</v>
      </c>
      <c r="G13" s="7">
        <f>G11/G6</f>
        <v>6.6523643675271985E-2</v>
      </c>
    </row>
    <row r="14" spans="2:7" ht="13.5" customHeight="1" x14ac:dyDescent="0.25">
      <c r="B14" t="s">
        <v>42</v>
      </c>
      <c r="C14" s="7">
        <f>C12/C6</f>
        <v>0.23325344818917695</v>
      </c>
      <c r="D14" s="7">
        <f>D12/D6</f>
        <v>-1.1797680766482863E-2</v>
      </c>
      <c r="E14" s="7">
        <f>E12/E6</f>
        <v>2.4598714182313623E-2</v>
      </c>
      <c r="F14" s="7">
        <f>F12/F6</f>
        <v>3.7604955264969028E-2</v>
      </c>
      <c r="G14" s="7">
        <f>G12/G6</f>
        <v>6.5760654913647631E-2</v>
      </c>
    </row>
    <row r="15" spans="2:7" ht="13.5" customHeight="1" x14ac:dyDescent="0.25">
      <c r="B15" t="s">
        <v>43</v>
      </c>
      <c r="C15" t="s">
        <v>44</v>
      </c>
      <c r="D15" s="7">
        <f>(D6-C6)/C6</f>
        <v>-8.5169853692872319E-2</v>
      </c>
      <c r="E15" s="7">
        <f>(E6-D6)/D6</f>
        <v>0.72106911902101223</v>
      </c>
      <c r="F15" s="7">
        <f>(F6-E6)/E6</f>
        <v>0.15995018520883902</v>
      </c>
      <c r="G15" s="7">
        <f>(G6-F6)/F6</f>
        <v>2.2289515944023824E-2</v>
      </c>
    </row>
    <row r="16" spans="2:7" ht="13.5" customHeight="1" x14ac:dyDescent="0.25">
      <c r="B16" t="s">
        <v>45</v>
      </c>
      <c r="C16" t="s">
        <v>44</v>
      </c>
      <c r="D16" s="7">
        <f>(D11-C11)/C11</f>
        <v>-1.4412847790507364</v>
      </c>
      <c r="E16" s="7">
        <f>(E11-D11)/D11</f>
        <v>-2.1446453407510435</v>
      </c>
      <c r="F16" s="7">
        <f>(F11-E11)/E11</f>
        <v>0.51316322397731884</v>
      </c>
      <c r="G16" s="7">
        <f>(G11-F11)/F11</f>
        <v>0.9836723768736616</v>
      </c>
    </row>
    <row r="18" spans="2:7" ht="14" customHeight="1" x14ac:dyDescent="0.3">
      <c r="B18" s="3" t="s">
        <v>46</v>
      </c>
    </row>
    <row r="19" spans="2:7" ht="14" customHeight="1" x14ac:dyDescent="0.3">
      <c r="B19" s="4" t="s">
        <v>47</v>
      </c>
      <c r="C19" s="5">
        <v>537.79999999999995</v>
      </c>
      <c r="D19" s="5">
        <v>-354.8</v>
      </c>
      <c r="E19" s="5">
        <v>-1422.3</v>
      </c>
      <c r="F19" s="5">
        <v>-607.5</v>
      </c>
      <c r="G19" s="5">
        <v>1644.3</v>
      </c>
    </row>
    <row r="20" spans="2:7" ht="14" customHeight="1" x14ac:dyDescent="0.3">
      <c r="B20" s="4" t="s">
        <v>48</v>
      </c>
      <c r="C20" s="5">
        <v>37.9</v>
      </c>
      <c r="D20" s="5">
        <v>13.7</v>
      </c>
      <c r="E20" s="5">
        <v>14.8</v>
      </c>
      <c r="F20" s="5">
        <v>30.8</v>
      </c>
      <c r="G20" s="5">
        <v>4.9000000000000004</v>
      </c>
    </row>
    <row r="21" spans="2:7" ht="14" customHeight="1" x14ac:dyDescent="0.3">
      <c r="B21" s="4" t="s">
        <v>49</v>
      </c>
      <c r="C21" s="5">
        <f>C19-C20</f>
        <v>499.9</v>
      </c>
      <c r="D21" s="5">
        <f>D19-D20</f>
        <v>-368.5</v>
      </c>
      <c r="E21" s="5">
        <f>E19-E20</f>
        <v>-1437.1</v>
      </c>
      <c r="F21" s="5">
        <f>F19-F20</f>
        <v>-638.29999999999995</v>
      </c>
      <c r="G21" s="5">
        <f>G19-G20</f>
        <v>1639.3999999999999</v>
      </c>
    </row>
    <row r="22" spans="2:7" ht="13.5" customHeight="1" x14ac:dyDescent="0.25">
      <c r="B22" t="s">
        <v>50</v>
      </c>
      <c r="C22" s="7">
        <f>C21/C6</f>
        <v>8.3778846637282342E-2</v>
      </c>
      <c r="D22" s="7">
        <f>D21/D6</f>
        <v>-6.7506915565977252E-2</v>
      </c>
      <c r="E22" s="7">
        <f>E21/E6</f>
        <v>-0.15296759909737301</v>
      </c>
      <c r="F22" s="7">
        <f>F21/F6</f>
        <v>-5.8573067217251661E-2</v>
      </c>
      <c r="G22" s="7">
        <f>G21/G6</f>
        <v>0.14715809127140855</v>
      </c>
    </row>
    <row r="23" spans="2:7" ht="13.5" customHeight="1" x14ac:dyDescent="0.25">
      <c r="B23" t="s">
        <v>51</v>
      </c>
      <c r="C23" s="7">
        <f>C20/C6</f>
        <v>6.3517069164892997E-3</v>
      </c>
      <c r="D23" s="7">
        <f>D20/D6</f>
        <v>2.5097550698884351E-3</v>
      </c>
      <c r="E23" s="7">
        <f>E20/E6</f>
        <v>1.5753395495380425E-3</v>
      </c>
      <c r="F23" s="7">
        <f>F20/F6</f>
        <v>2.8263363156687312E-3</v>
      </c>
      <c r="G23" s="7">
        <f>G20/G6</f>
        <v>4.3984058023051239E-4</v>
      </c>
    </row>
    <row r="25" spans="2:7" ht="14" customHeight="1" x14ac:dyDescent="0.3">
      <c r="B25" s="3" t="s">
        <v>52</v>
      </c>
    </row>
    <row r="26" spans="2:7" ht="14" customHeight="1" x14ac:dyDescent="0.3">
      <c r="B26" s="4" t="s">
        <v>53</v>
      </c>
      <c r="C26" s="5">
        <v>2122.1999999999998</v>
      </c>
      <c r="D26" s="5">
        <v>1337.6</v>
      </c>
      <c r="E26" s="5">
        <v>1444.1</v>
      </c>
      <c r="F26" s="5">
        <v>1599.5</v>
      </c>
      <c r="G26" s="5">
        <v>1434.4</v>
      </c>
    </row>
    <row r="27" spans="2:7" ht="14" customHeight="1" x14ac:dyDescent="0.3">
      <c r="B27" s="4" t="s">
        <v>54</v>
      </c>
      <c r="C27" s="5">
        <v>2389.4</v>
      </c>
      <c r="D27" s="5">
        <v>2426.6999999999998</v>
      </c>
      <c r="E27" s="5">
        <v>4292.3999999999996</v>
      </c>
      <c r="F27" s="5">
        <v>3752.1</v>
      </c>
      <c r="G27" s="5">
        <v>570.70000000000005</v>
      </c>
    </row>
    <row r="28" spans="2:7" ht="14" customHeight="1" x14ac:dyDescent="0.3">
      <c r="B28" s="4" t="s">
        <v>55</v>
      </c>
      <c r="C28" s="5">
        <f>C27-C26</f>
        <v>267.20000000000027</v>
      </c>
      <c r="D28" s="5">
        <f>D27-D26</f>
        <v>1089.0999999999999</v>
      </c>
      <c r="E28" s="5">
        <f>E27-E26</f>
        <v>2848.2999999999997</v>
      </c>
      <c r="F28" s="5">
        <f>F27-F26</f>
        <v>2152.6</v>
      </c>
      <c r="G28" s="5">
        <f>G27-G26</f>
        <v>-863.7</v>
      </c>
    </row>
    <row r="30" spans="2:7" ht="14" customHeight="1" x14ac:dyDescent="0.3">
      <c r="B30" s="1" t="s">
        <v>56</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election activeCell="D7" sqref="D7"/>
    </sheetView>
  </sheetViews>
  <sheetFormatPr defaultRowHeight="13" x14ac:dyDescent="0.2"/>
  <cols>
    <col min="1" max="1" width="3" customWidth="1"/>
    <col min="2" max="2" width="32" customWidth="1"/>
    <col min="3" max="7" width="16" customWidth="1"/>
  </cols>
  <sheetData>
    <row r="2" spans="2:7" ht="18" customHeight="1" x14ac:dyDescent="0.4">
      <c r="B2" s="2" t="s">
        <v>57</v>
      </c>
    </row>
    <row r="4" spans="2:7" ht="14" customHeight="1" x14ac:dyDescent="0.3">
      <c r="B4" s="8" t="s">
        <v>58</v>
      </c>
      <c r="C4" s="9"/>
      <c r="D4" s="9"/>
      <c r="E4" s="9"/>
      <c r="F4" s="9"/>
      <c r="G4" s="9"/>
    </row>
    <row r="5" spans="2:7" ht="14" customHeight="1" x14ac:dyDescent="0.3">
      <c r="B5" s="4" t="s">
        <v>51</v>
      </c>
      <c r="C5" s="7">
        <v>4.4999999999999997E-3</v>
      </c>
    </row>
    <row r="6" spans="2:7" ht="14" customHeight="1" x14ac:dyDescent="0.3">
      <c r="B6" s="4" t="s">
        <v>59</v>
      </c>
      <c r="C6" s="7">
        <v>0.30599999999999999</v>
      </c>
    </row>
    <row r="7" spans="2:7" ht="14" customHeight="1" x14ac:dyDescent="0.3">
      <c r="B7" s="4" t="s">
        <v>60</v>
      </c>
      <c r="C7" s="7">
        <v>0.03</v>
      </c>
    </row>
    <row r="8" spans="2:7" ht="14" customHeight="1" x14ac:dyDescent="0.3">
      <c r="B8" s="4" t="s">
        <v>61</v>
      </c>
      <c r="C8" s="12">
        <v>1</v>
      </c>
    </row>
    <row r="9" spans="2:7" ht="14" customHeight="1" x14ac:dyDescent="0.3">
      <c r="B9" s="4" t="s">
        <v>62</v>
      </c>
      <c r="C9" s="7">
        <v>6.5000000000000002E-2</v>
      </c>
    </row>
    <row r="10" spans="2:7" ht="14" customHeight="1" x14ac:dyDescent="0.3">
      <c r="B10" s="4" t="s">
        <v>63</v>
      </c>
      <c r="C10" s="7">
        <v>3.5000000000000003E-2</v>
      </c>
    </row>
    <row r="11" spans="2:7" ht="14" customHeight="1" x14ac:dyDescent="0.3">
      <c r="B11" s="4" t="s">
        <v>64</v>
      </c>
      <c r="C11" s="7">
        <v>5.1000000000000004E-3</v>
      </c>
    </row>
    <row r="12" spans="2:7" ht="14" customHeight="1" x14ac:dyDescent="0.3">
      <c r="B12" s="4" t="s">
        <v>65</v>
      </c>
      <c r="C12" s="13">
        <v>7.6200000000000004E-2</v>
      </c>
    </row>
    <row r="13" spans="2:7" ht="14" customHeight="1" x14ac:dyDescent="0.3">
      <c r="B13" s="4" t="s">
        <v>66</v>
      </c>
      <c r="C13" s="7">
        <v>0.01</v>
      </c>
    </row>
    <row r="14" spans="2:7" ht="14" customHeight="1" x14ac:dyDescent="0.3">
      <c r="B14" s="4" t="s">
        <v>67</v>
      </c>
      <c r="C14" s="14">
        <v>6</v>
      </c>
    </row>
    <row r="15" spans="2:7" ht="14" customHeight="1" x14ac:dyDescent="0.3">
      <c r="B15" s="4" t="s">
        <v>68</v>
      </c>
      <c r="C15" s="15">
        <v>8860910</v>
      </c>
    </row>
    <row r="16" spans="2:7" ht="14" customHeight="1" x14ac:dyDescent="0.3">
      <c r="B16" s="4" t="s">
        <v>69</v>
      </c>
      <c r="C16" s="5">
        <v>-1054</v>
      </c>
    </row>
    <row r="17" spans="2:7" ht="14" customHeight="1" x14ac:dyDescent="0.3">
      <c r="B17" s="4" t="s">
        <v>70</v>
      </c>
      <c r="C17" s="5">
        <v>11140.4</v>
      </c>
    </row>
    <row r="18" spans="2:7" ht="14" customHeight="1" x14ac:dyDescent="0.3">
      <c r="B18" s="4" t="s">
        <v>71</v>
      </c>
      <c r="C18" s="7">
        <v>4.1999999999999997E-3</v>
      </c>
    </row>
    <row r="19" spans="2:7" ht="14" customHeight="1" x14ac:dyDescent="0.3">
      <c r="B19" s="4" t="s">
        <v>72</v>
      </c>
      <c r="C19" s="12">
        <v>0.42</v>
      </c>
    </row>
    <row r="20" spans="2:7" ht="14" customHeight="1" x14ac:dyDescent="0.3">
      <c r="B20" s="4" t="s">
        <v>73</v>
      </c>
      <c r="C20" s="5">
        <v>11882</v>
      </c>
    </row>
    <row r="22" spans="2:7" ht="14" customHeight="1" x14ac:dyDescent="0.3">
      <c r="B22" s="8" t="s">
        <v>74</v>
      </c>
      <c r="C22" s="9"/>
      <c r="D22" s="9"/>
      <c r="E22" s="9"/>
      <c r="F22" s="9"/>
      <c r="G22" s="9"/>
    </row>
    <row r="23" spans="2:7" ht="14" customHeight="1" x14ac:dyDescent="0.3">
      <c r="B23" s="4" t="s">
        <v>75</v>
      </c>
      <c r="C23" s="16">
        <f>C7+C8*C9+C10</f>
        <v>0.13</v>
      </c>
    </row>
    <row r="24" spans="2:7" ht="14" customHeight="1" x14ac:dyDescent="0.3">
      <c r="B24" s="4" t="s">
        <v>76</v>
      </c>
      <c r="C24" s="16">
        <f>1/(1+C12)</f>
        <v>0.92919531685560297</v>
      </c>
    </row>
    <row r="25" spans="2:7" ht="14" customHeight="1" x14ac:dyDescent="0.3">
      <c r="B25" s="4" t="s">
        <v>77</v>
      </c>
      <c r="C25" s="16">
        <f>C12/(1+C12)</f>
        <v>7.0804683144396946E-2</v>
      </c>
    </row>
    <row r="26" spans="2:7" ht="14" customHeight="1" x14ac:dyDescent="0.3">
      <c r="B26" s="4" t="s">
        <v>78</v>
      </c>
      <c r="C26" s="16">
        <f>C23*C24+C11*C25</f>
        <v>0.12115649507526483</v>
      </c>
    </row>
    <row r="27" spans="2:7" ht="14" customHeight="1" x14ac:dyDescent="0.3">
      <c r="B27" s="4" t="s">
        <v>79</v>
      </c>
      <c r="C27" s="17" t="s">
        <v>80</v>
      </c>
      <c r="D27" s="6">
        <f>MATCH(C27,B69:B73,0)</f>
        <v>1</v>
      </c>
    </row>
    <row r="28" spans="2:7" ht="14" customHeight="1" x14ac:dyDescent="0.3">
      <c r="B28" s="8" t="s">
        <v>81</v>
      </c>
      <c r="C28" s="9"/>
      <c r="D28" s="9"/>
      <c r="E28" s="9"/>
      <c r="F28" s="9"/>
      <c r="G28" s="9"/>
    </row>
    <row r="29" spans="2:7" ht="14" customHeight="1" x14ac:dyDescent="0.3">
      <c r="C29" s="10" t="s">
        <v>82</v>
      </c>
      <c r="D29" s="10" t="s">
        <v>83</v>
      </c>
      <c r="E29" s="10" t="s">
        <v>84</v>
      </c>
      <c r="F29" s="10" t="s">
        <v>85</v>
      </c>
      <c r="G29" s="10" t="s">
        <v>86</v>
      </c>
    </row>
    <row r="30" spans="2:7" ht="14" customHeight="1" x14ac:dyDescent="0.3">
      <c r="B30" s="4" t="s">
        <v>43</v>
      </c>
      <c r="C30" s="18">
        <f>CHOOSE($D$27,C69,C70,C71,C72,C73)</f>
        <v>0.16700000000000001</v>
      </c>
      <c r="D30" s="18">
        <f>CHOOSE($D$27,D69,D70,D71,D72,D73)</f>
        <v>0.08</v>
      </c>
      <c r="E30" s="18">
        <f>CHOOSE($D$27,E69,E70,E71,E72,E73)</f>
        <v>7.0000000000000007E-2</v>
      </c>
      <c r="F30" s="18">
        <f>CHOOSE($D$27,F69,F70,F71,F72,F73)</f>
        <v>0.06</v>
      </c>
      <c r="G30" s="18">
        <f>CHOOSE($D$27,G69,G70,G71,G72,G73)</f>
        <v>0.05</v>
      </c>
    </row>
    <row r="31" spans="2:7" ht="14" customHeight="1" x14ac:dyDescent="0.3">
      <c r="B31" s="4" t="s">
        <v>87</v>
      </c>
      <c r="C31" s="18">
        <f>CHOOSE($D$27,C76,C77,C78,C79,C80)</f>
        <v>0.79500000000000004</v>
      </c>
      <c r="D31" s="18">
        <f>CHOOSE($D$27,D76,D77,D78,D79,D80)</f>
        <v>0.79</v>
      </c>
      <c r="E31" s="18">
        <f>CHOOSE($D$27,E76,E77,E78,E79,E80)</f>
        <v>0.78800000000000003</v>
      </c>
      <c r="F31" s="18">
        <f>CHOOSE($D$27,F76,F77,F78,F79,F80)</f>
        <v>0.78500000000000003</v>
      </c>
      <c r="G31" s="18">
        <f>CHOOSE($D$27,G76,G77,G78,G79,G80)</f>
        <v>0.78500000000000003</v>
      </c>
    </row>
    <row r="32" spans="2:7" ht="14" customHeight="1" x14ac:dyDescent="0.3">
      <c r="B32" s="4" t="s">
        <v>88</v>
      </c>
      <c r="C32" s="18">
        <f>CHOOSE($D$27,C83,C84,C85,C86,C87)</f>
        <v>0.115</v>
      </c>
      <c r="D32" s="18">
        <f>CHOOSE($D$27,D83,D84,D85,D86,D87)</f>
        <v>0.113</v>
      </c>
      <c r="E32" s="18">
        <f>CHOOSE($D$27,E83,E84,E85,E86,E87)</f>
        <v>0.11</v>
      </c>
      <c r="F32" s="18">
        <f>CHOOSE($D$27,F83,F84,F85,F86,F87)</f>
        <v>0.108</v>
      </c>
      <c r="G32" s="18">
        <f>CHOOSE($D$27,G83,G84,G85,G86,G87)</f>
        <v>0.108</v>
      </c>
    </row>
    <row r="33" spans="2:7" ht="14" customHeight="1" x14ac:dyDescent="0.3">
      <c r="B33" s="4" t="s">
        <v>34</v>
      </c>
      <c r="C33" s="5">
        <f>C17*(1+C30)</f>
        <v>13000.846799999999</v>
      </c>
      <c r="D33" s="5">
        <f>C33*(1+D30)</f>
        <v>14040.914544000001</v>
      </c>
      <c r="E33" s="5">
        <f>D33*(1+E30)</f>
        <v>15023.778562080002</v>
      </c>
      <c r="F33" s="5">
        <f>E33*(1+F30)</f>
        <v>15925.205275804803</v>
      </c>
      <c r="G33" s="5">
        <f>F33*(1+G30)</f>
        <v>16721.465539595043</v>
      </c>
    </row>
    <row r="34" spans="2:7" ht="14" customHeight="1" x14ac:dyDescent="0.3">
      <c r="B34" s="4" t="s">
        <v>35</v>
      </c>
      <c r="C34" s="5">
        <f>C33*C31</f>
        <v>10335.673205999999</v>
      </c>
      <c r="D34" s="5">
        <f>D33*D31</f>
        <v>11092.322489760001</v>
      </c>
      <c r="E34" s="5">
        <f>E33*E31</f>
        <v>11838.737506919042</v>
      </c>
      <c r="F34" s="5">
        <f>F33*F31</f>
        <v>12501.286141506771</v>
      </c>
      <c r="G34" s="5">
        <f>G33*G31</f>
        <v>13126.350448582109</v>
      </c>
    </row>
    <row r="35" spans="2:7" ht="14" customHeight="1" x14ac:dyDescent="0.3">
      <c r="B35" s="4" t="s">
        <v>36</v>
      </c>
      <c r="C35" s="19">
        <f>C33-C34</f>
        <v>2665.1735939999999</v>
      </c>
      <c r="D35" s="19">
        <f>D33-D34</f>
        <v>2948.5920542399999</v>
      </c>
      <c r="E35" s="19">
        <f>E33-E34</f>
        <v>3185.0410551609602</v>
      </c>
      <c r="F35" s="19">
        <f>F33-F34</f>
        <v>3423.9191342980321</v>
      </c>
      <c r="G35" s="19">
        <f>G33-G34</f>
        <v>3595.1150910129345</v>
      </c>
    </row>
    <row r="36" spans="2:7" ht="14" customHeight="1" x14ac:dyDescent="0.3">
      <c r="B36" s="4" t="s">
        <v>37</v>
      </c>
      <c r="C36" s="7">
        <f>C35/C33</f>
        <v>0.20499999999999999</v>
      </c>
      <c r="D36" s="7">
        <f>D35/D33</f>
        <v>0.20999999999999996</v>
      </c>
      <c r="E36" s="7">
        <f>E35/E33</f>
        <v>0.21199999999999999</v>
      </c>
      <c r="F36" s="7">
        <f>F35/F33</f>
        <v>0.21499999999999997</v>
      </c>
      <c r="G36" s="7">
        <f>G35/G33</f>
        <v>0.21500000000000002</v>
      </c>
    </row>
    <row r="37" spans="2:7" ht="14" customHeight="1" x14ac:dyDescent="0.3">
      <c r="B37" s="4" t="s">
        <v>89</v>
      </c>
      <c r="C37" s="5">
        <f>C33*C32</f>
        <v>1495.0973819999999</v>
      </c>
      <c r="D37" s="5">
        <f>D33*D32</f>
        <v>1586.6233434720002</v>
      </c>
      <c r="E37" s="5">
        <f>E33*E32</f>
        <v>1652.6156418288003</v>
      </c>
      <c r="F37" s="5">
        <f>F33*F32</f>
        <v>1719.9221697869186</v>
      </c>
      <c r="G37" s="5">
        <f>G33*G32</f>
        <v>1805.9182782762646</v>
      </c>
    </row>
    <row r="38" spans="2:7" ht="14" customHeight="1" x14ac:dyDescent="0.3">
      <c r="B38" s="4" t="s">
        <v>90</v>
      </c>
      <c r="C38" s="7">
        <f>(C35-C37)/C33</f>
        <v>0.09</v>
      </c>
      <c r="D38" s="7">
        <f>(D35-D37)/D33</f>
        <v>9.6999999999999975E-2</v>
      </c>
      <c r="E38" s="7">
        <f>(E35-E37)/E33</f>
        <v>0.10199999999999998</v>
      </c>
      <c r="F38" s="7">
        <f>(F35-F37)/F33</f>
        <v>0.10699999999999997</v>
      </c>
      <c r="G38" s="7">
        <f>(G35-G37)/G33</f>
        <v>0.10700000000000003</v>
      </c>
    </row>
    <row r="39" spans="2:7" ht="14" customHeight="1" x14ac:dyDescent="0.3">
      <c r="B39" s="4" t="s">
        <v>91</v>
      </c>
      <c r="C39" s="19">
        <f>C35-C37</f>
        <v>1170.0762119999999</v>
      </c>
      <c r="D39" s="19">
        <f>D35-D37</f>
        <v>1361.9687107679997</v>
      </c>
      <c r="E39" s="19">
        <f>E35-E37</f>
        <v>1532.4254133321599</v>
      </c>
      <c r="F39" s="19">
        <f>F35-F37</f>
        <v>1703.9969645111134</v>
      </c>
      <c r="G39" s="19">
        <f>G35-G37</f>
        <v>1789.1968127366699</v>
      </c>
    </row>
    <row r="40" spans="2:7" ht="14" customHeight="1" x14ac:dyDescent="0.3">
      <c r="B40" s="4" t="s">
        <v>92</v>
      </c>
      <c r="C40" s="5">
        <f>MAX(0,C39*C6)</f>
        <v>358.04332087199998</v>
      </c>
      <c r="D40" s="5">
        <f>MAX(0,D39*C6)</f>
        <v>416.7624254950079</v>
      </c>
      <c r="E40" s="5">
        <f>MAX(0,E39*C6)</f>
        <v>468.92217647964094</v>
      </c>
      <c r="F40" s="5">
        <f>MAX(0,F39*C6)</f>
        <v>521.42307114040068</v>
      </c>
      <c r="G40" s="5">
        <f>MAX(0,G39*C6)</f>
        <v>547.49422469742103</v>
      </c>
    </row>
    <row r="41" spans="2:7" ht="14" customHeight="1" x14ac:dyDescent="0.3">
      <c r="B41" s="4" t="s">
        <v>93</v>
      </c>
      <c r="C41" s="19">
        <f>C39-C40</f>
        <v>812.03289112799996</v>
      </c>
      <c r="D41" s="19">
        <f>D39-D40</f>
        <v>945.20628527299186</v>
      </c>
      <c r="E41" s="19">
        <f>E39-E40</f>
        <v>1063.503236852519</v>
      </c>
      <c r="F41" s="19">
        <f>F39-F40</f>
        <v>1182.5738933707128</v>
      </c>
      <c r="G41" s="19">
        <f>G39-G40</f>
        <v>1241.7025880392489</v>
      </c>
    </row>
    <row r="42" spans="2:7" ht="14" customHeight="1" x14ac:dyDescent="0.3">
      <c r="B42" s="4" t="s">
        <v>94</v>
      </c>
      <c r="C42" s="5">
        <f>C33*C18</f>
        <v>54.603556559999994</v>
      </c>
      <c r="D42" s="5">
        <f>D33*C18</f>
        <v>58.971841084799998</v>
      </c>
      <c r="E42" s="5">
        <f>E33*C18</f>
        <v>63.099869960736008</v>
      </c>
      <c r="F42" s="5">
        <f>F33*C18</f>
        <v>66.885862158380164</v>
      </c>
      <c r="G42" s="5">
        <f>G33*C18</f>
        <v>70.230155266299178</v>
      </c>
    </row>
    <row r="43" spans="2:7" ht="14" customHeight="1" x14ac:dyDescent="0.3">
      <c r="B43" s="4" t="s">
        <v>95</v>
      </c>
      <c r="C43" s="5">
        <f>C33*C5</f>
        <v>58.503810599999994</v>
      </c>
      <c r="D43" s="5">
        <f>D33*C5</f>
        <v>63.184115448</v>
      </c>
      <c r="E43" s="5">
        <f>E33*C5</f>
        <v>67.60700352936</v>
      </c>
      <c r="F43" s="5">
        <f>F33*C5</f>
        <v>71.663423741121605</v>
      </c>
      <c r="G43" s="5">
        <f>G33*C5</f>
        <v>75.246594928177686</v>
      </c>
    </row>
    <row r="44" spans="2:7" ht="14" customHeight="1" x14ac:dyDescent="0.3">
      <c r="B44" s="4" t="s">
        <v>96</v>
      </c>
      <c r="C44" s="5">
        <f>'NWC Schedule'!D19</f>
        <v>465.58522387671201</v>
      </c>
      <c r="D44" s="5">
        <f>'NWC Schedule'!E19</f>
        <v>271.96702942849379</v>
      </c>
      <c r="E44" s="5">
        <f>'NWC Schedule'!F19</f>
        <v>252.92495626122081</v>
      </c>
      <c r="F44" s="5">
        <f>'NWC Schedule'!G19</f>
        <v>234.83400723645809</v>
      </c>
      <c r="G44" s="5">
        <f>'NWC Schedule'!H19</f>
        <v>202.25556084014443</v>
      </c>
    </row>
    <row r="45" spans="2:7" ht="14" customHeight="1" x14ac:dyDescent="0.3">
      <c r="B45" s="4" t="s">
        <v>97</v>
      </c>
      <c r="C45" s="20">
        <f>C41+C42-C43-C44</f>
        <v>342.54741321128802</v>
      </c>
      <c r="D45" s="20">
        <f>D41+D42-D43-D44</f>
        <v>669.02698148129798</v>
      </c>
      <c r="E45" s="20">
        <f>E41+E42-E43-E44</f>
        <v>806.07114702267404</v>
      </c>
      <c r="F45" s="20">
        <f>F41+F42-F43-F44</f>
        <v>942.96232455151335</v>
      </c>
      <c r="G45" s="20">
        <f>G41+G42-G43-G44</f>
        <v>1034.4305875372258</v>
      </c>
    </row>
    <row r="46" spans="2:7" ht="14" customHeight="1" x14ac:dyDescent="0.3">
      <c r="B46" s="4" t="s">
        <v>98</v>
      </c>
      <c r="C46" s="21">
        <f>1/(1+C26)^(C19+0)</f>
        <v>0.95310375456470942</v>
      </c>
      <c r="D46" s="21">
        <f>1/(1+C26)^(C19+1)</f>
        <v>0.85010768679596882</v>
      </c>
      <c r="E46" s="21">
        <f>1/(1+C26)^(C19+2)</f>
        <v>0.75824177135851134</v>
      </c>
      <c r="F46" s="21">
        <f>1/(1+C26)^(C19+3)</f>
        <v>0.67630324106324635</v>
      </c>
      <c r="G46" s="21">
        <f>1/(1+C26)^(C19+4)</f>
        <v>0.6032193043825208</v>
      </c>
    </row>
    <row r="47" spans="2:7" ht="14" customHeight="1" x14ac:dyDescent="0.3">
      <c r="B47" s="4" t="s">
        <v>99</v>
      </c>
      <c r="C47" s="19">
        <f>C45*C46</f>
        <v>326.48322564810758</v>
      </c>
      <c r="D47" s="19">
        <f>D45*D46</f>
        <v>568.74497963115573</v>
      </c>
      <c r="E47" s="19">
        <f>E45*E46</f>
        <v>611.19681435945938</v>
      </c>
      <c r="F47" s="19">
        <f>F45*F46</f>
        <v>637.7284762947213</v>
      </c>
      <c r="G47" s="19">
        <f>G45*G46</f>
        <v>623.9884994462077</v>
      </c>
    </row>
    <row r="49" spans="2:7" ht="14" customHeight="1" x14ac:dyDescent="0.3">
      <c r="B49" s="22" t="s">
        <v>100</v>
      </c>
      <c r="C49" s="23"/>
      <c r="D49" s="23"/>
      <c r="E49" s="23"/>
      <c r="F49" s="23"/>
      <c r="G49" s="23"/>
    </row>
    <row r="50" spans="2:7" ht="14" customHeight="1" x14ac:dyDescent="0.3">
      <c r="B50" s="4" t="s">
        <v>101</v>
      </c>
      <c r="C50" s="5">
        <f>SUM(C47:G47)</f>
        <v>2768.1419953796517</v>
      </c>
    </row>
    <row r="51" spans="2:7" ht="14" customHeight="1" x14ac:dyDescent="0.3">
      <c r="B51" s="4" t="s">
        <v>102</v>
      </c>
      <c r="C51" s="5">
        <f>G45*(1+C13)/(C26-C13)</f>
        <v>9399.1349106966172</v>
      </c>
    </row>
    <row r="52" spans="2:7" ht="14" customHeight="1" x14ac:dyDescent="0.3">
      <c r="B52" s="4" t="s">
        <v>103</v>
      </c>
      <c r="C52" s="5">
        <f>C51*G46</f>
        <v>5669.7396226278806</v>
      </c>
    </row>
    <row r="53" spans="2:7" ht="14" customHeight="1" x14ac:dyDescent="0.3">
      <c r="B53" s="4" t="s">
        <v>104</v>
      </c>
      <c r="C53" s="5">
        <f>C50+C52</f>
        <v>8437.8816180075319</v>
      </c>
    </row>
    <row r="54" spans="2:7" ht="14" customHeight="1" x14ac:dyDescent="0.3">
      <c r="B54" s="4" t="s">
        <v>105</v>
      </c>
      <c r="C54" s="5">
        <f>C53-C16</f>
        <v>9491.8816180075319</v>
      </c>
    </row>
    <row r="55" spans="2:7" ht="14" customHeight="1" x14ac:dyDescent="0.3">
      <c r="B55" s="4" t="s">
        <v>106</v>
      </c>
      <c r="C55" s="24">
        <f>ROUND(C54*1000000/C15,0)</f>
        <v>1071</v>
      </c>
    </row>
    <row r="57" spans="2:7" ht="14" customHeight="1" x14ac:dyDescent="0.3">
      <c r="B57" s="22" t="s">
        <v>107</v>
      </c>
      <c r="C57" s="23"/>
      <c r="D57" s="23"/>
      <c r="E57" s="23"/>
      <c r="F57" s="23"/>
      <c r="G57" s="23"/>
    </row>
    <row r="58" spans="2:7" ht="14" customHeight="1" x14ac:dyDescent="0.3">
      <c r="B58" s="4" t="s">
        <v>101</v>
      </c>
      <c r="C58" s="5">
        <f>C50</f>
        <v>2768.1419953796517</v>
      </c>
    </row>
    <row r="59" spans="2:7" ht="14" customHeight="1" x14ac:dyDescent="0.3">
      <c r="B59" s="4" t="s">
        <v>108</v>
      </c>
      <c r="C59" s="5">
        <f>G39+G42</f>
        <v>1859.426968002969</v>
      </c>
    </row>
    <row r="60" spans="2:7" ht="14" customHeight="1" x14ac:dyDescent="0.3">
      <c r="B60" s="4" t="s">
        <v>109</v>
      </c>
      <c r="C60" s="5">
        <f>C59*C14</f>
        <v>11156.561808017814</v>
      </c>
    </row>
    <row r="61" spans="2:7" ht="14" customHeight="1" x14ac:dyDescent="0.3">
      <c r="B61" s="4" t="s">
        <v>103</v>
      </c>
      <c r="C61" s="5">
        <f>C60*G46</f>
        <v>6729.8534531331043</v>
      </c>
    </row>
    <row r="62" spans="2:7" ht="14" customHeight="1" x14ac:dyDescent="0.3">
      <c r="B62" s="4" t="s">
        <v>104</v>
      </c>
      <c r="C62" s="5">
        <f>C58+C61</f>
        <v>9497.9954485127564</v>
      </c>
    </row>
    <row r="63" spans="2:7" ht="14" customHeight="1" x14ac:dyDescent="0.3">
      <c r="B63" s="4" t="s">
        <v>105</v>
      </c>
      <c r="C63" s="5">
        <f>C62-C16</f>
        <v>10551.995448512756</v>
      </c>
    </row>
    <row r="64" spans="2:7" ht="14" customHeight="1" x14ac:dyDescent="0.3">
      <c r="B64" s="4" t="s">
        <v>110</v>
      </c>
      <c r="C64" s="24">
        <f>ROUND(C63*1000000/C15,0)</f>
        <v>1191</v>
      </c>
    </row>
    <row r="66" spans="2:7" ht="14" customHeight="1" x14ac:dyDescent="0.3">
      <c r="B66" s="22" t="s">
        <v>111</v>
      </c>
      <c r="C66" s="23"/>
      <c r="D66" s="23"/>
      <c r="E66" s="23"/>
      <c r="F66" s="23"/>
      <c r="G66" s="23"/>
    </row>
    <row r="67" spans="2:7" ht="14" customHeight="1" x14ac:dyDescent="0.3">
      <c r="C67" s="25" t="s">
        <v>112</v>
      </c>
      <c r="D67" s="25" t="s">
        <v>113</v>
      </c>
      <c r="E67" s="25" t="s">
        <v>114</v>
      </c>
      <c r="F67" s="25" t="s">
        <v>115</v>
      </c>
      <c r="G67" s="25" t="s">
        <v>116</v>
      </c>
    </row>
    <row r="68" spans="2:7" ht="14" customHeight="1" x14ac:dyDescent="0.3">
      <c r="B68" s="3" t="s">
        <v>43</v>
      </c>
    </row>
    <row r="69" spans="2:7" ht="14" customHeight="1" x14ac:dyDescent="0.3">
      <c r="B69" s="4" t="s">
        <v>80</v>
      </c>
      <c r="C69" s="26">
        <v>0.16700000000000001</v>
      </c>
      <c r="D69" s="26">
        <v>0.08</v>
      </c>
      <c r="E69" s="26">
        <v>7.0000000000000007E-2</v>
      </c>
      <c r="F69" s="26">
        <v>0.06</v>
      </c>
      <c r="G69" s="26">
        <v>0.05</v>
      </c>
    </row>
    <row r="70" spans="2:7" ht="14" customHeight="1" x14ac:dyDescent="0.3">
      <c r="B70" s="4" t="s">
        <v>117</v>
      </c>
      <c r="C70" s="26">
        <v>0.2</v>
      </c>
      <c r="D70" s="26">
        <v>0.15</v>
      </c>
      <c r="E70" s="26">
        <v>0.13</v>
      </c>
      <c r="F70" s="26">
        <v>0.11</v>
      </c>
      <c r="G70" s="26">
        <v>0.1</v>
      </c>
    </row>
    <row r="71" spans="2:7" ht="14" customHeight="1" x14ac:dyDescent="0.3">
      <c r="B71" s="4" t="s">
        <v>118</v>
      </c>
      <c r="C71" s="26">
        <v>0.16700000000000001</v>
      </c>
      <c r="D71" s="26">
        <v>0.114</v>
      </c>
      <c r="E71" s="26">
        <v>0.114</v>
      </c>
      <c r="F71" s="26">
        <v>0.114</v>
      </c>
      <c r="G71" s="26">
        <v>0.114</v>
      </c>
    </row>
    <row r="72" spans="2:7" ht="14" customHeight="1" x14ac:dyDescent="0.3">
      <c r="B72" s="4" t="s">
        <v>119</v>
      </c>
      <c r="C72" s="26">
        <v>0.08</v>
      </c>
      <c r="D72" s="26">
        <v>0.04</v>
      </c>
      <c r="E72" s="26">
        <v>0.03</v>
      </c>
      <c r="F72" s="26">
        <v>0.03</v>
      </c>
      <c r="G72" s="26">
        <v>0.02</v>
      </c>
    </row>
    <row r="73" spans="2:7" ht="14" customHeight="1" x14ac:dyDescent="0.3">
      <c r="B73" s="4" t="s">
        <v>120</v>
      </c>
      <c r="C73" s="26">
        <v>0</v>
      </c>
      <c r="D73" s="26">
        <v>-0.03</v>
      </c>
      <c r="E73" s="26">
        <v>0</v>
      </c>
      <c r="F73" s="26">
        <v>0.02</v>
      </c>
      <c r="G73" s="26">
        <v>0.02</v>
      </c>
    </row>
    <row r="75" spans="2:7" ht="14" customHeight="1" x14ac:dyDescent="0.3">
      <c r="B75" s="3" t="s">
        <v>87</v>
      </c>
    </row>
    <row r="76" spans="2:7" ht="14" customHeight="1" x14ac:dyDescent="0.3">
      <c r="B76" s="4" t="s">
        <v>80</v>
      </c>
      <c r="C76" s="26">
        <v>0.79500000000000004</v>
      </c>
      <c r="D76" s="26">
        <v>0.79</v>
      </c>
      <c r="E76" s="26">
        <v>0.78800000000000003</v>
      </c>
      <c r="F76" s="26">
        <v>0.78500000000000003</v>
      </c>
      <c r="G76" s="26">
        <v>0.78500000000000003</v>
      </c>
    </row>
    <row r="77" spans="2:7" ht="14" customHeight="1" x14ac:dyDescent="0.3">
      <c r="B77" s="4" t="s">
        <v>117</v>
      </c>
      <c r="C77" s="26">
        <v>0.78500000000000003</v>
      </c>
      <c r="D77" s="26">
        <v>0.78</v>
      </c>
      <c r="E77" s="26">
        <v>0.77500000000000002</v>
      </c>
      <c r="F77" s="26">
        <v>0.77</v>
      </c>
      <c r="G77" s="26">
        <v>0.77</v>
      </c>
    </row>
    <row r="78" spans="2:7" ht="14" customHeight="1" x14ac:dyDescent="0.3">
      <c r="B78" s="4" t="s">
        <v>118</v>
      </c>
      <c r="C78" s="26">
        <v>0.80500000000000005</v>
      </c>
      <c r="D78" s="26">
        <v>0.79800000000000004</v>
      </c>
      <c r="E78" s="26">
        <v>0.79300000000000004</v>
      </c>
      <c r="F78" s="26">
        <v>0.78800000000000003</v>
      </c>
      <c r="G78" s="26">
        <v>0.78500000000000003</v>
      </c>
    </row>
    <row r="79" spans="2:7" ht="14" customHeight="1" x14ac:dyDescent="0.3">
      <c r="B79" s="4" t="s">
        <v>119</v>
      </c>
      <c r="C79" s="26">
        <v>0.81</v>
      </c>
      <c r="D79" s="26">
        <v>0.81499999999999995</v>
      </c>
      <c r="E79" s="26">
        <v>0.81499999999999995</v>
      </c>
      <c r="F79" s="26">
        <v>0.81499999999999995</v>
      </c>
      <c r="G79" s="26">
        <v>0.81499999999999995</v>
      </c>
    </row>
    <row r="80" spans="2:7" ht="14" customHeight="1" x14ac:dyDescent="0.3">
      <c r="B80" s="4" t="s">
        <v>120</v>
      </c>
      <c r="C80" s="26">
        <v>0.83</v>
      </c>
      <c r="D80" s="26">
        <v>0.84</v>
      </c>
      <c r="E80" s="26">
        <v>0.83499999999999996</v>
      </c>
      <c r="F80" s="26">
        <v>0.83</v>
      </c>
      <c r="G80" s="26">
        <v>0.83</v>
      </c>
    </row>
    <row r="82" spans="2:7" ht="14" customHeight="1" x14ac:dyDescent="0.3">
      <c r="B82" s="3" t="s">
        <v>88</v>
      </c>
    </row>
    <row r="83" spans="2:7" ht="14" customHeight="1" x14ac:dyDescent="0.3">
      <c r="B83" s="4" t="s">
        <v>80</v>
      </c>
      <c r="C83" s="26">
        <v>0.115</v>
      </c>
      <c r="D83" s="26">
        <v>0.113</v>
      </c>
      <c r="E83" s="26">
        <v>0.11</v>
      </c>
      <c r="F83" s="26">
        <v>0.108</v>
      </c>
      <c r="G83" s="26">
        <v>0.108</v>
      </c>
    </row>
    <row r="84" spans="2:7" ht="14" customHeight="1" x14ac:dyDescent="0.3">
      <c r="B84" s="4" t="s">
        <v>117</v>
      </c>
      <c r="C84" s="26">
        <v>0.11</v>
      </c>
      <c r="D84" s="26">
        <v>0.105</v>
      </c>
      <c r="E84" s="26">
        <v>0.10199999999999999</v>
      </c>
      <c r="F84" s="26">
        <v>0.1</v>
      </c>
      <c r="G84" s="26">
        <v>9.8000000000000004E-2</v>
      </c>
    </row>
    <row r="85" spans="2:7" ht="14" customHeight="1" x14ac:dyDescent="0.3">
      <c r="B85" s="4" t="s">
        <v>118</v>
      </c>
      <c r="C85" s="26">
        <v>0.11799999999999999</v>
      </c>
      <c r="D85" s="26">
        <v>0.115</v>
      </c>
      <c r="E85" s="26">
        <v>0.112</v>
      </c>
      <c r="F85" s="26">
        <v>0.11</v>
      </c>
      <c r="G85" s="26">
        <v>0.108</v>
      </c>
    </row>
    <row r="86" spans="2:7" ht="14" customHeight="1" x14ac:dyDescent="0.3">
      <c r="B86" s="4" t="s">
        <v>119</v>
      </c>
      <c r="C86" s="26">
        <v>0.125</v>
      </c>
      <c r="D86" s="26">
        <v>0.128</v>
      </c>
      <c r="E86" s="26">
        <v>0.128</v>
      </c>
      <c r="F86" s="26">
        <v>0.127</v>
      </c>
      <c r="G86" s="26">
        <v>0.127</v>
      </c>
    </row>
    <row r="87" spans="2:7" ht="14" customHeight="1" x14ac:dyDescent="0.3">
      <c r="B87" s="4" t="s">
        <v>120</v>
      </c>
      <c r="C87" s="26">
        <v>0.13500000000000001</v>
      </c>
      <c r="D87" s="26">
        <v>0.14000000000000001</v>
      </c>
      <c r="E87" s="26">
        <v>0.13800000000000001</v>
      </c>
      <c r="F87" s="26">
        <v>0.13500000000000001</v>
      </c>
      <c r="G87" s="26">
        <v>0.13500000000000001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89"/>
  <sheetViews>
    <sheetView tabSelected="1" workbookViewId="0"/>
  </sheetViews>
  <sheetFormatPr defaultRowHeight="13" x14ac:dyDescent="0.2"/>
  <cols>
    <col min="1" max="1" width="3" customWidth="1"/>
    <col min="2" max="2" width="52" customWidth="1"/>
    <col min="3" max="9" width="15" customWidth="1"/>
  </cols>
  <sheetData>
    <row r="2" spans="2:9" ht="18" customHeight="1" x14ac:dyDescent="0.4">
      <c r="B2" s="2" t="s">
        <v>121</v>
      </c>
    </row>
    <row r="3" spans="2:9" ht="14" customHeight="1" x14ac:dyDescent="0.3">
      <c r="B3" s="1" t="s">
        <v>122</v>
      </c>
    </row>
    <row r="5" spans="2:9" ht="14" customHeight="1" x14ac:dyDescent="0.3">
      <c r="B5" s="8" t="s">
        <v>123</v>
      </c>
      <c r="C5" s="9"/>
      <c r="D5" s="9"/>
      <c r="E5" s="9"/>
      <c r="F5" s="9"/>
      <c r="G5" s="9"/>
      <c r="H5" s="9"/>
      <c r="I5" s="9"/>
    </row>
    <row r="6" spans="2:9" ht="14" customHeight="1" x14ac:dyDescent="0.3">
      <c r="B6" s="4" t="s">
        <v>124</v>
      </c>
      <c r="C6" s="15">
        <f>'Executive Summary'!C9</f>
        <v>1269</v>
      </c>
    </row>
    <row r="7" spans="2:9" ht="14" customHeight="1" x14ac:dyDescent="0.3">
      <c r="B7" s="4" t="s">
        <v>68</v>
      </c>
      <c r="C7" s="15">
        <f>'DCF Model'!C15</f>
        <v>8860910</v>
      </c>
    </row>
    <row r="8" spans="2:9" ht="14" customHeight="1" x14ac:dyDescent="0.3">
      <c r="B8" s="4" t="s">
        <v>125</v>
      </c>
      <c r="C8" s="5">
        <f>C6*C7/1000000</f>
        <v>11244.494790000001</v>
      </c>
    </row>
    <row r="9" spans="2:9" ht="14" customHeight="1" x14ac:dyDescent="0.3">
      <c r="B9" s="4" t="s">
        <v>69</v>
      </c>
      <c r="C9" s="5">
        <f>'DCF Model'!C16</f>
        <v>-1054</v>
      </c>
    </row>
    <row r="10" spans="2:9" ht="14" customHeight="1" x14ac:dyDescent="0.3">
      <c r="B10" s="4" t="s">
        <v>126</v>
      </c>
      <c r="C10" s="5">
        <f>C8+C9</f>
        <v>10190.494790000001</v>
      </c>
    </row>
    <row r="11" spans="2:9" ht="14" customHeight="1" x14ac:dyDescent="0.3">
      <c r="B11" s="4" t="s">
        <v>127</v>
      </c>
      <c r="C11" s="16">
        <f>'DCF Model'!C26</f>
        <v>0.12115649507526483</v>
      </c>
    </row>
    <row r="12" spans="2:9" ht="14" customHeight="1" x14ac:dyDescent="0.3">
      <c r="B12" s="4" t="s">
        <v>128</v>
      </c>
      <c r="C12" s="16">
        <f>'DCF Model'!C13</f>
        <v>0.01</v>
      </c>
    </row>
    <row r="13" spans="2:9" ht="14" customHeight="1" x14ac:dyDescent="0.3">
      <c r="B13" s="4" t="s">
        <v>129</v>
      </c>
      <c r="C13" s="16">
        <f>'DCF Model'!C6</f>
        <v>0.30599999999999999</v>
      </c>
    </row>
    <row r="14" spans="2:9" ht="14" customHeight="1" x14ac:dyDescent="0.3">
      <c r="B14" s="4" t="s">
        <v>130</v>
      </c>
      <c r="C14" s="27">
        <v>960.1</v>
      </c>
    </row>
    <row r="15" spans="2:9" ht="14" customHeight="1" x14ac:dyDescent="0.3">
      <c r="B15" s="4" t="s">
        <v>131</v>
      </c>
      <c r="C15" s="27">
        <v>1000</v>
      </c>
    </row>
    <row r="16" spans="2:9" ht="14" customHeight="1" x14ac:dyDescent="0.3">
      <c r="B16" s="4" t="s">
        <v>132</v>
      </c>
      <c r="C16" s="5">
        <f>'DCF Model'!G33</f>
        <v>16721.465539595043</v>
      </c>
    </row>
    <row r="17" spans="2:9" ht="14" customHeight="1" x14ac:dyDescent="0.3">
      <c r="B17" s="4" t="s">
        <v>133</v>
      </c>
      <c r="C17" s="5">
        <f>'DCF Model'!C53</f>
        <v>8437.8816180075319</v>
      </c>
    </row>
    <row r="18" spans="2:9" ht="14" customHeight="1" x14ac:dyDescent="0.3">
      <c r="B18" s="4" t="s">
        <v>134</v>
      </c>
      <c r="C18" s="26">
        <v>7.6899999999999996E-2</v>
      </c>
    </row>
    <row r="19" spans="2:9" ht="14" customHeight="1" x14ac:dyDescent="0.3">
      <c r="B19" s="4" t="s">
        <v>135</v>
      </c>
      <c r="C19" s="5">
        <f>C10-C17</f>
        <v>1752.6131719924688</v>
      </c>
    </row>
    <row r="20" spans="2:9" ht="14" customHeight="1" x14ac:dyDescent="0.3">
      <c r="B20" s="4" t="s">
        <v>136</v>
      </c>
      <c r="C20" s="15">
        <f>IFERROR(ROUND(C19*1000000/C7,0),"N/A")</f>
        <v>198</v>
      </c>
    </row>
    <row r="22" spans="2:9" ht="14" customHeight="1" x14ac:dyDescent="0.3">
      <c r="B22" s="8" t="s">
        <v>137</v>
      </c>
      <c r="C22" s="9"/>
      <c r="D22" s="9"/>
      <c r="E22" s="9"/>
      <c r="F22" s="9"/>
      <c r="G22" s="9"/>
      <c r="H22" s="9"/>
      <c r="I22" s="9"/>
    </row>
    <row r="23" spans="2:9" ht="14" customHeight="1" x14ac:dyDescent="0.3">
      <c r="B23" s="1" t="s">
        <v>138</v>
      </c>
    </row>
    <row r="24" spans="2:9" ht="14" customHeight="1" x14ac:dyDescent="0.3">
      <c r="B24" s="4" t="s">
        <v>139</v>
      </c>
      <c r="C24" s="5">
        <f>C10*(C11-C12)</f>
        <v>1132.739683939147</v>
      </c>
    </row>
    <row r="25" spans="2:9" ht="14" customHeight="1" x14ac:dyDescent="0.3">
      <c r="B25" s="4" t="s">
        <v>140</v>
      </c>
      <c r="C25" s="5">
        <f>IFERROR(C24/(1-C13),"N/A")</f>
        <v>1632.1897463100102</v>
      </c>
    </row>
    <row r="26" spans="2:9" ht="13.5" customHeight="1" x14ac:dyDescent="0.25">
      <c r="B26" s="6" t="s">
        <v>141</v>
      </c>
      <c r="C26" s="14">
        <f>IFERROR(C25/C15,"N/A")</f>
        <v>1.6321897463100101</v>
      </c>
    </row>
    <row r="27" spans="2:9" ht="13.5" customHeight="1" x14ac:dyDescent="0.25">
      <c r="B27" s="6" t="s">
        <v>142</v>
      </c>
      <c r="C27" s="14">
        <f>IFERROR(C25/C14,"N/A")</f>
        <v>1.7000205669305386</v>
      </c>
    </row>
    <row r="28" spans="2:9" ht="13.5" customHeight="1" x14ac:dyDescent="0.25">
      <c r="B28" s="6" t="s">
        <v>143</v>
      </c>
      <c r="C28" s="7">
        <f>IFERROR(C25/C16,"N/A")</f>
        <v>9.761044822567258E-2</v>
      </c>
    </row>
    <row r="29" spans="2:9" ht="13.5" customHeight="1" x14ac:dyDescent="0.25">
      <c r="B29" s="6" t="s">
        <v>144</v>
      </c>
      <c r="C29" s="5">
        <f>IFERROR(C25/C18,"N/A")</f>
        <v>21224.834152275816</v>
      </c>
    </row>
    <row r="32" spans="2:9" ht="14" customHeight="1" x14ac:dyDescent="0.3">
      <c r="B32" s="8" t="s">
        <v>145</v>
      </c>
      <c r="C32" s="9"/>
      <c r="D32" s="9"/>
      <c r="E32" s="9"/>
      <c r="F32" s="9"/>
      <c r="G32" s="9"/>
      <c r="H32" s="9"/>
      <c r="I32" s="9"/>
    </row>
    <row r="33" spans="2:9" ht="14" customHeight="1" x14ac:dyDescent="0.3">
      <c r="B33" s="1" t="s">
        <v>146</v>
      </c>
    </row>
    <row r="34" spans="2:9" ht="14" customHeight="1" x14ac:dyDescent="0.3">
      <c r="B34" s="1" t="s">
        <v>147</v>
      </c>
    </row>
    <row r="36" spans="2:9" ht="14" customHeight="1" x14ac:dyDescent="0.3">
      <c r="B36" s="28" t="s">
        <v>148</v>
      </c>
      <c r="C36" s="28" t="s">
        <v>149</v>
      </c>
      <c r="D36" s="29">
        <f>'DCF Model'!C26-0.02</f>
        <v>0.10115649507526482</v>
      </c>
      <c r="E36" s="29">
        <f>'DCF Model'!C26-0.01</f>
        <v>0.11115649507526483</v>
      </c>
      <c r="F36" s="29">
        <f>'DCF Model'!C26</f>
        <v>0.12115649507526483</v>
      </c>
      <c r="G36" s="29">
        <f>'DCF Model'!C26+0.01</f>
        <v>0.13115649507526483</v>
      </c>
      <c r="H36" s="29">
        <f>'DCF Model'!C26+0.02</f>
        <v>0.14115649507526482</v>
      </c>
    </row>
    <row r="37" spans="2:9" ht="14" customHeight="1" x14ac:dyDescent="0.3">
      <c r="B37" s="3" t="s">
        <v>150</v>
      </c>
    </row>
    <row r="38" spans="2:9" ht="14" customHeight="1" x14ac:dyDescent="0.3">
      <c r="B38" s="4" t="s">
        <v>151</v>
      </c>
      <c r="C38" s="30">
        <v>3</v>
      </c>
      <c r="D38" s="13">
        <f t="shared" ref="D38:H41" si="0">IFERROR((1-(1+D$36)^(-$C38))/D$36-(1+D$36)/(D$36^2*$C38)*(1-($C38+1)/(1+D$36)^$C38+$C38/(1+D$36)^($C38+1)),"N/A")</f>
        <v>0.88032783255813718</v>
      </c>
      <c r="E38" s="13">
        <f t="shared" si="0"/>
        <v>0.86995343840505579</v>
      </c>
      <c r="F38" s="13">
        <f t="shared" si="0"/>
        <v>0.85980745649014212</v>
      </c>
      <c r="G38" s="13">
        <f t="shared" si="0"/>
        <v>0.84988268952463875</v>
      </c>
      <c r="H38" s="13">
        <f t="shared" si="0"/>
        <v>0.84017223209038505</v>
      </c>
    </row>
    <row r="39" spans="2:9" ht="14" customHeight="1" x14ac:dyDescent="0.3">
      <c r="B39" s="4" t="s">
        <v>152</v>
      </c>
      <c r="C39" s="30">
        <v>5</v>
      </c>
      <c r="D39" s="13">
        <f t="shared" si="0"/>
        <v>1.6569453977181552</v>
      </c>
      <c r="E39" s="13">
        <f t="shared" si="0"/>
        <v>1.6286937273164512</v>
      </c>
      <c r="F39" s="13">
        <f t="shared" si="0"/>
        <v>1.6012909006435543</v>
      </c>
      <c r="G39" s="13">
        <f t="shared" si="0"/>
        <v>1.5747019644373914</v>
      </c>
      <c r="H39" s="13">
        <f t="shared" si="0"/>
        <v>1.5488937573507437</v>
      </c>
    </row>
    <row r="40" spans="2:9" ht="14" customHeight="1" x14ac:dyDescent="0.3">
      <c r="B40" s="4" t="s">
        <v>153</v>
      </c>
      <c r="C40" s="30">
        <v>7</v>
      </c>
      <c r="D40" s="13">
        <f t="shared" si="0"/>
        <v>2.3435543398368597</v>
      </c>
      <c r="E40" s="13">
        <f t="shared" si="0"/>
        <v>2.2921599129866377</v>
      </c>
      <c r="F40" s="13">
        <f t="shared" si="0"/>
        <v>2.2427004031720696</v>
      </c>
      <c r="G40" s="13">
        <f t="shared" si="0"/>
        <v>2.1950782178512007</v>
      </c>
      <c r="H40" s="13">
        <f t="shared" si="0"/>
        <v>2.149201776032923</v>
      </c>
    </row>
    <row r="41" spans="2:9" ht="14" customHeight="1" x14ac:dyDescent="0.3">
      <c r="B41" s="4" t="s">
        <v>154</v>
      </c>
      <c r="C41" s="30">
        <v>10</v>
      </c>
      <c r="D41" s="13">
        <f t="shared" si="0"/>
        <v>3.2300001854514413</v>
      </c>
      <c r="E41" s="13">
        <f t="shared" si="0"/>
        <v>3.137697343903231</v>
      </c>
      <c r="F41" s="13">
        <f t="shared" si="0"/>
        <v>3.0498510534715169</v>
      </c>
      <c r="G41" s="13">
        <f t="shared" si="0"/>
        <v>2.9661779674395885</v>
      </c>
      <c r="H41" s="13">
        <f t="shared" si="0"/>
        <v>2.8864163848610636</v>
      </c>
    </row>
    <row r="42" spans="2:9" ht="14" customHeight="1" x14ac:dyDescent="0.3">
      <c r="B42" s="3" t="s">
        <v>155</v>
      </c>
    </row>
    <row r="43" spans="2:9" ht="14" customHeight="1" x14ac:dyDescent="0.3">
      <c r="B43" s="4" t="s">
        <v>151</v>
      </c>
      <c r="C43" s="30">
        <v>3</v>
      </c>
      <c r="D43" s="13">
        <f t="shared" ref="D43:H46" si="1">IFERROR((1+D$36)/(D$36^2*$C43)*(1-($C43+1)/(1+D$36)^$C43+$C43/(1+D$36)^($C43+1))+(1+$C$12)/((D$36-$C$12)*(1+D$36)^$C43),"N/A")</f>
        <v>9.8997216365488647</v>
      </c>
      <c r="E43" s="13">
        <f t="shared" si="1"/>
        <v>8.8466844158566236</v>
      </c>
      <c r="F43" s="13">
        <f t="shared" si="1"/>
        <v>7.9847061913210533</v>
      </c>
      <c r="G43" s="13">
        <f t="shared" si="1"/>
        <v>7.2664302529438833</v>
      </c>
      <c r="H43" s="13">
        <f t="shared" si="1"/>
        <v>6.6589445479198135</v>
      </c>
    </row>
    <row r="44" spans="2:9" ht="14" customHeight="1" x14ac:dyDescent="0.3">
      <c r="B44" s="4" t="s">
        <v>152</v>
      </c>
      <c r="C44" s="30">
        <v>5</v>
      </c>
      <c r="D44" s="13">
        <f t="shared" si="1"/>
        <v>8.9663298680613597</v>
      </c>
      <c r="E44" s="13">
        <f t="shared" si="1"/>
        <v>7.9510371005751388</v>
      </c>
      <c r="F44" s="13">
        <f t="shared" si="1"/>
        <v>7.1224488952118623</v>
      </c>
      <c r="G44" s="13">
        <f t="shared" si="1"/>
        <v>6.4341680422378662</v>
      </c>
      <c r="H44" s="13">
        <f t="shared" si="1"/>
        <v>5.8539559463136106</v>
      </c>
    </row>
    <row r="45" spans="2:9" ht="14" customHeight="1" x14ac:dyDescent="0.3">
      <c r="B45" s="4" t="s">
        <v>153</v>
      </c>
      <c r="C45" s="30">
        <v>7</v>
      </c>
      <c r="D45" s="13">
        <f t="shared" si="1"/>
        <v>8.1504274792613298</v>
      </c>
      <c r="E45" s="13">
        <f t="shared" si="1"/>
        <v>7.1766852821034277</v>
      </c>
      <c r="F45" s="13">
        <f t="shared" si="1"/>
        <v>6.3849577446968038</v>
      </c>
      <c r="G45" s="13">
        <f t="shared" si="1"/>
        <v>5.7298201789404306</v>
      </c>
      <c r="H45" s="13">
        <f t="shared" si="1"/>
        <v>5.1797236023281998</v>
      </c>
    </row>
    <row r="46" spans="2:9" ht="14" customHeight="1" x14ac:dyDescent="0.3">
      <c r="B46" s="4" t="s">
        <v>154</v>
      </c>
      <c r="C46" s="30">
        <v>10</v>
      </c>
      <c r="D46" s="13">
        <f t="shared" si="1"/>
        <v>7.1112656673760375</v>
      </c>
      <c r="E46" s="13">
        <f t="shared" si="1"/>
        <v>6.2030527802731275</v>
      </c>
      <c r="F46" s="13">
        <f t="shared" si="1"/>
        <v>5.469227618205152</v>
      </c>
      <c r="G46" s="13">
        <f t="shared" si="1"/>
        <v>4.8658689237188861</v>
      </c>
      <c r="H46" s="13">
        <f t="shared" si="1"/>
        <v>4.3625089655448885</v>
      </c>
    </row>
    <row r="47" spans="2:9" ht="14" customHeight="1" x14ac:dyDescent="0.3">
      <c r="B47" s="22" t="s">
        <v>156</v>
      </c>
      <c r="C47" s="23"/>
      <c r="D47" s="23"/>
      <c r="E47" s="23"/>
      <c r="F47" s="23"/>
      <c r="G47" s="23"/>
      <c r="H47" s="23"/>
      <c r="I47" s="23"/>
    </row>
    <row r="48" spans="2:9" ht="14" customHeight="1" x14ac:dyDescent="0.3">
      <c r="B48" s="4" t="s">
        <v>151</v>
      </c>
      <c r="C48" s="30">
        <v>3</v>
      </c>
      <c r="D48" s="5">
        <f t="shared" ref="D48:H51" si="2">IFERROR(($C$10/(1-$C$13)-$C$14*D38)/D43,"N/A")</f>
        <v>1397.868326814013</v>
      </c>
      <c r="E48" s="5">
        <f t="shared" si="2"/>
        <v>1565.3850781668773</v>
      </c>
      <c r="F48" s="5">
        <f t="shared" si="2"/>
        <v>1735.5940971419905</v>
      </c>
      <c r="G48" s="5">
        <f t="shared" si="2"/>
        <v>1908.4663609363351</v>
      </c>
      <c r="H48" s="5">
        <f t="shared" si="2"/>
        <v>2083.973009859526</v>
      </c>
    </row>
    <row r="49" spans="2:9" ht="14" customHeight="1" x14ac:dyDescent="0.3">
      <c r="B49" s="4" t="s">
        <v>152</v>
      </c>
      <c r="C49" s="30">
        <v>5</v>
      </c>
      <c r="D49" s="5">
        <f t="shared" si="2"/>
        <v>1460.2269812015923</v>
      </c>
      <c r="E49" s="5">
        <f t="shared" si="2"/>
        <v>1650.0993591767483</v>
      </c>
      <c r="F49" s="5">
        <f t="shared" si="2"/>
        <v>1845.757108510245</v>
      </c>
      <c r="G49" s="5">
        <f t="shared" si="2"/>
        <v>2047.170454598273</v>
      </c>
      <c r="H49" s="5">
        <f t="shared" si="2"/>
        <v>2254.3075651131126</v>
      </c>
    </row>
    <row r="50" spans="2:9" ht="14" customHeight="1" x14ac:dyDescent="0.3">
      <c r="B50" s="4" t="s">
        <v>153</v>
      </c>
      <c r="C50" s="30">
        <v>7</v>
      </c>
      <c r="D50" s="5">
        <f t="shared" si="2"/>
        <v>1525.5228737395748</v>
      </c>
      <c r="E50" s="5">
        <f t="shared" si="2"/>
        <v>1739.3834129408797</v>
      </c>
      <c r="F50" s="5">
        <f t="shared" si="2"/>
        <v>1962.5021677501531</v>
      </c>
      <c r="G50" s="5">
        <f t="shared" si="2"/>
        <v>2194.8708829136053</v>
      </c>
      <c r="H50" s="5">
        <f t="shared" si="2"/>
        <v>2436.4739155587963</v>
      </c>
    </row>
    <row r="51" spans="2:9" ht="14" customHeight="1" x14ac:dyDescent="0.3">
      <c r="B51" s="4" t="s">
        <v>154</v>
      </c>
      <c r="C51" s="30">
        <v>10</v>
      </c>
      <c r="D51" s="5">
        <f t="shared" si="2"/>
        <v>1628.7658815969962</v>
      </c>
      <c r="E51" s="5">
        <f t="shared" si="2"/>
        <v>1881.5262848127375</v>
      </c>
      <c r="F51" s="5">
        <f t="shared" si="2"/>
        <v>2149.3982141971906</v>
      </c>
      <c r="G51" s="5">
        <f t="shared" si="2"/>
        <v>2432.4293956651495</v>
      </c>
      <c r="H51" s="5">
        <f t="shared" si="2"/>
        <v>2730.6446347791302</v>
      </c>
    </row>
    <row r="52" spans="2:9" ht="14" customHeight="1" x14ac:dyDescent="0.3">
      <c r="B52" s="22" t="s">
        <v>157</v>
      </c>
      <c r="C52" s="23"/>
      <c r="D52" s="23"/>
      <c r="E52" s="23"/>
      <c r="F52" s="23"/>
      <c r="G52" s="23"/>
      <c r="H52" s="23"/>
      <c r="I52" s="23"/>
    </row>
    <row r="53" spans="2:9" ht="14" customHeight="1" x14ac:dyDescent="0.3">
      <c r="B53" s="4" t="s">
        <v>151</v>
      </c>
      <c r="C53" s="30">
        <v>3</v>
      </c>
      <c r="D53" s="14">
        <f t="shared" ref="D53:H56" si="3">IFERROR(D48/$C$15,"N/A")</f>
        <v>1.3978683268140131</v>
      </c>
      <c r="E53" s="14">
        <f t="shared" si="3"/>
        <v>1.5653850781668772</v>
      </c>
      <c r="F53" s="14">
        <f t="shared" si="3"/>
        <v>1.7355940971419905</v>
      </c>
      <c r="G53" s="14">
        <f t="shared" si="3"/>
        <v>1.9084663609363353</v>
      </c>
      <c r="H53" s="14">
        <f t="shared" si="3"/>
        <v>2.0839730098595259</v>
      </c>
    </row>
    <row r="54" spans="2:9" ht="14" customHeight="1" x14ac:dyDescent="0.3">
      <c r="B54" s="4" t="s">
        <v>152</v>
      </c>
      <c r="C54" s="30">
        <v>5</v>
      </c>
      <c r="D54" s="14">
        <f t="shared" si="3"/>
        <v>1.4602269812015922</v>
      </c>
      <c r="E54" s="14">
        <f t="shared" si="3"/>
        <v>1.6500993591767483</v>
      </c>
      <c r="F54" s="14">
        <f t="shared" si="3"/>
        <v>1.8457571085102449</v>
      </c>
      <c r="G54" s="14">
        <f t="shared" si="3"/>
        <v>2.0471704545982727</v>
      </c>
      <c r="H54" s="14">
        <f t="shared" si="3"/>
        <v>2.2543075651131126</v>
      </c>
    </row>
    <row r="55" spans="2:9" ht="14" customHeight="1" x14ac:dyDescent="0.3">
      <c r="B55" s="4" t="s">
        <v>153</v>
      </c>
      <c r="C55" s="30">
        <v>7</v>
      </c>
      <c r="D55" s="14">
        <f t="shared" si="3"/>
        <v>1.5255228737395747</v>
      </c>
      <c r="E55" s="14">
        <f t="shared" si="3"/>
        <v>1.7393834129408796</v>
      </c>
      <c r="F55" s="14">
        <f t="shared" si="3"/>
        <v>1.9625021677501531</v>
      </c>
      <c r="G55" s="14">
        <f t="shared" si="3"/>
        <v>2.1948708829136052</v>
      </c>
      <c r="H55" s="14">
        <f t="shared" si="3"/>
        <v>2.4364739155587962</v>
      </c>
    </row>
    <row r="56" spans="2:9" ht="14" customHeight="1" x14ac:dyDescent="0.3">
      <c r="B56" s="4" t="s">
        <v>154</v>
      </c>
      <c r="C56" s="30">
        <v>10</v>
      </c>
      <c r="D56" s="14">
        <f t="shared" si="3"/>
        <v>1.6287658815969963</v>
      </c>
      <c r="E56" s="14">
        <f t="shared" si="3"/>
        <v>1.8815262848127374</v>
      </c>
      <c r="F56" s="14">
        <f t="shared" si="3"/>
        <v>2.1493982141971903</v>
      </c>
      <c r="G56" s="14">
        <f t="shared" si="3"/>
        <v>2.4324293956651495</v>
      </c>
      <c r="H56" s="14">
        <f t="shared" si="3"/>
        <v>2.7306446347791304</v>
      </c>
    </row>
    <row r="58" spans="2:9" ht="14" customHeight="1" x14ac:dyDescent="0.3">
      <c r="B58" s="8" t="s">
        <v>158</v>
      </c>
      <c r="C58" s="9"/>
      <c r="D58" s="9"/>
      <c r="E58" s="9"/>
      <c r="F58" s="9"/>
      <c r="G58" s="9"/>
      <c r="H58" s="9"/>
      <c r="I58" s="9"/>
    </row>
    <row r="59" spans="2:9" ht="14" customHeight="1" x14ac:dyDescent="0.3">
      <c r="B59" s="1" t="s">
        <v>159</v>
      </c>
    </row>
    <row r="60" spans="2:9" ht="14" customHeight="1" x14ac:dyDescent="0.3">
      <c r="B60" s="4" t="s">
        <v>160</v>
      </c>
      <c r="C60" s="5">
        <f>F49</f>
        <v>1845.757108510245</v>
      </c>
    </row>
    <row r="62" spans="2:9" ht="14" customHeight="1" x14ac:dyDescent="0.3">
      <c r="B62" s="28" t="s">
        <v>161</v>
      </c>
      <c r="C62" s="28" t="s">
        <v>162</v>
      </c>
      <c r="D62" s="28" t="s">
        <v>163</v>
      </c>
    </row>
    <row r="63" spans="2:9" ht="14" customHeight="1" x14ac:dyDescent="0.3">
      <c r="B63" s="31">
        <v>6.7000000000000004E-2</v>
      </c>
      <c r="C63" s="5">
        <f>IFERROR($C$60/B63,"N/A")</f>
        <v>27548.613559854402</v>
      </c>
      <c r="D63" s="14">
        <f>IFERROR(C63/'DCF Model'!C17,"N/A")</f>
        <v>2.4728567699413309</v>
      </c>
    </row>
    <row r="64" spans="2:9" ht="14" customHeight="1" x14ac:dyDescent="0.3">
      <c r="B64" s="31">
        <v>8.3199999999999996E-2</v>
      </c>
      <c r="C64" s="5">
        <f>IFERROR($C$60/B64,"N/A")</f>
        <v>22184.580631132754</v>
      </c>
      <c r="D64" s="14">
        <f>IFERROR(C64/'DCF Model'!C17,"N/A")</f>
        <v>1.9913630238710238</v>
      </c>
    </row>
    <row r="65" spans="2:9" ht="14" customHeight="1" x14ac:dyDescent="0.3">
      <c r="B65" s="31">
        <v>0.104</v>
      </c>
      <c r="C65" s="5">
        <f>IFERROR($C$60/B65,"N/A")</f>
        <v>17747.664504906203</v>
      </c>
      <c r="D65" s="14">
        <f>IFERROR(C65/'DCF Model'!C17,"N/A")</f>
        <v>1.5930904190968191</v>
      </c>
    </row>
    <row r="66" spans="2:9" ht="14" customHeight="1" x14ac:dyDescent="0.3">
      <c r="B66" s="31">
        <v>0.128</v>
      </c>
      <c r="C66" s="5">
        <f>IFERROR($C$60/B66,"N/A")</f>
        <v>14419.977410236288</v>
      </c>
      <c r="D66" s="14">
        <f>IFERROR(C66/'DCF Model'!C17,"N/A")</f>
        <v>1.2943859655161654</v>
      </c>
    </row>
    <row r="67" spans="2:9" ht="14" customHeight="1" x14ac:dyDescent="0.3">
      <c r="B67" s="4" t="s">
        <v>164</v>
      </c>
      <c r="C67" s="5">
        <f>IFERROR($C$60/$C$18,"N/A")</f>
        <v>24002.043023540249</v>
      </c>
      <c r="D67" s="14">
        <f>IFERROR(C67/'DCF Model'!C17,"N/A")</f>
        <v>2.1545045979982991</v>
      </c>
    </row>
    <row r="69" spans="2:9" ht="14" customHeight="1" x14ac:dyDescent="0.3">
      <c r="B69" s="8" t="s">
        <v>165</v>
      </c>
      <c r="C69" s="9"/>
      <c r="D69" s="9"/>
      <c r="E69" s="9"/>
      <c r="F69" s="9"/>
      <c r="G69" s="9"/>
      <c r="H69" s="9"/>
      <c r="I69" s="9"/>
    </row>
    <row r="70" spans="2:9" ht="13.5" customHeight="1" x14ac:dyDescent="0.25">
      <c r="B70" s="6" t="s">
        <v>166</v>
      </c>
      <c r="C70" s="14">
        <f>IFERROR(C10/'Comps Analysis'!G5,"N/A")</f>
        <v>12.488351458333334</v>
      </c>
    </row>
    <row r="71" spans="2:9" ht="13.5" customHeight="1" x14ac:dyDescent="0.25">
      <c r="B71" s="6" t="s">
        <v>167</v>
      </c>
      <c r="C71" s="14">
        <f>IFERROR(C10/'Comps Analysis'!F5,"N/A")</f>
        <v>0.91476613913824067</v>
      </c>
    </row>
    <row r="72" spans="2:9" ht="14" customHeight="1" x14ac:dyDescent="0.3">
      <c r="B72" s="4" t="s">
        <v>168</v>
      </c>
      <c r="C72" s="14">
        <f>IFERROR(C10/(C25+'DCF Model'!G42),"N/A")</f>
        <v>5.9858879589955389</v>
      </c>
    </row>
    <row r="73" spans="2:9" ht="14" customHeight="1" x14ac:dyDescent="0.3">
      <c r="B73" s="4" t="s">
        <v>169</v>
      </c>
      <c r="C73" s="14">
        <f>IFERROR(C10/(C60+'DCF Model'!G42),"N/A")</f>
        <v>5.3186652033969306</v>
      </c>
    </row>
    <row r="74" spans="2:9" ht="14" customHeight="1" x14ac:dyDescent="0.3">
      <c r="B74" s="4" t="s">
        <v>170</v>
      </c>
      <c r="C74" s="14">
        <f>IFERROR('Comps Analysis'!D16,"N/A")</f>
        <v>8.3996313364055304</v>
      </c>
    </row>
    <row r="75" spans="2:9" ht="14" customHeight="1" x14ac:dyDescent="0.3">
      <c r="B75" s="1" t="s">
        <v>171</v>
      </c>
    </row>
    <row r="77" spans="2:9" ht="14" customHeight="1" x14ac:dyDescent="0.3">
      <c r="B77" s="8" t="s">
        <v>172</v>
      </c>
      <c r="C77" s="9"/>
      <c r="D77" s="9"/>
      <c r="E77" s="9"/>
      <c r="F77" s="9"/>
      <c r="G77" s="9"/>
      <c r="H77" s="9"/>
      <c r="I77" s="9"/>
    </row>
    <row r="78" spans="2:9" ht="13.5" customHeight="1" x14ac:dyDescent="0.25">
      <c r="B78" s="6" t="s">
        <v>173</v>
      </c>
      <c r="C78" s="14">
        <f>IFERROR('Comps Analysis'!J6,"N/A")</f>
        <v>9.4216809065018481</v>
      </c>
    </row>
    <row r="79" spans="2:9" ht="13.5" customHeight="1" x14ac:dyDescent="0.25">
      <c r="B79" s="6" t="s">
        <v>174</v>
      </c>
      <c r="C79" s="14">
        <f>IFERROR('Comps Analysis'!K6,"N/A")</f>
        <v>0.89087898424921652</v>
      </c>
    </row>
    <row r="80" spans="2:9" ht="14" customHeight="1" x14ac:dyDescent="0.3">
      <c r="B80" s="4" t="s">
        <v>175</v>
      </c>
      <c r="C80" s="15">
        <f>IFERROR(ROUND(('Comps Analysis'!G5*'Comps Analysis'!J6-C9)*1000000/C7,0),"N/A")</f>
        <v>987</v>
      </c>
    </row>
    <row r="81" spans="2:9" ht="14" customHeight="1" x14ac:dyDescent="0.3">
      <c r="B81" s="4" t="s">
        <v>176</v>
      </c>
      <c r="C81" s="15">
        <f>IFERROR(ROUND(('Comps Analysis'!F5*'Comps Analysis'!K6-C9)*1000000/C7,0),"N/A")</f>
        <v>1239</v>
      </c>
    </row>
    <row r="83" spans="2:9" ht="14" customHeight="1" x14ac:dyDescent="0.3">
      <c r="B83" s="1" t="s">
        <v>177</v>
      </c>
    </row>
    <row r="84" spans="2:9" ht="14" customHeight="1" x14ac:dyDescent="0.3">
      <c r="B84" s="1" t="s">
        <v>178</v>
      </c>
    </row>
    <row r="85" spans="2:9" ht="14" customHeight="1" x14ac:dyDescent="0.3">
      <c r="B85" s="1" t="s">
        <v>179</v>
      </c>
    </row>
    <row r="87" spans="2:9" ht="14" customHeight="1" x14ac:dyDescent="0.3">
      <c r="B87" s="22" t="s">
        <v>180</v>
      </c>
      <c r="C87" s="23"/>
      <c r="D87" s="23"/>
      <c r="E87" s="23"/>
      <c r="F87" s="23"/>
      <c r="G87" s="23"/>
      <c r="H87" s="23"/>
      <c r="I87" s="23"/>
    </row>
    <row r="88" spans="2:9" ht="14" customHeight="1" x14ac:dyDescent="0.3">
      <c r="B88" s="4" t="str">
        <f>"At "&amp;TEXT(C6,"#,##0")&amp;" yen the market is paying for a steady-state operating profit of "&amp;TEXT(F49,"#,##0")&amp;" mn JPY - "&amp;TEXT(F54,"0.00")&amp;"x the FY2027/1 会社予想 cycle peak of "&amp;TEXT(C15,"#,##0")&amp;" mn - reached in 5 years and sustained for ever, against "&amp;TEXT(C14,"#,##0")&amp;" mn actually earned in LTM (2025/05-2026/04)."</f>
        <v>At 1,269 yen the market is paying for a steady-state operating profit of 1,846 mn JPY - 1.85x the FY2027/1 会社予想 cycle peak of 1,000 mn - reached in 5 years and sustained for ever, against 960 mn actually earned in LTM (2025/05-2026/04).</v>
      </c>
    </row>
    <row r="89" spans="2:9" ht="14" customHeight="1" x14ac:dyDescent="0.3">
      <c r="B8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1,632 mn, or 1.63x the peak. The base case supports an EV of only 8,438 mn, leaving 198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181</v>
      </c>
    </row>
    <row r="4" spans="2:8" ht="14" customHeight="1" x14ac:dyDescent="0.3">
      <c r="B4" s="8" t="s">
        <v>182</v>
      </c>
      <c r="C4" s="32" t="s">
        <v>183</v>
      </c>
      <c r="D4" s="32" t="s">
        <v>82</v>
      </c>
      <c r="E4" s="32" t="s">
        <v>83</v>
      </c>
      <c r="F4" s="32" t="s">
        <v>84</v>
      </c>
      <c r="G4" s="32" t="s">
        <v>85</v>
      </c>
      <c r="H4" s="32" t="s">
        <v>86</v>
      </c>
    </row>
    <row r="5" spans="2:8" ht="14" customHeight="1" x14ac:dyDescent="0.3">
      <c r="B5" s="33" t="s">
        <v>184</v>
      </c>
      <c r="C5" s="34">
        <f>C12/C9*365</f>
        <v>130.28459480808587</v>
      </c>
      <c r="D5" s="34">
        <f>CHOOSE('DCF Model'!$D$27,D25,D26,D27,D28,D29)</f>
        <v>130</v>
      </c>
      <c r="E5" s="34">
        <f>CHOOSE('DCF Model'!$D$27,E25,E26,E27,E28,E29)</f>
        <v>130</v>
      </c>
      <c r="F5" s="34">
        <f>CHOOSE('DCF Model'!$D$27,F25,F26,F27,F28,F29)</f>
        <v>130</v>
      </c>
      <c r="G5" s="34">
        <f>CHOOSE('DCF Model'!$D$27,G25,G26,G27,G28,G29)</f>
        <v>130</v>
      </c>
      <c r="H5" s="34">
        <f>CHOOSE('DCF Model'!$D$27,H25,H26,H27,H28,H29)</f>
        <v>130</v>
      </c>
    </row>
    <row r="6" spans="2:8" ht="14" customHeight="1" x14ac:dyDescent="0.3">
      <c r="B6" s="33" t="s">
        <v>185</v>
      </c>
      <c r="C6" s="34">
        <f>C13/C10*365</f>
        <v>3.3823628521364069</v>
      </c>
      <c r="D6" s="34">
        <f>CHOOSE('DCF Model'!$D$27,D32,D33,D34,D35,D36)</f>
        <v>3.5</v>
      </c>
      <c r="E6" s="34">
        <f>CHOOSE('DCF Model'!$D$27,E32,E33,E34,E35,E36)</f>
        <v>3.5</v>
      </c>
      <c r="F6" s="34">
        <f>CHOOSE('DCF Model'!$D$27,F32,F33,F34,F35,F36)</f>
        <v>3.5</v>
      </c>
      <c r="G6" s="34">
        <f>CHOOSE('DCF Model'!$D$27,G32,G33,G34,G35,G36)</f>
        <v>3.5</v>
      </c>
      <c r="H6" s="34">
        <f>CHOOSE('DCF Model'!$D$27,H32,H33,H34,H35,H36)</f>
        <v>3.5</v>
      </c>
    </row>
    <row r="7" spans="2:8" ht="14" customHeight="1" x14ac:dyDescent="0.3">
      <c r="B7" s="33" t="s">
        <v>186</v>
      </c>
      <c r="C7" s="34">
        <f>C15/C10*365</f>
        <v>50.805139955968919</v>
      </c>
      <c r="D7" s="34">
        <f>CHOOSE('DCF Model'!$D$27,D39,D40,D41,D42,D43)</f>
        <v>51</v>
      </c>
      <c r="E7" s="34">
        <f>CHOOSE('DCF Model'!$D$27,E39,E40,E41,E42,E43)</f>
        <v>51</v>
      </c>
      <c r="F7" s="34">
        <f>CHOOSE('DCF Model'!$D$27,F39,F40,F41,F42,F43)</f>
        <v>51</v>
      </c>
      <c r="G7" s="34">
        <f>CHOOSE('DCF Model'!$D$27,G39,G40,G41,G42,G43)</f>
        <v>51</v>
      </c>
      <c r="H7" s="34">
        <f>CHOOSE('DCF Model'!$D$27,H39,H40,H41,H42,H43)</f>
        <v>51</v>
      </c>
    </row>
    <row r="8" spans="2:8" ht="14" customHeight="1" x14ac:dyDescent="0.3">
      <c r="B8" s="8" t="s">
        <v>187</v>
      </c>
      <c r="C8" s="9"/>
      <c r="D8" s="9"/>
      <c r="E8" s="9"/>
      <c r="F8" s="9"/>
      <c r="G8" s="9"/>
      <c r="H8" s="9"/>
    </row>
    <row r="9" spans="2:8" ht="14" customHeight="1" x14ac:dyDescent="0.3">
      <c r="B9" s="33" t="s">
        <v>34</v>
      </c>
      <c r="C9" s="35">
        <v>11140.4</v>
      </c>
      <c r="D9" s="35">
        <f>'DCF Model'!C33</f>
        <v>13000.846799999999</v>
      </c>
      <c r="E9" s="35">
        <f>'DCF Model'!D33</f>
        <v>14040.914544000001</v>
      </c>
      <c r="F9" s="35">
        <f>'DCF Model'!E33</f>
        <v>15023.778562080002</v>
      </c>
      <c r="G9" s="35">
        <f>'DCF Model'!F33</f>
        <v>15925.205275804803</v>
      </c>
      <c r="H9" s="35">
        <f>'DCF Model'!G33</f>
        <v>16721.465539595043</v>
      </c>
    </row>
    <row r="10" spans="2:8" ht="14" customHeight="1" x14ac:dyDescent="0.3">
      <c r="B10" s="33" t="s">
        <v>35</v>
      </c>
      <c r="C10" s="35">
        <v>8902.7999999999993</v>
      </c>
      <c r="D10" s="35">
        <f>'DCF Model'!C34</f>
        <v>10335.673205999999</v>
      </c>
      <c r="E10" s="35">
        <f>'DCF Model'!D34</f>
        <v>11092.322489760001</v>
      </c>
      <c r="F10" s="35">
        <f>'DCF Model'!E34</f>
        <v>11838.737506919042</v>
      </c>
      <c r="G10" s="35">
        <f>'DCF Model'!F34</f>
        <v>12501.286141506771</v>
      </c>
      <c r="H10" s="35">
        <f>'DCF Model'!G34</f>
        <v>13126.350448582109</v>
      </c>
    </row>
    <row r="11" spans="2:8" ht="14" customHeight="1" x14ac:dyDescent="0.3">
      <c r="B11" s="8" t="s">
        <v>188</v>
      </c>
      <c r="C11" s="9"/>
      <c r="D11" s="9"/>
      <c r="E11" s="9"/>
      <c r="F11" s="9"/>
      <c r="G11" s="9"/>
      <c r="H11" s="9"/>
    </row>
    <row r="12" spans="2:8" ht="14" customHeight="1" x14ac:dyDescent="0.3">
      <c r="B12" s="33" t="s">
        <v>189</v>
      </c>
      <c r="C12" s="35">
        <v>3976.5</v>
      </c>
      <c r="D12" s="35">
        <f t="shared" ref="D12:H13" si="0">D9*D5/365</f>
        <v>4630.4385863013695</v>
      </c>
      <c r="E12" s="35">
        <f t="shared" si="0"/>
        <v>5000.8736732054804</v>
      </c>
      <c r="F12" s="35">
        <f t="shared" si="0"/>
        <v>5350.9348303298639</v>
      </c>
      <c r="G12" s="35">
        <f t="shared" si="0"/>
        <v>5671.9909201496557</v>
      </c>
      <c r="H12" s="35">
        <f t="shared" si="0"/>
        <v>5955.5904661571394</v>
      </c>
    </row>
    <row r="13" spans="2:8" ht="14" customHeight="1" x14ac:dyDescent="0.3">
      <c r="B13" s="33" t="s">
        <v>190</v>
      </c>
      <c r="C13" s="35">
        <v>82.5</v>
      </c>
      <c r="D13" s="35">
        <f t="shared" si="0"/>
        <v>99.109195126027387</v>
      </c>
      <c r="E13" s="35">
        <f t="shared" si="0"/>
        <v>106.3647362031781</v>
      </c>
      <c r="F13" s="35">
        <f t="shared" si="0"/>
        <v>113.52214047730588</v>
      </c>
      <c r="G13" s="35">
        <f t="shared" si="0"/>
        <v>119.87534656239369</v>
      </c>
      <c r="H13" s="35">
        <f t="shared" si="0"/>
        <v>125.86911389051338</v>
      </c>
    </row>
    <row r="14" spans="2:8" ht="14" customHeight="1" x14ac:dyDescent="0.3">
      <c r="B14" s="33" t="s">
        <v>191</v>
      </c>
      <c r="C14" s="35">
        <f t="shared" ref="C14:H14" si="1">C12+C13</f>
        <v>4059</v>
      </c>
      <c r="D14" s="35">
        <f t="shared" si="1"/>
        <v>4729.5477814273972</v>
      </c>
      <c r="E14" s="35">
        <f t="shared" si="1"/>
        <v>5107.2384094086583</v>
      </c>
      <c r="F14" s="35">
        <f t="shared" si="1"/>
        <v>5464.4569708071695</v>
      </c>
      <c r="G14" s="35">
        <f t="shared" si="1"/>
        <v>5791.8662667120498</v>
      </c>
      <c r="H14" s="35">
        <f t="shared" si="1"/>
        <v>6081.4595800476527</v>
      </c>
    </row>
    <row r="15" spans="2:8" ht="14" customHeight="1" x14ac:dyDescent="0.3">
      <c r="B15" s="33" t="s">
        <v>192</v>
      </c>
      <c r="C15" s="35">
        <v>1239.2</v>
      </c>
      <c r="D15" s="35">
        <f>D10*D7/365</f>
        <v>1444.1625575506848</v>
      </c>
      <c r="E15" s="35">
        <f>E10*E7/365</f>
        <v>1549.8861561034523</v>
      </c>
      <c r="F15" s="35">
        <f>F10*F7/365</f>
        <v>1654.1797612407429</v>
      </c>
      <c r="G15" s="35">
        <f>G10*G7/365</f>
        <v>1746.7550499091651</v>
      </c>
      <c r="H15" s="35">
        <f>H10*H7/365</f>
        <v>1834.0928024046234</v>
      </c>
    </row>
    <row r="16" spans="2:8" ht="14" customHeight="1" x14ac:dyDescent="0.3">
      <c r="B16" s="33" t="s">
        <v>193</v>
      </c>
      <c r="C16" s="35">
        <f t="shared" ref="C16:H16" si="2">C15</f>
        <v>1239.2</v>
      </c>
      <c r="D16" s="35">
        <f t="shared" si="2"/>
        <v>1444.1625575506848</v>
      </c>
      <c r="E16" s="35">
        <f t="shared" si="2"/>
        <v>1549.8861561034523</v>
      </c>
      <c r="F16" s="35">
        <f t="shared" si="2"/>
        <v>1654.1797612407429</v>
      </c>
      <c r="G16" s="35">
        <f t="shared" si="2"/>
        <v>1746.7550499091651</v>
      </c>
      <c r="H16" s="35">
        <f t="shared" si="2"/>
        <v>1834.0928024046234</v>
      </c>
    </row>
    <row r="17" spans="2:8" ht="14" customHeight="1" x14ac:dyDescent="0.3">
      <c r="B17" s="22" t="s">
        <v>194</v>
      </c>
      <c r="C17" s="23"/>
      <c r="D17" s="23"/>
      <c r="E17" s="23"/>
      <c r="F17" s="23"/>
      <c r="G17" s="23"/>
      <c r="H17" s="23"/>
    </row>
    <row r="18" spans="2:8" ht="14" customHeight="1" x14ac:dyDescent="0.3">
      <c r="B18" s="33" t="s">
        <v>195</v>
      </c>
      <c r="C18" s="20">
        <f t="shared" ref="C18:H18" si="3">C14-C16</f>
        <v>2819.8</v>
      </c>
      <c r="D18" s="20">
        <f t="shared" si="3"/>
        <v>3285.3852238767122</v>
      </c>
      <c r="E18" s="20">
        <f t="shared" si="3"/>
        <v>3557.352253305206</v>
      </c>
      <c r="F18" s="20">
        <f t="shared" si="3"/>
        <v>3810.2772095664268</v>
      </c>
      <c r="G18" s="20">
        <f t="shared" si="3"/>
        <v>4045.1112168028849</v>
      </c>
      <c r="H18" s="20">
        <f t="shared" si="3"/>
        <v>4247.3667776430293</v>
      </c>
    </row>
    <row r="19" spans="2:8" ht="14" customHeight="1" x14ac:dyDescent="0.3">
      <c r="B19" s="33" t="s">
        <v>96</v>
      </c>
      <c r="C19" s="36" t="s">
        <v>44</v>
      </c>
      <c r="D19" s="24">
        <f>D18-C18</f>
        <v>465.58522387671201</v>
      </c>
      <c r="E19" s="24">
        <f>E18-D18</f>
        <v>271.96702942849379</v>
      </c>
      <c r="F19" s="24">
        <f>F18-E18</f>
        <v>252.92495626122081</v>
      </c>
      <c r="G19" s="24">
        <f>G18-F18</f>
        <v>234.83400723645809</v>
      </c>
      <c r="H19" s="24">
        <f>H18-G18</f>
        <v>202.25556084014443</v>
      </c>
    </row>
    <row r="22" spans="2:8" ht="14" customHeight="1" x14ac:dyDescent="0.3">
      <c r="B22" s="22" t="s">
        <v>196</v>
      </c>
      <c r="C22" s="23"/>
      <c r="D22" s="23"/>
      <c r="E22" s="23"/>
      <c r="F22" s="23"/>
      <c r="G22" s="23"/>
      <c r="H22" s="23"/>
    </row>
    <row r="23" spans="2:8" ht="14" customHeight="1" x14ac:dyDescent="0.3">
      <c r="D23" s="25" t="s">
        <v>82</v>
      </c>
      <c r="E23" s="25" t="s">
        <v>83</v>
      </c>
      <c r="F23" s="25" t="s">
        <v>84</v>
      </c>
      <c r="G23" s="25" t="s">
        <v>85</v>
      </c>
      <c r="H23" s="25" t="s">
        <v>86</v>
      </c>
    </row>
    <row r="24" spans="2:8" ht="14" customHeight="1" x14ac:dyDescent="0.3">
      <c r="B24" s="3" t="s">
        <v>197</v>
      </c>
    </row>
    <row r="25" spans="2:8" ht="14" customHeight="1" x14ac:dyDescent="0.3">
      <c r="B25" s="4" t="s">
        <v>80</v>
      </c>
      <c r="D25" s="30">
        <v>130</v>
      </c>
      <c r="E25" s="30">
        <v>130</v>
      </c>
      <c r="F25" s="30">
        <v>130</v>
      </c>
      <c r="G25" s="30">
        <v>130</v>
      </c>
      <c r="H25" s="30">
        <v>130</v>
      </c>
    </row>
    <row r="26" spans="2:8" ht="14" customHeight="1" x14ac:dyDescent="0.3">
      <c r="B26" s="4" t="s">
        <v>117</v>
      </c>
      <c r="D26" s="30">
        <v>120</v>
      </c>
      <c r="E26" s="30">
        <v>120</v>
      </c>
      <c r="F26" s="30">
        <v>120</v>
      </c>
      <c r="G26" s="30">
        <v>120</v>
      </c>
      <c r="H26" s="30">
        <v>120</v>
      </c>
    </row>
    <row r="27" spans="2:8" ht="14" customHeight="1" x14ac:dyDescent="0.3">
      <c r="B27" s="4" t="s">
        <v>118</v>
      </c>
      <c r="D27" s="30">
        <v>130</v>
      </c>
      <c r="E27" s="30">
        <v>130</v>
      </c>
      <c r="F27" s="30">
        <v>130</v>
      </c>
      <c r="G27" s="30">
        <v>130</v>
      </c>
      <c r="H27" s="30">
        <v>130</v>
      </c>
    </row>
    <row r="28" spans="2:8" ht="14" customHeight="1" x14ac:dyDescent="0.3">
      <c r="B28" s="4" t="s">
        <v>119</v>
      </c>
      <c r="D28" s="30">
        <v>145</v>
      </c>
      <c r="E28" s="30">
        <v>145</v>
      </c>
      <c r="F28" s="30">
        <v>145</v>
      </c>
      <c r="G28" s="30">
        <v>145</v>
      </c>
      <c r="H28" s="30">
        <v>145</v>
      </c>
    </row>
    <row r="29" spans="2:8" ht="14" customHeight="1" x14ac:dyDescent="0.3">
      <c r="B29" s="4" t="s">
        <v>120</v>
      </c>
      <c r="D29" s="30">
        <v>160</v>
      </c>
      <c r="E29" s="30">
        <v>160</v>
      </c>
      <c r="F29" s="30">
        <v>160</v>
      </c>
      <c r="G29" s="30">
        <v>160</v>
      </c>
      <c r="H29" s="30">
        <v>160</v>
      </c>
    </row>
    <row r="31" spans="2:8" ht="14" customHeight="1" x14ac:dyDescent="0.3">
      <c r="B31" s="3" t="s">
        <v>198</v>
      </c>
    </row>
    <row r="32" spans="2:8" ht="14" customHeight="1" x14ac:dyDescent="0.3">
      <c r="B32" s="4" t="s">
        <v>80</v>
      </c>
      <c r="D32" s="30">
        <v>3.5</v>
      </c>
      <c r="E32" s="30">
        <v>3.5</v>
      </c>
      <c r="F32" s="30">
        <v>3.5</v>
      </c>
      <c r="G32" s="30">
        <v>3.5</v>
      </c>
      <c r="H32" s="30">
        <v>3.5</v>
      </c>
    </row>
    <row r="33" spans="2:8" ht="14" customHeight="1" x14ac:dyDescent="0.3">
      <c r="B33" s="4" t="s">
        <v>117</v>
      </c>
      <c r="D33" s="30">
        <v>3.5</v>
      </c>
      <c r="E33" s="30">
        <v>3.5</v>
      </c>
      <c r="F33" s="30">
        <v>3.5</v>
      </c>
      <c r="G33" s="30">
        <v>3.5</v>
      </c>
      <c r="H33" s="30">
        <v>3.5</v>
      </c>
    </row>
    <row r="34" spans="2:8" ht="14" customHeight="1" x14ac:dyDescent="0.3">
      <c r="B34" s="4" t="s">
        <v>118</v>
      </c>
      <c r="D34" s="30">
        <v>3.5</v>
      </c>
      <c r="E34" s="30">
        <v>3.5</v>
      </c>
      <c r="F34" s="30">
        <v>3.5</v>
      </c>
      <c r="G34" s="30">
        <v>3.5</v>
      </c>
      <c r="H34" s="30">
        <v>3.5</v>
      </c>
    </row>
    <row r="35" spans="2:8" ht="14" customHeight="1" x14ac:dyDescent="0.3">
      <c r="B35" s="4" t="s">
        <v>119</v>
      </c>
      <c r="D35" s="30">
        <v>5</v>
      </c>
      <c r="E35" s="30">
        <v>5</v>
      </c>
      <c r="F35" s="30">
        <v>5</v>
      </c>
      <c r="G35" s="30">
        <v>5</v>
      </c>
      <c r="H35" s="30">
        <v>5</v>
      </c>
    </row>
    <row r="36" spans="2:8" ht="14" customHeight="1" x14ac:dyDescent="0.3">
      <c r="B36" s="4" t="s">
        <v>120</v>
      </c>
      <c r="D36" s="30">
        <v>8</v>
      </c>
      <c r="E36" s="30">
        <v>8</v>
      </c>
      <c r="F36" s="30">
        <v>8</v>
      </c>
      <c r="G36" s="30">
        <v>8</v>
      </c>
      <c r="H36" s="30">
        <v>8</v>
      </c>
    </row>
    <row r="38" spans="2:8" ht="14" customHeight="1" x14ac:dyDescent="0.3">
      <c r="B38" s="3" t="s">
        <v>199</v>
      </c>
    </row>
    <row r="39" spans="2:8" ht="14" customHeight="1" x14ac:dyDescent="0.3">
      <c r="B39" s="4" t="s">
        <v>80</v>
      </c>
      <c r="D39" s="30">
        <v>51</v>
      </c>
      <c r="E39" s="30">
        <v>51</v>
      </c>
      <c r="F39" s="30">
        <v>51</v>
      </c>
      <c r="G39" s="30">
        <v>51</v>
      </c>
      <c r="H39" s="30">
        <v>51</v>
      </c>
    </row>
    <row r="40" spans="2:8" ht="14" customHeight="1" x14ac:dyDescent="0.3">
      <c r="B40" s="4" t="s">
        <v>117</v>
      </c>
      <c r="D40" s="30">
        <v>55</v>
      </c>
      <c r="E40" s="30">
        <v>55</v>
      </c>
      <c r="F40" s="30">
        <v>55</v>
      </c>
      <c r="G40" s="30">
        <v>55</v>
      </c>
      <c r="H40" s="30">
        <v>55</v>
      </c>
    </row>
    <row r="41" spans="2:8" ht="14" customHeight="1" x14ac:dyDescent="0.3">
      <c r="B41" s="4" t="s">
        <v>118</v>
      </c>
      <c r="D41" s="30">
        <v>51</v>
      </c>
      <c r="E41" s="30">
        <v>51</v>
      </c>
      <c r="F41" s="30">
        <v>51</v>
      </c>
      <c r="G41" s="30">
        <v>51</v>
      </c>
      <c r="H41" s="30">
        <v>51</v>
      </c>
    </row>
    <row r="42" spans="2:8" ht="14" customHeight="1" x14ac:dyDescent="0.3">
      <c r="B42" s="4" t="s">
        <v>119</v>
      </c>
      <c r="D42" s="30">
        <v>48</v>
      </c>
      <c r="E42" s="30">
        <v>48</v>
      </c>
      <c r="F42" s="30">
        <v>48</v>
      </c>
      <c r="G42" s="30">
        <v>48</v>
      </c>
      <c r="H42" s="30">
        <v>48</v>
      </c>
    </row>
    <row r="43" spans="2:8" ht="14" customHeight="1" x14ac:dyDescent="0.3">
      <c r="B43" s="4" t="s">
        <v>120</v>
      </c>
      <c r="D43" s="30">
        <v>45</v>
      </c>
      <c r="E43" s="30">
        <v>45</v>
      </c>
      <c r="F43" s="30">
        <v>45</v>
      </c>
      <c r="G43" s="30">
        <v>45</v>
      </c>
      <c r="H43" s="30">
        <v>45</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30"/>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200</v>
      </c>
    </row>
    <row r="3" spans="2:17" ht="14" customHeight="1" x14ac:dyDescent="0.3">
      <c r="B3" s="1" t="s">
        <v>201</v>
      </c>
    </row>
    <row r="4" spans="2:17" ht="28" customHeight="1" x14ac:dyDescent="0.3">
      <c r="B4" s="10" t="s">
        <v>3</v>
      </c>
      <c r="C4" s="10" t="s">
        <v>5</v>
      </c>
      <c r="D4" s="10" t="s">
        <v>202</v>
      </c>
      <c r="E4" s="10" t="s">
        <v>203</v>
      </c>
      <c r="F4" s="10" t="s">
        <v>204</v>
      </c>
      <c r="G4" s="10" t="s">
        <v>205</v>
      </c>
      <c r="H4" s="10" t="s">
        <v>206</v>
      </c>
      <c r="I4" s="10" t="s">
        <v>207</v>
      </c>
      <c r="J4" s="10" t="s">
        <v>208</v>
      </c>
      <c r="K4" s="10" t="s">
        <v>209</v>
      </c>
      <c r="L4" s="10" t="s">
        <v>210</v>
      </c>
      <c r="M4" s="10" t="s">
        <v>211</v>
      </c>
      <c r="N4" s="10" t="s">
        <v>212</v>
      </c>
      <c r="O4" s="10" t="s">
        <v>213</v>
      </c>
      <c r="P4" s="10" t="s">
        <v>214</v>
      </c>
      <c r="Q4" s="10" t="s">
        <v>215</v>
      </c>
    </row>
    <row r="5" spans="2:17" ht="14" customHeight="1" x14ac:dyDescent="0.3">
      <c r="B5" s="4" t="s">
        <v>216</v>
      </c>
      <c r="C5" t="s">
        <v>217</v>
      </c>
      <c r="D5" s="37">
        <f>'Executive Summary'!C9*C23/1000000</f>
        <v>11244.494790000001</v>
      </c>
      <c r="E5" s="37">
        <f>D5+C24</f>
        <v>10190.494790000001</v>
      </c>
      <c r="F5" s="37">
        <v>11140</v>
      </c>
      <c r="G5" s="37">
        <v>816</v>
      </c>
      <c r="H5" s="37">
        <v>741</v>
      </c>
      <c r="I5" s="37">
        <v>733</v>
      </c>
      <c r="J5" s="38">
        <f t="shared" ref="J5:J10" si="0">IFERROR(E5/G5,"")</f>
        <v>12.488351458333334</v>
      </c>
      <c r="K5" s="38">
        <f t="shared" ref="K5:K10" si="1">IFERROR(E5/F5,"")</f>
        <v>0.91476613913824067</v>
      </c>
      <c r="L5" s="38">
        <f t="shared" ref="L5:L10" si="2">IFERROR(D5/I5,"")</f>
        <v>15.3403748840382</v>
      </c>
      <c r="M5" s="38">
        <f t="shared" ref="M5:M10" si="3">IFERROR(D5/P5,"")</f>
        <v>2.0978535055970151</v>
      </c>
      <c r="N5" s="39">
        <f t="shared" ref="N5:N10" si="4">IFERROR(H5/F5,"")</f>
        <v>6.6517055655296226E-2</v>
      </c>
      <c r="O5" s="39">
        <f t="shared" ref="O5:O10" si="5">IFERROR(I5/P5,"")</f>
        <v>0.13675373134328359</v>
      </c>
      <c r="P5" s="37">
        <v>5360</v>
      </c>
    </row>
    <row r="6" spans="2:17" ht="14" customHeight="1" x14ac:dyDescent="0.3">
      <c r="B6" s="4" t="s">
        <v>218</v>
      </c>
      <c r="C6" t="s">
        <v>219</v>
      </c>
      <c r="D6" s="37">
        <v>160131</v>
      </c>
      <c r="E6" s="37">
        <v>155486</v>
      </c>
      <c r="F6" s="37">
        <v>174531</v>
      </c>
      <c r="G6" s="37">
        <v>16503</v>
      </c>
      <c r="H6" s="37">
        <v>14714</v>
      </c>
      <c r="I6" s="37">
        <v>10459</v>
      </c>
      <c r="J6" s="38">
        <f t="shared" si="0"/>
        <v>9.4216809065018481</v>
      </c>
      <c r="K6" s="38">
        <f t="shared" si="1"/>
        <v>0.89087898424921652</v>
      </c>
      <c r="L6" s="38">
        <f t="shared" si="2"/>
        <v>15.310354718424323</v>
      </c>
      <c r="M6" s="38">
        <f t="shared" si="3"/>
        <v>1.7505438644438371</v>
      </c>
      <c r="N6" s="39">
        <f t="shared" si="4"/>
        <v>8.4305939918982872E-2</v>
      </c>
      <c r="O6" s="39">
        <f t="shared" si="5"/>
        <v>0.11433725061492211</v>
      </c>
      <c r="P6" s="37">
        <v>91475</v>
      </c>
    </row>
    <row r="7" spans="2:17" ht="14" customHeight="1" x14ac:dyDescent="0.3">
      <c r="B7" s="4" t="s">
        <v>220</v>
      </c>
      <c r="C7" t="s">
        <v>221</v>
      </c>
      <c r="D7" s="37">
        <v>155363</v>
      </c>
      <c r="E7" s="37">
        <v>136704</v>
      </c>
      <c r="F7" s="37">
        <v>141657</v>
      </c>
      <c r="G7" s="37">
        <v>16275</v>
      </c>
      <c r="H7" s="37">
        <v>14840</v>
      </c>
      <c r="I7" s="37">
        <v>11902</v>
      </c>
      <c r="J7" s="38">
        <f t="shared" si="0"/>
        <v>8.3996313364055304</v>
      </c>
      <c r="K7" s="38">
        <f t="shared" si="1"/>
        <v>0.96503526122958982</v>
      </c>
      <c r="L7" s="38">
        <f t="shared" si="2"/>
        <v>13.053520416736683</v>
      </c>
      <c r="M7" s="38">
        <f t="shared" si="3"/>
        <v>1.2289820908745728</v>
      </c>
      <c r="N7" s="39">
        <f t="shared" si="4"/>
        <v>0.10476008951199023</v>
      </c>
      <c r="O7" s="39">
        <f t="shared" si="5"/>
        <v>9.4149474750031645E-2</v>
      </c>
      <c r="P7" s="37">
        <v>126416</v>
      </c>
    </row>
    <row r="8" spans="2:17" ht="14" customHeight="1" x14ac:dyDescent="0.3">
      <c r="B8" s="4" t="s">
        <v>222</v>
      </c>
      <c r="C8" t="s">
        <v>223</v>
      </c>
      <c r="D8" s="37">
        <v>67926</v>
      </c>
      <c r="E8" s="37">
        <v>76372</v>
      </c>
      <c r="F8" s="37">
        <v>83083</v>
      </c>
      <c r="G8" s="37">
        <v>6773</v>
      </c>
      <c r="H8" s="37">
        <v>4739</v>
      </c>
      <c r="I8" s="37">
        <v>4287</v>
      </c>
      <c r="J8" s="38">
        <f t="shared" si="0"/>
        <v>11.275948619518678</v>
      </c>
      <c r="K8" s="38">
        <f t="shared" si="1"/>
        <v>0.91922535296029273</v>
      </c>
      <c r="L8" s="38">
        <f t="shared" si="2"/>
        <v>15.844646606018195</v>
      </c>
      <c r="M8" s="38">
        <f t="shared" si="3"/>
        <v>0.93754399525196341</v>
      </c>
      <c r="N8" s="39">
        <f t="shared" si="4"/>
        <v>5.7039346195972701E-2</v>
      </c>
      <c r="O8" s="39">
        <f t="shared" si="5"/>
        <v>5.9171025934769708E-2</v>
      </c>
      <c r="P8" s="37">
        <v>72451</v>
      </c>
    </row>
    <row r="9" spans="2:17" ht="14" customHeight="1" x14ac:dyDescent="0.3">
      <c r="B9" s="4" t="s">
        <v>224</v>
      </c>
      <c r="C9" t="s">
        <v>225</v>
      </c>
      <c r="D9" s="37">
        <v>12704</v>
      </c>
      <c r="E9" s="37">
        <v>20094</v>
      </c>
      <c r="F9" s="37">
        <v>53694</v>
      </c>
      <c r="G9" s="37">
        <v>2629</v>
      </c>
      <c r="H9" s="37">
        <v>1779</v>
      </c>
      <c r="I9" s="37">
        <v>1255</v>
      </c>
      <c r="J9" s="38">
        <f t="shared" si="0"/>
        <v>7.6432103461392167</v>
      </c>
      <c r="K9" s="38">
        <f t="shared" si="1"/>
        <v>0.37423175773829476</v>
      </c>
      <c r="L9" s="38">
        <f t="shared" si="2"/>
        <v>10.122709163346613</v>
      </c>
      <c r="M9" s="38">
        <f t="shared" si="3"/>
        <v>0.58489871086556167</v>
      </c>
      <c r="N9" s="39">
        <f t="shared" si="4"/>
        <v>3.3132193541177787E-2</v>
      </c>
      <c r="O9" s="39">
        <f t="shared" si="5"/>
        <v>5.7780847145488028E-2</v>
      </c>
      <c r="P9" s="37">
        <v>21720</v>
      </c>
    </row>
    <row r="10" spans="2:17" ht="14" customHeight="1" x14ac:dyDescent="0.3">
      <c r="B10" s="4" t="s">
        <v>226</v>
      </c>
      <c r="C10" t="s">
        <v>227</v>
      </c>
      <c r="D10" s="37">
        <v>15433</v>
      </c>
      <c r="E10" s="37">
        <v>5963</v>
      </c>
      <c r="F10" s="37">
        <v>20229</v>
      </c>
      <c r="G10" s="37">
        <v>2497</v>
      </c>
      <c r="H10" s="37">
        <v>1647</v>
      </c>
      <c r="I10" s="37">
        <v>1328</v>
      </c>
      <c r="J10" s="38">
        <f t="shared" si="0"/>
        <v>2.3880656788145775</v>
      </c>
      <c r="K10" s="38">
        <f t="shared" si="1"/>
        <v>0.29477482821691631</v>
      </c>
      <c r="L10" s="38">
        <f t="shared" si="2"/>
        <v>11.621234939759036</v>
      </c>
      <c r="M10" s="38">
        <f t="shared" si="3"/>
        <v>0.802548101924077</v>
      </c>
      <c r="N10" s="39">
        <f t="shared" si="4"/>
        <v>8.1417766572742106E-2</v>
      </c>
      <c r="O10" s="39">
        <f t="shared" si="5"/>
        <v>6.9058762350494018E-2</v>
      </c>
      <c r="P10" s="37">
        <v>19230</v>
      </c>
    </row>
    <row r="14" spans="2:17" ht="14" customHeight="1" x14ac:dyDescent="0.3">
      <c r="B14" s="3" t="s">
        <v>228</v>
      </c>
    </row>
    <row r="15" spans="2:17" ht="14" customHeight="1" x14ac:dyDescent="0.3">
      <c r="B15" s="4" t="s">
        <v>229</v>
      </c>
      <c r="D15" s="38">
        <f t="shared" ref="D15:I15" si="6">PERCENTILE(J6:J10,0.25)</f>
        <v>7.6432103461392167</v>
      </c>
      <c r="E15" s="38">
        <f t="shared" si="6"/>
        <v>0.37423175773829476</v>
      </c>
      <c r="F15" s="38">
        <f t="shared" si="6"/>
        <v>11.621234939759036</v>
      </c>
      <c r="G15" s="38">
        <f t="shared" si="6"/>
        <v>0.802548101924077</v>
      </c>
      <c r="H15" s="39">
        <f t="shared" si="6"/>
        <v>5.7039346195972701E-2</v>
      </c>
      <c r="I15" s="39">
        <f t="shared" si="6"/>
        <v>5.9171025934769708E-2</v>
      </c>
    </row>
    <row r="16" spans="2:17" ht="14" customHeight="1" x14ac:dyDescent="0.3">
      <c r="B16" s="4" t="s">
        <v>230</v>
      </c>
      <c r="D16" s="38">
        <f t="shared" ref="D16:I16" si="7">MEDIAN(J6:J10)</f>
        <v>8.3996313364055304</v>
      </c>
      <c r="E16" s="38">
        <f t="shared" si="7"/>
        <v>0.89087898424921652</v>
      </c>
      <c r="F16" s="38">
        <f t="shared" si="7"/>
        <v>13.053520416736683</v>
      </c>
      <c r="G16" s="38">
        <f t="shared" si="7"/>
        <v>0.93754399525196341</v>
      </c>
      <c r="H16" s="39">
        <f t="shared" si="7"/>
        <v>8.1417766572742106E-2</v>
      </c>
      <c r="I16" s="39">
        <f t="shared" si="7"/>
        <v>6.9058762350494018E-2</v>
      </c>
    </row>
    <row r="17" spans="2:9" ht="14" customHeight="1" x14ac:dyDescent="0.3">
      <c r="B17" s="4" t="s">
        <v>231</v>
      </c>
      <c r="D17" s="38">
        <f t="shared" ref="D17:I17" si="8">PERCENTILE(J6:J10,0.75)</f>
        <v>9.4216809065018481</v>
      </c>
      <c r="E17" s="38">
        <f t="shared" si="8"/>
        <v>0.91922535296029273</v>
      </c>
      <c r="F17" s="38">
        <f t="shared" si="8"/>
        <v>15.310354718424323</v>
      </c>
      <c r="G17" s="38">
        <f t="shared" si="8"/>
        <v>1.2289820908745728</v>
      </c>
      <c r="H17" s="39">
        <f t="shared" si="8"/>
        <v>8.4305939918982872E-2</v>
      </c>
      <c r="I17" s="39">
        <f t="shared" si="8"/>
        <v>9.4149474750031645E-2</v>
      </c>
    </row>
    <row r="19" spans="2:9" ht="14" customHeight="1" x14ac:dyDescent="0.3">
      <c r="B19" s="22" t="s">
        <v>232</v>
      </c>
      <c r="C19" s="23"/>
      <c r="D19" s="23"/>
      <c r="E19" s="23"/>
      <c r="F19" s="23"/>
      <c r="G19" s="23"/>
      <c r="H19" s="23"/>
      <c r="I19" s="23"/>
    </row>
    <row r="20" spans="2:9" ht="14" customHeight="1" x14ac:dyDescent="0.3">
      <c r="B20" s="3" t="s">
        <v>233</v>
      </c>
    </row>
    <row r="21" spans="2:9" ht="14" customHeight="1" x14ac:dyDescent="0.3">
      <c r="B21" s="4" t="s">
        <v>234</v>
      </c>
      <c r="C21" s="5">
        <v>816</v>
      </c>
    </row>
    <row r="22" spans="2:9" ht="14" customHeight="1" x14ac:dyDescent="0.3">
      <c r="B22" s="4" t="s">
        <v>235</v>
      </c>
      <c r="C22" s="5">
        <v>732.6</v>
      </c>
    </row>
    <row r="23" spans="2:9" ht="14" customHeight="1" x14ac:dyDescent="0.3">
      <c r="B23" s="4" t="s">
        <v>236</v>
      </c>
      <c r="C23" s="15">
        <v>8860910</v>
      </c>
    </row>
    <row r="24" spans="2:9" ht="14" customHeight="1" x14ac:dyDescent="0.3">
      <c r="B24" s="4" t="s">
        <v>69</v>
      </c>
      <c r="C24" s="5">
        <v>-1054</v>
      </c>
    </row>
    <row r="26" spans="2:9" ht="14" customHeight="1" x14ac:dyDescent="0.3">
      <c r="B26" s="3" t="s">
        <v>237</v>
      </c>
    </row>
    <row r="27" spans="2:9" ht="14" customHeight="1" x14ac:dyDescent="0.3">
      <c r="B27" s="4" t="s">
        <v>238</v>
      </c>
      <c r="C27" s="24">
        <f>ROUND((C21*D16-C24)*1000000/C23,0)</f>
        <v>892</v>
      </c>
    </row>
    <row r="28" spans="2:9" ht="14" customHeight="1" x14ac:dyDescent="0.3">
      <c r="B28" s="4" t="s">
        <v>239</v>
      </c>
      <c r="C28" s="24">
        <f>ROUND(C22*F16*1000000/C23,0)</f>
        <v>1079</v>
      </c>
    </row>
    <row r="29" spans="2:9" ht="14" customHeight="1" x14ac:dyDescent="0.3">
      <c r="B29" s="4" t="s">
        <v>240</v>
      </c>
      <c r="C29" s="5">
        <v>567</v>
      </c>
      <c r="D29" s="1" t="s">
        <v>241</v>
      </c>
    </row>
    <row r="30" spans="2:9" ht="14" customHeight="1" x14ac:dyDescent="0.3">
      <c r="B30" s="4" t="s">
        <v>242</v>
      </c>
      <c r="C30" s="5">
        <f>ROUND(C29*F16*1000000/C23,0)</f>
        <v>835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243</v>
      </c>
    </row>
    <row r="3" spans="2:9" ht="14" customHeight="1" x14ac:dyDescent="0.3">
      <c r="B3" s="4" t="s">
        <v>244</v>
      </c>
      <c r="C3" s="16">
        <f>'DCF Model'!C26</f>
        <v>0.12115649507526483</v>
      </c>
      <c r="E3" s="4" t="s">
        <v>245</v>
      </c>
      <c r="F3" s="16">
        <f>'DCF Model'!C13</f>
        <v>0.01</v>
      </c>
      <c r="H3" s="4" t="s">
        <v>246</v>
      </c>
      <c r="I3" s="14">
        <f>'DCF Model'!C14</f>
        <v>6</v>
      </c>
    </row>
    <row r="5" spans="2:9" ht="14" customHeight="1" x14ac:dyDescent="0.3">
      <c r="B5" s="3" t="s">
        <v>247</v>
      </c>
    </row>
    <row r="6" spans="2:9" ht="14" customHeight="1" x14ac:dyDescent="0.3">
      <c r="B6" s="40" t="s">
        <v>248</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0.10615649507526483</v>
      </c>
      <c r="C7" s="37">
        <f>IFERROR(ROUND(('DCF Model'!C45/(1+$B7)^('DCF Model'!C19+0)+'DCF Model'!D45/(1+$B7)^('DCF Model'!C19+1)+'DCF Model'!E45/(1+$B7)^('DCF Model'!C19+2)+'DCF Model'!F45/(1+$B7)^('DCF Model'!C19+3)+'DCF Model'!G45/(1+$B7)^('DCF Model'!C19+4)+'DCF Model'!G45*(1+C$6)/($B7-C$6)/(1+$B7)^('DCF Model'!C19+4)-'DCF Model'!C16)*1000000/'DCF Model'!C15,0),"")</f>
        <v>1166</v>
      </c>
      <c r="D7" s="37">
        <f>IFERROR(ROUND(('DCF Model'!C45/(1+$B7)^('DCF Model'!C19+0)+'DCF Model'!D45/(1+$B7)^('DCF Model'!C19+1)+'DCF Model'!E45/(1+$B7)^('DCF Model'!C19+2)+'DCF Model'!F45/(1+$B7)^('DCF Model'!C19+3)+'DCF Model'!G45/(1+$B7)^('DCF Model'!C19+4)+'DCF Model'!G45*(1+D$6)/($B7-D$6)/(1+$B7)^('DCF Model'!C19+4)-'DCF Model'!C16)*1000000/'DCF Model'!C15,0),"")</f>
        <v>1185</v>
      </c>
      <c r="E7" s="37">
        <f>IFERROR(ROUND(('DCF Model'!C45/(1+$B7)^('DCF Model'!C19+0)+'DCF Model'!D45/(1+$B7)^('DCF Model'!C19+1)+'DCF Model'!E45/(1+$B7)^('DCF Model'!C19+2)+'DCF Model'!F45/(1+$B7)^('DCF Model'!C19+3)+'DCF Model'!G45/(1+$B7)^('DCF Model'!C19+4)+'DCF Model'!G45*(1+E$6)/($B7-E$6)/(1+$B7)^('DCF Model'!C19+4)-'DCF Model'!C16)*1000000/'DCF Model'!C15,0),"")</f>
        <v>1206</v>
      </c>
      <c r="F7" s="37">
        <f>IFERROR(ROUND(('DCF Model'!C45/(1+$B7)^('DCF Model'!C19+0)+'DCF Model'!D45/(1+$B7)^('DCF Model'!C19+1)+'DCF Model'!E45/(1+$B7)^('DCF Model'!C19+2)+'DCF Model'!F45/(1+$B7)^('DCF Model'!C19+3)+'DCF Model'!G45/(1+$B7)^('DCF Model'!C19+4)+'DCF Model'!G45*(1+F$6)/($B7-F$6)/(1+$B7)^('DCF Model'!C19+4)-'DCF Model'!C16)*1000000/'DCF Model'!C15,0),"")</f>
        <v>1228</v>
      </c>
      <c r="G7" s="37">
        <f>IFERROR(ROUND(('DCF Model'!C45/(1+$B7)^('DCF Model'!C19+0)+'DCF Model'!D45/(1+$B7)^('DCF Model'!C19+1)+'DCF Model'!E45/(1+$B7)^('DCF Model'!C19+2)+'DCF Model'!F45/(1+$B7)^('DCF Model'!C19+3)+'DCF Model'!G45/(1+$B7)^('DCF Model'!C19+4)+'DCF Model'!G45*(1+G$6)/($B7-G$6)/(1+$B7)^('DCF Model'!C19+4)-'DCF Model'!C16)*1000000/'DCF Model'!C15,0),"")</f>
        <v>1251</v>
      </c>
      <c r="H7" s="37">
        <f>IFERROR(ROUND(('DCF Model'!C45/(1+$B7)^('DCF Model'!C19+0)+'DCF Model'!D45/(1+$B7)^('DCF Model'!C19+1)+'DCF Model'!E45/(1+$B7)^('DCF Model'!C19+2)+'DCF Model'!F45/(1+$B7)^('DCF Model'!C19+3)+'DCF Model'!G45/(1+$B7)^('DCF Model'!C19+4)+'DCF Model'!G45*(1+H$6)/($B7-H$6)/(1+$B7)^('DCF Model'!C19+4)-'DCF Model'!C16)*1000000/'DCF Model'!C15,0),"")</f>
        <v>1275</v>
      </c>
      <c r="I7" s="37">
        <f>IFERROR(ROUND(('DCF Model'!C45/(1+$B7)^('DCF Model'!C19+0)+'DCF Model'!D45/(1+$B7)^('DCF Model'!C19+1)+'DCF Model'!E45/(1+$B7)^('DCF Model'!C19+2)+'DCF Model'!F45/(1+$B7)^('DCF Model'!C19+3)+'DCF Model'!G45/(1+$B7)^('DCF Model'!C19+4)+'DCF Model'!G45*(1+I$6)/($B7-I$6)/(1+$B7)^('DCF Model'!C19+4)-'DCF Model'!C16)*1000000/'DCF Model'!C15,0),"")</f>
        <v>1301</v>
      </c>
    </row>
    <row r="8" spans="2:9" ht="13.5" customHeight="1" x14ac:dyDescent="0.25">
      <c r="B8" s="39">
        <f>$C$3-0.01</f>
        <v>0.11115649507526483</v>
      </c>
      <c r="C8" s="37">
        <f>IFERROR(ROUND(('DCF Model'!C45/(1+$B8)^('DCF Model'!C19+0)+'DCF Model'!D45/(1+$B8)^('DCF Model'!C19+1)+'DCF Model'!E45/(1+$B8)^('DCF Model'!C19+2)+'DCF Model'!F45/(1+$B8)^('DCF Model'!C19+3)+'DCF Model'!G45/(1+$B8)^('DCF Model'!C19+4)+'DCF Model'!G45*(1+C$6)/($B8-C$6)/(1+$B8)^('DCF Model'!C19+4)-'DCF Model'!C16)*1000000/'DCF Model'!C15,0),"")</f>
        <v>1115</v>
      </c>
      <c r="D8" s="37">
        <f>IFERROR(ROUND(('DCF Model'!C45/(1+$B8)^('DCF Model'!C19+0)+'DCF Model'!D45/(1+$B8)^('DCF Model'!C19+1)+'DCF Model'!E45/(1+$B8)^('DCF Model'!C19+2)+'DCF Model'!F45/(1+$B8)^('DCF Model'!C19+3)+'DCF Model'!G45/(1+$B8)^('DCF Model'!C19+4)+'DCF Model'!G45*(1+D$6)/($B8-D$6)/(1+$B8)^('DCF Model'!C19+4)-'DCF Model'!C16)*1000000/'DCF Model'!C15,0),"")</f>
        <v>1133</v>
      </c>
      <c r="E8" s="37">
        <f>IFERROR(ROUND(('DCF Model'!C45/(1+$B8)^('DCF Model'!C19+0)+'DCF Model'!D45/(1+$B8)^('DCF Model'!C19+1)+'DCF Model'!E45/(1+$B8)^('DCF Model'!C19+2)+'DCF Model'!F45/(1+$B8)^('DCF Model'!C19+3)+'DCF Model'!G45/(1+$B8)^('DCF Model'!C19+4)+'DCF Model'!G45*(1+E$6)/($B8-E$6)/(1+$B8)^('DCF Model'!C19+4)-'DCF Model'!C16)*1000000/'DCF Model'!C15,0),"")</f>
        <v>1151</v>
      </c>
      <c r="F8" s="37">
        <f>IFERROR(ROUND(('DCF Model'!C45/(1+$B8)^('DCF Model'!C19+0)+'DCF Model'!D45/(1+$B8)^('DCF Model'!C19+1)+'DCF Model'!E45/(1+$B8)^('DCF Model'!C19+2)+'DCF Model'!F45/(1+$B8)^('DCF Model'!C19+3)+'DCF Model'!G45/(1+$B8)^('DCF Model'!C19+4)+'DCF Model'!G45*(1+F$6)/($B8-F$6)/(1+$B8)^('DCF Model'!C19+4)-'DCF Model'!C16)*1000000/'DCF Model'!C15,0),"")</f>
        <v>1170</v>
      </c>
      <c r="G8" s="37">
        <f>IFERROR(ROUND(('DCF Model'!C45/(1+$B8)^('DCF Model'!C19+0)+'DCF Model'!D45/(1+$B8)^('DCF Model'!C19+1)+'DCF Model'!E45/(1+$B8)^('DCF Model'!C19+2)+'DCF Model'!F45/(1+$B8)^('DCF Model'!C19+3)+'DCF Model'!G45/(1+$B8)^('DCF Model'!C19+4)+'DCF Model'!G45*(1+G$6)/($B8-G$6)/(1+$B8)^('DCF Model'!C19+4)-'DCF Model'!C16)*1000000/'DCF Model'!C15,0),"")</f>
        <v>1191</v>
      </c>
      <c r="H8" s="37">
        <f>IFERROR(ROUND(('DCF Model'!C45/(1+$B8)^('DCF Model'!C19+0)+'DCF Model'!D45/(1+$B8)^('DCF Model'!C19+1)+'DCF Model'!E45/(1+$B8)^('DCF Model'!C19+2)+'DCF Model'!F45/(1+$B8)^('DCF Model'!C19+3)+'DCF Model'!G45/(1+$B8)^('DCF Model'!C19+4)+'DCF Model'!G45*(1+H$6)/($B8-H$6)/(1+$B8)^('DCF Model'!C19+4)-'DCF Model'!C16)*1000000/'DCF Model'!C15,0),"")</f>
        <v>1212</v>
      </c>
      <c r="I8" s="37">
        <f>IFERROR(ROUND(('DCF Model'!C45/(1+$B8)^('DCF Model'!C19+0)+'DCF Model'!D45/(1+$B8)^('DCF Model'!C19+1)+'DCF Model'!E45/(1+$B8)^('DCF Model'!C19+2)+'DCF Model'!F45/(1+$B8)^('DCF Model'!C19+3)+'DCF Model'!G45/(1+$B8)^('DCF Model'!C19+4)+'DCF Model'!G45*(1+I$6)/($B8-I$6)/(1+$B8)^('DCF Model'!C19+4)-'DCF Model'!C16)*1000000/'DCF Model'!C15,0),"")</f>
        <v>1235</v>
      </c>
    </row>
    <row r="9" spans="2:9" ht="13.5" customHeight="1" x14ac:dyDescent="0.25">
      <c r="B9" s="39">
        <f>$C$3-0.005</f>
        <v>0.11615649507526482</v>
      </c>
      <c r="C9" s="37">
        <f>IFERROR(ROUND(('DCF Model'!C45/(1+$B9)^('DCF Model'!C19+0)+'DCF Model'!D45/(1+$B9)^('DCF Model'!C19+1)+'DCF Model'!E45/(1+$B9)^('DCF Model'!C19+2)+'DCF Model'!F45/(1+$B9)^('DCF Model'!C19+3)+'DCF Model'!G45/(1+$B9)^('DCF Model'!C19+4)+'DCF Model'!G45*(1+C$6)/($B9-C$6)/(1+$B9)^('DCF Model'!C19+4)-'DCF Model'!C16)*1000000/'DCF Model'!C15,0),"")</f>
        <v>1069</v>
      </c>
      <c r="D9" s="37">
        <f>IFERROR(ROUND(('DCF Model'!C45/(1+$B9)^('DCF Model'!C19+0)+'DCF Model'!D45/(1+$B9)^('DCF Model'!C19+1)+'DCF Model'!E45/(1+$B9)^('DCF Model'!C19+2)+'DCF Model'!F45/(1+$B9)^('DCF Model'!C19+3)+'DCF Model'!G45/(1+$B9)^('DCF Model'!C19+4)+'DCF Model'!G45*(1+D$6)/($B9-D$6)/(1+$B9)^('DCF Model'!C19+4)-'DCF Model'!C16)*1000000/'DCF Model'!C15,0),"")</f>
        <v>1084</v>
      </c>
      <c r="E9" s="37">
        <f>IFERROR(ROUND(('DCF Model'!C45/(1+$B9)^('DCF Model'!C19+0)+'DCF Model'!D45/(1+$B9)^('DCF Model'!C19+1)+'DCF Model'!E45/(1+$B9)^('DCF Model'!C19+2)+'DCF Model'!F45/(1+$B9)^('DCF Model'!C19+3)+'DCF Model'!G45/(1+$B9)^('DCF Model'!C19+4)+'DCF Model'!G45*(1+E$6)/($B9-E$6)/(1+$B9)^('DCF Model'!C19+4)-'DCF Model'!C16)*1000000/'DCF Model'!C15,0),"")</f>
        <v>1101</v>
      </c>
      <c r="F9" s="37">
        <f>IFERROR(ROUND(('DCF Model'!C45/(1+$B9)^('DCF Model'!C19+0)+'DCF Model'!D45/(1+$B9)^('DCF Model'!C19+1)+'DCF Model'!E45/(1+$B9)^('DCF Model'!C19+2)+'DCF Model'!F45/(1+$B9)^('DCF Model'!C19+3)+'DCF Model'!G45/(1+$B9)^('DCF Model'!C19+4)+'DCF Model'!G45*(1+F$6)/($B9-F$6)/(1+$B9)^('DCF Model'!C19+4)-'DCF Model'!C16)*1000000/'DCF Model'!C15,0),"")</f>
        <v>1118</v>
      </c>
      <c r="G9" s="37">
        <f>IFERROR(ROUND(('DCF Model'!C45/(1+$B9)^('DCF Model'!C19+0)+'DCF Model'!D45/(1+$B9)^('DCF Model'!C19+1)+'DCF Model'!E45/(1+$B9)^('DCF Model'!C19+2)+'DCF Model'!F45/(1+$B9)^('DCF Model'!C19+3)+'DCF Model'!G45/(1+$B9)^('DCF Model'!C19+4)+'DCF Model'!G45*(1+G$6)/($B9-G$6)/(1+$B9)^('DCF Model'!C19+4)-'DCF Model'!C16)*1000000/'DCF Model'!C15,0),"")</f>
        <v>1137</v>
      </c>
      <c r="H9" s="37">
        <f>IFERROR(ROUND(('DCF Model'!C45/(1+$B9)^('DCF Model'!C19+0)+'DCF Model'!D45/(1+$B9)^('DCF Model'!C19+1)+'DCF Model'!E45/(1+$B9)^('DCF Model'!C19+2)+'DCF Model'!F45/(1+$B9)^('DCF Model'!C19+3)+'DCF Model'!G45/(1+$B9)^('DCF Model'!C19+4)+'DCF Model'!G45*(1+H$6)/($B9-H$6)/(1+$B9)^('DCF Model'!C19+4)-'DCF Model'!C16)*1000000/'DCF Model'!C15,0),"")</f>
        <v>1156</v>
      </c>
      <c r="I9" s="37">
        <f>IFERROR(ROUND(('DCF Model'!C45/(1+$B9)^('DCF Model'!C19+0)+'DCF Model'!D45/(1+$B9)^('DCF Model'!C19+1)+'DCF Model'!E45/(1+$B9)^('DCF Model'!C19+2)+'DCF Model'!F45/(1+$B9)^('DCF Model'!C19+3)+'DCF Model'!G45/(1+$B9)^('DCF Model'!C19+4)+'DCF Model'!G45*(1+I$6)/($B9-I$6)/(1+$B9)^('DCF Model'!C19+4)-'DCF Model'!C16)*1000000/'DCF Model'!C15,0),"")</f>
        <v>1176</v>
      </c>
    </row>
    <row r="10" spans="2:9" ht="13.5" customHeight="1" x14ac:dyDescent="0.25">
      <c r="B10" s="39">
        <f>$C$3</f>
        <v>0.12115649507526483</v>
      </c>
      <c r="C10" s="37">
        <f>IFERROR(ROUND(('DCF Model'!C45/(1+$B10)^('DCF Model'!C19+0)+'DCF Model'!D45/(1+$B10)^('DCF Model'!C19+1)+'DCF Model'!E45/(1+$B10)^('DCF Model'!C19+2)+'DCF Model'!F45/(1+$B10)^('DCF Model'!C19+3)+'DCF Model'!G45/(1+$B10)^('DCF Model'!C19+4)+'DCF Model'!G45*(1+C$6)/($B10-C$6)/(1+$B10)^('DCF Model'!C19+4)-'DCF Model'!C16)*1000000/'DCF Model'!C15,0),"")</f>
        <v>1026</v>
      </c>
      <c r="D10" s="37">
        <f>IFERROR(ROUND(('DCF Model'!C45/(1+$B10)^('DCF Model'!C19+0)+'DCF Model'!D45/(1+$B10)^('DCF Model'!C19+1)+'DCF Model'!E45/(1+$B10)^('DCF Model'!C19+2)+'DCF Model'!F45/(1+$B10)^('DCF Model'!C19+3)+'DCF Model'!G45/(1+$B10)^('DCF Model'!C19+4)+'DCF Model'!G45*(1+D$6)/($B10-D$6)/(1+$B10)^('DCF Model'!C19+4)-'DCF Model'!C16)*1000000/'DCF Model'!C15,0),"")</f>
        <v>1041</v>
      </c>
      <c r="E10" s="37">
        <f>IFERROR(ROUND(('DCF Model'!C45/(1+$B10)^('DCF Model'!C19+0)+'DCF Model'!D45/(1+$B10)^('DCF Model'!C19+1)+'DCF Model'!E45/(1+$B10)^('DCF Model'!C19+2)+'DCF Model'!F45/(1+$B10)^('DCF Model'!C19+3)+'DCF Model'!G45/(1+$B10)^('DCF Model'!C19+4)+'DCF Model'!G45*(1+E$6)/($B10-E$6)/(1+$B10)^('DCF Model'!C19+4)-'DCF Model'!C16)*1000000/'DCF Model'!C15,0),"")</f>
        <v>1056</v>
      </c>
      <c r="F10" s="37">
        <f>IFERROR(ROUND(('DCF Model'!C45/(1+$B10)^('DCF Model'!C19+0)+'DCF Model'!D45/(1+$B10)^('DCF Model'!C19+1)+'DCF Model'!E45/(1+$B10)^('DCF Model'!C19+2)+'DCF Model'!F45/(1+$B10)^('DCF Model'!C19+3)+'DCF Model'!G45/(1+$B10)^('DCF Model'!C19+4)+'DCF Model'!G45*(1+F$6)/($B10-F$6)/(1+$B10)^('DCF Model'!C19+4)-'DCF Model'!C16)*1000000/'DCF Model'!C15,0),"")</f>
        <v>1071</v>
      </c>
      <c r="G10" s="37">
        <f>IFERROR(ROUND(('DCF Model'!C45/(1+$B10)^('DCF Model'!C19+0)+'DCF Model'!D45/(1+$B10)^('DCF Model'!C19+1)+'DCF Model'!E45/(1+$B10)^('DCF Model'!C19+2)+'DCF Model'!F45/(1+$B10)^('DCF Model'!C19+3)+'DCF Model'!G45/(1+$B10)^('DCF Model'!C19+4)+'DCF Model'!G45*(1+G$6)/($B10-G$6)/(1+$B10)^('DCF Model'!C19+4)-'DCF Model'!C16)*1000000/'DCF Model'!C15,0),"")</f>
        <v>1088</v>
      </c>
      <c r="H10" s="37">
        <f>IFERROR(ROUND(('DCF Model'!C45/(1+$B10)^('DCF Model'!C19+0)+'DCF Model'!D45/(1+$B10)^('DCF Model'!C19+1)+'DCF Model'!E45/(1+$B10)^('DCF Model'!C19+2)+'DCF Model'!F45/(1+$B10)^('DCF Model'!C19+3)+'DCF Model'!G45/(1+$B10)^('DCF Model'!C19+4)+'DCF Model'!G45*(1+H$6)/($B10-H$6)/(1+$B10)^('DCF Model'!C19+4)-'DCF Model'!C16)*1000000/'DCF Model'!C15,0),"")</f>
        <v>1105</v>
      </c>
      <c r="I10" s="37">
        <f>IFERROR(ROUND(('DCF Model'!C45/(1+$B10)^('DCF Model'!C19+0)+'DCF Model'!D45/(1+$B10)^('DCF Model'!C19+1)+'DCF Model'!E45/(1+$B10)^('DCF Model'!C19+2)+'DCF Model'!F45/(1+$B10)^('DCF Model'!C19+3)+'DCF Model'!G45/(1+$B10)^('DCF Model'!C19+4)+'DCF Model'!G45*(1+I$6)/($B10-I$6)/(1+$B10)^('DCF Model'!C19+4)-'DCF Model'!C16)*1000000/'DCF Model'!C15,0),"")</f>
        <v>1123</v>
      </c>
    </row>
    <row r="11" spans="2:9" ht="13.5" customHeight="1" x14ac:dyDescent="0.25">
      <c r="B11" s="39">
        <f>$C$3+0.005</f>
        <v>0.12615649507526483</v>
      </c>
      <c r="C11" s="37">
        <f>IFERROR(ROUND(('DCF Model'!C45/(1+$B11)^('DCF Model'!C19+0)+'DCF Model'!D45/(1+$B11)^('DCF Model'!C19+1)+'DCF Model'!E45/(1+$B11)^('DCF Model'!C19+2)+'DCF Model'!F45/(1+$B11)^('DCF Model'!C19+3)+'DCF Model'!G45/(1+$B11)^('DCF Model'!C19+4)+'DCF Model'!G45*(1+C$6)/($B11-C$6)/(1+$B11)^('DCF Model'!C19+4)-'DCF Model'!C16)*1000000/'DCF Model'!C15,0),"")</f>
        <v>987</v>
      </c>
      <c r="D11" s="37">
        <f>IFERROR(ROUND(('DCF Model'!C45/(1+$B11)^('DCF Model'!C19+0)+'DCF Model'!D45/(1+$B11)^('DCF Model'!C19+1)+'DCF Model'!E45/(1+$B11)^('DCF Model'!C19+2)+'DCF Model'!F45/(1+$B11)^('DCF Model'!C19+3)+'DCF Model'!G45/(1+$B11)^('DCF Model'!C19+4)+'DCF Model'!G45*(1+D$6)/($B11-D$6)/(1+$B11)^('DCF Model'!C19+4)-'DCF Model'!C16)*1000000/'DCF Model'!C15,0),"")</f>
        <v>1000</v>
      </c>
      <c r="E11" s="37">
        <f>IFERROR(ROUND(('DCF Model'!C45/(1+$B11)^('DCF Model'!C19+0)+'DCF Model'!D45/(1+$B11)^('DCF Model'!C19+1)+'DCF Model'!E45/(1+$B11)^('DCF Model'!C19+2)+'DCF Model'!F45/(1+$B11)^('DCF Model'!C19+3)+'DCF Model'!G45/(1+$B11)^('DCF Model'!C19+4)+'DCF Model'!G45*(1+E$6)/($B11-E$6)/(1+$B11)^('DCF Model'!C19+4)-'DCF Model'!C16)*1000000/'DCF Model'!C15,0),"")</f>
        <v>1014</v>
      </c>
      <c r="F11" s="37">
        <f>IFERROR(ROUND(('DCF Model'!C45/(1+$B11)^('DCF Model'!C19+0)+'DCF Model'!D45/(1+$B11)^('DCF Model'!C19+1)+'DCF Model'!E45/(1+$B11)^('DCF Model'!C19+2)+'DCF Model'!F45/(1+$B11)^('DCF Model'!C19+3)+'DCF Model'!G45/(1+$B11)^('DCF Model'!C19+4)+'DCF Model'!G45*(1+F$6)/($B11-F$6)/(1+$B11)^('DCF Model'!C19+4)-'DCF Model'!C16)*1000000/'DCF Model'!C15,0),"")</f>
        <v>1028</v>
      </c>
      <c r="G11" s="37">
        <f>IFERROR(ROUND(('DCF Model'!C45/(1+$B11)^('DCF Model'!C19+0)+'DCF Model'!D45/(1+$B11)^('DCF Model'!C19+1)+'DCF Model'!E45/(1+$B11)^('DCF Model'!C19+2)+'DCF Model'!F45/(1+$B11)^('DCF Model'!C19+3)+'DCF Model'!G45/(1+$B11)^('DCF Model'!C19+4)+'DCF Model'!G45*(1+G$6)/($B11-G$6)/(1+$B11)^('DCF Model'!C19+4)-'DCF Model'!C16)*1000000/'DCF Model'!C15,0),"")</f>
        <v>1043</v>
      </c>
      <c r="H11" s="37">
        <f>IFERROR(ROUND(('DCF Model'!C45/(1+$B11)^('DCF Model'!C19+0)+'DCF Model'!D45/(1+$B11)^('DCF Model'!C19+1)+'DCF Model'!E45/(1+$B11)^('DCF Model'!C19+2)+'DCF Model'!F45/(1+$B11)^('DCF Model'!C19+3)+'DCF Model'!G45/(1+$B11)^('DCF Model'!C19+4)+'DCF Model'!G45*(1+H$6)/($B11-H$6)/(1+$B11)^('DCF Model'!C19+4)-'DCF Model'!C16)*1000000/'DCF Model'!C15,0),"")</f>
        <v>1058</v>
      </c>
      <c r="I11" s="37">
        <f>IFERROR(ROUND(('DCF Model'!C45/(1+$B11)^('DCF Model'!C19+0)+'DCF Model'!D45/(1+$B11)^('DCF Model'!C19+1)+'DCF Model'!E45/(1+$B11)^('DCF Model'!C19+2)+'DCF Model'!F45/(1+$B11)^('DCF Model'!C19+3)+'DCF Model'!G45/(1+$B11)^('DCF Model'!C19+4)+'DCF Model'!G45*(1+I$6)/($B11-I$6)/(1+$B11)^('DCF Model'!C19+4)-'DCF Model'!C16)*1000000/'DCF Model'!C15,0),"")</f>
        <v>1074</v>
      </c>
    </row>
    <row r="12" spans="2:9" ht="13.5" customHeight="1" x14ac:dyDescent="0.25">
      <c r="B12" s="39">
        <f>$C$3+0.01</f>
        <v>0.13115649507526483</v>
      </c>
      <c r="C12" s="37">
        <f>IFERROR(ROUND(('DCF Model'!C45/(1+$B12)^('DCF Model'!C19+0)+'DCF Model'!D45/(1+$B12)^('DCF Model'!C19+1)+'DCF Model'!E45/(1+$B12)^('DCF Model'!C19+2)+'DCF Model'!F45/(1+$B12)^('DCF Model'!C19+3)+'DCF Model'!G45/(1+$B12)^('DCF Model'!C19+4)+'DCF Model'!G45*(1+C$6)/($B12-C$6)/(1+$B12)^('DCF Model'!C19+4)-'DCF Model'!C16)*1000000/'DCF Model'!C15,0),"")</f>
        <v>952</v>
      </c>
      <c r="D12" s="37">
        <f>IFERROR(ROUND(('DCF Model'!C45/(1+$B12)^('DCF Model'!C19+0)+'DCF Model'!D45/(1+$B12)^('DCF Model'!C19+1)+'DCF Model'!E45/(1+$B12)^('DCF Model'!C19+2)+'DCF Model'!F45/(1+$B12)^('DCF Model'!C19+3)+'DCF Model'!G45/(1+$B12)^('DCF Model'!C19+4)+'DCF Model'!G45*(1+D$6)/($B12-D$6)/(1+$B12)^('DCF Model'!C19+4)-'DCF Model'!C16)*1000000/'DCF Model'!C15,0),"")</f>
        <v>963</v>
      </c>
      <c r="E12" s="37">
        <f>IFERROR(ROUND(('DCF Model'!C45/(1+$B12)^('DCF Model'!C19+0)+'DCF Model'!D45/(1+$B12)^('DCF Model'!C19+1)+'DCF Model'!E45/(1+$B12)^('DCF Model'!C19+2)+'DCF Model'!F45/(1+$B12)^('DCF Model'!C19+3)+'DCF Model'!G45/(1+$B12)^('DCF Model'!C19+4)+'DCF Model'!G45*(1+E$6)/($B12-E$6)/(1+$B12)^('DCF Model'!C19+4)-'DCF Model'!C16)*1000000/'DCF Model'!C15,0),"")</f>
        <v>976</v>
      </c>
      <c r="F12" s="37">
        <f>IFERROR(ROUND(('DCF Model'!C45/(1+$B12)^('DCF Model'!C19+0)+'DCF Model'!D45/(1+$B12)^('DCF Model'!C19+1)+'DCF Model'!E45/(1+$B12)^('DCF Model'!C19+2)+'DCF Model'!F45/(1+$B12)^('DCF Model'!C19+3)+'DCF Model'!G45/(1+$B12)^('DCF Model'!C19+4)+'DCF Model'!G45*(1+F$6)/($B12-F$6)/(1+$B12)^('DCF Model'!C19+4)-'DCF Model'!C16)*1000000/'DCF Model'!C15,0),"")</f>
        <v>989</v>
      </c>
      <c r="G12" s="37">
        <f>IFERROR(ROUND(('DCF Model'!C45/(1+$B12)^('DCF Model'!C19+0)+'DCF Model'!D45/(1+$B12)^('DCF Model'!C19+1)+'DCF Model'!E45/(1+$B12)^('DCF Model'!C19+2)+'DCF Model'!F45/(1+$B12)^('DCF Model'!C19+3)+'DCF Model'!G45/(1+$B12)^('DCF Model'!C19+4)+'DCF Model'!G45*(1+G$6)/($B12-G$6)/(1+$B12)^('DCF Model'!C19+4)-'DCF Model'!C16)*1000000/'DCF Model'!C15,0),"")</f>
        <v>1002</v>
      </c>
      <c r="H12" s="37">
        <f>IFERROR(ROUND(('DCF Model'!C45/(1+$B12)^('DCF Model'!C19+0)+'DCF Model'!D45/(1+$B12)^('DCF Model'!C19+1)+'DCF Model'!E45/(1+$B12)^('DCF Model'!C19+2)+'DCF Model'!F45/(1+$B12)^('DCF Model'!C19+3)+'DCF Model'!G45/(1+$B12)^('DCF Model'!C19+4)+'DCF Model'!G45*(1+H$6)/($B12-H$6)/(1+$B12)^('DCF Model'!C19+4)-'DCF Model'!C16)*1000000/'DCF Model'!C15,0),"")</f>
        <v>1016</v>
      </c>
      <c r="I12" s="37">
        <f>IFERROR(ROUND(('DCF Model'!C45/(1+$B12)^('DCF Model'!C19+0)+'DCF Model'!D45/(1+$B12)^('DCF Model'!C19+1)+'DCF Model'!E45/(1+$B12)^('DCF Model'!C19+2)+'DCF Model'!F45/(1+$B12)^('DCF Model'!C19+3)+'DCF Model'!G45/(1+$B12)^('DCF Model'!C19+4)+'DCF Model'!G45*(1+I$6)/($B12-I$6)/(1+$B12)^('DCF Model'!C19+4)-'DCF Model'!C16)*1000000/'DCF Model'!C15,0),"")</f>
        <v>1030</v>
      </c>
    </row>
    <row r="13" spans="2:9" ht="13.5" customHeight="1" x14ac:dyDescent="0.25">
      <c r="B13" s="39">
        <f>$C$3+0.015</f>
        <v>0.13615649507526484</v>
      </c>
      <c r="C13" s="37">
        <f>IFERROR(ROUND(('DCF Model'!C45/(1+$B13)^('DCF Model'!C19+0)+'DCF Model'!D45/(1+$B13)^('DCF Model'!C19+1)+'DCF Model'!E45/(1+$B13)^('DCF Model'!C19+2)+'DCF Model'!F45/(1+$B13)^('DCF Model'!C19+3)+'DCF Model'!G45/(1+$B13)^('DCF Model'!C19+4)+'DCF Model'!G45*(1+C$6)/($B13-C$6)/(1+$B13)^('DCF Model'!C19+4)-'DCF Model'!C16)*1000000/'DCF Model'!C15,0),"")</f>
        <v>919</v>
      </c>
      <c r="D13" s="37">
        <f>IFERROR(ROUND(('DCF Model'!C45/(1+$B13)^('DCF Model'!C19+0)+'DCF Model'!D45/(1+$B13)^('DCF Model'!C19+1)+'DCF Model'!E45/(1+$B13)^('DCF Model'!C19+2)+'DCF Model'!F45/(1+$B13)^('DCF Model'!C19+3)+'DCF Model'!G45/(1+$B13)^('DCF Model'!C19+4)+'DCF Model'!G45*(1+D$6)/($B13-D$6)/(1+$B13)^('DCF Model'!C19+4)-'DCF Model'!C16)*1000000/'DCF Model'!C15,0),"")</f>
        <v>929</v>
      </c>
      <c r="E13" s="37">
        <f>IFERROR(ROUND(('DCF Model'!C45/(1+$B13)^('DCF Model'!C19+0)+'DCF Model'!D45/(1+$B13)^('DCF Model'!C19+1)+'DCF Model'!E45/(1+$B13)^('DCF Model'!C19+2)+'DCF Model'!F45/(1+$B13)^('DCF Model'!C19+3)+'DCF Model'!G45/(1+$B13)^('DCF Model'!C19+4)+'DCF Model'!G45*(1+E$6)/($B13-E$6)/(1+$B13)^('DCF Model'!C19+4)-'DCF Model'!C16)*1000000/'DCF Model'!C15,0),"")</f>
        <v>941</v>
      </c>
      <c r="F13" s="37">
        <f>IFERROR(ROUND(('DCF Model'!C45/(1+$B13)^('DCF Model'!C19+0)+'DCF Model'!D45/(1+$B13)^('DCF Model'!C19+1)+'DCF Model'!E45/(1+$B13)^('DCF Model'!C19+2)+'DCF Model'!F45/(1+$B13)^('DCF Model'!C19+3)+'DCF Model'!G45/(1+$B13)^('DCF Model'!C19+4)+'DCF Model'!G45*(1+F$6)/($B13-F$6)/(1+$B13)^('DCF Model'!C19+4)-'DCF Model'!C16)*1000000/'DCF Model'!C15,0),"")</f>
        <v>952</v>
      </c>
      <c r="G13" s="37">
        <f>IFERROR(ROUND(('DCF Model'!C45/(1+$B13)^('DCF Model'!C19+0)+'DCF Model'!D45/(1+$B13)^('DCF Model'!C19+1)+'DCF Model'!E45/(1+$B13)^('DCF Model'!C19+2)+'DCF Model'!F45/(1+$B13)^('DCF Model'!C19+3)+'DCF Model'!G45/(1+$B13)^('DCF Model'!C19+4)+'DCF Model'!G45*(1+G$6)/($B13-G$6)/(1+$B13)^('DCF Model'!C19+4)-'DCF Model'!C16)*1000000/'DCF Model'!C15,0),"")</f>
        <v>964</v>
      </c>
      <c r="H13" s="37">
        <f>IFERROR(ROUND(('DCF Model'!C45/(1+$B13)^('DCF Model'!C19+0)+'DCF Model'!D45/(1+$B13)^('DCF Model'!C19+1)+'DCF Model'!E45/(1+$B13)^('DCF Model'!C19+2)+'DCF Model'!F45/(1+$B13)^('DCF Model'!C19+3)+'DCF Model'!G45/(1+$B13)^('DCF Model'!C19+4)+'DCF Model'!G45*(1+H$6)/($B13-H$6)/(1+$B13)^('DCF Model'!C19+4)-'DCF Model'!C16)*1000000/'DCF Model'!C15,0),"")</f>
        <v>977</v>
      </c>
      <c r="I13" s="37">
        <f>IFERROR(ROUND(('DCF Model'!C45/(1+$B13)^('DCF Model'!C19+0)+'DCF Model'!D45/(1+$B13)^('DCF Model'!C19+1)+'DCF Model'!E45/(1+$B13)^('DCF Model'!C19+2)+'DCF Model'!F45/(1+$B13)^('DCF Model'!C19+3)+'DCF Model'!G45/(1+$B13)^('DCF Model'!C19+4)+'DCF Model'!G45*(1+I$6)/($B13-I$6)/(1+$B13)^('DCF Model'!C19+4)-'DCF Model'!C16)*1000000/'DCF Model'!C15,0),"")</f>
        <v>990</v>
      </c>
    </row>
    <row r="16" spans="2:9" ht="14" customHeight="1" x14ac:dyDescent="0.3">
      <c r="B16" s="3" t="s">
        <v>249</v>
      </c>
    </row>
    <row r="17" spans="2:9" ht="14" customHeight="1" x14ac:dyDescent="0.3">
      <c r="B17" s="40" t="s">
        <v>250</v>
      </c>
      <c r="C17" s="42">
        <f>$I$3-3</f>
        <v>3</v>
      </c>
      <c r="D17" s="42">
        <f>$I$3-2</f>
        <v>4</v>
      </c>
      <c r="E17" s="42">
        <f>$I$3-1</f>
        <v>5</v>
      </c>
      <c r="F17" s="42">
        <f>$I$3</f>
        <v>6</v>
      </c>
      <c r="G17" s="42">
        <f>$I$3+1</f>
        <v>7</v>
      </c>
      <c r="H17" s="42">
        <f>$I$3+2</f>
        <v>8</v>
      </c>
      <c r="I17" s="42">
        <f>$I$3+3</f>
        <v>9</v>
      </c>
    </row>
    <row r="18" spans="2:9" ht="13.5" customHeight="1" x14ac:dyDescent="0.25">
      <c r="B18" s="39">
        <f>$C$3-0.015</f>
        <v>0.10615649507526483</v>
      </c>
      <c r="C18" s="37">
        <f>IFERROR(ROUND(('DCF Model'!C45/(1+$B18)^('DCF Model'!C19+0)+'DCF Model'!D45/(1+$B18)^('DCF Model'!C19+1)+'DCF Model'!E45/(1+$B18)^('DCF Model'!C19+2)+'DCF Model'!F45/(1+$B18)^('DCF Model'!C19+3)+'DCF Model'!G45/(1+$B18)^('DCF Model'!C19+4)+('DCF Model'!G39+'DCF Model'!G42)*C$17/(1+$B18)^('DCF Model'!C19+4)-'DCF Model'!C16)*1000000/'DCF Model'!C15,0),"")</f>
        <v>846</v>
      </c>
      <c r="D18" s="37">
        <f>IFERROR(ROUND(('DCF Model'!C45/(1+$B18)^('DCF Model'!C19+0)+'DCF Model'!D45/(1+$B18)^('DCF Model'!C19+1)+'DCF Model'!E45/(1+$B18)^('DCF Model'!C19+2)+'DCF Model'!F45/(1+$B18)^('DCF Model'!C19+3)+'DCF Model'!G45/(1+$B18)^('DCF Model'!C19+4)+('DCF Model'!G39+'DCF Model'!G42)*D$17/(1+$B18)^('DCF Model'!C19+4)-'DCF Model'!C16)*1000000/'DCF Model'!C15,0),"")</f>
        <v>980</v>
      </c>
      <c r="E18" s="37">
        <f>IFERROR(ROUND(('DCF Model'!C45/(1+$B18)^('DCF Model'!C19+0)+'DCF Model'!D45/(1+$B18)^('DCF Model'!C19+1)+'DCF Model'!E45/(1+$B18)^('DCF Model'!C19+2)+'DCF Model'!F45/(1+$B18)^('DCF Model'!C19+3)+'DCF Model'!G45/(1+$B18)^('DCF Model'!C19+4)+('DCF Model'!G39+'DCF Model'!G42)*E$17/(1+$B18)^('DCF Model'!C19+4)-'DCF Model'!C16)*1000000/'DCF Model'!C15,0),"")</f>
        <v>1115</v>
      </c>
      <c r="F18" s="37">
        <f>IFERROR(ROUND(('DCF Model'!C45/(1+$B18)^('DCF Model'!C19+0)+'DCF Model'!D45/(1+$B18)^('DCF Model'!C19+1)+'DCF Model'!E45/(1+$B18)^('DCF Model'!C19+2)+'DCF Model'!F45/(1+$B18)^('DCF Model'!C19+3)+'DCF Model'!G45/(1+$B18)^('DCF Model'!C19+4)+('DCF Model'!G39+'DCF Model'!G42)*F$17/(1+$B18)^('DCF Model'!C19+4)-'DCF Model'!C16)*1000000/'DCF Model'!C15,0),"")</f>
        <v>1249</v>
      </c>
      <c r="G18" s="37">
        <f>IFERROR(ROUND(('DCF Model'!C45/(1+$B18)^('DCF Model'!C19+0)+'DCF Model'!D45/(1+$B18)^('DCF Model'!C19+1)+'DCF Model'!E45/(1+$B18)^('DCF Model'!C19+2)+'DCF Model'!F45/(1+$B18)^('DCF Model'!C19+3)+'DCF Model'!G45/(1+$B18)^('DCF Model'!C19+4)+('DCF Model'!G39+'DCF Model'!G42)*G$17/(1+$B18)^('DCF Model'!C19+4)-'DCF Model'!C16)*1000000/'DCF Model'!C15,0),"")</f>
        <v>1383</v>
      </c>
      <c r="H18" s="37">
        <f>IFERROR(ROUND(('DCF Model'!C45/(1+$B18)^('DCF Model'!C19+0)+'DCF Model'!D45/(1+$B18)^('DCF Model'!C19+1)+'DCF Model'!E45/(1+$B18)^('DCF Model'!C19+2)+'DCF Model'!F45/(1+$B18)^('DCF Model'!C19+3)+'DCF Model'!G45/(1+$B18)^('DCF Model'!C19+4)+('DCF Model'!G39+'DCF Model'!G42)*H$17/(1+$B18)^('DCF Model'!C19+4)-'DCF Model'!C16)*1000000/'DCF Model'!C15,0),"")</f>
        <v>1518</v>
      </c>
      <c r="I18" s="37">
        <f>IFERROR(ROUND(('DCF Model'!C45/(1+$B18)^('DCF Model'!C19+0)+'DCF Model'!D45/(1+$B18)^('DCF Model'!C19+1)+'DCF Model'!E45/(1+$B18)^('DCF Model'!C19+2)+'DCF Model'!F45/(1+$B18)^('DCF Model'!C19+3)+'DCF Model'!G45/(1+$B18)^('DCF Model'!C19+4)+('DCF Model'!G39+'DCF Model'!G42)*I$17/(1+$B18)^('DCF Model'!C19+4)-'DCF Model'!C16)*1000000/'DCF Model'!C15,0),"")</f>
        <v>1652</v>
      </c>
    </row>
    <row r="19" spans="2:9" ht="13.5" customHeight="1" x14ac:dyDescent="0.25">
      <c r="B19" s="39">
        <f>$C$3-0.01</f>
        <v>0.11115649507526483</v>
      </c>
      <c r="C19" s="37">
        <f>IFERROR(ROUND(('DCF Model'!C45/(1+$B19)^('DCF Model'!C19+0)+'DCF Model'!D45/(1+$B19)^('DCF Model'!C19+1)+'DCF Model'!E45/(1+$B19)^('DCF Model'!C19+2)+'DCF Model'!F45/(1+$B19)^('DCF Model'!C19+3)+'DCF Model'!G45/(1+$B19)^('DCF Model'!C19+4)+('DCF Model'!G39+'DCF Model'!G42)*C$17/(1+$B19)^('DCF Model'!C19+4)-'DCF Model'!C16)*1000000/'DCF Model'!C15,0),"")</f>
        <v>834</v>
      </c>
      <c r="D19" s="37">
        <f>IFERROR(ROUND(('DCF Model'!C45/(1+$B19)^('DCF Model'!C19+0)+'DCF Model'!D45/(1+$B19)^('DCF Model'!C19+1)+'DCF Model'!E45/(1+$B19)^('DCF Model'!C19+2)+'DCF Model'!F45/(1+$B19)^('DCF Model'!C19+3)+'DCF Model'!G45/(1+$B19)^('DCF Model'!C19+4)+('DCF Model'!G39+'DCF Model'!G42)*D$17/(1+$B19)^('DCF Model'!C19+4)-'DCF Model'!C16)*1000000/'DCF Model'!C15,0),"")</f>
        <v>966</v>
      </c>
      <c r="E19" s="37">
        <f>IFERROR(ROUND(('DCF Model'!C45/(1+$B19)^('DCF Model'!C19+0)+'DCF Model'!D45/(1+$B19)^('DCF Model'!C19+1)+'DCF Model'!E45/(1+$B19)^('DCF Model'!C19+2)+'DCF Model'!F45/(1+$B19)^('DCF Model'!C19+3)+'DCF Model'!G45/(1+$B19)^('DCF Model'!C19+4)+('DCF Model'!G39+'DCF Model'!G42)*E$17/(1+$B19)^('DCF Model'!C19+4)-'DCF Model'!C16)*1000000/'DCF Model'!C15,0),"")</f>
        <v>1097</v>
      </c>
      <c r="F19" s="37">
        <f>IFERROR(ROUND(('DCF Model'!C45/(1+$B19)^('DCF Model'!C19+0)+'DCF Model'!D45/(1+$B19)^('DCF Model'!C19+1)+'DCF Model'!E45/(1+$B19)^('DCF Model'!C19+2)+'DCF Model'!F45/(1+$B19)^('DCF Model'!C19+3)+'DCF Model'!G45/(1+$B19)^('DCF Model'!C19+4)+('DCF Model'!G39+'DCF Model'!G42)*F$17/(1+$B19)^('DCF Model'!C19+4)-'DCF Model'!C16)*1000000/'DCF Model'!C15,0),"")</f>
        <v>1229</v>
      </c>
      <c r="G19" s="37">
        <f>IFERROR(ROUND(('DCF Model'!C45/(1+$B19)^('DCF Model'!C19+0)+'DCF Model'!D45/(1+$B19)^('DCF Model'!C19+1)+'DCF Model'!E45/(1+$B19)^('DCF Model'!C19+2)+'DCF Model'!F45/(1+$B19)^('DCF Model'!C19+3)+'DCF Model'!G45/(1+$B19)^('DCF Model'!C19+4)+('DCF Model'!G39+'DCF Model'!G42)*G$17/(1+$B19)^('DCF Model'!C19+4)-'DCF Model'!C16)*1000000/'DCF Model'!C15,0),"")</f>
        <v>1361</v>
      </c>
      <c r="H19" s="37">
        <f>IFERROR(ROUND(('DCF Model'!C45/(1+$B19)^('DCF Model'!C19+0)+'DCF Model'!D45/(1+$B19)^('DCF Model'!C19+1)+'DCF Model'!E45/(1+$B19)^('DCF Model'!C19+2)+'DCF Model'!F45/(1+$B19)^('DCF Model'!C19+3)+'DCF Model'!G45/(1+$B19)^('DCF Model'!C19+4)+('DCF Model'!G39+'DCF Model'!G42)*H$17/(1+$B19)^('DCF Model'!C19+4)-'DCF Model'!C16)*1000000/'DCF Model'!C15,0),"")</f>
        <v>1492</v>
      </c>
      <c r="I19" s="37">
        <f>IFERROR(ROUND(('DCF Model'!C45/(1+$B19)^('DCF Model'!C19+0)+'DCF Model'!D45/(1+$B19)^('DCF Model'!C19+1)+'DCF Model'!E45/(1+$B19)^('DCF Model'!C19+2)+'DCF Model'!F45/(1+$B19)^('DCF Model'!C19+3)+'DCF Model'!G45/(1+$B19)^('DCF Model'!C19+4)+('DCF Model'!G39+'DCF Model'!G42)*I$17/(1+$B19)^('DCF Model'!C19+4)-'DCF Model'!C16)*1000000/'DCF Model'!C15,0),"")</f>
        <v>1624</v>
      </c>
    </row>
    <row r="20" spans="2:9" ht="13.5" customHeight="1" x14ac:dyDescent="0.25">
      <c r="B20" s="39">
        <f>$C$3-0.005</f>
        <v>0.11615649507526482</v>
      </c>
      <c r="C20" s="37">
        <f>IFERROR(ROUND(('DCF Model'!C45/(1+$B20)^('DCF Model'!C19+0)+'DCF Model'!D45/(1+$B20)^('DCF Model'!C19+1)+'DCF Model'!E45/(1+$B20)^('DCF Model'!C19+2)+'DCF Model'!F45/(1+$B20)^('DCF Model'!C19+3)+'DCF Model'!G45/(1+$B20)^('DCF Model'!C19+4)+('DCF Model'!G39+'DCF Model'!G42)*C$17/(1+$B20)^('DCF Model'!C19+4)-'DCF Model'!C16)*1000000/'DCF Model'!C15,0),"")</f>
        <v>822</v>
      </c>
      <c r="D20" s="37">
        <f>IFERROR(ROUND(('DCF Model'!C45/(1+$B20)^('DCF Model'!C19+0)+'DCF Model'!D45/(1+$B20)^('DCF Model'!C19+1)+'DCF Model'!E45/(1+$B20)^('DCF Model'!C19+2)+'DCF Model'!F45/(1+$B20)^('DCF Model'!C19+3)+'DCF Model'!G45/(1+$B20)^('DCF Model'!C19+4)+('DCF Model'!G39+'DCF Model'!G42)*D$17/(1+$B20)^('DCF Model'!C19+4)-'DCF Model'!C16)*1000000/'DCF Model'!C15,0),"")</f>
        <v>952</v>
      </c>
      <c r="E20" s="37">
        <f>IFERROR(ROUND(('DCF Model'!C45/(1+$B20)^('DCF Model'!C19+0)+'DCF Model'!D45/(1+$B20)^('DCF Model'!C19+1)+'DCF Model'!E45/(1+$B20)^('DCF Model'!C19+2)+'DCF Model'!F45/(1+$B20)^('DCF Model'!C19+3)+'DCF Model'!G45/(1+$B20)^('DCF Model'!C19+4)+('DCF Model'!G39+'DCF Model'!G42)*E$17/(1+$B20)^('DCF Model'!C19+4)-'DCF Model'!C16)*1000000/'DCF Model'!C15,0),"")</f>
        <v>1081</v>
      </c>
      <c r="F20" s="37">
        <f>IFERROR(ROUND(('DCF Model'!C45/(1+$B20)^('DCF Model'!C19+0)+'DCF Model'!D45/(1+$B20)^('DCF Model'!C19+1)+'DCF Model'!E45/(1+$B20)^('DCF Model'!C19+2)+'DCF Model'!F45/(1+$B20)^('DCF Model'!C19+3)+'DCF Model'!G45/(1+$B20)^('DCF Model'!C19+4)+('DCF Model'!G39+'DCF Model'!G42)*F$17/(1+$B20)^('DCF Model'!C19+4)-'DCF Model'!C16)*1000000/'DCF Model'!C15,0),"")</f>
        <v>1210</v>
      </c>
      <c r="G20" s="37">
        <f>IFERROR(ROUND(('DCF Model'!C45/(1+$B20)^('DCF Model'!C19+0)+'DCF Model'!D45/(1+$B20)^('DCF Model'!C19+1)+'DCF Model'!E45/(1+$B20)^('DCF Model'!C19+2)+'DCF Model'!F45/(1+$B20)^('DCF Model'!C19+3)+'DCF Model'!G45/(1+$B20)^('DCF Model'!C19+4)+('DCF Model'!G39+'DCF Model'!G42)*G$17/(1+$B20)^('DCF Model'!C19+4)-'DCF Model'!C16)*1000000/'DCF Model'!C15,0),"")</f>
        <v>1339</v>
      </c>
      <c r="H20" s="37">
        <f>IFERROR(ROUND(('DCF Model'!C45/(1+$B20)^('DCF Model'!C19+0)+'DCF Model'!D45/(1+$B20)^('DCF Model'!C19+1)+'DCF Model'!E45/(1+$B20)^('DCF Model'!C19+2)+'DCF Model'!F45/(1+$B20)^('DCF Model'!C19+3)+'DCF Model'!G45/(1+$B20)^('DCF Model'!C19+4)+('DCF Model'!G39+'DCF Model'!G42)*H$17/(1+$B20)^('DCF Model'!C19+4)-'DCF Model'!C16)*1000000/'DCF Model'!C15,0),"")</f>
        <v>1468</v>
      </c>
      <c r="I20" s="37">
        <f>IFERROR(ROUND(('DCF Model'!C45/(1+$B20)^('DCF Model'!C19+0)+'DCF Model'!D45/(1+$B20)^('DCF Model'!C19+1)+'DCF Model'!E45/(1+$B20)^('DCF Model'!C19+2)+'DCF Model'!F45/(1+$B20)^('DCF Model'!C19+3)+'DCF Model'!G45/(1+$B20)^('DCF Model'!C19+4)+('DCF Model'!G39+'DCF Model'!G42)*I$17/(1+$B20)^('DCF Model'!C19+4)-'DCF Model'!C16)*1000000/'DCF Model'!C15,0),"")</f>
        <v>1597</v>
      </c>
    </row>
    <row r="21" spans="2:9" ht="13.5" customHeight="1" x14ac:dyDescent="0.25">
      <c r="B21" s="39">
        <f>$C$3</f>
        <v>0.12115649507526483</v>
      </c>
      <c r="C21" s="37">
        <f>IFERROR(ROUND(('DCF Model'!C45/(1+$B21)^('DCF Model'!C19+0)+'DCF Model'!D45/(1+$B21)^('DCF Model'!C19+1)+'DCF Model'!E45/(1+$B21)^('DCF Model'!C19+2)+'DCF Model'!F45/(1+$B21)^('DCF Model'!C19+3)+'DCF Model'!G45/(1+$B21)^('DCF Model'!C19+4)+('DCF Model'!G39+'DCF Model'!G42)*C$17/(1+$B21)^('DCF Model'!C19+4)-'DCF Model'!C16)*1000000/'DCF Model'!C15,0),"")</f>
        <v>811</v>
      </c>
      <c r="D21" s="37">
        <f>IFERROR(ROUND(('DCF Model'!C45/(1+$B21)^('DCF Model'!C19+0)+'DCF Model'!D45/(1+$B21)^('DCF Model'!C19+1)+'DCF Model'!E45/(1+$B21)^('DCF Model'!C19+2)+'DCF Model'!F45/(1+$B21)^('DCF Model'!C19+3)+'DCF Model'!G45/(1+$B21)^('DCF Model'!C19+4)+('DCF Model'!G39+'DCF Model'!G42)*D$17/(1+$B21)^('DCF Model'!C19+4)-'DCF Model'!C16)*1000000/'DCF Model'!C15,0),"")</f>
        <v>938</v>
      </c>
      <c r="E21" s="37">
        <f>IFERROR(ROUND(('DCF Model'!C45/(1+$B21)^('DCF Model'!C19+0)+'DCF Model'!D45/(1+$B21)^('DCF Model'!C19+1)+'DCF Model'!E45/(1+$B21)^('DCF Model'!C19+2)+'DCF Model'!F45/(1+$B21)^('DCF Model'!C19+3)+'DCF Model'!G45/(1+$B21)^('DCF Model'!C19+4)+('DCF Model'!G39+'DCF Model'!G42)*E$17/(1+$B21)^('DCF Model'!C19+4)-'DCF Model'!C16)*1000000/'DCF Model'!C15,0),"")</f>
        <v>1064</v>
      </c>
      <c r="F21" s="37">
        <f>IFERROR(ROUND(('DCF Model'!C45/(1+$B21)^('DCF Model'!C19+0)+'DCF Model'!D45/(1+$B21)^('DCF Model'!C19+1)+'DCF Model'!E45/(1+$B21)^('DCF Model'!C19+2)+'DCF Model'!F45/(1+$B21)^('DCF Model'!C19+3)+'DCF Model'!G45/(1+$B21)^('DCF Model'!C19+4)+('DCF Model'!G39+'DCF Model'!G42)*F$17/(1+$B21)^('DCF Model'!C19+4)-'DCF Model'!C16)*1000000/'DCF Model'!C15,0),"")</f>
        <v>1191</v>
      </c>
      <c r="G21" s="37">
        <f>IFERROR(ROUND(('DCF Model'!C45/(1+$B21)^('DCF Model'!C19+0)+'DCF Model'!D45/(1+$B21)^('DCF Model'!C19+1)+'DCF Model'!E45/(1+$B21)^('DCF Model'!C19+2)+'DCF Model'!F45/(1+$B21)^('DCF Model'!C19+3)+'DCF Model'!G45/(1+$B21)^('DCF Model'!C19+4)+('DCF Model'!G39+'DCF Model'!G42)*G$17/(1+$B21)^('DCF Model'!C19+4)-'DCF Model'!C16)*1000000/'DCF Model'!C15,0),"")</f>
        <v>1317</v>
      </c>
      <c r="H21" s="37">
        <f>IFERROR(ROUND(('DCF Model'!C45/(1+$B21)^('DCF Model'!C19+0)+'DCF Model'!D45/(1+$B21)^('DCF Model'!C19+1)+'DCF Model'!E45/(1+$B21)^('DCF Model'!C19+2)+'DCF Model'!F45/(1+$B21)^('DCF Model'!C19+3)+'DCF Model'!G45/(1+$B21)^('DCF Model'!C19+4)+('DCF Model'!G39+'DCF Model'!G42)*H$17/(1+$B21)^('DCF Model'!C19+4)-'DCF Model'!C16)*1000000/'DCF Model'!C15,0),"")</f>
        <v>1444</v>
      </c>
      <c r="I21" s="37">
        <f>IFERROR(ROUND(('DCF Model'!C45/(1+$B21)^('DCF Model'!C19+0)+'DCF Model'!D45/(1+$B21)^('DCF Model'!C19+1)+'DCF Model'!E45/(1+$B21)^('DCF Model'!C19+2)+'DCF Model'!F45/(1+$B21)^('DCF Model'!C19+3)+'DCF Model'!G45/(1+$B21)^('DCF Model'!C19+4)+('DCF Model'!G39+'DCF Model'!G42)*I$17/(1+$B21)^('DCF Model'!C19+4)-'DCF Model'!C16)*1000000/'DCF Model'!C15,0),"")</f>
        <v>1571</v>
      </c>
    </row>
    <row r="22" spans="2:9" ht="13.5" customHeight="1" x14ac:dyDescent="0.25">
      <c r="B22" s="39">
        <f>$C$3+0.005</f>
        <v>0.12615649507526483</v>
      </c>
      <c r="C22" s="37">
        <f>IFERROR(ROUND(('DCF Model'!C45/(1+$B22)^('DCF Model'!C19+0)+'DCF Model'!D45/(1+$B22)^('DCF Model'!C19+1)+'DCF Model'!E45/(1+$B22)^('DCF Model'!C19+2)+'DCF Model'!F45/(1+$B22)^('DCF Model'!C19+3)+'DCF Model'!G45/(1+$B22)^('DCF Model'!C19+4)+('DCF Model'!G39+'DCF Model'!G42)*C$17/(1+$B22)^('DCF Model'!C19+4)-'DCF Model'!C16)*1000000/'DCF Model'!C15,0),"")</f>
        <v>800</v>
      </c>
      <c r="D22" s="37">
        <f>IFERROR(ROUND(('DCF Model'!C45/(1+$B22)^('DCF Model'!C19+0)+'DCF Model'!D45/(1+$B22)^('DCF Model'!C19+1)+'DCF Model'!E45/(1+$B22)^('DCF Model'!C19+2)+'DCF Model'!F45/(1+$B22)^('DCF Model'!C19+3)+'DCF Model'!G45/(1+$B22)^('DCF Model'!C19+4)+('DCF Model'!G39+'DCF Model'!G42)*D$17/(1+$B22)^('DCF Model'!C19+4)-'DCF Model'!C16)*1000000/'DCF Model'!C15,0),"")</f>
        <v>924</v>
      </c>
      <c r="E22" s="37">
        <f>IFERROR(ROUND(('DCF Model'!C45/(1+$B22)^('DCF Model'!C19+0)+'DCF Model'!D45/(1+$B22)^('DCF Model'!C19+1)+'DCF Model'!E45/(1+$B22)^('DCF Model'!C19+2)+'DCF Model'!F45/(1+$B22)^('DCF Model'!C19+3)+'DCF Model'!G45/(1+$B22)^('DCF Model'!C19+4)+('DCF Model'!G39+'DCF Model'!G42)*E$17/(1+$B22)^('DCF Model'!C19+4)-'DCF Model'!C16)*1000000/'DCF Model'!C15,0),"")</f>
        <v>1048</v>
      </c>
      <c r="F22" s="37">
        <f>IFERROR(ROUND(('DCF Model'!C45/(1+$B22)^('DCF Model'!C19+0)+'DCF Model'!D45/(1+$B22)^('DCF Model'!C19+1)+'DCF Model'!E45/(1+$B22)^('DCF Model'!C19+2)+'DCF Model'!F45/(1+$B22)^('DCF Model'!C19+3)+'DCF Model'!G45/(1+$B22)^('DCF Model'!C19+4)+('DCF Model'!G39+'DCF Model'!G42)*F$17/(1+$B22)^('DCF Model'!C19+4)-'DCF Model'!C16)*1000000/'DCF Model'!C15,0),"")</f>
        <v>1172</v>
      </c>
      <c r="G22" s="37">
        <f>IFERROR(ROUND(('DCF Model'!C45/(1+$B22)^('DCF Model'!C19+0)+'DCF Model'!D45/(1+$B22)^('DCF Model'!C19+1)+'DCF Model'!E45/(1+$B22)^('DCF Model'!C19+2)+'DCF Model'!F45/(1+$B22)^('DCF Model'!C19+3)+'DCF Model'!G45/(1+$B22)^('DCF Model'!C19+4)+('DCF Model'!G39+'DCF Model'!G42)*G$17/(1+$B22)^('DCF Model'!C19+4)-'DCF Model'!C16)*1000000/'DCF Model'!C15,0),"")</f>
        <v>1297</v>
      </c>
      <c r="H22" s="37">
        <f>IFERROR(ROUND(('DCF Model'!C45/(1+$B22)^('DCF Model'!C19+0)+'DCF Model'!D45/(1+$B22)^('DCF Model'!C19+1)+'DCF Model'!E45/(1+$B22)^('DCF Model'!C19+2)+'DCF Model'!F45/(1+$B22)^('DCF Model'!C19+3)+'DCF Model'!G45/(1+$B22)^('DCF Model'!C19+4)+('DCF Model'!G39+'DCF Model'!G42)*H$17/(1+$B22)^('DCF Model'!C19+4)-'DCF Model'!C16)*1000000/'DCF Model'!C15,0),"")</f>
        <v>1421</v>
      </c>
      <c r="I22" s="37">
        <f>IFERROR(ROUND(('DCF Model'!C45/(1+$B22)^('DCF Model'!C19+0)+'DCF Model'!D45/(1+$B22)^('DCF Model'!C19+1)+'DCF Model'!E45/(1+$B22)^('DCF Model'!C19+2)+'DCF Model'!F45/(1+$B22)^('DCF Model'!C19+3)+'DCF Model'!G45/(1+$B22)^('DCF Model'!C19+4)+('DCF Model'!G39+'DCF Model'!G42)*I$17/(1+$B22)^('DCF Model'!C19+4)-'DCF Model'!C16)*1000000/'DCF Model'!C15,0),"")</f>
        <v>1545</v>
      </c>
    </row>
    <row r="23" spans="2:9" ht="13.5" customHeight="1" x14ac:dyDescent="0.25">
      <c r="B23" s="39">
        <f>$C$3+0.01</f>
        <v>0.13115649507526483</v>
      </c>
      <c r="C23" s="37">
        <f>IFERROR(ROUND(('DCF Model'!C45/(1+$B23)^('DCF Model'!C19+0)+'DCF Model'!D45/(1+$B23)^('DCF Model'!C19+1)+'DCF Model'!E45/(1+$B23)^('DCF Model'!C19+2)+'DCF Model'!F45/(1+$B23)^('DCF Model'!C19+3)+'DCF Model'!G45/(1+$B23)^('DCF Model'!C19+4)+('DCF Model'!G39+'DCF Model'!G42)*C$17/(1+$B23)^('DCF Model'!C19+4)-'DCF Model'!C16)*1000000/'DCF Model'!C15,0),"")</f>
        <v>789</v>
      </c>
      <c r="D23" s="37">
        <f>IFERROR(ROUND(('DCF Model'!C45/(1+$B23)^('DCF Model'!C19+0)+'DCF Model'!D45/(1+$B23)^('DCF Model'!C19+1)+'DCF Model'!E45/(1+$B23)^('DCF Model'!C19+2)+'DCF Model'!F45/(1+$B23)^('DCF Model'!C19+3)+'DCF Model'!G45/(1+$B23)^('DCF Model'!C19+4)+('DCF Model'!G39+'DCF Model'!G42)*D$17/(1+$B23)^('DCF Model'!C19+4)-'DCF Model'!C16)*1000000/'DCF Model'!C15,0),"")</f>
        <v>911</v>
      </c>
      <c r="E23" s="37">
        <f>IFERROR(ROUND(('DCF Model'!C45/(1+$B23)^('DCF Model'!C19+0)+'DCF Model'!D45/(1+$B23)^('DCF Model'!C19+1)+'DCF Model'!E45/(1+$B23)^('DCF Model'!C19+2)+'DCF Model'!F45/(1+$B23)^('DCF Model'!C19+3)+'DCF Model'!G45/(1+$B23)^('DCF Model'!C19+4)+('DCF Model'!G39+'DCF Model'!G42)*E$17/(1+$B23)^('DCF Model'!C19+4)-'DCF Model'!C16)*1000000/'DCF Model'!C15,0),"")</f>
        <v>1033</v>
      </c>
      <c r="F23" s="37">
        <f>IFERROR(ROUND(('DCF Model'!C45/(1+$B23)^('DCF Model'!C19+0)+'DCF Model'!D45/(1+$B23)^('DCF Model'!C19+1)+'DCF Model'!E45/(1+$B23)^('DCF Model'!C19+2)+'DCF Model'!F45/(1+$B23)^('DCF Model'!C19+3)+'DCF Model'!G45/(1+$B23)^('DCF Model'!C19+4)+('DCF Model'!G39+'DCF Model'!G42)*F$17/(1+$B23)^('DCF Model'!C19+4)-'DCF Model'!C16)*1000000/'DCF Model'!C15,0),"")</f>
        <v>1154</v>
      </c>
      <c r="G23" s="37">
        <f>IFERROR(ROUND(('DCF Model'!C45/(1+$B23)^('DCF Model'!C19+0)+'DCF Model'!D45/(1+$B23)^('DCF Model'!C19+1)+'DCF Model'!E45/(1+$B23)^('DCF Model'!C19+2)+'DCF Model'!F45/(1+$B23)^('DCF Model'!C19+3)+'DCF Model'!G45/(1+$B23)^('DCF Model'!C19+4)+('DCF Model'!G39+'DCF Model'!G42)*G$17/(1+$B23)^('DCF Model'!C19+4)-'DCF Model'!C16)*1000000/'DCF Model'!C15,0),"")</f>
        <v>1276</v>
      </c>
      <c r="H23" s="37">
        <f>IFERROR(ROUND(('DCF Model'!C45/(1+$B23)^('DCF Model'!C19+0)+'DCF Model'!D45/(1+$B23)^('DCF Model'!C19+1)+'DCF Model'!E45/(1+$B23)^('DCF Model'!C19+2)+'DCF Model'!F45/(1+$B23)^('DCF Model'!C19+3)+'DCF Model'!G45/(1+$B23)^('DCF Model'!C19+4)+('DCF Model'!G39+'DCF Model'!G42)*H$17/(1+$B23)^('DCF Model'!C19+4)-'DCF Model'!C16)*1000000/'DCF Model'!C15,0),"")</f>
        <v>1398</v>
      </c>
      <c r="I23" s="37">
        <f>IFERROR(ROUND(('DCF Model'!C45/(1+$B23)^('DCF Model'!C19+0)+'DCF Model'!D45/(1+$B23)^('DCF Model'!C19+1)+'DCF Model'!E45/(1+$B23)^('DCF Model'!C19+2)+'DCF Model'!F45/(1+$B23)^('DCF Model'!C19+3)+'DCF Model'!G45/(1+$B23)^('DCF Model'!C19+4)+('DCF Model'!G39+'DCF Model'!G42)*I$17/(1+$B23)^('DCF Model'!C19+4)-'DCF Model'!C16)*1000000/'DCF Model'!C15,0),"")</f>
        <v>1519</v>
      </c>
    </row>
    <row r="24" spans="2:9" ht="13.5" customHeight="1" x14ac:dyDescent="0.25">
      <c r="B24" s="39">
        <f>$C$3+0.015</f>
        <v>0.13615649507526484</v>
      </c>
      <c r="C24" s="37">
        <f>IFERROR(ROUND(('DCF Model'!C45/(1+$B24)^('DCF Model'!C19+0)+'DCF Model'!D45/(1+$B24)^('DCF Model'!C19+1)+'DCF Model'!E45/(1+$B24)^('DCF Model'!C19+2)+'DCF Model'!F45/(1+$B24)^('DCF Model'!C19+3)+'DCF Model'!G45/(1+$B24)^('DCF Model'!C19+4)+('DCF Model'!G39+'DCF Model'!G42)*C$17/(1+$B24)^('DCF Model'!C19+4)-'DCF Model'!C16)*1000000/'DCF Model'!C15,0),"")</f>
        <v>779</v>
      </c>
      <c r="D24" s="37">
        <f>IFERROR(ROUND(('DCF Model'!C45/(1+$B24)^('DCF Model'!C19+0)+'DCF Model'!D45/(1+$B24)^('DCF Model'!C19+1)+'DCF Model'!E45/(1+$B24)^('DCF Model'!C19+2)+'DCF Model'!F45/(1+$B24)^('DCF Model'!C19+3)+'DCF Model'!G45/(1+$B24)^('DCF Model'!C19+4)+('DCF Model'!G39+'DCF Model'!G42)*D$17/(1+$B24)^('DCF Model'!C19+4)-'DCF Model'!C16)*1000000/'DCF Model'!C15,0),"")</f>
        <v>898</v>
      </c>
      <c r="E24" s="37">
        <f>IFERROR(ROUND(('DCF Model'!C45/(1+$B24)^('DCF Model'!C19+0)+'DCF Model'!D45/(1+$B24)^('DCF Model'!C19+1)+'DCF Model'!E45/(1+$B24)^('DCF Model'!C19+2)+'DCF Model'!F45/(1+$B24)^('DCF Model'!C19+3)+'DCF Model'!G45/(1+$B24)^('DCF Model'!C19+4)+('DCF Model'!G39+'DCF Model'!G42)*E$17/(1+$B24)^('DCF Model'!C19+4)-'DCF Model'!C16)*1000000/'DCF Model'!C15,0),"")</f>
        <v>1017</v>
      </c>
      <c r="F24" s="37">
        <f>IFERROR(ROUND(('DCF Model'!C45/(1+$B24)^('DCF Model'!C19+0)+'DCF Model'!D45/(1+$B24)^('DCF Model'!C19+1)+'DCF Model'!E45/(1+$B24)^('DCF Model'!C19+2)+'DCF Model'!F45/(1+$B24)^('DCF Model'!C19+3)+'DCF Model'!G45/(1+$B24)^('DCF Model'!C19+4)+('DCF Model'!G39+'DCF Model'!G42)*F$17/(1+$B24)^('DCF Model'!C19+4)-'DCF Model'!C16)*1000000/'DCF Model'!C15,0),"")</f>
        <v>1137</v>
      </c>
      <c r="G24" s="37">
        <f>IFERROR(ROUND(('DCF Model'!C45/(1+$B24)^('DCF Model'!C19+0)+'DCF Model'!D45/(1+$B24)^('DCF Model'!C19+1)+'DCF Model'!E45/(1+$B24)^('DCF Model'!C19+2)+'DCF Model'!F45/(1+$B24)^('DCF Model'!C19+3)+'DCF Model'!G45/(1+$B24)^('DCF Model'!C19+4)+('DCF Model'!G39+'DCF Model'!G42)*G$17/(1+$B24)^('DCF Model'!C19+4)-'DCF Model'!C16)*1000000/'DCF Model'!C15,0),"")</f>
        <v>1256</v>
      </c>
      <c r="H24" s="37">
        <f>IFERROR(ROUND(('DCF Model'!C45/(1+$B24)^('DCF Model'!C19+0)+'DCF Model'!D45/(1+$B24)^('DCF Model'!C19+1)+'DCF Model'!E45/(1+$B24)^('DCF Model'!C19+2)+'DCF Model'!F45/(1+$B24)^('DCF Model'!C19+3)+'DCF Model'!G45/(1+$B24)^('DCF Model'!C19+4)+('DCF Model'!G39+'DCF Model'!G42)*H$17/(1+$B24)^('DCF Model'!C19+4)-'DCF Model'!C16)*1000000/'DCF Model'!C15,0),"")</f>
        <v>1375</v>
      </c>
      <c r="I24" s="37">
        <f>IFERROR(ROUND(('DCF Model'!C45/(1+$B24)^('DCF Model'!C19+0)+'DCF Model'!D45/(1+$B24)^('DCF Model'!C19+1)+'DCF Model'!E45/(1+$B24)^('DCF Model'!C19+2)+'DCF Model'!F45/(1+$B24)^('DCF Model'!C19+3)+'DCF Model'!G45/(1+$B24)^('DCF Model'!C19+4)+('DCF Model'!G39+'DCF Model'!G42)*I$17/(1+$B24)^('DCF Model'!C19+4)-'DCF Model'!C16)*1000000/'DCF Model'!C15,0),"")</f>
        <v>1495</v>
      </c>
    </row>
    <row r="26" spans="2:9" ht="14" customHeight="1" x14ac:dyDescent="0.3">
      <c r="B26" s="46" t="s">
        <v>251</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8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252</v>
      </c>
    </row>
    <row r="4" spans="2:7" ht="14" customHeight="1" x14ac:dyDescent="0.3">
      <c r="B4" s="10" t="s">
        <v>253</v>
      </c>
      <c r="C4" s="10" t="s">
        <v>254</v>
      </c>
      <c r="D4" s="10" t="s">
        <v>255</v>
      </c>
      <c r="E4" s="10" t="s">
        <v>256</v>
      </c>
      <c r="F4" s="10" t="s">
        <v>257</v>
      </c>
      <c r="G4" s="10" t="s">
        <v>258</v>
      </c>
    </row>
    <row r="5" spans="2:7" x14ac:dyDescent="0.2">
      <c r="B5" t="s">
        <v>259</v>
      </c>
      <c r="C5" t="s">
        <v>260</v>
      </c>
      <c r="D5" t="s">
        <v>261</v>
      </c>
      <c r="E5" t="s">
        <v>262</v>
      </c>
      <c r="F5" t="s">
        <v>260</v>
      </c>
      <c r="G5" t="s">
        <v>263</v>
      </c>
    </row>
    <row r="6" spans="2:7" ht="30" customHeight="1" x14ac:dyDescent="0.3">
      <c r="B6" s="43" t="s">
        <v>264</v>
      </c>
      <c r="C6" s="4" t="s">
        <v>265</v>
      </c>
      <c r="D6" s="43" t="s">
        <v>266</v>
      </c>
      <c r="E6" s="43" t="s">
        <v>267</v>
      </c>
      <c r="F6" s="43" t="s">
        <v>260</v>
      </c>
      <c r="G6" s="43" t="s">
        <v>268</v>
      </c>
    </row>
    <row r="7" spans="2:7" ht="30" customHeight="1" x14ac:dyDescent="0.3">
      <c r="B7" s="43" t="s">
        <v>264</v>
      </c>
      <c r="C7" s="4" t="s">
        <v>269</v>
      </c>
      <c r="D7" s="43" t="s">
        <v>270</v>
      </c>
      <c r="E7" s="43" t="s">
        <v>271</v>
      </c>
      <c r="F7" s="43" t="s">
        <v>272</v>
      </c>
      <c r="G7" s="43" t="s">
        <v>273</v>
      </c>
    </row>
    <row r="8" spans="2:7" ht="30" customHeight="1" x14ac:dyDescent="0.3">
      <c r="B8" s="43" t="s">
        <v>264</v>
      </c>
      <c r="C8" s="4" t="s">
        <v>274</v>
      </c>
      <c r="D8" s="43" t="s">
        <v>275</v>
      </c>
      <c r="E8" s="43" t="s">
        <v>276</v>
      </c>
      <c r="F8" s="43" t="s">
        <v>277</v>
      </c>
      <c r="G8" s="43" t="s">
        <v>278</v>
      </c>
    </row>
    <row r="9" spans="2:7" ht="30" customHeight="1" x14ac:dyDescent="0.3">
      <c r="B9" s="43" t="s">
        <v>264</v>
      </c>
      <c r="C9" s="4" t="s">
        <v>279</v>
      </c>
      <c r="D9" s="43" t="s">
        <v>280</v>
      </c>
      <c r="E9" s="43" t="s">
        <v>281</v>
      </c>
      <c r="F9" s="43" t="s">
        <v>260</v>
      </c>
      <c r="G9" s="43" t="s">
        <v>282</v>
      </c>
    </row>
    <row r="10" spans="2:7" ht="30" customHeight="1" x14ac:dyDescent="0.3">
      <c r="B10" s="43" t="s">
        <v>264</v>
      </c>
      <c r="C10" s="4" t="s">
        <v>283</v>
      </c>
      <c r="D10" s="43" t="s">
        <v>284</v>
      </c>
      <c r="E10" s="43" t="s">
        <v>285</v>
      </c>
      <c r="F10" s="43" t="s">
        <v>260</v>
      </c>
      <c r="G10" s="43" t="s">
        <v>268</v>
      </c>
    </row>
    <row r="11" spans="2:7" ht="30" customHeight="1" x14ac:dyDescent="0.3">
      <c r="B11" s="43" t="s">
        <v>264</v>
      </c>
      <c r="C11" s="4" t="s">
        <v>286</v>
      </c>
      <c r="D11" s="43" t="s">
        <v>287</v>
      </c>
      <c r="E11" s="43" t="s">
        <v>288</v>
      </c>
      <c r="F11" s="43" t="s">
        <v>289</v>
      </c>
      <c r="G11" s="43" t="s">
        <v>290</v>
      </c>
    </row>
    <row r="12" spans="2:7" ht="30" customHeight="1" x14ac:dyDescent="0.3">
      <c r="B12" s="43" t="s">
        <v>264</v>
      </c>
      <c r="C12" s="4" t="s">
        <v>291</v>
      </c>
      <c r="D12" s="43" t="s">
        <v>292</v>
      </c>
      <c r="E12" s="43" t="s">
        <v>293</v>
      </c>
      <c r="F12" s="43" t="s">
        <v>260</v>
      </c>
      <c r="G12" s="43" t="s">
        <v>282</v>
      </c>
    </row>
    <row r="13" spans="2:7" ht="30" customHeight="1" x14ac:dyDescent="0.3">
      <c r="B13" s="43" t="s">
        <v>264</v>
      </c>
      <c r="C13" s="4" t="s">
        <v>294</v>
      </c>
      <c r="D13" s="43" t="s">
        <v>295</v>
      </c>
      <c r="E13" s="43" t="s">
        <v>296</v>
      </c>
      <c r="F13" s="43" t="s">
        <v>297</v>
      </c>
      <c r="G13" s="43" t="s">
        <v>298</v>
      </c>
    </row>
    <row r="14" spans="2:7" ht="30" customHeight="1" x14ac:dyDescent="0.3">
      <c r="B14" s="43" t="s">
        <v>264</v>
      </c>
      <c r="C14" s="4" t="s">
        <v>299</v>
      </c>
      <c r="D14" s="43" t="s">
        <v>300</v>
      </c>
      <c r="E14" s="43" t="s">
        <v>301</v>
      </c>
      <c r="F14" s="43" t="s">
        <v>302</v>
      </c>
      <c r="G14" s="43" t="s">
        <v>303</v>
      </c>
    </row>
    <row r="15" spans="2:7" ht="30" customHeight="1" x14ac:dyDescent="0.3">
      <c r="B15" s="43" t="s">
        <v>264</v>
      </c>
      <c r="C15" s="4" t="s">
        <v>304</v>
      </c>
      <c r="D15" s="43" t="s">
        <v>305</v>
      </c>
      <c r="E15" s="43" t="s">
        <v>306</v>
      </c>
      <c r="F15" s="43" t="s">
        <v>307</v>
      </c>
      <c r="G15" s="43" t="s">
        <v>308</v>
      </c>
    </row>
    <row r="16" spans="2:7" ht="30" customHeight="1" x14ac:dyDescent="0.3">
      <c r="B16" s="43" t="s">
        <v>264</v>
      </c>
      <c r="C16" s="4" t="s">
        <v>309</v>
      </c>
      <c r="D16" s="43" t="s">
        <v>310</v>
      </c>
      <c r="E16" s="43" t="s">
        <v>311</v>
      </c>
      <c r="F16" s="43" t="s">
        <v>312</v>
      </c>
      <c r="G16" s="43" t="s">
        <v>290</v>
      </c>
    </row>
    <row r="17" spans="2:7" ht="30" customHeight="1" x14ac:dyDescent="0.3">
      <c r="B17" s="43" t="s">
        <v>264</v>
      </c>
      <c r="C17" s="4" t="s">
        <v>313</v>
      </c>
      <c r="D17" s="43" t="s">
        <v>314</v>
      </c>
      <c r="E17" s="43" t="s">
        <v>315</v>
      </c>
      <c r="F17" s="43" t="s">
        <v>316</v>
      </c>
      <c r="G17" s="43" t="s">
        <v>317</v>
      </c>
    </row>
    <row r="18" spans="2:7" ht="30" customHeight="1" x14ac:dyDescent="0.3">
      <c r="B18" s="43" t="s">
        <v>264</v>
      </c>
      <c r="C18" s="4" t="s">
        <v>318</v>
      </c>
      <c r="D18" s="43" t="s">
        <v>319</v>
      </c>
      <c r="E18" s="43" t="s">
        <v>320</v>
      </c>
      <c r="F18" s="43" t="s">
        <v>321</v>
      </c>
      <c r="G18" s="43" t="s">
        <v>290</v>
      </c>
    </row>
    <row r="19" spans="2:7" ht="30" customHeight="1" x14ac:dyDescent="0.3">
      <c r="B19" s="43" t="s">
        <v>264</v>
      </c>
      <c r="C19" s="4" t="s">
        <v>322</v>
      </c>
      <c r="D19" s="43" t="s">
        <v>323</v>
      </c>
      <c r="E19" s="43" t="s">
        <v>324</v>
      </c>
      <c r="F19" s="43" t="s">
        <v>325</v>
      </c>
      <c r="G19" s="43" t="s">
        <v>290</v>
      </c>
    </row>
    <row r="20" spans="2:7" ht="30" customHeight="1" x14ac:dyDescent="0.3">
      <c r="B20" s="43" t="s">
        <v>264</v>
      </c>
      <c r="C20" s="4" t="s">
        <v>326</v>
      </c>
      <c r="D20" s="43" t="s">
        <v>327</v>
      </c>
      <c r="E20" s="43" t="s">
        <v>328</v>
      </c>
      <c r="F20" s="43" t="s">
        <v>329</v>
      </c>
      <c r="G20" s="43" t="s">
        <v>290</v>
      </c>
    </row>
    <row r="21" spans="2:7" ht="30" customHeight="1" x14ac:dyDescent="0.3">
      <c r="B21" s="43" t="s">
        <v>264</v>
      </c>
      <c r="C21" s="4" t="s">
        <v>330</v>
      </c>
      <c r="D21" s="43" t="s">
        <v>331</v>
      </c>
      <c r="E21" s="43" t="s">
        <v>332</v>
      </c>
      <c r="F21" s="43" t="s">
        <v>333</v>
      </c>
      <c r="G21" s="43" t="s">
        <v>290</v>
      </c>
    </row>
    <row r="22" spans="2:7" ht="30" customHeight="1" x14ac:dyDescent="0.3">
      <c r="B22" s="43" t="s">
        <v>264</v>
      </c>
      <c r="C22" s="4" t="s">
        <v>334</v>
      </c>
      <c r="D22" s="43" t="s">
        <v>335</v>
      </c>
      <c r="E22" s="43" t="s">
        <v>336</v>
      </c>
      <c r="F22" s="43" t="s">
        <v>337</v>
      </c>
      <c r="G22" s="43" t="s">
        <v>268</v>
      </c>
    </row>
    <row r="23" spans="2:7" ht="30" customHeight="1" x14ac:dyDescent="0.3">
      <c r="B23" s="43" t="s">
        <v>264</v>
      </c>
      <c r="C23" s="4" t="s">
        <v>338</v>
      </c>
      <c r="D23" s="43" t="s">
        <v>339</v>
      </c>
      <c r="E23" s="43" t="s">
        <v>340</v>
      </c>
      <c r="F23" s="43" t="s">
        <v>341</v>
      </c>
      <c r="G23" s="43" t="s">
        <v>290</v>
      </c>
    </row>
    <row r="24" spans="2:7" ht="30" customHeight="1" x14ac:dyDescent="0.3">
      <c r="B24" s="43" t="s">
        <v>264</v>
      </c>
      <c r="C24" s="4" t="s">
        <v>342</v>
      </c>
      <c r="D24" s="43" t="s">
        <v>343</v>
      </c>
      <c r="E24" s="43" t="s">
        <v>344</v>
      </c>
      <c r="F24" s="43" t="s">
        <v>345</v>
      </c>
      <c r="G24" s="43" t="s">
        <v>298</v>
      </c>
    </row>
    <row r="25" spans="2:7" ht="30" customHeight="1" x14ac:dyDescent="0.3">
      <c r="B25" s="43" t="s">
        <v>264</v>
      </c>
      <c r="C25" s="4" t="s">
        <v>346</v>
      </c>
      <c r="D25" s="43" t="s">
        <v>347</v>
      </c>
      <c r="E25" s="43" t="s">
        <v>348</v>
      </c>
      <c r="F25" s="43" t="s">
        <v>349</v>
      </c>
      <c r="G25" s="43" t="s">
        <v>268</v>
      </c>
    </row>
    <row r="26" spans="2:7" ht="30" customHeight="1" x14ac:dyDescent="0.3">
      <c r="B26" s="43" t="s">
        <v>264</v>
      </c>
      <c r="C26" s="4" t="s">
        <v>350</v>
      </c>
      <c r="D26" s="43" t="s">
        <v>351</v>
      </c>
      <c r="E26" s="43" t="s">
        <v>352</v>
      </c>
      <c r="F26" s="43" t="s">
        <v>353</v>
      </c>
      <c r="G26" s="43" t="s">
        <v>268</v>
      </c>
    </row>
    <row r="27" spans="2:7" ht="30" customHeight="1" x14ac:dyDescent="0.3">
      <c r="B27" s="43" t="s">
        <v>264</v>
      </c>
      <c r="C27" s="4" t="s">
        <v>354</v>
      </c>
      <c r="D27" s="43" t="s">
        <v>355</v>
      </c>
      <c r="E27" s="43" t="s">
        <v>356</v>
      </c>
      <c r="F27" s="43" t="s">
        <v>357</v>
      </c>
      <c r="G27" s="43" t="s">
        <v>268</v>
      </c>
    </row>
    <row r="28" spans="2:7" ht="30" customHeight="1" x14ac:dyDescent="0.3">
      <c r="B28" s="43" t="s">
        <v>264</v>
      </c>
      <c r="C28" s="4" t="s">
        <v>358</v>
      </c>
      <c r="D28" s="43" t="s">
        <v>359</v>
      </c>
      <c r="E28" s="43" t="s">
        <v>360</v>
      </c>
      <c r="F28" s="43" t="s">
        <v>260</v>
      </c>
      <c r="G28" s="43" t="s">
        <v>268</v>
      </c>
    </row>
    <row r="29" spans="2:7" ht="30" customHeight="1" x14ac:dyDescent="0.3">
      <c r="B29" s="43" t="s">
        <v>264</v>
      </c>
      <c r="C29" s="4" t="s">
        <v>361</v>
      </c>
      <c r="D29" s="43" t="s">
        <v>362</v>
      </c>
      <c r="E29" s="43" t="s">
        <v>363</v>
      </c>
      <c r="F29" s="43" t="s">
        <v>364</v>
      </c>
      <c r="G29" s="43" t="s">
        <v>365</v>
      </c>
    </row>
    <row r="30" spans="2:7" ht="30" customHeight="1" x14ac:dyDescent="0.3">
      <c r="B30" s="43" t="s">
        <v>264</v>
      </c>
      <c r="C30" s="4" t="s">
        <v>366</v>
      </c>
      <c r="D30" s="43" t="s">
        <v>367</v>
      </c>
      <c r="E30" s="43" t="s">
        <v>368</v>
      </c>
      <c r="F30" s="43" t="s">
        <v>260</v>
      </c>
      <c r="G30" s="43" t="s">
        <v>282</v>
      </c>
    </row>
    <row r="31" spans="2:7" ht="30" customHeight="1" x14ac:dyDescent="0.3">
      <c r="B31" s="43" t="s">
        <v>264</v>
      </c>
      <c r="C31" s="4" t="s">
        <v>369</v>
      </c>
      <c r="D31" s="43" t="s">
        <v>370</v>
      </c>
      <c r="E31" s="43" t="s">
        <v>371</v>
      </c>
      <c r="F31" s="43" t="s">
        <v>260</v>
      </c>
      <c r="G31" s="43" t="s">
        <v>282</v>
      </c>
    </row>
    <row r="32" spans="2:7" ht="30" customHeight="1" x14ac:dyDescent="0.3">
      <c r="B32" s="43" t="s">
        <v>264</v>
      </c>
      <c r="C32" s="4" t="s">
        <v>372</v>
      </c>
      <c r="D32" s="43" t="s">
        <v>373</v>
      </c>
      <c r="E32" s="43" t="s">
        <v>374</v>
      </c>
      <c r="F32" s="43" t="s">
        <v>260</v>
      </c>
      <c r="G32" s="43" t="s">
        <v>290</v>
      </c>
    </row>
    <row r="33" spans="2:7" ht="30" customHeight="1" x14ac:dyDescent="0.3">
      <c r="B33" s="43" t="s">
        <v>264</v>
      </c>
      <c r="C33" s="4" t="s">
        <v>375</v>
      </c>
      <c r="D33" s="43" t="s">
        <v>376</v>
      </c>
      <c r="E33" s="43" t="s">
        <v>377</v>
      </c>
      <c r="F33" s="43" t="s">
        <v>378</v>
      </c>
      <c r="G33" s="43" t="s">
        <v>290</v>
      </c>
    </row>
    <row r="34" spans="2:7" ht="30" customHeight="1" x14ac:dyDescent="0.3">
      <c r="B34" s="43" t="s">
        <v>264</v>
      </c>
      <c r="C34" s="4" t="s">
        <v>379</v>
      </c>
      <c r="D34" s="43" t="s">
        <v>380</v>
      </c>
      <c r="E34" s="43" t="s">
        <v>381</v>
      </c>
      <c r="F34" s="43" t="s">
        <v>382</v>
      </c>
      <c r="G34" s="43" t="s">
        <v>383</v>
      </c>
    </row>
    <row r="35" spans="2:7" ht="30" customHeight="1" x14ac:dyDescent="0.3">
      <c r="B35" s="43" t="s">
        <v>264</v>
      </c>
      <c r="C35" s="4" t="s">
        <v>384</v>
      </c>
      <c r="D35" s="43" t="s">
        <v>385</v>
      </c>
      <c r="E35" s="43" t="s">
        <v>386</v>
      </c>
      <c r="F35" s="43" t="s">
        <v>260</v>
      </c>
      <c r="G35" s="43" t="s">
        <v>268</v>
      </c>
    </row>
    <row r="36" spans="2:7" ht="30" customHeight="1" x14ac:dyDescent="0.3">
      <c r="B36" s="43" t="s">
        <v>264</v>
      </c>
      <c r="C36" s="4" t="s">
        <v>387</v>
      </c>
      <c r="D36" s="43" t="s">
        <v>388</v>
      </c>
      <c r="E36" s="43" t="s">
        <v>389</v>
      </c>
      <c r="F36" s="43" t="s">
        <v>260</v>
      </c>
      <c r="G36" s="43" t="s">
        <v>268</v>
      </c>
    </row>
    <row r="37" spans="2:7" ht="30" customHeight="1" x14ac:dyDescent="0.3">
      <c r="B37" s="43" t="s">
        <v>264</v>
      </c>
      <c r="C37" s="4" t="s">
        <v>390</v>
      </c>
      <c r="D37" s="43" t="s">
        <v>391</v>
      </c>
      <c r="E37" s="43" t="s">
        <v>392</v>
      </c>
      <c r="F37" s="43" t="s">
        <v>260</v>
      </c>
      <c r="G37" s="43" t="s">
        <v>282</v>
      </c>
    </row>
    <row r="38" spans="2:7" ht="30" customHeight="1" x14ac:dyDescent="0.3">
      <c r="B38" s="43" t="s">
        <v>264</v>
      </c>
      <c r="C38" s="4" t="s">
        <v>393</v>
      </c>
      <c r="D38" s="43" t="s">
        <v>394</v>
      </c>
      <c r="E38" s="43" t="s">
        <v>395</v>
      </c>
      <c r="F38" s="43" t="s">
        <v>260</v>
      </c>
      <c r="G38" s="43" t="s">
        <v>282</v>
      </c>
    </row>
    <row r="39" spans="2:7" ht="30" customHeight="1" x14ac:dyDescent="0.3">
      <c r="B39" s="43" t="s">
        <v>264</v>
      </c>
      <c r="C39" s="4" t="s">
        <v>396</v>
      </c>
      <c r="D39" s="43" t="s">
        <v>397</v>
      </c>
      <c r="E39" s="43" t="s">
        <v>398</v>
      </c>
      <c r="F39" s="43" t="s">
        <v>260</v>
      </c>
      <c r="G39" s="43" t="s">
        <v>268</v>
      </c>
    </row>
    <row r="40" spans="2:7" ht="30" customHeight="1" x14ac:dyDescent="0.3">
      <c r="B40" s="43" t="s">
        <v>264</v>
      </c>
      <c r="C40" s="4" t="s">
        <v>399</v>
      </c>
      <c r="D40" s="43" t="s">
        <v>400</v>
      </c>
      <c r="E40" s="43" t="s">
        <v>401</v>
      </c>
      <c r="F40" s="43" t="s">
        <v>402</v>
      </c>
      <c r="G40" s="43" t="s">
        <v>268</v>
      </c>
    </row>
    <row r="41" spans="2:7" ht="30" customHeight="1" x14ac:dyDescent="0.3">
      <c r="B41" s="43" t="s">
        <v>264</v>
      </c>
      <c r="C41" s="4" t="s">
        <v>403</v>
      </c>
      <c r="D41" s="43" t="s">
        <v>404</v>
      </c>
      <c r="E41" s="43" t="s">
        <v>405</v>
      </c>
      <c r="F41" s="43" t="s">
        <v>406</v>
      </c>
      <c r="G41" s="43" t="s">
        <v>407</v>
      </c>
    </row>
    <row r="42" spans="2:7" ht="30" customHeight="1" x14ac:dyDescent="0.3">
      <c r="B42" s="43" t="s">
        <v>264</v>
      </c>
      <c r="C42" s="4" t="s">
        <v>408</v>
      </c>
      <c r="D42" s="43" t="s">
        <v>409</v>
      </c>
      <c r="E42" s="43" t="s">
        <v>410</v>
      </c>
      <c r="F42" s="43" t="s">
        <v>260</v>
      </c>
      <c r="G42" s="43" t="s">
        <v>411</v>
      </c>
    </row>
    <row r="43" spans="2:7" ht="30" customHeight="1" x14ac:dyDescent="0.3">
      <c r="B43" s="43" t="s">
        <v>264</v>
      </c>
      <c r="C43" s="4" t="s">
        <v>412</v>
      </c>
      <c r="D43" s="43" t="s">
        <v>413</v>
      </c>
      <c r="E43" s="43" t="s">
        <v>414</v>
      </c>
      <c r="F43" s="43" t="s">
        <v>260</v>
      </c>
      <c r="G43" s="43" t="s">
        <v>415</v>
      </c>
    </row>
    <row r="44" spans="2:7" ht="14" customHeight="1" x14ac:dyDescent="0.2"/>
    <row r="45" spans="2:7" ht="14" customHeight="1" x14ac:dyDescent="0.3">
      <c r="B45" s="8" t="s">
        <v>416</v>
      </c>
    </row>
    <row r="46" spans="2:7" ht="14" customHeight="1" x14ac:dyDescent="0.3">
      <c r="B46" s="10" t="s">
        <v>417</v>
      </c>
      <c r="C46" s="10" t="s">
        <v>418</v>
      </c>
    </row>
    <row r="47" spans="2:7" ht="14" customHeight="1" x14ac:dyDescent="0.3">
      <c r="B47" s="4" t="s">
        <v>419</v>
      </c>
      <c r="C47" t="s">
        <v>420</v>
      </c>
    </row>
    <row r="48" spans="2:7" ht="14" customHeight="1" x14ac:dyDescent="0.3">
      <c r="B48" s="4" t="s">
        <v>421</v>
      </c>
      <c r="C48" t="s">
        <v>422</v>
      </c>
    </row>
    <row r="49" spans="2:3" ht="14" customHeight="1" x14ac:dyDescent="0.3">
      <c r="B49" s="4" t="s">
        <v>423</v>
      </c>
      <c r="C49" t="s">
        <v>424</v>
      </c>
    </row>
    <row r="50" spans="2:3" ht="14" customHeight="1" x14ac:dyDescent="0.3">
      <c r="B50" s="4" t="s">
        <v>425</v>
      </c>
      <c r="C50" t="s">
        <v>426</v>
      </c>
    </row>
    <row r="51" spans="2:3" ht="14" customHeight="1" x14ac:dyDescent="0.3">
      <c r="B51" s="4" t="s">
        <v>427</v>
      </c>
      <c r="C51" t="s">
        <v>4</v>
      </c>
    </row>
    <row r="52" spans="2:3" ht="14" customHeight="1" x14ac:dyDescent="0.3">
      <c r="B52" s="4" t="s">
        <v>428</v>
      </c>
      <c r="C52" t="s">
        <v>259</v>
      </c>
    </row>
    <row r="53" spans="2:3" ht="14" customHeight="1" x14ac:dyDescent="0.3">
      <c r="B53" s="4" t="s">
        <v>429</v>
      </c>
      <c r="C53" t="s">
        <v>430</v>
      </c>
    </row>
    <row r="54" spans="2:3" ht="14" customHeight="1" x14ac:dyDescent="0.3">
      <c r="B54" s="4" t="s">
        <v>431</v>
      </c>
      <c r="C54" t="s">
        <v>432</v>
      </c>
    </row>
    <row r="55" spans="2:3" ht="14" customHeight="1" x14ac:dyDescent="0.3">
      <c r="B55" s="4" t="s">
        <v>433</v>
      </c>
      <c r="C55" t="s">
        <v>434</v>
      </c>
    </row>
    <row r="56" spans="2:3" ht="14" customHeight="1" x14ac:dyDescent="0.3">
      <c r="B56" s="4" t="s">
        <v>435</v>
      </c>
      <c r="C56" t="s">
        <v>436</v>
      </c>
    </row>
    <row r="57" spans="2:3" ht="14" customHeight="1" x14ac:dyDescent="0.3">
      <c r="B57" s="4" t="s">
        <v>437</v>
      </c>
      <c r="C57" t="s">
        <v>438</v>
      </c>
    </row>
    <row r="58" spans="2:3" ht="14" customHeight="1" x14ac:dyDescent="0.3">
      <c r="B58" s="4" t="s">
        <v>439</v>
      </c>
      <c r="C58" t="s">
        <v>440</v>
      </c>
    </row>
    <row r="59" spans="2:3" ht="14" customHeight="1" x14ac:dyDescent="0.3">
      <c r="B59" s="4" t="s">
        <v>441</v>
      </c>
      <c r="C59" t="s">
        <v>442</v>
      </c>
    </row>
    <row r="60" spans="2:3" ht="14" customHeight="1" x14ac:dyDescent="0.3">
      <c r="B60" s="4" t="s">
        <v>443</v>
      </c>
      <c r="C60" t="s">
        <v>434</v>
      </c>
    </row>
    <row r="61" spans="2:3" ht="14" customHeight="1" x14ac:dyDescent="0.3">
      <c r="B61" s="4" t="s">
        <v>444</v>
      </c>
      <c r="C61" t="s">
        <v>430</v>
      </c>
    </row>
    <row r="62" spans="2:3" ht="14" customHeight="1" x14ac:dyDescent="0.3">
      <c r="B62" s="4" t="s">
        <v>445</v>
      </c>
      <c r="C62" t="s">
        <v>446</v>
      </c>
    </row>
    <row r="63" spans="2:3" ht="14" customHeight="1" x14ac:dyDescent="0.3">
      <c r="B63" s="4" t="s">
        <v>447</v>
      </c>
      <c r="C63" t="s">
        <v>448</v>
      </c>
    </row>
    <row r="64" spans="2:3" ht="14" customHeight="1" x14ac:dyDescent="0.3">
      <c r="B64" s="4" t="s">
        <v>449</v>
      </c>
      <c r="C64" t="s">
        <v>450</v>
      </c>
    </row>
    <row r="65" spans="2:3" ht="14" customHeight="1" x14ac:dyDescent="0.3">
      <c r="B65" s="4" t="s">
        <v>451</v>
      </c>
      <c r="C65" t="s">
        <v>452</v>
      </c>
    </row>
    <row r="66" spans="2:3" ht="14" customHeight="1" x14ac:dyDescent="0.3">
      <c r="B66" s="4" t="s">
        <v>453</v>
      </c>
      <c r="C66" t="s">
        <v>454</v>
      </c>
    </row>
    <row r="67" spans="2:3" ht="14" customHeight="1" x14ac:dyDescent="0.3">
      <c r="B67" s="4" t="s">
        <v>455</v>
      </c>
      <c r="C67" t="s">
        <v>456</v>
      </c>
    </row>
    <row r="68" spans="2:3" ht="14" customHeight="1" x14ac:dyDescent="0.3">
      <c r="B68" s="4" t="s">
        <v>457</v>
      </c>
      <c r="C68" t="s">
        <v>458</v>
      </c>
    </row>
    <row r="69" spans="2:3" ht="14" customHeight="1" x14ac:dyDescent="0.3">
      <c r="B69" s="4" t="s">
        <v>459</v>
      </c>
      <c r="C69" t="s">
        <v>460</v>
      </c>
    </row>
    <row r="70" spans="2:3" ht="14" customHeight="1" x14ac:dyDescent="0.3">
      <c r="B70" s="4" t="s">
        <v>461</v>
      </c>
      <c r="C70" t="s">
        <v>422</v>
      </c>
    </row>
    <row r="71" spans="2:3" ht="14" customHeight="1" x14ac:dyDescent="0.3">
      <c r="B71" s="4" t="s">
        <v>462</v>
      </c>
      <c r="C71" t="s">
        <v>463</v>
      </c>
    </row>
    <row r="72" spans="2:3" ht="14" customHeight="1" x14ac:dyDescent="0.3">
      <c r="B72" s="4" t="s">
        <v>464</v>
      </c>
      <c r="C72" t="s">
        <v>465</v>
      </c>
    </row>
    <row r="73" spans="2:3" ht="14" customHeight="1" x14ac:dyDescent="0.3">
      <c r="B73" s="4" t="s">
        <v>466</v>
      </c>
      <c r="C73" t="s">
        <v>467</v>
      </c>
    </row>
    <row r="74" spans="2:3" ht="14" customHeight="1" x14ac:dyDescent="0.3">
      <c r="B74" s="4" t="s">
        <v>468</v>
      </c>
      <c r="C74" t="s">
        <v>469</v>
      </c>
    </row>
    <row r="75" spans="2:3" ht="14" customHeight="1" x14ac:dyDescent="0.3">
      <c r="B75" s="4" t="s">
        <v>470</v>
      </c>
      <c r="C75" t="s">
        <v>471</v>
      </c>
    </row>
    <row r="76" spans="2:3" ht="14" customHeight="1" x14ac:dyDescent="0.3">
      <c r="B76" s="4" t="s">
        <v>472</v>
      </c>
      <c r="C76" t="s">
        <v>473</v>
      </c>
    </row>
    <row r="77" spans="2:3" ht="14" customHeight="1" x14ac:dyDescent="0.3">
      <c r="B77" s="4" t="s">
        <v>474</v>
      </c>
      <c r="C77" t="s">
        <v>475</v>
      </c>
    </row>
    <row r="78" spans="2:3" ht="14" customHeight="1" x14ac:dyDescent="0.3">
      <c r="B78" s="4" t="s">
        <v>476</v>
      </c>
      <c r="C78" t="s">
        <v>477</v>
      </c>
    </row>
    <row r="79" spans="2:3" ht="14" customHeight="1" x14ac:dyDescent="0.3">
      <c r="B79" s="4" t="s">
        <v>478</v>
      </c>
      <c r="C79" t="s">
        <v>479</v>
      </c>
    </row>
    <row r="80" spans="2:3" ht="14" customHeight="1" x14ac:dyDescent="0.3">
      <c r="B80" s="4" t="s">
        <v>480</v>
      </c>
      <c r="C80" t="s">
        <v>481</v>
      </c>
    </row>
    <row r="81" spans="2:3" ht="14" customHeight="1" x14ac:dyDescent="0.3">
      <c r="B81" s="4" t="s">
        <v>482</v>
      </c>
      <c r="C81" t="s">
        <v>483</v>
      </c>
    </row>
    <row r="82" spans="2:3" ht="14" customHeight="1" x14ac:dyDescent="0.3">
      <c r="B82" s="4" t="s">
        <v>484</v>
      </c>
      <c r="C82" t="s">
        <v>485</v>
      </c>
    </row>
    <row r="83" spans="2:3" ht="14" customHeight="1" x14ac:dyDescent="0.3">
      <c r="B83" s="4" t="s">
        <v>486</v>
      </c>
      <c r="C83" t="s">
        <v>487</v>
      </c>
    </row>
    <row r="84" spans="2:3" ht="14" x14ac:dyDescent="0.3">
      <c r="B84" s="4" t="s">
        <v>488</v>
      </c>
      <c r="C84" t="s">
        <v>489</v>
      </c>
    </row>
    <row r="85" spans="2:3" ht="14" x14ac:dyDescent="0.3">
      <c r="B85" s="4" t="s">
        <v>490</v>
      </c>
      <c r="C85" t="s">
        <v>217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2026-09-03T01:32:38Z</dcterms:created>
  <dcterms:modified xsi:type="dcterms:W3CDTF">2026-09-03T01:50:11Z</dcterms:modified>
</cp:coreProperties>
</file>