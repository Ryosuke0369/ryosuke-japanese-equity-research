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TechnoSmart Corporation (6246.T)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TechnoSmart Corporation</t>
        </is>
      </c>
    </row>
    <row r="7">
      <c r="B7" s="4" t="inlineStr">
        <is>
          <t>Ticker</t>
        </is>
      </c>
      <c r="C7" t="inlineStr">
        <is>
          <t>6246.T (TSE Standard)</t>
        </is>
      </c>
    </row>
    <row r="8">
      <c r="B8" s="4" t="inlineStr">
        <is>
          <t>Sector</t>
        </is>
      </c>
      <c r="C8" t="inlineStr">
        <is>
          <t>Machinery</t>
        </is>
      </c>
    </row>
    <row r="9">
      <c r="B9" s="4" t="inlineStr">
        <is>
          <t>Current Price</t>
        </is>
      </c>
      <c r="C9" s="5" t="n">
        <v>1892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LiB electrode coating equipment with ~20% global market share (duopoly with Hirano Tecseed)</t>
        </is>
      </c>
    </row>
    <row r="25">
      <c r="B25" t="inlineStr">
        <is>
          <t>2. Dual revenue pillars (optical display + battery) provide counter-cyclical stability, sustaining ~15% OPM</t>
        </is>
      </c>
    </row>
    <row r="26">
      <c r="B26" t="inlineStr">
        <is>
          <t>3. Structural tailwind: electricity demand acceleration (AI/DC + EV + grid storage) drives battery capex cycle</t>
        </is>
      </c>
    </row>
    <row r="27">
      <c r="B27" t="inlineStr">
        <is>
          <t>4. Effissimo Capital (activist) as major shareholder - catalyst for capital efficiency improvement and enhanced returns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EV market capex delay directly reduces battery coating equipment orders</t>
        </is>
      </c>
    </row>
    <row r="30">
      <c r="B30" t="inlineStr">
        <is>
          <t>2. Order-driven business model creates significant quarterly earnings volatility</t>
        </is>
      </c>
    </row>
    <row r="31">
      <c r="B31" t="inlineStr">
        <is>
          <t>3. Competitive pressure from Hirano Tecseed (6245) in core LiB coating market</t>
        </is>
      </c>
    </row>
    <row r="32">
      <c r="B32" t="inlineStr">
        <is>
          <t>4. Low daily trading volume (JPY 5-10mn) creates liquidity risk for institutional investors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2" t="inlineStr">
        <is>
          <t>TechnoSmart Corporation - Historical Financials (JPY mn)</t>
        </is>
      </c>
    </row>
    <row r="4"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8089.061</v>
      </c>
      <c r="D6" s="5" t="n">
        <v>16939.242</v>
      </c>
      <c r="E6" s="5" t="n">
        <v>19677.406</v>
      </c>
      <c r="F6" s="5" t="n">
        <v>19242.406</v>
      </c>
      <c r="G6" s="5" t="n">
        <v>21578.662</v>
      </c>
    </row>
    <row r="7">
      <c r="B7" s="4" t="inlineStr">
        <is>
          <t>COGS</t>
        </is>
      </c>
      <c r="C7" s="5" t="n">
        <v>6663.504</v>
      </c>
      <c r="D7" s="5" t="n">
        <v>14472.721</v>
      </c>
      <c r="E7" s="5" t="n">
        <v>16502.946</v>
      </c>
      <c r="F7" s="5" t="n">
        <v>15603.552</v>
      </c>
      <c r="G7" s="5" t="n">
        <v>16762.407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</row>
    <row r="10">
      <c r="B10" s="4" t="inlineStr">
        <is>
          <t>SGA</t>
        </is>
      </c>
      <c r="C10" s="5" t="n">
        <v>585.075</v>
      </c>
      <c r="D10" s="5" t="n">
        <v>823.7430000000001</v>
      </c>
      <c r="E10" s="5" t="n">
        <v>941.674</v>
      </c>
      <c r="F10" s="5" t="n">
        <v>1050.605</v>
      </c>
      <c r="G10" s="5" t="n">
        <v>1303.766</v>
      </c>
    </row>
    <row r="11">
      <c r="B11" s="4" t="inlineStr">
        <is>
          <t>Operating Income</t>
        </is>
      </c>
      <c r="C11" s="5" t="n">
        <v>840.481</v>
      </c>
      <c r="D11" s="5" t="n">
        <v>1642.777</v>
      </c>
      <c r="E11" s="5" t="n">
        <v>2232.785</v>
      </c>
      <c r="F11" s="5" t="n">
        <v>2588.248</v>
      </c>
      <c r="G11" s="5" t="n">
        <v>3512.488</v>
      </c>
    </row>
    <row r="12">
      <c r="B12" s="4" t="inlineStr">
        <is>
          <t>Net Income</t>
        </is>
      </c>
      <c r="C12" s="5" t="n">
        <v>579.872</v>
      </c>
      <c r="D12" s="5" t="n">
        <v>1164.22</v>
      </c>
      <c r="E12" s="5" t="n">
        <v>1607.193</v>
      </c>
      <c r="F12" s="5" t="n">
        <v>1804.357</v>
      </c>
      <c r="G12" s="5" t="n">
        <v>2390.888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5161.102</v>
      </c>
      <c r="D19" s="5" t="n">
        <v>1372.809</v>
      </c>
      <c r="E19" s="5" t="n">
        <v>-459.199</v>
      </c>
      <c r="F19" s="5" t="n">
        <v>1520.839</v>
      </c>
      <c r="G19" s="5" t="n">
        <v>-1532.659</v>
      </c>
    </row>
    <row r="20">
      <c r="B20" s="4" t="inlineStr">
        <is>
          <t>Capex</t>
        </is>
      </c>
      <c r="C20" s="5" t="n">
        <v>431.142</v>
      </c>
      <c r="D20" s="5" t="n">
        <v>741.718</v>
      </c>
      <c r="E20" s="5" t="n">
        <v>22.898</v>
      </c>
      <c r="F20" s="5" t="n">
        <v>282.478</v>
      </c>
      <c r="G20" s="5" t="n">
        <v>906.3339999999999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10361.183</v>
      </c>
      <c r="D26" s="5" t="n">
        <v>10538.638</v>
      </c>
      <c r="E26" s="5" t="n">
        <v>9483.050999999999</v>
      </c>
      <c r="F26" s="5" t="n">
        <v>9711.441999999999</v>
      </c>
      <c r="G26" s="5" t="n">
        <v>6896.07</v>
      </c>
    </row>
    <row r="27">
      <c r="B27" s="4" t="inlineStr">
        <is>
          <t>Short-term Debt</t>
        </is>
      </c>
      <c r="C27" s="5" t="n">
        <v>3</v>
      </c>
      <c r="D27" s="5" t="n">
        <v>0</v>
      </c>
      <c r="E27" s="5" t="n">
        <v>0</v>
      </c>
      <c r="F27" s="5" t="n">
        <v>0</v>
      </c>
      <c r="G27" s="5" t="n">
        <v>2000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TechnoSmart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0.031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0.022</v>
      </c>
    </row>
    <row r="8">
      <c r="B8" s="4" t="inlineStr">
        <is>
          <t>Beta</t>
        </is>
      </c>
      <c r="C8" s="12" t="n">
        <v>0.9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0.04</v>
      </c>
    </row>
    <row r="11">
      <c r="B11" s="4" t="inlineStr">
        <is>
          <t>After-tax Cost of Debt</t>
        </is>
      </c>
      <c r="C11" s="7" t="n">
        <v>0.005</v>
      </c>
    </row>
    <row r="12">
      <c r="B12" s="4" t="inlineStr">
        <is>
          <t>D/E Ratio</t>
        </is>
      </c>
      <c r="C12" s="13" t="n">
        <v>0.02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11440655</v>
      </c>
    </row>
    <row r="16">
      <c r="B16" s="4" t="inlineStr">
        <is>
          <t>Net Debt (JPY mn)</t>
        </is>
      </c>
      <c r="C16" s="5" t="n">
        <v>432.4</v>
      </c>
    </row>
    <row r="17">
      <c r="B17" s="4" t="inlineStr">
        <is>
          <t>Base Year Revenue (JPY mn)</t>
        </is>
      </c>
      <c r="C17" s="5" t="n">
        <v>21578.662</v>
      </c>
    </row>
    <row r="18">
      <c r="B18" s="4" t="inlineStr">
        <is>
          <t>D&amp;A / Revenue</t>
        </is>
      </c>
      <c r="C18" s="7" t="n">
        <v>0.0116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26592.9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Analysis'!F117,'Segment Analysis'!F118,'Segment Analysis'!F119,'Segment Analysis'!F120,'Segment Analysis'!F121)</f>
        <v/>
      </c>
      <c r="D31" s="18">
        <f>CHOOSE($D$27,'Segment Analysis'!G117,'Segment Analysis'!G118,'Segment Analysis'!G119,'Segment Analysis'!G120,'Segment Analysis'!G121)</f>
        <v/>
      </c>
      <c r="E31" s="18">
        <f>CHOOSE($D$27,'Segment Analysis'!H117,'Segment Analysis'!H118,'Segment Analysis'!H119,'Segment Analysis'!H120,'Segment Analysis'!H121)</f>
        <v/>
      </c>
      <c r="F31" s="18">
        <f>CHOOSE($D$27,'Segment Analysis'!I117,'Segment Analysis'!I118,'Segment Analysis'!I119,'Segment Analysis'!I120,'Segment Analysis'!I121)</f>
        <v/>
      </c>
      <c r="G31" s="18">
        <f>CHOOSE($D$27,'Segment Analysis'!J117,'Segment Analysis'!J118,'Segment Analysis'!J119,'Segment Analysis'!J120,'Segment Analysis'!J121)</f>
        <v/>
      </c>
    </row>
    <row r="32">
      <c r="B32" s="4" t="inlineStr">
        <is>
          <t>SGA % of Revenue</t>
        </is>
      </c>
      <c r="C32" s="18">
        <f>CHOOSE($D$27,'Segment Analysis'!F124,'Segment Analysis'!F125,'Segment Analysis'!F126,'Segment Analysis'!F127,'Segment Analysis'!F128)</f>
        <v/>
      </c>
      <c r="D32" s="18">
        <f>CHOOSE($D$27,'Segment Analysis'!G124,'Segment Analysis'!G125,'Segment Analysis'!G126,'Segment Analysis'!G127,'Segment Analysis'!G128)</f>
        <v/>
      </c>
      <c r="E32" s="18">
        <f>CHOOSE($D$27,'Segment Analysis'!H124,'Segment Analysis'!H125,'Segment Analysis'!H126,'Segment Analysis'!H127,'Segment Analysis'!H128)</f>
        <v/>
      </c>
      <c r="F32" s="18">
        <f>CHOOSE($D$27,'Segment Analysis'!I124,'Segment Analysis'!I125,'Segment Analysis'!I126,'Segment Analysis'!I127,'Segment Analysis'!I128)</f>
        <v/>
      </c>
      <c r="G32" s="18">
        <f>CHOOSE($D$27,'Segment Analysis'!J124,'Segment Analysis'!J125,'Segment Analysis'!J126,'Segment Analysis'!J127,'Segment Analysis'!J128)</f>
        <v/>
      </c>
    </row>
    <row r="33">
      <c r="B33" s="4" t="inlineStr">
        <is>
          <t>Revenue</t>
        </is>
      </c>
      <c r="C33" s="5">
        <f>'Segment Analysis'!F31</f>
        <v/>
      </c>
      <c r="D33" s="5">
        <f>'Segment Analysis'!G31</f>
        <v/>
      </c>
      <c r="E33" s="5">
        <f>'Segment Analysis'!H31</f>
        <v/>
      </c>
      <c r="F33" s="5">
        <f>'Segment Analysis'!I31</f>
        <v/>
      </c>
      <c r="G33" s="5">
        <f>'Segment Analysis'!J31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TechnoSmart Corporation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Analysis'!F131,'Segment Analysis'!F132,'Segment Analysis'!F133,'Segment Analysis'!F134,'Segment Analysis'!F135)</f>
        <v/>
      </c>
      <c r="E5" s="27">
        <f>CHOOSE('DCF Model'!$D$27,'Segment Analysis'!G131,'Segment Analysis'!G132,'Segment Analysis'!G133,'Segment Analysis'!G134,'Segment Analysis'!G135)</f>
        <v/>
      </c>
      <c r="F5" s="27">
        <f>CHOOSE('DCF Model'!$D$27,'Segment Analysis'!H131,'Segment Analysis'!H132,'Segment Analysis'!H133,'Segment Analysis'!H134,'Segment Analysis'!H135)</f>
        <v/>
      </c>
      <c r="G5" s="27">
        <f>CHOOSE('DCF Model'!$D$27,'Segment Analysis'!I131,'Segment Analysis'!I132,'Segment Analysis'!I133,'Segment Analysis'!I134,'Segment Analysis'!I135)</f>
        <v/>
      </c>
      <c r="H5" s="27">
        <f>CHOOSE('DCF Model'!$D$27,'Segment Analysis'!J131,'Segment Analysis'!J132,'Segment Analysis'!J133,'Segment Analysis'!J134,'Segment Analysis'!J135)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21578.662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-1531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Hirano Techseed</t>
        </is>
      </c>
      <c r="C5" t="inlineStr">
        <is>
          <t>6245.T</t>
        </is>
      </c>
      <c r="D5" s="31" t="n">
        <v>26930.905088</v>
      </c>
      <c r="E5" s="31" t="n">
        <v>33767.905088</v>
      </c>
      <c r="F5" s="31" t="n">
        <v>31000</v>
      </c>
      <c r="G5" s="31" t="n">
        <v>2922</v>
      </c>
      <c r="H5" s="31" t="n">
        <v>2100</v>
      </c>
      <c r="I5" s="31" t="n">
        <v>1600</v>
      </c>
      <c r="J5" s="32">
        <f>E5/G5</f>
        <v/>
      </c>
      <c r="K5" s="32">
        <f>E5/F5</f>
        <v/>
      </c>
      <c r="L5" s="32">
        <f>D5/I5</f>
        <v/>
      </c>
      <c r="M5" s="32" t="n">
        <v>0.7042416539316441</v>
      </c>
      <c r="N5" s="33">
        <f>H5/F5</f>
        <v/>
      </c>
      <c r="O5" s="33" t="n">
        <v>0.04183991004419341</v>
      </c>
    </row>
    <row r="6">
      <c r="B6" s="4" t="inlineStr">
        <is>
          <t>Takatori</t>
        </is>
      </c>
      <c r="C6" t="inlineStr">
        <is>
          <t>6338.T</t>
        </is>
      </c>
      <c r="D6" s="31" t="n">
        <v>9071.290368</v>
      </c>
      <c r="E6" s="31" t="n">
        <v>13206.290368</v>
      </c>
      <c r="F6" s="31" t="n">
        <v>7000</v>
      </c>
      <c r="G6" s="31" t="n">
        <v>573</v>
      </c>
      <c r="H6" s="31" t="n">
        <v>430</v>
      </c>
      <c r="I6" s="31" t="n">
        <v>330</v>
      </c>
      <c r="J6" s="32">
        <f>E6/G6</f>
        <v/>
      </c>
      <c r="K6" s="32">
        <f>E6/F6</f>
        <v/>
      </c>
      <c r="L6" s="32">
        <f>D6/I6</f>
        <v/>
      </c>
      <c r="M6" s="32" t="n">
        <v>0.8835385573195675</v>
      </c>
      <c r="N6" s="33">
        <f>H6/F6</f>
        <v/>
      </c>
      <c r="O6" s="33" t="n">
        <v>0.03214181357748125</v>
      </c>
    </row>
    <row r="7">
      <c r="B7" s="4" t="inlineStr">
        <is>
          <t>Stech</t>
        </is>
      </c>
      <c r="C7" t="inlineStr">
        <is>
          <t>6161.T</t>
        </is>
      </c>
      <c r="D7" s="31" t="n">
        <v>10167.222272</v>
      </c>
      <c r="E7" s="31" t="n">
        <v>10202.222272</v>
      </c>
      <c r="F7" s="31" t="n">
        <v>8320</v>
      </c>
      <c r="G7" s="31" t="n">
        <v>1885</v>
      </c>
      <c r="H7" s="31" t="n">
        <v>1698</v>
      </c>
      <c r="I7" s="31" t="n">
        <v>1192</v>
      </c>
      <c r="J7" s="32">
        <f>E7/G7</f>
        <v/>
      </c>
      <c r="K7" s="32">
        <f>E7/F7</f>
        <v/>
      </c>
      <c r="L7" s="32">
        <f>D7/I7</f>
        <v/>
      </c>
      <c r="M7" s="32" t="n">
        <v>0.9618032609970675</v>
      </c>
      <c r="N7" s="33">
        <f>H7/F7</f>
        <v/>
      </c>
      <c r="O7" s="33" t="n">
        <v>0.1127613281619525</v>
      </c>
    </row>
    <row r="8">
      <c r="B8" s="4" t="inlineStr">
        <is>
          <t>Keiwa</t>
        </is>
      </c>
      <c r="C8" t="inlineStr">
        <is>
          <t>4251.T</t>
        </is>
      </c>
      <c r="D8" s="31" t="n">
        <v>22934.460416</v>
      </c>
      <c r="E8" s="31" t="n">
        <v>25005.460416</v>
      </c>
      <c r="F8" s="31" t="n">
        <v>22300</v>
      </c>
      <c r="G8" s="31" t="n">
        <v>6602</v>
      </c>
      <c r="H8" s="31" t="n">
        <v>4500</v>
      </c>
      <c r="I8" s="31" t="n">
        <v>3100</v>
      </c>
      <c r="J8" s="32">
        <f>E8/G8</f>
        <v/>
      </c>
      <c r="K8" s="32">
        <f>E8/F8</f>
        <v/>
      </c>
      <c r="L8" s="32">
        <f>D8/I8</f>
        <v/>
      </c>
      <c r="M8" s="32" t="n">
        <v>0.9610484585987262</v>
      </c>
      <c r="N8" s="33">
        <f>H8/F8</f>
        <v/>
      </c>
      <c r="O8" s="33" t="n">
        <v>0.1299027824337915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TechnoSmart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TechnoSmart Corporation Financials</t>
        </is>
      </c>
    </row>
    <row r="21">
      <c r="B21" s="4" t="inlineStr">
        <is>
          <t>EBITDA (JPY mn)</t>
        </is>
      </c>
      <c r="C21" s="5" t="n">
        <v>3777.856</v>
      </c>
    </row>
    <row r="22">
      <c r="B22" s="4" t="inlineStr">
        <is>
          <t>Net Income (JPY mn)</t>
        </is>
      </c>
      <c r="C22" s="5" t="n">
        <v>2390.888</v>
      </c>
    </row>
    <row r="23">
      <c r="B23" s="4" t="inlineStr">
        <is>
          <t>Shares Outstanding</t>
        </is>
      </c>
      <c r="C23" s="15" t="n">
        <v>11440655</v>
      </c>
    </row>
    <row r="24">
      <c r="B24" s="4" t="inlineStr">
        <is>
          <t>Net Debt (JPY mn)</t>
        </is>
      </c>
      <c r="C24" s="5" t="n">
        <v>432.4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1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29" t="n">
        <v>7464</v>
      </c>
      <c r="D6" s="29" t="n">
        <v>6349</v>
      </c>
      <c r="E6" s="29" t="n">
        <v>9843</v>
      </c>
      <c r="F6" s="29">
        <f>E6*(1+CHOOSE('DCF Model'!$D$27,F44,F45,F46,F47,F48))</f>
        <v/>
      </c>
      <c r="G6" s="29">
        <f>F6*(1+CHOOSE('DCF Model'!$D$27,G44,G45,G46,G47,G48))</f>
        <v/>
      </c>
      <c r="H6" s="29">
        <f>G6*(1+CHOOSE('DCF Model'!$D$27,H44,H45,H46,H47,H48))</f>
        <v/>
      </c>
      <c r="I6" s="29">
        <f>H6*(1+CHOOSE('DCF Model'!$D$27,I44,I45,I46,I47,I48))</f>
        <v/>
      </c>
      <c r="J6" s="29">
        <f>I6*(1+CHOOSE('DCF Model'!$D$27,J44,J45,J46,J47,J48))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9">
        <f>F6*CHOOSE('DCF Model'!$D$27,F51,F52,F53,F54,F55)</f>
        <v/>
      </c>
      <c r="G7" s="29">
        <f>G6*CHOOSE('DCF Model'!$D$27,G51,G52,G53,G54,G55)</f>
        <v/>
      </c>
      <c r="H7" s="29">
        <f>H6*CHOOSE('DCF Model'!$D$27,H51,H52,H53,H54,H55)</f>
        <v/>
      </c>
      <c r="I7" s="29">
        <f>I6*CHOOSE('DCF Model'!$D$27,I51,I52,I53,I54,I55)</f>
        <v/>
      </c>
      <c r="J7" s="29">
        <f>J6*CHOOSE('DCF Model'!$D$27,J51,J52,J53,J54,J55)</f>
        <v/>
      </c>
    </row>
    <row r="8">
      <c r="B8" s="37" t="inlineStr">
        <is>
          <t>OP Margin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7">
        <f>CHOOSE('DCF Model'!$D$27,F51,F52,F53,F54,F55)</f>
        <v/>
      </c>
      <c r="G8" s="27">
        <f>CHOOSE('DCF Model'!$D$27,G51,G52,G53,G54,G55)</f>
        <v/>
      </c>
      <c r="H8" s="27">
        <f>CHOOSE('DCF Model'!$D$27,H51,H52,H53,H54,H55)</f>
        <v/>
      </c>
      <c r="I8" s="27">
        <f>CHOOSE('DCF Model'!$D$27,I51,I52,I53,I54,I55)</f>
        <v/>
      </c>
      <c r="J8" s="27">
        <f>CHOOSE('DCF Model'!$D$27,J51,J52,J53,J54,J55)</f>
        <v/>
      </c>
    </row>
    <row r="10">
      <c r="B10" s="8" t="inlineStr">
        <is>
          <t>Functional Film (MLCC) (機能性フィルム関連)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28" t="inlineStr">
        <is>
          <t>—</t>
        </is>
      </c>
      <c r="D11" s="29" t="n">
        <v>4388</v>
      </c>
      <c r="E11" s="29" t="n">
        <v>5164</v>
      </c>
      <c r="F11" s="29">
        <f>E11*(1+CHOOSE('DCF Model'!$D$27,F58,F59,F60,F61,F62))</f>
        <v/>
      </c>
      <c r="G11" s="29">
        <f>F11*(1+CHOOSE('DCF Model'!$D$27,G58,G59,G60,G61,G62))</f>
        <v/>
      </c>
      <c r="H11" s="29">
        <f>G11*(1+CHOOSE('DCF Model'!$D$27,H58,H59,H60,H61,H62))</f>
        <v/>
      </c>
      <c r="I11" s="29">
        <f>H11*(1+CHOOSE('DCF Model'!$D$27,I58,I59,I60,I61,I62))</f>
        <v/>
      </c>
      <c r="J11" s="29">
        <f>I11*(1+CHOOSE('DCF Model'!$D$27,J58,J59,J60,J61,J62))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9">
        <f>F11*CHOOSE('DCF Model'!$D$27,F65,F66,F67,F68,F69)</f>
        <v/>
      </c>
      <c r="G12" s="29">
        <f>G11*CHOOSE('DCF Model'!$D$27,G65,G66,G67,G68,G69)</f>
        <v/>
      </c>
      <c r="H12" s="29">
        <f>H11*CHOOSE('DCF Model'!$D$27,H65,H66,H67,H68,H69)</f>
        <v/>
      </c>
      <c r="I12" s="29">
        <f>I11*CHOOSE('DCF Model'!$D$27,I65,I66,I67,I68,I69)</f>
        <v/>
      </c>
      <c r="J12" s="29">
        <f>J11*CHOOSE('DCF Model'!$D$27,J65,J66,J67,J68,J69)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7">
        <f>CHOOSE('DCF Model'!$D$27,F65,F66,F67,F68,F69)</f>
        <v/>
      </c>
      <c r="G13" s="27">
        <f>CHOOSE('DCF Model'!$D$27,G65,G66,G67,G68,G69)</f>
        <v/>
      </c>
      <c r="H13" s="27">
        <f>CHOOSE('DCF Model'!$D$27,H65,H66,H67,H68,H69)</f>
        <v/>
      </c>
      <c r="I13" s="27">
        <f>CHOOSE('DCF Model'!$D$27,I65,I66,I67,I68,I69)</f>
        <v/>
      </c>
      <c r="J13" s="27">
        <f>CHOOSE('DCF Model'!$D$27,J65,J66,J67,J68,J69)</f>
        <v/>
      </c>
    </row>
    <row r="15">
      <c r="B15" s="8" t="inlineStr">
        <is>
          <t>Energy (LiB) (エネルギー関連)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28" t="inlineStr">
        <is>
          <t>—</t>
        </is>
      </c>
      <c r="D16" s="29" t="n">
        <v>5206</v>
      </c>
      <c r="E16" s="29" t="n">
        <v>5193</v>
      </c>
      <c r="F16" s="29">
        <f>E16*(1+CHOOSE('DCF Model'!$D$27,F72,F73,F74,F75,F76))</f>
        <v/>
      </c>
      <c r="G16" s="29">
        <f>F16*(1+CHOOSE('DCF Model'!$D$27,G72,G73,G74,G75,G76))</f>
        <v/>
      </c>
      <c r="H16" s="29">
        <f>G16*(1+CHOOSE('DCF Model'!$D$27,H72,H73,H74,H75,H76))</f>
        <v/>
      </c>
      <c r="I16" s="29">
        <f>H16*(1+CHOOSE('DCF Model'!$D$27,I72,I73,I74,I75,I76))</f>
        <v/>
      </c>
      <c r="J16" s="29">
        <f>I16*(1+CHOOSE('DCF Model'!$D$27,J72,J73,J74,J75,J76))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8" t="inlineStr">
        <is>
          <t>—</t>
        </is>
      </c>
      <c r="E17" s="28" t="inlineStr">
        <is>
          <t>—</t>
        </is>
      </c>
      <c r="F17" s="29">
        <f>F16*CHOOSE('DCF Model'!$D$27,F79,F80,F81,F82,F83)</f>
        <v/>
      </c>
      <c r="G17" s="29">
        <f>G16*CHOOSE('DCF Model'!$D$27,G79,G80,G81,G82,G83)</f>
        <v/>
      </c>
      <c r="H17" s="29">
        <f>H16*CHOOSE('DCF Model'!$D$27,H79,H80,H81,H82,H83)</f>
        <v/>
      </c>
      <c r="I17" s="29">
        <f>I16*CHOOSE('DCF Model'!$D$27,I79,I80,I81,I82,I83)</f>
        <v/>
      </c>
      <c r="J17" s="29">
        <f>J16*CHOOSE('DCF Model'!$D$27,J79,J80,J81,J82,J83)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8" t="inlineStr">
        <is>
          <t>—</t>
        </is>
      </c>
      <c r="E18" s="28" t="inlineStr">
        <is>
          <t>—</t>
        </is>
      </c>
      <c r="F18" s="27">
        <f>CHOOSE('DCF Model'!$D$27,F79,F80,F81,F82,F83)</f>
        <v/>
      </c>
      <c r="G18" s="27">
        <f>CHOOSE('DCF Model'!$D$27,G79,G80,G81,G82,G83)</f>
        <v/>
      </c>
      <c r="H18" s="27">
        <f>CHOOSE('DCF Model'!$D$27,H79,H80,H81,H82,H83)</f>
        <v/>
      </c>
      <c r="I18" s="27">
        <f>CHOOSE('DCF Model'!$D$27,I79,I80,I81,I82,I83)</f>
        <v/>
      </c>
      <c r="J18" s="27">
        <f>CHOOSE('DCF Model'!$D$27,J79,J80,J81,J82,J83)</f>
        <v/>
      </c>
    </row>
    <row r="20">
      <c r="B20" s="8" t="inlineStr">
        <is>
          <t>Electronic Components (電子部品関連)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4" t="inlineStr">
        <is>
          <t>Revenue</t>
        </is>
      </c>
      <c r="C21" s="28" t="inlineStr">
        <is>
          <t>—</t>
        </is>
      </c>
      <c r="D21" s="29" t="n">
        <v>1999</v>
      </c>
      <c r="E21" s="29" t="n">
        <v>389</v>
      </c>
      <c r="F21" s="29">
        <f>E21*(1+CHOOSE('DCF Model'!$D$27,F86,F87,F88,F89,F90))</f>
        <v/>
      </c>
      <c r="G21" s="29">
        <f>F21*(1+CHOOSE('DCF Model'!$D$27,G86,G87,G88,G89,G90))</f>
        <v/>
      </c>
      <c r="H21" s="29">
        <f>G21*(1+CHOOSE('DCF Model'!$D$27,H86,H87,H88,H89,H90))</f>
        <v/>
      </c>
      <c r="I21" s="29">
        <f>H21*(1+CHOOSE('DCF Model'!$D$27,I86,I87,I88,I89,I90))</f>
        <v/>
      </c>
      <c r="J21" s="29">
        <f>I21*(1+CHOOSE('DCF Model'!$D$27,J86,J87,J88,J89,J90))</f>
        <v/>
      </c>
    </row>
    <row r="22">
      <c r="B22" s="4" t="inlineStr">
        <is>
          <t>Operating Profit</t>
        </is>
      </c>
      <c r="C22" s="28" t="inlineStr">
        <is>
          <t>—</t>
        </is>
      </c>
      <c r="D22" s="28" t="inlineStr">
        <is>
          <t>—</t>
        </is>
      </c>
      <c r="E22" s="28" t="inlineStr">
        <is>
          <t>—</t>
        </is>
      </c>
      <c r="F22" s="29">
        <f>F21*CHOOSE('DCF Model'!$D$27,F93,F94,F95,F96,F97)</f>
        <v/>
      </c>
      <c r="G22" s="29">
        <f>G21*CHOOSE('DCF Model'!$D$27,G93,G94,G95,G96,G97)</f>
        <v/>
      </c>
      <c r="H22" s="29">
        <f>H21*CHOOSE('DCF Model'!$D$27,H93,H94,H95,H96,H97)</f>
        <v/>
      </c>
      <c r="I22" s="29">
        <f>I21*CHOOSE('DCF Model'!$D$27,I93,I94,I95,I96,I97)</f>
        <v/>
      </c>
      <c r="J22" s="29">
        <f>J21*CHOOSE('DCF Model'!$D$27,J93,J94,J95,J96,J97)</f>
        <v/>
      </c>
    </row>
    <row r="23">
      <c r="B23" s="37" t="inlineStr">
        <is>
          <t>OP Margin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7">
        <f>CHOOSE('DCF Model'!$D$27,F93,F94,F95,F96,F97)</f>
        <v/>
      </c>
      <c r="G23" s="27">
        <f>CHOOSE('DCF Model'!$D$27,G93,G94,G95,G96,G97)</f>
        <v/>
      </c>
      <c r="H23" s="27">
        <f>CHOOSE('DCF Model'!$D$27,H93,H94,H95,H96,H97)</f>
        <v/>
      </c>
      <c r="I23" s="27">
        <f>CHOOSE('DCF Model'!$D$27,I93,I94,I95,I96,I97)</f>
        <v/>
      </c>
      <c r="J23" s="27">
        <f>CHOOSE('DCF Model'!$D$27,J93,J94,J95,J96,J97)</f>
        <v/>
      </c>
    </row>
    <row r="25">
      <c r="B25" s="8" t="inlineStr">
        <is>
          <t>Other (その他・化工)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4" t="inlineStr">
        <is>
          <t>Revenue</t>
        </is>
      </c>
      <c r="C26" s="28" t="inlineStr">
        <is>
          <t>—</t>
        </is>
      </c>
      <c r="D26" s="29" t="n">
        <v>1301</v>
      </c>
      <c r="E26" s="29" t="n">
        <v>990</v>
      </c>
      <c r="F26" s="29">
        <f>E26*(1+CHOOSE('DCF Model'!$D$27,F100,F101,F102,F103,F104))</f>
        <v/>
      </c>
      <c r="G26" s="29">
        <f>F26*(1+CHOOSE('DCF Model'!$D$27,G100,G101,G102,G103,G104))</f>
        <v/>
      </c>
      <c r="H26" s="29">
        <f>G26*(1+CHOOSE('DCF Model'!$D$27,H100,H101,H102,H103,H104))</f>
        <v/>
      </c>
      <c r="I26" s="29">
        <f>H26*(1+CHOOSE('DCF Model'!$D$27,I100,I101,I102,I103,I104))</f>
        <v/>
      </c>
      <c r="J26" s="29">
        <f>I26*(1+CHOOSE('DCF Model'!$D$27,J100,J101,J102,J103,J104))</f>
        <v/>
      </c>
    </row>
    <row r="27">
      <c r="B27" s="4" t="inlineStr">
        <is>
          <t>Operating Profit</t>
        </is>
      </c>
      <c r="C27" s="28" t="inlineStr">
        <is>
          <t>—</t>
        </is>
      </c>
      <c r="D27" s="28" t="inlineStr">
        <is>
          <t>—</t>
        </is>
      </c>
      <c r="E27" s="28" t="inlineStr">
        <is>
          <t>—</t>
        </is>
      </c>
      <c r="F27" s="29">
        <f>F26*CHOOSE('DCF Model'!$D$27,F107,F108,F109,F110,F111)</f>
        <v/>
      </c>
      <c r="G27" s="29">
        <f>G26*CHOOSE('DCF Model'!$D$27,G107,G108,G109,G110,G111)</f>
        <v/>
      </c>
      <c r="H27" s="29">
        <f>H26*CHOOSE('DCF Model'!$D$27,H107,H108,H109,H110,H111)</f>
        <v/>
      </c>
      <c r="I27" s="29">
        <f>I26*CHOOSE('DCF Model'!$D$27,I107,I108,I109,I110,I111)</f>
        <v/>
      </c>
      <c r="J27" s="29">
        <f>J26*CHOOSE('DCF Model'!$D$27,J107,J108,J109,J110,J111)</f>
        <v/>
      </c>
    </row>
    <row r="28">
      <c r="B28" s="37" t="inlineStr">
        <is>
          <t>OP Margin</t>
        </is>
      </c>
      <c r="C28" s="28" t="inlineStr">
        <is>
          <t>—</t>
        </is>
      </c>
      <c r="D28" s="28" t="inlineStr">
        <is>
          <t>—</t>
        </is>
      </c>
      <c r="E28" s="28" t="inlineStr">
        <is>
          <t>—</t>
        </is>
      </c>
      <c r="F28" s="27">
        <f>CHOOSE('DCF Model'!$D$27,F107,F108,F109,F110,F111)</f>
        <v/>
      </c>
      <c r="G28" s="27">
        <f>CHOOSE('DCF Model'!$D$27,G107,G108,G109,G110,G111)</f>
        <v/>
      </c>
      <c r="H28" s="27">
        <f>CHOOSE('DCF Model'!$D$27,H107,H108,H109,H110,H111)</f>
        <v/>
      </c>
      <c r="I28" s="27">
        <f>CHOOSE('DCF Model'!$D$27,I107,I108,I109,I110,I111)</f>
        <v/>
      </c>
      <c r="J28" s="27">
        <f>CHOOSE('DCF Model'!$D$27,J107,J108,J109,J110,J111)</f>
        <v/>
      </c>
    </row>
    <row r="30">
      <c r="B30" s="22" t="inlineStr">
        <is>
          <t>Consolidated Total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B31" s="4" t="inlineStr">
        <is>
          <t>Total Revenue</t>
        </is>
      </c>
      <c r="C31" s="20">
        <f>C6+C11+C16+C21+C26</f>
        <v/>
      </c>
      <c r="D31" s="20">
        <f>D6+D11+D16+D21+D26</f>
        <v/>
      </c>
      <c r="E31" s="20">
        <f>E6+E11+E16+E21+E26</f>
        <v/>
      </c>
      <c r="F31" s="20">
        <f>F6+F11+F16+F21+F26</f>
        <v/>
      </c>
      <c r="G31" s="20">
        <f>G6+G11+G16+G21+G26</f>
        <v/>
      </c>
      <c r="H31" s="20">
        <f>H6+H11+H16+H21+H26</f>
        <v/>
      </c>
      <c r="I31" s="20">
        <f>I6+I11+I16+I21+I26</f>
        <v/>
      </c>
      <c r="J31" s="20">
        <f>J6+J11+J16+J21+J26</f>
        <v/>
      </c>
    </row>
    <row r="32">
      <c r="B32" s="4" t="inlineStr">
        <is>
          <t>Total Operating Profit</t>
        </is>
      </c>
      <c r="C32" s="20">
        <f>C7+C12+C17+C22+C27</f>
        <v/>
      </c>
      <c r="D32" s="20">
        <f>D7+D12+D17+D22+D27</f>
        <v/>
      </c>
      <c r="E32" s="20">
        <f>E7+E12+E17+E22+E27</f>
        <v/>
      </c>
      <c r="F32" s="20">
        <f>F7+F12+F17+F22+F27</f>
        <v/>
      </c>
      <c r="G32" s="20">
        <f>G7+G12+G17+G22+G27</f>
        <v/>
      </c>
      <c r="H32" s="20">
        <f>H7+H12+H17+H22+H27</f>
        <v/>
      </c>
      <c r="I32" s="20">
        <f>I7+I12+I17+I22+I27</f>
        <v/>
      </c>
      <c r="J32" s="20">
        <f>J7+J12+J17+J22+J27</f>
        <v/>
      </c>
    </row>
    <row r="33">
      <c r="B33" s="37" t="inlineStr">
        <is>
          <t>Total OP Margin</t>
        </is>
      </c>
      <c r="C33" s="27">
        <f>IFERROR(C32/C31,"—")</f>
        <v/>
      </c>
      <c r="D33" s="27">
        <f>IFERROR(D32/D31,"—")</f>
        <v/>
      </c>
      <c r="E33" s="27">
        <f>IFERROR(E32/E31,"—")</f>
        <v/>
      </c>
      <c r="F33" s="27">
        <f>IFERROR(F32/F31,"—")</f>
        <v/>
      </c>
      <c r="G33" s="27">
        <f>IFERROR(G32/G31,"—")</f>
        <v/>
      </c>
      <c r="H33" s="27">
        <f>IFERROR(H32/H31,"—")</f>
        <v/>
      </c>
      <c r="I33" s="27">
        <f>IFERROR(I32/I31,"—")</f>
        <v/>
      </c>
      <c r="J33" s="27">
        <f>IFERROR(J32/J31,"—")</f>
        <v/>
      </c>
    </row>
    <row r="35">
      <c r="B35" s="38" t="inlineStr">
        <is>
          <t>Reconciliation vs DCF Model</t>
        </is>
      </c>
      <c r="C35" s="39" t="n"/>
      <c r="D35" s="39" t="n"/>
      <c r="E35" s="39" t="n"/>
      <c r="F35" s="39" t="n"/>
      <c r="G35" s="39" t="n"/>
      <c r="H35" s="39" t="n"/>
      <c r="I35" s="39" t="n"/>
      <c r="J35" s="39" t="n"/>
    </row>
    <row r="36">
      <c r="B36" s="4" t="inlineStr">
        <is>
          <t>DCF Model Revenue</t>
        </is>
      </c>
      <c r="F36" s="40">
        <f>'DCF Model'!C33</f>
        <v/>
      </c>
      <c r="G36" s="40">
        <f>'DCF Model'!D33</f>
        <v/>
      </c>
      <c r="H36" s="40">
        <f>'DCF Model'!E33</f>
        <v/>
      </c>
      <c r="I36" s="40">
        <f>'DCF Model'!F33</f>
        <v/>
      </c>
      <c r="J36" s="40">
        <f>'DCF Model'!G33</f>
        <v/>
      </c>
    </row>
    <row r="37">
      <c r="B37" s="4" t="inlineStr">
        <is>
          <t>Segment Total Revenue</t>
        </is>
      </c>
      <c r="F37" s="29">
        <f>F31</f>
        <v/>
      </c>
      <c r="G37" s="29">
        <f>G31</f>
        <v/>
      </c>
      <c r="H37" s="29">
        <f>H31</f>
        <v/>
      </c>
      <c r="I37" s="29">
        <f>I31</f>
        <v/>
      </c>
      <c r="J37" s="29">
        <f>J31</f>
        <v/>
      </c>
    </row>
    <row r="38">
      <c r="B38" s="4" t="inlineStr">
        <is>
          <t>Difference</t>
        </is>
      </c>
      <c r="F38" s="24">
        <f>F37-F36</f>
        <v/>
      </c>
      <c r="G38" s="24">
        <f>G37-G36</f>
        <v/>
      </c>
      <c r="H38" s="24">
        <f>H37-H36</f>
        <v/>
      </c>
      <c r="I38" s="24">
        <f>I37-I36</f>
        <v/>
      </c>
      <c r="J38" s="24">
        <f>J37-J36</f>
        <v/>
      </c>
    </row>
    <row r="41">
      <c r="B41" s="41" t="inlineStr">
        <is>
          <t>Segment Scenario Input Matrix</t>
        </is>
      </c>
      <c r="C41" s="42" t="n"/>
      <c r="D41" s="42" t="n"/>
      <c r="E41" s="42" t="n"/>
      <c r="F41" s="42" t="n"/>
      <c r="G41" s="42" t="n"/>
      <c r="H41" s="42" t="n"/>
      <c r="I41" s="42" t="n"/>
      <c r="J41" s="42" t="n"/>
    </row>
    <row r="42">
      <c r="F42" s="43" t="inlineStr">
        <is>
          <t>FY2026(E)</t>
        </is>
      </c>
      <c r="G42" s="43" t="inlineStr">
        <is>
          <t>FY2027(E)</t>
        </is>
      </c>
      <c r="H42" s="43" t="inlineStr">
        <is>
          <t>FY2028(E)</t>
        </is>
      </c>
      <c r="I42" s="43" t="inlineStr">
        <is>
          <t>FY2029(E)</t>
        </is>
      </c>
      <c r="J42" s="43" t="inlineStr">
        <is>
          <t>FY2030(E)</t>
        </is>
      </c>
    </row>
    <row r="43">
      <c r="B43" s="3" t="inlineStr">
        <is>
          <t>Display Components - Revenue Growth (YoY)</t>
        </is>
      </c>
    </row>
    <row r="44">
      <c r="B44" s="4" t="inlineStr">
        <is>
          <t>Base</t>
        </is>
      </c>
      <c r="F44" s="44" t="n">
        <v>0.1175</v>
      </c>
      <c r="G44" s="44" t="n">
        <v>0.1364</v>
      </c>
      <c r="H44" s="44" t="n">
        <v>0.08</v>
      </c>
      <c r="I44" s="44" t="n">
        <v>0.037</v>
      </c>
      <c r="J44" s="44" t="n">
        <v>0.0357</v>
      </c>
    </row>
    <row r="45">
      <c r="B45" s="4" t="inlineStr">
        <is>
          <t>Upside</t>
        </is>
      </c>
      <c r="F45" s="44" t="n">
        <v>0.2699</v>
      </c>
      <c r="G45" s="44" t="n">
        <v>0.2</v>
      </c>
      <c r="H45" s="44" t="n">
        <v>0.1333</v>
      </c>
      <c r="I45" s="44" t="n">
        <v>0.0882</v>
      </c>
      <c r="J45" s="44" t="n">
        <v>0.0541</v>
      </c>
    </row>
    <row r="46">
      <c r="B46" s="4" t="inlineStr">
        <is>
          <t>Management</t>
        </is>
      </c>
      <c r="F46" s="44" t="n">
        <v>0.0363</v>
      </c>
      <c r="G46" s="44" t="n">
        <v>0.0784</v>
      </c>
      <c r="H46" s="44" t="n">
        <v>0.0636</v>
      </c>
      <c r="I46" s="44" t="n">
        <v>0.0427</v>
      </c>
      <c r="J46" s="44" t="n">
        <v>0.041</v>
      </c>
    </row>
    <row r="47">
      <c r="B47" s="4" t="inlineStr">
        <is>
          <t>Downside 1</t>
        </is>
      </c>
      <c r="F47" s="44" t="n">
        <v>-0.1872</v>
      </c>
      <c r="G47" s="44" t="n">
        <v>0.0625</v>
      </c>
      <c r="H47" s="44" t="n">
        <v>0.0588</v>
      </c>
      <c r="I47" s="44" t="n">
        <v>0.0556</v>
      </c>
      <c r="J47" s="44" t="n">
        <v>0.0211</v>
      </c>
    </row>
    <row r="48">
      <c r="B48" s="4" t="inlineStr">
        <is>
          <t>Downside 2</t>
        </is>
      </c>
      <c r="F48" s="44" t="n">
        <v>-0.3396</v>
      </c>
      <c r="G48" s="44" t="n">
        <v>0</v>
      </c>
      <c r="H48" s="44" t="n">
        <v>0.0769</v>
      </c>
      <c r="I48" s="44" t="n">
        <v>0</v>
      </c>
      <c r="J48" s="44" t="n">
        <v>0.0286</v>
      </c>
    </row>
    <row r="50">
      <c r="B50" s="3" t="inlineStr">
        <is>
          <t>Display Components - OP Margin</t>
        </is>
      </c>
    </row>
    <row r="51">
      <c r="B51" s="4" t="inlineStr">
        <is>
          <t>Base</t>
        </is>
      </c>
      <c r="F51" s="44" t="n">
        <v>0.16</v>
      </c>
      <c r="G51" s="44" t="n">
        <v>0.17</v>
      </c>
      <c r="H51" s="44" t="n">
        <v>0.18</v>
      </c>
      <c r="I51" s="44" t="n">
        <v>0.19</v>
      </c>
      <c r="J51" s="44" t="n">
        <v>0.19</v>
      </c>
    </row>
    <row r="52">
      <c r="B52" s="4" t="inlineStr">
        <is>
          <t>Upside</t>
        </is>
      </c>
      <c r="F52" s="44" t="n">
        <v>0.17</v>
      </c>
      <c r="G52" s="44" t="n">
        <v>0.18</v>
      </c>
      <c r="H52" s="44" t="n">
        <v>0.19</v>
      </c>
      <c r="I52" s="44" t="n">
        <v>0.2</v>
      </c>
      <c r="J52" s="44" t="n">
        <v>0.2</v>
      </c>
    </row>
    <row r="53">
      <c r="B53" s="4" t="inlineStr">
        <is>
          <t>Management</t>
        </is>
      </c>
      <c r="F53" s="44" t="n">
        <v>0.15</v>
      </c>
      <c r="G53" s="44" t="n">
        <v>0.16</v>
      </c>
      <c r="H53" s="44" t="n">
        <v>0.16</v>
      </c>
      <c r="I53" s="44" t="n">
        <v>0.17</v>
      </c>
      <c r="J53" s="44" t="n">
        <v>0.17</v>
      </c>
    </row>
    <row r="54">
      <c r="B54" s="4" t="inlineStr">
        <is>
          <t>Downside 1</t>
        </is>
      </c>
      <c r="F54" s="44" t="n">
        <v>0.13</v>
      </c>
      <c r="G54" s="44" t="n">
        <v>0.13</v>
      </c>
      <c r="H54" s="44" t="n">
        <v>0.14</v>
      </c>
      <c r="I54" s="44" t="n">
        <v>0.14</v>
      </c>
      <c r="J54" s="44" t="n">
        <v>0.14</v>
      </c>
    </row>
    <row r="55">
      <c r="B55" s="4" t="inlineStr">
        <is>
          <t>Downside 2</t>
        </is>
      </c>
      <c r="F55" s="44" t="n">
        <v>0.1</v>
      </c>
      <c r="G55" s="44" t="n">
        <v>0.1</v>
      </c>
      <c r="H55" s="44" t="n">
        <v>0.11</v>
      </c>
      <c r="I55" s="44" t="n">
        <v>0.11</v>
      </c>
      <c r="J55" s="44" t="n">
        <v>0.11</v>
      </c>
    </row>
    <row r="57">
      <c r="B57" s="3" t="inlineStr">
        <is>
          <t>Functional Film (MLCC) - Revenue Growth (YoY)</t>
        </is>
      </c>
    </row>
    <row r="58">
      <c r="B58" s="4" t="inlineStr">
        <is>
          <t>Base</t>
        </is>
      </c>
      <c r="F58" s="44" t="n">
        <v>0.2587</v>
      </c>
      <c r="G58" s="44" t="n">
        <v>0.1538</v>
      </c>
      <c r="H58" s="44" t="n">
        <v>0.1333</v>
      </c>
      <c r="I58" s="44" t="n">
        <v>0.1176</v>
      </c>
      <c r="J58" s="44" t="n">
        <v>0.0526</v>
      </c>
    </row>
    <row r="59">
      <c r="B59" s="4" t="inlineStr">
        <is>
          <t>Upside</t>
        </is>
      </c>
      <c r="F59" s="44" t="n">
        <v>0.4524</v>
      </c>
      <c r="G59" s="44" t="n">
        <v>0.2</v>
      </c>
      <c r="H59" s="44" t="n">
        <v>0.1667</v>
      </c>
      <c r="I59" s="44" t="n">
        <v>0.1429</v>
      </c>
      <c r="J59" s="44" t="n">
        <v>0.0833</v>
      </c>
    </row>
    <row r="60">
      <c r="B60" s="4" t="inlineStr">
        <is>
          <t>Management</t>
        </is>
      </c>
      <c r="F60" s="44" t="n">
        <v>0.1619</v>
      </c>
      <c r="G60" s="44" t="n">
        <v>0.0833</v>
      </c>
      <c r="H60" s="44" t="n">
        <v>0.0769</v>
      </c>
      <c r="I60" s="44" t="n">
        <v>0.07140000000000001</v>
      </c>
      <c r="J60" s="44" t="n">
        <v>0.04</v>
      </c>
    </row>
    <row r="61">
      <c r="B61" s="4" t="inlineStr">
        <is>
          <t>Downside 1</t>
        </is>
      </c>
      <c r="F61" s="44" t="n">
        <v>-0.0318</v>
      </c>
      <c r="G61" s="44" t="n">
        <v>0</v>
      </c>
      <c r="H61" s="44" t="n">
        <v>0.04</v>
      </c>
      <c r="I61" s="44" t="n">
        <v>0.0577</v>
      </c>
      <c r="J61" s="44" t="n">
        <v>0.0182</v>
      </c>
    </row>
    <row r="62">
      <c r="B62" s="4" t="inlineStr">
        <is>
          <t>Downside 2</t>
        </is>
      </c>
      <c r="F62" s="44" t="n">
        <v>-0.1867</v>
      </c>
      <c r="G62" s="44" t="n">
        <v>-0.0476</v>
      </c>
      <c r="H62" s="44" t="n">
        <v>0</v>
      </c>
      <c r="I62" s="44" t="n">
        <v>0.05</v>
      </c>
      <c r="J62" s="44" t="n">
        <v>0.0238</v>
      </c>
    </row>
    <row r="64">
      <c r="B64" s="3" t="inlineStr">
        <is>
          <t>Functional Film (MLCC) - OP Margin</t>
        </is>
      </c>
    </row>
    <row r="65">
      <c r="B65" s="4" t="inlineStr">
        <is>
          <t>Base</t>
        </is>
      </c>
      <c r="F65" s="44" t="n">
        <v>0.15</v>
      </c>
      <c r="G65" s="44" t="n">
        <v>0.16</v>
      </c>
      <c r="H65" s="44" t="n">
        <v>0.17</v>
      </c>
      <c r="I65" s="44" t="n">
        <v>0.18</v>
      </c>
      <c r="J65" s="44" t="n">
        <v>0.18</v>
      </c>
    </row>
    <row r="66">
      <c r="B66" s="4" t="inlineStr">
        <is>
          <t>Upside</t>
        </is>
      </c>
      <c r="F66" s="44" t="n">
        <v>0.16</v>
      </c>
      <c r="G66" s="44" t="n">
        <v>0.17</v>
      </c>
      <c r="H66" s="44" t="n">
        <v>0.18</v>
      </c>
      <c r="I66" s="44" t="n">
        <v>0.19</v>
      </c>
      <c r="J66" s="44" t="n">
        <v>0.19</v>
      </c>
    </row>
    <row r="67">
      <c r="B67" s="4" t="inlineStr">
        <is>
          <t>Management</t>
        </is>
      </c>
      <c r="F67" s="44" t="n">
        <v>0.14</v>
      </c>
      <c r="G67" s="44" t="n">
        <v>0.15</v>
      </c>
      <c r="H67" s="44" t="n">
        <v>0.15</v>
      </c>
      <c r="I67" s="44" t="n">
        <v>0.16</v>
      </c>
      <c r="J67" s="44" t="n">
        <v>0.16</v>
      </c>
    </row>
    <row r="68">
      <c r="B68" s="4" t="inlineStr">
        <is>
          <t>Downside 1</t>
        </is>
      </c>
      <c r="F68" s="44" t="n">
        <v>0.12</v>
      </c>
      <c r="G68" s="44" t="n">
        <v>0.12</v>
      </c>
      <c r="H68" s="44" t="n">
        <v>0.13</v>
      </c>
      <c r="I68" s="44" t="n">
        <v>0.13</v>
      </c>
      <c r="J68" s="44" t="n">
        <v>0.13</v>
      </c>
    </row>
    <row r="69">
      <c r="B69" s="4" t="inlineStr">
        <is>
          <t>Downside 2</t>
        </is>
      </c>
      <c r="F69" s="44" t="n">
        <v>0.1</v>
      </c>
      <c r="G69" s="44" t="n">
        <v>0.1</v>
      </c>
      <c r="H69" s="44" t="n">
        <v>0.1</v>
      </c>
      <c r="I69" s="44" t="n">
        <v>0.11</v>
      </c>
      <c r="J69" s="44" t="n">
        <v>0.11</v>
      </c>
    </row>
    <row r="71">
      <c r="B71" s="3" t="inlineStr">
        <is>
          <t>Energy (LiB) - Revenue Growth (YoY)</t>
        </is>
      </c>
    </row>
    <row r="72">
      <c r="B72" s="4" t="inlineStr">
        <is>
          <t>Base</t>
        </is>
      </c>
      <c r="F72" s="44" t="n">
        <v>-0.2682</v>
      </c>
      <c r="G72" s="44" t="n">
        <v>-0.0789</v>
      </c>
      <c r="H72" s="44" t="n">
        <v>0</v>
      </c>
      <c r="I72" s="44" t="n">
        <v>0.1429</v>
      </c>
      <c r="J72" s="44" t="n">
        <v>0.125</v>
      </c>
    </row>
    <row r="73">
      <c r="B73" s="4" t="inlineStr">
        <is>
          <t>Upside</t>
        </is>
      </c>
      <c r="F73" s="44" t="n">
        <v>-0.0372</v>
      </c>
      <c r="G73" s="44" t="n">
        <v>0.1</v>
      </c>
      <c r="H73" s="44" t="n">
        <v>0.1818</v>
      </c>
      <c r="I73" s="44" t="n">
        <v>0.1538</v>
      </c>
      <c r="J73" s="44" t="n">
        <v>0.1333</v>
      </c>
    </row>
    <row r="74">
      <c r="B74" s="4" t="inlineStr">
        <is>
          <t>Management</t>
        </is>
      </c>
      <c r="F74" s="44" t="n">
        <v>-0.326</v>
      </c>
      <c r="G74" s="44" t="n">
        <v>-0.0857</v>
      </c>
      <c r="H74" s="44" t="n">
        <v>0</v>
      </c>
      <c r="I74" s="44" t="n">
        <v>0.09379999999999999</v>
      </c>
      <c r="J74" s="44" t="n">
        <v>0.0857</v>
      </c>
    </row>
    <row r="75">
      <c r="B75" s="4" t="inlineStr">
        <is>
          <t>Downside 1</t>
        </is>
      </c>
      <c r="F75" s="44" t="n">
        <v>-0.5185999999999999</v>
      </c>
      <c r="G75" s="44" t="n">
        <v>-0.2</v>
      </c>
      <c r="H75" s="44" t="n">
        <v>0</v>
      </c>
      <c r="I75" s="44" t="n">
        <v>0.1</v>
      </c>
      <c r="J75" s="44" t="n">
        <v>0.0455</v>
      </c>
    </row>
    <row r="76">
      <c r="B76" s="4" t="inlineStr">
        <is>
          <t>Downside 2</t>
        </is>
      </c>
      <c r="F76" s="44" t="n">
        <v>-0.6534</v>
      </c>
      <c r="G76" s="44" t="n">
        <v>-0.1667</v>
      </c>
      <c r="H76" s="44" t="n">
        <v>0</v>
      </c>
      <c r="I76" s="44" t="n">
        <v>0.2</v>
      </c>
      <c r="J76" s="44" t="n">
        <v>0.0556</v>
      </c>
    </row>
    <row r="78">
      <c r="B78" s="3" t="inlineStr">
        <is>
          <t>Energy (LiB) - OP Margin</t>
        </is>
      </c>
    </row>
    <row r="79">
      <c r="B79" s="4" t="inlineStr">
        <is>
          <t>Base</t>
        </is>
      </c>
      <c r="F79" s="44" t="n">
        <v>0.1</v>
      </c>
      <c r="G79" s="44" t="n">
        <v>0.1</v>
      </c>
      <c r="H79" s="44" t="n">
        <v>0.11</v>
      </c>
      <c r="I79" s="44" t="n">
        <v>0.12</v>
      </c>
      <c r="J79" s="44" t="n">
        <v>0.13</v>
      </c>
    </row>
    <row r="80">
      <c r="B80" s="4" t="inlineStr">
        <is>
          <t>Upside</t>
        </is>
      </c>
      <c r="F80" s="44" t="n">
        <v>0.12</v>
      </c>
      <c r="G80" s="44" t="n">
        <v>0.13</v>
      </c>
      <c r="H80" s="44" t="n">
        <v>0.14</v>
      </c>
      <c r="I80" s="44" t="n">
        <v>0.15</v>
      </c>
      <c r="J80" s="44" t="n">
        <v>0.16</v>
      </c>
    </row>
    <row r="81">
      <c r="B81" s="4" t="inlineStr">
        <is>
          <t>Management</t>
        </is>
      </c>
      <c r="F81" s="44" t="n">
        <v>0.09</v>
      </c>
      <c r="G81" s="44" t="n">
        <v>0.09</v>
      </c>
      <c r="H81" s="44" t="n">
        <v>0.1</v>
      </c>
      <c r="I81" s="44" t="n">
        <v>0.1</v>
      </c>
      <c r="J81" s="44" t="n">
        <v>0.11</v>
      </c>
    </row>
    <row r="82">
      <c r="B82" s="4" t="inlineStr">
        <is>
          <t>Downside 1</t>
        </is>
      </c>
      <c r="F82" s="44" t="n">
        <v>0.06</v>
      </c>
      <c r="G82" s="44" t="n">
        <v>0.05</v>
      </c>
      <c r="H82" s="44" t="n">
        <v>0.05</v>
      </c>
      <c r="I82" s="44" t="n">
        <v>0.06</v>
      </c>
      <c r="J82" s="44" t="n">
        <v>0.06</v>
      </c>
    </row>
    <row r="83">
      <c r="B83" s="4" t="inlineStr">
        <is>
          <t>Downside 2</t>
        </is>
      </c>
      <c r="F83" s="44" t="n">
        <v>0.03</v>
      </c>
      <c r="G83" s="44" t="n">
        <v>0.02</v>
      </c>
      <c r="H83" s="44" t="n">
        <v>0.02</v>
      </c>
      <c r="I83" s="44" t="n">
        <v>0.03</v>
      </c>
      <c r="J83" s="44" t="n">
        <v>0.03</v>
      </c>
    </row>
    <row r="85">
      <c r="B85" s="3" t="inlineStr">
        <is>
          <t>Electronic Components - Revenue Growth (YoY)</t>
        </is>
      </c>
    </row>
    <row r="86">
      <c r="B86" s="4" t="inlineStr">
        <is>
          <t>Base</t>
        </is>
      </c>
      <c r="F86" s="44" t="n">
        <v>0.2853</v>
      </c>
      <c r="G86" s="44" t="n">
        <v>0.2</v>
      </c>
      <c r="H86" s="44" t="n">
        <v>0.1667</v>
      </c>
      <c r="I86" s="44" t="n">
        <v>0.1429</v>
      </c>
      <c r="J86" s="44" t="n">
        <v>0.0625</v>
      </c>
    </row>
    <row r="87">
      <c r="B87" s="4" t="inlineStr">
        <is>
          <t>Upside</t>
        </is>
      </c>
      <c r="F87" s="44" t="n">
        <v>0.5424</v>
      </c>
      <c r="G87" s="44" t="n">
        <v>0.25</v>
      </c>
      <c r="H87" s="44" t="n">
        <v>0.2</v>
      </c>
      <c r="I87" s="44" t="n">
        <v>0.1111</v>
      </c>
      <c r="J87" s="44" t="n">
        <v>0.1</v>
      </c>
    </row>
    <row r="88">
      <c r="B88" s="4" t="inlineStr">
        <is>
          <t>Management</t>
        </is>
      </c>
      <c r="F88" s="44" t="n">
        <v>0.1568</v>
      </c>
      <c r="G88" s="44" t="n">
        <v>0.2222</v>
      </c>
      <c r="H88" s="44" t="n">
        <v>0.09089999999999999</v>
      </c>
      <c r="I88" s="44" t="n">
        <v>0.0833</v>
      </c>
      <c r="J88" s="44" t="n">
        <v>0.0769</v>
      </c>
    </row>
    <row r="89">
      <c r="B89" s="4" t="inlineStr">
        <is>
          <t>Downside 1</t>
        </is>
      </c>
      <c r="F89" s="44" t="n">
        <v>0.0283</v>
      </c>
      <c r="G89" s="44" t="n">
        <v>0</v>
      </c>
      <c r="H89" s="44" t="n">
        <v>0.125</v>
      </c>
      <c r="I89" s="44" t="n">
        <v>0.1111</v>
      </c>
      <c r="J89" s="44" t="n">
        <v>0.04</v>
      </c>
    </row>
    <row r="90">
      <c r="B90" s="4" t="inlineStr">
        <is>
          <t>Downside 2</t>
        </is>
      </c>
      <c r="F90" s="44" t="n">
        <v>-0.1003</v>
      </c>
      <c r="G90" s="44" t="n">
        <v>0</v>
      </c>
      <c r="H90" s="44" t="n">
        <v>0</v>
      </c>
      <c r="I90" s="44" t="n">
        <v>0.1429</v>
      </c>
      <c r="J90" s="44" t="n">
        <v>0.025</v>
      </c>
    </row>
    <row r="92">
      <c r="B92" s="3" t="inlineStr">
        <is>
          <t>Electronic Components - OP Margin</t>
        </is>
      </c>
    </row>
    <row r="93">
      <c r="B93" s="4" t="inlineStr">
        <is>
          <t>Base</t>
        </is>
      </c>
      <c r="F93" s="44" t="n">
        <v>0.08</v>
      </c>
      <c r="G93" s="44" t="n">
        <v>0.09</v>
      </c>
      <c r="H93" s="44" t="n">
        <v>0.09</v>
      </c>
      <c r="I93" s="44" t="n">
        <v>0.1</v>
      </c>
      <c r="J93" s="44" t="n">
        <v>0.1</v>
      </c>
    </row>
    <row r="94">
      <c r="B94" s="4" t="inlineStr">
        <is>
          <t>Upside</t>
        </is>
      </c>
      <c r="F94" s="44" t="n">
        <v>0.09</v>
      </c>
      <c r="G94" s="44" t="n">
        <v>0.1</v>
      </c>
      <c r="H94" s="44" t="n">
        <v>0.1</v>
      </c>
      <c r="I94" s="44" t="n">
        <v>0.11</v>
      </c>
      <c r="J94" s="44" t="n">
        <v>0.11</v>
      </c>
    </row>
    <row r="95">
      <c r="B95" s="4" t="inlineStr">
        <is>
          <t>Management</t>
        </is>
      </c>
      <c r="F95" s="44" t="n">
        <v>0.07000000000000001</v>
      </c>
      <c r="G95" s="44" t="n">
        <v>0.08</v>
      </c>
      <c r="H95" s="44" t="n">
        <v>0.08</v>
      </c>
      <c r="I95" s="44" t="n">
        <v>0.09</v>
      </c>
      <c r="J95" s="44" t="n">
        <v>0.09</v>
      </c>
    </row>
    <row r="96">
      <c r="B96" s="4" t="inlineStr">
        <is>
          <t>Downside 1</t>
        </is>
      </c>
      <c r="F96" s="44" t="n">
        <v>0.06</v>
      </c>
      <c r="G96" s="44" t="n">
        <v>0.06</v>
      </c>
      <c r="H96" s="44" t="n">
        <v>0.07000000000000001</v>
      </c>
      <c r="I96" s="44" t="n">
        <v>0.07000000000000001</v>
      </c>
      <c r="J96" s="44" t="n">
        <v>0.07000000000000001</v>
      </c>
    </row>
    <row r="97">
      <c r="B97" s="4" t="inlineStr">
        <is>
          <t>Downside 2</t>
        </is>
      </c>
      <c r="F97" s="44" t="n">
        <v>0.04</v>
      </c>
      <c r="G97" s="44" t="n">
        <v>0.04</v>
      </c>
      <c r="H97" s="44" t="n">
        <v>0.04</v>
      </c>
      <c r="I97" s="44" t="n">
        <v>0.05</v>
      </c>
      <c r="J97" s="44" t="n">
        <v>0.05</v>
      </c>
    </row>
    <row r="99">
      <c r="B99" s="3" t="inlineStr">
        <is>
          <t>Other - Revenue Growth (YoY)</t>
        </is>
      </c>
    </row>
    <row r="100">
      <c r="B100" s="4" t="inlineStr">
        <is>
          <t>Base</t>
        </is>
      </c>
      <c r="F100" s="44" t="n">
        <v>-0.2929</v>
      </c>
      <c r="G100" s="44" t="n">
        <v>0</v>
      </c>
      <c r="H100" s="44" t="n">
        <v>0</v>
      </c>
      <c r="I100" s="44" t="n">
        <v>0</v>
      </c>
      <c r="J100" s="44" t="n">
        <v>0</v>
      </c>
    </row>
    <row r="101">
      <c r="B101" s="4" t="inlineStr">
        <is>
          <t>Upside</t>
        </is>
      </c>
      <c r="F101" s="44" t="n">
        <v>-0.2424</v>
      </c>
      <c r="G101" s="44" t="n">
        <v>0.0667</v>
      </c>
      <c r="H101" s="44" t="n">
        <v>0.0625</v>
      </c>
      <c r="I101" s="44" t="n">
        <v>0.0588</v>
      </c>
      <c r="J101" s="44" t="n">
        <v>0.0556</v>
      </c>
    </row>
    <row r="102">
      <c r="B102" s="4" t="inlineStr">
        <is>
          <t>Management</t>
        </is>
      </c>
      <c r="F102" s="44" t="n">
        <v>-0.3434</v>
      </c>
      <c r="G102" s="44" t="n">
        <v>0</v>
      </c>
      <c r="H102" s="44" t="n">
        <v>0</v>
      </c>
      <c r="I102" s="44" t="n">
        <v>0</v>
      </c>
      <c r="J102" s="44" t="n">
        <v>0</v>
      </c>
    </row>
    <row r="103">
      <c r="B103" s="4" t="inlineStr">
        <is>
          <t>Downside 1</t>
        </is>
      </c>
      <c r="F103" s="44" t="n">
        <v>-0.3939</v>
      </c>
      <c r="G103" s="44" t="n">
        <v>-0.0833</v>
      </c>
      <c r="H103" s="44" t="n">
        <v>0</v>
      </c>
      <c r="I103" s="44" t="n">
        <v>0</v>
      </c>
      <c r="J103" s="44" t="n">
        <v>0.0182</v>
      </c>
    </row>
    <row r="104">
      <c r="B104" s="4" t="inlineStr">
        <is>
          <t>Downside 2</t>
        </is>
      </c>
      <c r="F104" s="44" t="n">
        <v>-0.4949</v>
      </c>
      <c r="G104" s="44" t="n">
        <v>-0.1</v>
      </c>
      <c r="H104" s="44" t="n">
        <v>0</v>
      </c>
      <c r="I104" s="44" t="n">
        <v>0</v>
      </c>
      <c r="J104" s="44" t="n">
        <v>0.0222</v>
      </c>
    </row>
    <row r="106">
      <c r="B106" s="3" t="inlineStr">
        <is>
          <t>Other - OP Margin</t>
        </is>
      </c>
    </row>
    <row r="107">
      <c r="B107" s="4" t="inlineStr">
        <is>
          <t>Base</t>
        </is>
      </c>
      <c r="F107" s="44" t="n">
        <v>0.05</v>
      </c>
      <c r="G107" s="44" t="n">
        <v>0.05</v>
      </c>
      <c r="H107" s="44" t="n">
        <v>0.05</v>
      </c>
      <c r="I107" s="44" t="n">
        <v>0.05</v>
      </c>
      <c r="J107" s="44" t="n">
        <v>0.05</v>
      </c>
    </row>
    <row r="108">
      <c r="B108" s="4" t="inlineStr">
        <is>
          <t>Upside</t>
        </is>
      </c>
      <c r="F108" s="44" t="n">
        <v>0.06</v>
      </c>
      <c r="G108" s="44" t="n">
        <v>0.06</v>
      </c>
      <c r="H108" s="44" t="n">
        <v>0.06</v>
      </c>
      <c r="I108" s="44" t="n">
        <v>0.07000000000000001</v>
      </c>
      <c r="J108" s="44" t="n">
        <v>0.07000000000000001</v>
      </c>
    </row>
    <row r="109">
      <c r="B109" s="4" t="inlineStr">
        <is>
          <t>Management</t>
        </is>
      </c>
      <c r="F109" s="44" t="n">
        <v>0.04</v>
      </c>
      <c r="G109" s="44" t="n">
        <v>0.04</v>
      </c>
      <c r="H109" s="44" t="n">
        <v>0.04</v>
      </c>
      <c r="I109" s="44" t="n">
        <v>0.04</v>
      </c>
      <c r="J109" s="44" t="n">
        <v>0.04</v>
      </c>
    </row>
    <row r="110">
      <c r="B110" s="4" t="inlineStr">
        <is>
          <t>Downside 1</t>
        </is>
      </c>
      <c r="F110" s="44" t="n">
        <v>0.03</v>
      </c>
      <c r="G110" s="44" t="n">
        <v>0.03</v>
      </c>
      <c r="H110" s="44" t="n">
        <v>0.03</v>
      </c>
      <c r="I110" s="44" t="n">
        <v>0.03</v>
      </c>
      <c r="J110" s="44" t="n">
        <v>0.03</v>
      </c>
    </row>
    <row r="111">
      <c r="B111" s="4" t="inlineStr">
        <is>
          <t>Downside 2</t>
        </is>
      </c>
      <c r="F111" s="44" t="n">
        <v>0.02</v>
      </c>
      <c r="G111" s="44" t="n">
        <v>0.02</v>
      </c>
      <c r="H111" s="44" t="n">
        <v>0.02</v>
      </c>
      <c r="I111" s="44" t="n">
        <v>0.02</v>
      </c>
      <c r="J111" s="44" t="n">
        <v>0.02</v>
      </c>
    </row>
    <row r="114">
      <c r="B114" s="45" t="inlineStr">
        <is>
          <t>Consolidated Inputs (連結レベル)</t>
        </is>
      </c>
      <c r="C114" s="46" t="n"/>
      <c r="D114" s="46" t="n"/>
      <c r="E114" s="46" t="n"/>
      <c r="F114" s="46" t="n"/>
      <c r="G114" s="46" t="n"/>
      <c r="H114" s="46" t="n"/>
      <c r="I114" s="46" t="n"/>
      <c r="J114" s="46" t="n"/>
    </row>
    <row r="115">
      <c r="F115" s="43" t="inlineStr">
        <is>
          <t>FY2026(E)</t>
        </is>
      </c>
      <c r="G115" s="43" t="inlineStr">
        <is>
          <t>FY2027(E)</t>
        </is>
      </c>
      <c r="H115" s="43" t="inlineStr">
        <is>
          <t>FY2028(E)</t>
        </is>
      </c>
      <c r="I115" s="43" t="inlineStr">
        <is>
          <t>FY2029(E)</t>
        </is>
      </c>
      <c r="J115" s="43" t="inlineStr">
        <is>
          <t>FY2030(E)</t>
        </is>
      </c>
    </row>
    <row r="116">
      <c r="B116" s="3" t="inlineStr">
        <is>
          <t>COGS % of Revenue</t>
        </is>
      </c>
    </row>
    <row r="117">
      <c r="B117" s="4" t="inlineStr">
        <is>
          <t>Base</t>
        </is>
      </c>
      <c r="F117" s="44" t="n">
        <v>0.7768</v>
      </c>
      <c r="G117" s="44" t="n">
        <v>0.7768</v>
      </c>
      <c r="H117" s="44" t="n">
        <v>0.7768</v>
      </c>
      <c r="I117" s="44" t="n">
        <v>0.7768</v>
      </c>
      <c r="J117" s="44" t="n">
        <v>0.7768</v>
      </c>
    </row>
    <row r="118">
      <c r="B118" s="4" t="inlineStr">
        <is>
          <t>Upside</t>
        </is>
      </c>
      <c r="F118" s="44" t="n">
        <v>0.738</v>
      </c>
      <c r="G118" s="44" t="n">
        <v>0.738</v>
      </c>
      <c r="H118" s="44" t="n">
        <v>0.738</v>
      </c>
      <c r="I118" s="44" t="n">
        <v>0.738</v>
      </c>
      <c r="J118" s="44" t="n">
        <v>0.738</v>
      </c>
    </row>
    <row r="119">
      <c r="B119" s="4" t="inlineStr">
        <is>
          <t>Management</t>
        </is>
      </c>
      <c r="F119" s="44" t="n">
        <v>0.7768</v>
      </c>
      <c r="G119" s="44" t="n">
        <v>0.7768</v>
      </c>
      <c r="H119" s="44" t="n">
        <v>0.7768</v>
      </c>
      <c r="I119" s="44" t="n">
        <v>0.7768</v>
      </c>
      <c r="J119" s="44" t="n">
        <v>0.7768</v>
      </c>
    </row>
    <row r="120">
      <c r="B120" s="4" t="inlineStr">
        <is>
          <t>Downside 1</t>
        </is>
      </c>
      <c r="F120" s="44" t="n">
        <v>0.8156</v>
      </c>
      <c r="G120" s="44" t="n">
        <v>0.8156</v>
      </c>
      <c r="H120" s="44" t="n">
        <v>0.8156</v>
      </c>
      <c r="I120" s="44" t="n">
        <v>0.8156</v>
      </c>
      <c r="J120" s="44" t="n">
        <v>0.8156</v>
      </c>
    </row>
    <row r="121">
      <c r="B121" s="4" t="inlineStr">
        <is>
          <t>Downside 2</t>
        </is>
      </c>
      <c r="F121" s="44" t="n">
        <v>0.8545</v>
      </c>
      <c r="G121" s="44" t="n">
        <v>0.8545</v>
      </c>
      <c r="H121" s="44" t="n">
        <v>0.8545</v>
      </c>
      <c r="I121" s="44" t="n">
        <v>0.8545</v>
      </c>
      <c r="J121" s="44" t="n">
        <v>0.8545</v>
      </c>
    </row>
    <row r="123">
      <c r="B123" s="3" t="inlineStr">
        <is>
          <t>SGA % of Revenue</t>
        </is>
      </c>
    </row>
    <row r="124">
      <c r="B124" s="4" t="inlineStr">
        <is>
          <t>Base</t>
        </is>
      </c>
      <c r="F124" s="44" t="n">
        <v>0.06</v>
      </c>
      <c r="G124" s="44" t="n">
        <v>0.06</v>
      </c>
      <c r="H124" s="44" t="n">
        <v>0.06</v>
      </c>
      <c r="I124" s="44" t="n">
        <v>0.06</v>
      </c>
      <c r="J124" s="44" t="n">
        <v>0.06</v>
      </c>
    </row>
    <row r="125">
      <c r="B125" s="4" t="inlineStr">
        <is>
          <t>Upside</t>
        </is>
      </c>
      <c r="F125" s="44" t="n">
        <v>0.06</v>
      </c>
      <c r="G125" s="44" t="n">
        <v>0.06</v>
      </c>
      <c r="H125" s="44" t="n">
        <v>0.06</v>
      </c>
      <c r="I125" s="44" t="n">
        <v>0.06</v>
      </c>
      <c r="J125" s="44" t="n">
        <v>0.06</v>
      </c>
    </row>
    <row r="126">
      <c r="B126" s="4" t="inlineStr">
        <is>
          <t>Management</t>
        </is>
      </c>
      <c r="F126" s="44" t="n">
        <v>0.06</v>
      </c>
      <c r="G126" s="44" t="n">
        <v>0.06</v>
      </c>
      <c r="H126" s="44" t="n">
        <v>0.06</v>
      </c>
      <c r="I126" s="44" t="n">
        <v>0.06</v>
      </c>
      <c r="J126" s="44" t="n">
        <v>0.06</v>
      </c>
    </row>
    <row r="127">
      <c r="B127" s="4" t="inlineStr">
        <is>
          <t>Downside 1</t>
        </is>
      </c>
      <c r="F127" s="44" t="n">
        <v>0.07000000000000001</v>
      </c>
      <c r="G127" s="44" t="n">
        <v>0.07000000000000001</v>
      </c>
      <c r="H127" s="44" t="n">
        <v>0.07000000000000001</v>
      </c>
      <c r="I127" s="44" t="n">
        <v>0.07000000000000001</v>
      </c>
      <c r="J127" s="44" t="n">
        <v>0.07000000000000001</v>
      </c>
    </row>
    <row r="128">
      <c r="B128" s="4" t="inlineStr">
        <is>
          <t>Downside 2</t>
        </is>
      </c>
      <c r="F128" s="44" t="n">
        <v>0.08</v>
      </c>
      <c r="G128" s="44" t="n">
        <v>0.08</v>
      </c>
      <c r="H128" s="44" t="n">
        <v>0.08</v>
      </c>
      <c r="I128" s="44" t="n">
        <v>0.08</v>
      </c>
      <c r="J128" s="44" t="n">
        <v>0.08</v>
      </c>
    </row>
    <row r="130">
      <c r="B130" s="3" t="inlineStr">
        <is>
          <t>NWC % of Revenue</t>
        </is>
      </c>
    </row>
    <row r="131">
      <c r="B131" s="4" t="inlineStr">
        <is>
          <t>Base</t>
        </is>
      </c>
      <c r="F131" s="44" t="n">
        <v>-0.07000000000000001</v>
      </c>
      <c r="G131" s="44" t="n">
        <v>-0.07000000000000001</v>
      </c>
      <c r="H131" s="44" t="n">
        <v>-0.07000000000000001</v>
      </c>
      <c r="I131" s="44" t="n">
        <v>-0.07000000000000001</v>
      </c>
      <c r="J131" s="44" t="n">
        <v>-0.07000000000000001</v>
      </c>
    </row>
    <row r="132">
      <c r="B132" s="4" t="inlineStr">
        <is>
          <t>Upside</t>
        </is>
      </c>
      <c r="F132" s="44" t="n">
        <v>-0.07000000000000001</v>
      </c>
      <c r="G132" s="44" t="n">
        <v>-0.07000000000000001</v>
      </c>
      <c r="H132" s="44" t="n">
        <v>-0.07000000000000001</v>
      </c>
      <c r="I132" s="44" t="n">
        <v>-0.07000000000000001</v>
      </c>
      <c r="J132" s="44" t="n">
        <v>-0.07000000000000001</v>
      </c>
    </row>
    <row r="133">
      <c r="B133" s="4" t="inlineStr">
        <is>
          <t>Management</t>
        </is>
      </c>
      <c r="F133" s="44" t="n">
        <v>-0.07000000000000001</v>
      </c>
      <c r="G133" s="44" t="n">
        <v>-0.07000000000000001</v>
      </c>
      <c r="H133" s="44" t="n">
        <v>-0.07000000000000001</v>
      </c>
      <c r="I133" s="44" t="n">
        <v>-0.07000000000000001</v>
      </c>
      <c r="J133" s="44" t="n">
        <v>-0.07000000000000001</v>
      </c>
    </row>
    <row r="134">
      <c r="B134" s="4" t="inlineStr">
        <is>
          <t>Downside 1</t>
        </is>
      </c>
      <c r="F134" s="44" t="n">
        <v>-0.07000000000000001</v>
      </c>
      <c r="G134" s="44" t="n">
        <v>-0.07000000000000001</v>
      </c>
      <c r="H134" s="44" t="n">
        <v>-0.07000000000000001</v>
      </c>
      <c r="I134" s="44" t="n">
        <v>-0.07000000000000001</v>
      </c>
      <c r="J134" s="44" t="n">
        <v>-0.07000000000000001</v>
      </c>
    </row>
    <row r="135">
      <c r="B135" s="4" t="inlineStr">
        <is>
          <t>Downside 2</t>
        </is>
      </c>
      <c r="F135" s="44" t="n">
        <v>-0.07000000000000001</v>
      </c>
      <c r="G135" s="44" t="n">
        <v>-0.07000000000000001</v>
      </c>
      <c r="H135" s="44" t="n">
        <v>-0.07000000000000001</v>
      </c>
      <c r="I135" s="44" t="n">
        <v>-0.07000000000000001</v>
      </c>
      <c r="J135" s="44" t="n">
        <v>-0.07000000000000001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9" t="n">
        <v>15343</v>
      </c>
      <c r="F6" s="29" t="n">
        <v>12094</v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</row>
    <row r="7">
      <c r="B7" s="4" t="inlineStr">
        <is>
          <t>+ New Orders</t>
        </is>
      </c>
      <c r="C7" s="28" t="inlineStr">
        <is>
          <t>—</t>
        </is>
      </c>
      <c r="D7" s="29" t="n">
        <v>14662</v>
      </c>
      <c r="E7" s="29" t="n">
        <v>6594</v>
      </c>
      <c r="F7" s="47" t="n">
        <v>10000</v>
      </c>
      <c r="G7" s="47" t="n">
        <v>11500</v>
      </c>
      <c r="H7" s="47" t="n">
        <v>12500</v>
      </c>
      <c r="I7" s="47" t="n">
        <v>13000</v>
      </c>
      <c r="J7" s="47" t="n">
        <v>13500</v>
      </c>
    </row>
    <row r="8">
      <c r="B8" s="4" t="inlineStr">
        <is>
          <t>- Revenue (Recognized)</t>
        </is>
      </c>
      <c r="C8" s="29" t="n">
        <v>7464</v>
      </c>
      <c r="D8" s="29" t="n">
        <v>6349</v>
      </c>
      <c r="E8" s="29" t="n">
        <v>9843</v>
      </c>
      <c r="F8" s="47" t="n">
        <v>11000</v>
      </c>
      <c r="G8" s="47" t="n">
        <v>12500</v>
      </c>
      <c r="H8" s="47" t="n">
        <v>13500</v>
      </c>
      <c r="I8" s="47" t="n">
        <v>14000</v>
      </c>
      <c r="J8" s="47" t="n">
        <v>14500</v>
      </c>
    </row>
    <row r="9">
      <c r="B9" s="4" t="inlineStr">
        <is>
          <t>Ending Backlog</t>
        </is>
      </c>
      <c r="C9" s="28" t="inlineStr">
        <is>
          <t>—</t>
        </is>
      </c>
      <c r="D9" s="20" t="n">
        <v>15343</v>
      </c>
      <c r="E9" s="20" t="n">
        <v>12094</v>
      </c>
      <c r="F9" s="20">
        <f>F6+F7-F8</f>
        <v/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</row>
    <row r="12">
      <c r="B12" s="8" t="inlineStr">
        <is>
          <t>Functional Film (MLCC) (機能性フィルム関連)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9" t="n">
        <v>7093</v>
      </c>
      <c r="F13" s="29" t="n">
        <v>5279</v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9" t="n">
        <v>1835</v>
      </c>
      <c r="E14" s="29" t="n">
        <v>3349</v>
      </c>
      <c r="F14" s="47" t="n">
        <v>7000</v>
      </c>
      <c r="G14" s="47" t="n">
        <v>8000</v>
      </c>
      <c r="H14" s="47" t="n">
        <v>9000</v>
      </c>
      <c r="I14" s="47" t="n">
        <v>9500</v>
      </c>
      <c r="J14" s="47" t="n">
        <v>10000</v>
      </c>
    </row>
    <row r="15">
      <c r="B15" s="4" t="inlineStr">
        <is>
          <t>- Revenue (Recognized)</t>
        </is>
      </c>
      <c r="C15" s="28" t="inlineStr">
        <is>
          <t>—</t>
        </is>
      </c>
      <c r="D15" s="29" t="n">
        <v>4388</v>
      </c>
      <c r="E15" s="29" t="n">
        <v>5164</v>
      </c>
      <c r="F15" s="47" t="n">
        <v>6500</v>
      </c>
      <c r="G15" s="47" t="n">
        <v>7500</v>
      </c>
      <c r="H15" s="47" t="n">
        <v>8500</v>
      </c>
      <c r="I15" s="47" t="n">
        <v>9500</v>
      </c>
      <c r="J15" s="47" t="n">
        <v>10000</v>
      </c>
    </row>
    <row r="16">
      <c r="B16" s="4" t="inlineStr">
        <is>
          <t>Ending Backlog</t>
        </is>
      </c>
      <c r="C16" s="28" t="inlineStr">
        <is>
          <t>—</t>
        </is>
      </c>
      <c r="D16" s="20" t="n">
        <v>7093</v>
      </c>
      <c r="E16" s="20" t="n">
        <v>5279</v>
      </c>
      <c r="F16" s="20">
        <f>F13+F14-F15</f>
        <v/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</row>
    <row r="19">
      <c r="B19" s="8" t="inlineStr">
        <is>
          <t>Energy (LiB) (エネルギー関連)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9" t="n">
        <v>7883</v>
      </c>
      <c r="F20" s="29" t="n">
        <v>5715</v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9" t="n">
        <v>5963</v>
      </c>
      <c r="E21" s="29" t="n">
        <v>3025</v>
      </c>
      <c r="F21" s="47" t="n">
        <v>1500</v>
      </c>
      <c r="G21" s="47" t="n">
        <v>2500</v>
      </c>
      <c r="H21" s="47" t="n">
        <v>3500</v>
      </c>
      <c r="I21" s="47" t="n">
        <v>4500</v>
      </c>
      <c r="J21" s="47" t="n">
        <v>5000</v>
      </c>
    </row>
    <row r="22">
      <c r="B22" s="4" t="inlineStr">
        <is>
          <t>- Revenue (Recognized)</t>
        </is>
      </c>
      <c r="C22" s="28" t="inlineStr">
        <is>
          <t>—</t>
        </is>
      </c>
      <c r="D22" s="29" t="n">
        <v>5206</v>
      </c>
      <c r="E22" s="29" t="n">
        <v>5193</v>
      </c>
      <c r="F22" s="47" t="n">
        <v>3800</v>
      </c>
      <c r="G22" s="47" t="n">
        <v>3500</v>
      </c>
      <c r="H22" s="47" t="n">
        <v>3500</v>
      </c>
      <c r="I22" s="47" t="n">
        <v>4000</v>
      </c>
      <c r="J22" s="47" t="n">
        <v>4500</v>
      </c>
    </row>
    <row r="23">
      <c r="B23" s="4" t="inlineStr">
        <is>
          <t>Ending Backlog</t>
        </is>
      </c>
      <c r="C23" s="28" t="inlineStr">
        <is>
          <t>—</t>
        </is>
      </c>
      <c r="D23" s="20" t="n">
        <v>7883</v>
      </c>
      <c r="E23" s="20" t="n">
        <v>5715</v>
      </c>
      <c r="F23" s="20">
        <f>F20+F21-F22</f>
        <v/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</row>
    <row r="26">
      <c r="B26" s="8" t="inlineStr">
        <is>
          <t>Electronic Components (電子部品関連) [manual]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4" t="inlineStr">
        <is>
          <t>Revenue (Direct Input)</t>
        </is>
      </c>
      <c r="C27" s="28" t="inlineStr">
        <is>
          <t>—</t>
        </is>
      </c>
      <c r="D27" s="29" t="n">
        <v>1999</v>
      </c>
      <c r="E27" s="29" t="n">
        <v>389</v>
      </c>
      <c r="F27" s="47" t="n">
        <v>500</v>
      </c>
      <c r="G27" s="47" t="n">
        <v>600</v>
      </c>
      <c r="H27" s="47" t="n">
        <v>700</v>
      </c>
      <c r="I27" s="47" t="n">
        <v>800</v>
      </c>
      <c r="J27" s="47" t="n">
        <v>850</v>
      </c>
    </row>
    <row r="28">
      <c r="B28" s="37" t="inlineStr">
        <is>
          <t>YoY Growth</t>
        </is>
      </c>
      <c r="C28" s="28" t="inlineStr">
        <is>
          <t>—</t>
        </is>
      </c>
      <c r="D28" s="27">
        <f>IFERROR((D27-C27)/C27,"—")</f>
        <v/>
      </c>
      <c r="E28" s="27">
        <f>IFERROR((E27-D27)/D27,"—")</f>
        <v/>
      </c>
      <c r="F28" s="27">
        <f>IFERROR((F27-E27)/E27,"—")</f>
        <v/>
      </c>
      <c r="G28" s="27">
        <f>IFERROR((G27-F27)/F27,"—")</f>
        <v/>
      </c>
      <c r="H28" s="27">
        <f>IFERROR((H27-G27)/G27,"—")</f>
        <v/>
      </c>
      <c r="I28" s="27">
        <f>IFERROR((I27-H27)/H27,"—")</f>
        <v/>
      </c>
      <c r="J28" s="27">
        <f>IFERROR((J27-I27)/I27,"—")</f>
        <v/>
      </c>
    </row>
    <row r="30">
      <c r="B30" s="8" t="inlineStr">
        <is>
          <t>Other (その他・化工) [manual]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4" t="inlineStr">
        <is>
          <t>Revenue (Direct Input)</t>
        </is>
      </c>
      <c r="C31" s="28" t="inlineStr">
        <is>
          <t>—</t>
        </is>
      </c>
      <c r="D31" s="29" t="n">
        <v>1301</v>
      </c>
      <c r="E31" s="29" t="n">
        <v>990</v>
      </c>
      <c r="F31" s="47" t="n">
        <v>700</v>
      </c>
      <c r="G31" s="47" t="n">
        <v>700</v>
      </c>
      <c r="H31" s="47" t="n">
        <v>700</v>
      </c>
      <c r="I31" s="47" t="n">
        <v>700</v>
      </c>
      <c r="J31" s="47" t="n">
        <v>700</v>
      </c>
    </row>
    <row r="32">
      <c r="B32" s="37" t="inlineStr">
        <is>
          <t>YoY Growth</t>
        </is>
      </c>
      <c r="C32" s="28" t="inlineStr">
        <is>
          <t>—</t>
        </is>
      </c>
      <c r="D32" s="27">
        <f>IFERROR((D31-C31)/C31,"—")</f>
        <v/>
      </c>
      <c r="E32" s="27">
        <f>IFERROR((E31-D31)/D31,"—")</f>
        <v/>
      </c>
      <c r="F32" s="27">
        <f>IFERROR((F31-E31)/E31,"—")</f>
        <v/>
      </c>
      <c r="G32" s="27">
        <f>IFERROR((G31-F31)/F31,"—")</f>
        <v/>
      </c>
      <c r="H32" s="27">
        <f>IFERROR((H31-G31)/G31,"—")</f>
        <v/>
      </c>
      <c r="I32" s="27">
        <f>IFERROR((I31-H31)/H31,"—")</f>
        <v/>
      </c>
      <c r="J32" s="27">
        <f>IFERROR((J31-I31)/I31,"—")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2026-04-10T05:22:55Z</dcterms:created>
  <dcterms:modified xmlns:dcterms="http://purl.org/dc/terms/" xmlns:xsi="http://www.w3.org/2001/XMLSchema-instance" xsi:type="dcterms:W3CDTF">2026-04-10T05:22:55Z</dcterms:modified>
</cp:coreProperties>
</file>