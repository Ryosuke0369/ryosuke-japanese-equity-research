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289E573-840E-4104-BA95-8B87FF2AD5A6}"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F16" i="6"/>
  <c r="C28" i="6" s="1"/>
  <c r="C19" i="1" s="1"/>
  <c r="D19" i="1" s="1"/>
  <c r="O10" i="6"/>
  <c r="N10" i="6"/>
  <c r="M10" i="6"/>
  <c r="K10" i="6"/>
  <c r="J10" i="6"/>
  <c r="O9" i="6"/>
  <c r="N9" i="6"/>
  <c r="M9" i="6"/>
  <c r="L9" i="6"/>
  <c r="K9" i="6"/>
  <c r="J9" i="6"/>
  <c r="O8" i="6"/>
  <c r="N8" i="6"/>
  <c r="M8" i="6"/>
  <c r="L8" i="6"/>
  <c r="K8" i="6"/>
  <c r="J8" i="6"/>
  <c r="O7" i="6"/>
  <c r="N7" i="6"/>
  <c r="M7" i="6"/>
  <c r="L7" i="6"/>
  <c r="K7" i="6"/>
  <c r="J7" i="6"/>
  <c r="O6" i="6"/>
  <c r="N6" i="6"/>
  <c r="M6" i="6"/>
  <c r="L6" i="6"/>
  <c r="K6" i="6"/>
  <c r="J6" i="6"/>
  <c r="D17" i="6" s="1"/>
  <c r="O5" i="6"/>
  <c r="N5" i="6"/>
  <c r="M5" i="6"/>
  <c r="D5" i="6"/>
  <c r="E5" i="6" s="1"/>
  <c r="J5" i="6" s="1"/>
  <c r="C16" i="5"/>
  <c r="C14" i="5"/>
  <c r="C18" i="5" s="1"/>
  <c r="C7" i="5"/>
  <c r="C6" i="5"/>
  <c r="C5" i="5"/>
  <c r="C13" i="4"/>
  <c r="C12" i="4"/>
  <c r="C9" i="4"/>
  <c r="C7" i="4"/>
  <c r="C6" i="4"/>
  <c r="D27" i="3"/>
  <c r="F32" i="3" s="1"/>
  <c r="C25" i="3"/>
  <c r="C24" i="3"/>
  <c r="C23" i="3"/>
  <c r="H16" i="2"/>
  <c r="G16" i="2"/>
  <c r="F16" i="2"/>
  <c r="E16" i="2"/>
  <c r="D16" i="2"/>
  <c r="H15" i="2"/>
  <c r="G15" i="2"/>
  <c r="F15" i="2"/>
  <c r="E15" i="2"/>
  <c r="D15" i="2"/>
  <c r="H14" i="2"/>
  <c r="G14" i="2"/>
  <c r="F14" i="2"/>
  <c r="E14" i="2"/>
  <c r="D14" i="2"/>
  <c r="C14" i="2"/>
  <c r="H13" i="2"/>
  <c r="G13" i="2"/>
  <c r="F13" i="2"/>
  <c r="E13" i="2"/>
  <c r="D13" i="2"/>
  <c r="C13" i="2"/>
  <c r="H8" i="2"/>
  <c r="H9" i="2" s="1"/>
  <c r="G8" i="2"/>
  <c r="G9" i="2" s="1"/>
  <c r="F8" i="2"/>
  <c r="F9" i="2" s="1"/>
  <c r="E8" i="2"/>
  <c r="E9" i="2" s="1"/>
  <c r="D8" i="2"/>
  <c r="D9" i="2" s="1"/>
  <c r="C8" i="2"/>
  <c r="C9" i="2" s="1"/>
  <c r="F15" i="6" l="1"/>
  <c r="D15" i="6"/>
  <c r="C26" i="3"/>
  <c r="B25" i="1" s="1"/>
  <c r="D16" i="6"/>
  <c r="H5" i="5"/>
  <c r="C3" i="7"/>
  <c r="F36" i="4"/>
  <c r="F46" i="3"/>
  <c r="D36" i="4"/>
  <c r="D46" i="3"/>
  <c r="C46" i="3"/>
  <c r="G36" i="4"/>
  <c r="C11" i="4"/>
  <c r="G46" i="3"/>
  <c r="E36" i="4"/>
  <c r="C30" i="3"/>
  <c r="C33" i="3" s="1"/>
  <c r="C31" i="3"/>
  <c r="D7" i="5"/>
  <c r="G16" i="6"/>
  <c r="G17" i="6"/>
  <c r="G15" i="6"/>
  <c r="E31" i="3"/>
  <c r="C8" i="4"/>
  <c r="C10" i="4" s="1"/>
  <c r="H36" i="4"/>
  <c r="F7" i="5"/>
  <c r="K5" i="6"/>
  <c r="I16" i="6"/>
  <c r="I17" i="6"/>
  <c r="I15" i="6"/>
  <c r="E15" i="6"/>
  <c r="E16" i="6"/>
  <c r="H15" i="6"/>
  <c r="F31" i="3"/>
  <c r="B31" i="1"/>
  <c r="H6" i="5"/>
  <c r="F5" i="5"/>
  <c r="D32" i="3"/>
  <c r="F30" i="3"/>
  <c r="G6" i="5"/>
  <c r="C32" i="3"/>
  <c r="H7" i="5"/>
  <c r="F6" i="5"/>
  <c r="D5" i="5"/>
  <c r="G31" i="3"/>
  <c r="D30" i="3"/>
  <c r="G7" i="5"/>
  <c r="E6" i="5"/>
  <c r="E7" i="5"/>
  <c r="G32" i="3"/>
  <c r="D31" i="3"/>
  <c r="G5" i="5"/>
  <c r="E32" i="3"/>
  <c r="G30" i="3"/>
  <c r="E5" i="5"/>
  <c r="E30" i="3"/>
  <c r="D6" i="5"/>
  <c r="E17" i="6"/>
  <c r="I6" i="7"/>
  <c r="F17" i="6"/>
  <c r="C17" i="7"/>
  <c r="L5" i="6"/>
  <c r="C6" i="7"/>
  <c r="D17" i="7"/>
  <c r="H17" i="6"/>
  <c r="D6" i="7"/>
  <c r="E17" i="7"/>
  <c r="E6" i="7"/>
  <c r="F17" i="7"/>
  <c r="H16" i="6"/>
  <c r="F6" i="7"/>
  <c r="G17" i="7"/>
  <c r="G6" i="7"/>
  <c r="H17" i="7"/>
  <c r="C27" i="6" l="1"/>
  <c r="C18" i="1" s="1"/>
  <c r="D18" i="1" s="1"/>
  <c r="C74" i="4"/>
  <c r="E46" i="3"/>
  <c r="C37" i="3"/>
  <c r="C43" i="3"/>
  <c r="C42" i="3"/>
  <c r="C34" i="3"/>
  <c r="D10" i="5" s="1"/>
  <c r="D9" i="5"/>
  <c r="D12" i="5" s="1"/>
  <c r="D33" i="3"/>
  <c r="C24" i="4"/>
  <c r="C25" i="4" s="1"/>
  <c r="C71" i="4"/>
  <c r="C70" i="4"/>
  <c r="E48" i="4"/>
  <c r="E53" i="4" s="1"/>
  <c r="E43" i="4"/>
  <c r="E46" i="4"/>
  <c r="E40" i="4"/>
  <c r="E50" i="4" s="1"/>
  <c r="E55" i="4" s="1"/>
  <c r="E44" i="4"/>
  <c r="E41" i="4"/>
  <c r="E39" i="4"/>
  <c r="E49" i="4" s="1"/>
  <c r="E54" i="4" s="1"/>
  <c r="E38" i="4"/>
  <c r="E45" i="4"/>
  <c r="H44" i="4"/>
  <c r="H41" i="4"/>
  <c r="H45" i="4"/>
  <c r="H43" i="4"/>
  <c r="H40" i="4"/>
  <c r="H38" i="4"/>
  <c r="H48" i="4" s="1"/>
  <c r="H53" i="4" s="1"/>
  <c r="H46" i="4"/>
  <c r="H39" i="4"/>
  <c r="B24" i="1"/>
  <c r="B29" i="1"/>
  <c r="F46" i="4"/>
  <c r="F40" i="4"/>
  <c r="F44" i="4"/>
  <c r="F38" i="4"/>
  <c r="F45" i="4"/>
  <c r="F43" i="4"/>
  <c r="F41" i="4"/>
  <c r="F39" i="4"/>
  <c r="F49" i="4" s="1"/>
  <c r="D39" i="4"/>
  <c r="D49" i="4" s="1"/>
  <c r="D54" i="4" s="1"/>
  <c r="D43" i="4"/>
  <c r="D46" i="4"/>
  <c r="D40" i="4"/>
  <c r="D38" i="4"/>
  <c r="D48" i="4" s="1"/>
  <c r="D53" i="4" s="1"/>
  <c r="D45" i="4"/>
  <c r="D44" i="4"/>
  <c r="D41" i="4"/>
  <c r="D51" i="4" s="1"/>
  <c r="D56" i="4" s="1"/>
  <c r="B13" i="7"/>
  <c r="B12" i="7"/>
  <c r="B11" i="7"/>
  <c r="B10" i="7"/>
  <c r="B9" i="7"/>
  <c r="B8" i="7"/>
  <c r="B7" i="7"/>
  <c r="B24" i="7"/>
  <c r="B23" i="7"/>
  <c r="B22" i="7"/>
  <c r="B21" i="7"/>
  <c r="B20" i="7"/>
  <c r="B19" i="7"/>
  <c r="B18" i="7"/>
  <c r="G40" i="4"/>
  <c r="G50" i="4" s="1"/>
  <c r="G55" i="4" s="1"/>
  <c r="G38" i="4"/>
  <c r="G48" i="4" s="1"/>
  <c r="G53" i="4" s="1"/>
  <c r="G41" i="4"/>
  <c r="G51" i="4" s="1"/>
  <c r="G56" i="4" s="1"/>
  <c r="G39" i="4"/>
  <c r="G46" i="4"/>
  <c r="G44" i="4"/>
  <c r="G45" i="4"/>
  <c r="G43" i="4"/>
  <c r="H49" i="4" l="1"/>
  <c r="H54" i="4" s="1"/>
  <c r="H51" i="4"/>
  <c r="H56" i="4" s="1"/>
  <c r="F51" i="4"/>
  <c r="F56" i="4" s="1"/>
  <c r="F48" i="4"/>
  <c r="F53" i="4" s="1"/>
  <c r="H50" i="4"/>
  <c r="H55" i="4" s="1"/>
  <c r="E51" i="4"/>
  <c r="E56" i="4" s="1"/>
  <c r="D50" i="4"/>
  <c r="D55" i="4" s="1"/>
  <c r="G49" i="4"/>
  <c r="G54" i="4" s="1"/>
  <c r="F50" i="4"/>
  <c r="F55" i="4" s="1"/>
  <c r="F54" i="4"/>
  <c r="C60" i="4"/>
  <c r="B78" i="4"/>
  <c r="E9" i="5"/>
  <c r="E12" i="5" s="1"/>
  <c r="D43" i="3"/>
  <c r="E33" i="3"/>
  <c r="D37" i="3"/>
  <c r="D34" i="3"/>
  <c r="E10" i="5" s="1"/>
  <c r="D42" i="3"/>
  <c r="D13" i="5"/>
  <c r="D14" i="5" s="1"/>
  <c r="D15" i="5"/>
  <c r="D16" i="5" s="1"/>
  <c r="C29" i="4"/>
  <c r="C27" i="4"/>
  <c r="C26" i="4"/>
  <c r="C35" i="3"/>
  <c r="D35" i="3" l="1"/>
  <c r="D18" i="5"/>
  <c r="D19" i="5" s="1"/>
  <c r="C44" i="3" s="1"/>
  <c r="D38" i="3"/>
  <c r="D39" i="3"/>
  <c r="D36" i="3"/>
  <c r="E43" i="3"/>
  <c r="E42" i="3"/>
  <c r="E34" i="3"/>
  <c r="F10" i="5" s="1"/>
  <c r="F9" i="5"/>
  <c r="F12" i="5" s="1"/>
  <c r="F33" i="3"/>
  <c r="E37" i="3"/>
  <c r="C36" i="3"/>
  <c r="C38" i="3"/>
  <c r="C39" i="3"/>
  <c r="C65" i="4"/>
  <c r="D65" i="4" s="1"/>
  <c r="C64" i="4"/>
  <c r="D64" i="4" s="1"/>
  <c r="C63" i="4"/>
  <c r="D63" i="4" s="1"/>
  <c r="C67" i="4"/>
  <c r="D67" i="4" s="1"/>
  <c r="C66" i="4"/>
  <c r="D66" i="4" s="1"/>
  <c r="E13" i="5"/>
  <c r="E14" i="5" s="1"/>
  <c r="E15" i="5"/>
  <c r="E16" i="5" s="1"/>
  <c r="E18" i="5" l="1"/>
  <c r="E19" i="5" s="1"/>
  <c r="D44" i="3" s="1"/>
  <c r="F13" i="5"/>
  <c r="F14" i="5" s="1"/>
  <c r="F15" i="5"/>
  <c r="F16" i="5" s="1"/>
  <c r="D40" i="3"/>
  <c r="D41" i="3" s="1"/>
  <c r="D45" i="3" s="1"/>
  <c r="D47" i="3" s="1"/>
  <c r="C40" i="3"/>
  <c r="C41" i="3" s="1"/>
  <c r="C45" i="3" s="1"/>
  <c r="E35" i="3"/>
  <c r="G33" i="3"/>
  <c r="F37" i="3"/>
  <c r="F43" i="3"/>
  <c r="F42" i="3"/>
  <c r="G9" i="5"/>
  <c r="G12" i="5" s="1"/>
  <c r="F34" i="3"/>
  <c r="G10" i="5" s="1"/>
  <c r="F18" i="5" l="1"/>
  <c r="F19" i="5" s="1"/>
  <c r="E44" i="3" s="1"/>
  <c r="E38" i="3"/>
  <c r="E36" i="3"/>
  <c r="E39" i="3"/>
  <c r="G13" i="5"/>
  <c r="G14" i="5" s="1"/>
  <c r="G15" i="5"/>
  <c r="G16" i="5" s="1"/>
  <c r="C47" i="3"/>
  <c r="F35" i="3"/>
  <c r="H9" i="5"/>
  <c r="H12" i="5" s="1"/>
  <c r="C16" i="4"/>
  <c r="C28" i="4" s="1"/>
  <c r="G34" i="3"/>
  <c r="H10" i="5" s="1"/>
  <c r="G43" i="3"/>
  <c r="G42" i="3"/>
  <c r="G37" i="3"/>
  <c r="G18" i="5" l="1"/>
  <c r="G19" i="5" s="1"/>
  <c r="F44" i="3" s="1"/>
  <c r="C72" i="4"/>
  <c r="C73" i="4"/>
  <c r="H15" i="5"/>
  <c r="H16" i="5" s="1"/>
  <c r="H13" i="5"/>
  <c r="H14" i="5" s="1"/>
  <c r="H18" i="5" s="1"/>
  <c r="G35" i="3"/>
  <c r="E40" i="3"/>
  <c r="E41" i="3" s="1"/>
  <c r="E45" i="3" s="1"/>
  <c r="F38" i="3"/>
  <c r="F36" i="3"/>
  <c r="F39" i="3"/>
  <c r="H19" i="5" l="1"/>
  <c r="G44" i="3" s="1"/>
  <c r="E47" i="3"/>
  <c r="G36" i="3"/>
  <c r="G39" i="3"/>
  <c r="G38" i="3"/>
  <c r="F40" i="3"/>
  <c r="F41" i="3" s="1"/>
  <c r="F45" i="3" s="1"/>
  <c r="F47" i="3" l="1"/>
  <c r="C59" i="3"/>
  <c r="C60" i="3" s="1"/>
  <c r="C61" i="3" s="1"/>
  <c r="G40" i="3"/>
  <c r="G41" i="3" s="1"/>
  <c r="G45" i="3" s="1"/>
  <c r="C51" i="3" l="1"/>
  <c r="C52" i="3" s="1"/>
  <c r="G47" i="3"/>
  <c r="C50" i="3" s="1"/>
  <c r="D11" i="7"/>
  <c r="D12" i="7"/>
  <c r="H22" i="7"/>
  <c r="G21" i="7"/>
  <c r="D20" i="7"/>
  <c r="G20" i="7"/>
  <c r="I13" i="7"/>
  <c r="F8" i="7"/>
  <c r="F13" i="7"/>
  <c r="D8" i="7"/>
  <c r="E20" i="7"/>
  <c r="G12" i="7"/>
  <c r="C22" i="7"/>
  <c r="E23" i="7"/>
  <c r="F24" i="7"/>
  <c r="C20" i="7"/>
  <c r="H24" i="7"/>
  <c r="I21" i="7"/>
  <c r="D13" i="7"/>
  <c r="G24" i="7"/>
  <c r="I22" i="7"/>
  <c r="H19" i="7"/>
  <c r="G8" i="7"/>
  <c r="E18" i="7"/>
  <c r="C19" i="7"/>
  <c r="H21" i="7"/>
  <c r="E19" i="7"/>
  <c r="E8" i="7"/>
  <c r="G11" i="7"/>
  <c r="I20" i="7"/>
  <c r="H7" i="7"/>
  <c r="C11" i="7"/>
  <c r="C13" i="7"/>
  <c r="F23" i="7"/>
  <c r="H10" i="7"/>
  <c r="D19" i="7"/>
  <c r="C18" i="7"/>
  <c r="D9" i="7"/>
  <c r="F9" i="7"/>
  <c r="I12" i="7"/>
  <c r="E12" i="7"/>
  <c r="C7" i="7"/>
  <c r="C21" i="7"/>
  <c r="F22" i="7"/>
  <c r="F20" i="7"/>
  <c r="E10" i="7"/>
  <c r="I18" i="7"/>
  <c r="G22" i="7"/>
  <c r="H23" i="7"/>
  <c r="C23" i="7"/>
  <c r="F21" i="7"/>
  <c r="I11" i="7"/>
  <c r="H11" i="7"/>
  <c r="D24" i="7"/>
  <c r="H12" i="7"/>
  <c r="E13" i="7"/>
  <c r="F19" i="7"/>
  <c r="F7" i="7"/>
  <c r="G10" i="7"/>
  <c r="E11" i="7"/>
  <c r="G18" i="7"/>
  <c r="D23" i="7"/>
  <c r="I10" i="7"/>
  <c r="I24" i="7"/>
  <c r="I8" i="7"/>
  <c r="G19" i="7"/>
  <c r="H18" i="7"/>
  <c r="D21" i="7"/>
  <c r="D7" i="7"/>
  <c r="E22" i="7"/>
  <c r="F12" i="7"/>
  <c r="D10" i="7"/>
  <c r="G13" i="7"/>
  <c r="G9" i="7"/>
  <c r="H8" i="7"/>
  <c r="F18" i="7"/>
  <c r="C24" i="7"/>
  <c r="C9" i="7"/>
  <c r="H20" i="7"/>
  <c r="E21" i="7"/>
  <c r="G23" i="7"/>
  <c r="E9" i="7"/>
  <c r="E24" i="7"/>
  <c r="I19" i="7"/>
  <c r="D22" i="7"/>
  <c r="E7" i="7"/>
  <c r="G7" i="7"/>
  <c r="C10" i="7"/>
  <c r="H9" i="7"/>
  <c r="I9" i="7"/>
  <c r="D18" i="7"/>
  <c r="I7" i="7"/>
  <c r="F10" i="7"/>
  <c r="C12" i="7"/>
  <c r="I23" i="7"/>
  <c r="H13" i="7"/>
  <c r="F11" i="7"/>
  <c r="C8" i="7"/>
  <c r="C58" i="3" l="1"/>
  <c r="C62" i="3" s="1"/>
  <c r="C53" i="3"/>
  <c r="C17" i="4" l="1"/>
  <c r="C54" i="3"/>
  <c r="C55" i="3" s="1"/>
  <c r="C16" i="1"/>
  <c r="C63" i="3"/>
  <c r="C64" i="3" s="1"/>
  <c r="C17" i="1" s="1"/>
  <c r="D17" i="1" s="1"/>
  <c r="C21" i="1" l="1"/>
  <c r="D16" i="1"/>
  <c r="C10" i="1"/>
  <c r="C19" i="4"/>
  <c r="C20" i="4" s="1"/>
  <c r="B79" i="4" s="1"/>
  <c r="C12" i="1" l="1"/>
  <c r="C11" i="1" s="1"/>
  <c r="B26" i="1" l="1"/>
</calcChain>
</file>

<file path=xl/sharedStrings.xml><?xml version="1.0" encoding="utf-8"?>
<sst xmlns="http://schemas.openxmlformats.org/spreadsheetml/2006/main" count="521" uniqueCount="398">
  <si>
    <t>DISCLAIMER: This is a sample analysis for demonstration purposes only. It does not constitute investment advice.</t>
  </si>
  <si>
    <t>任天堂 (7974.T)</t>
  </si>
  <si>
    <t>Equity Research Report</t>
  </si>
  <si>
    <t>Company</t>
  </si>
  <si>
    <t>任天堂</t>
  </si>
  <si>
    <t>Ticker</t>
  </si>
  <si>
    <t>7974.T (TSE Prime)</t>
  </si>
  <si>
    <t>Sector</t>
  </si>
  <si>
    <t>その他製品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</si>
  <si>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</si>
  <si>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</si>
  <si>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</si>
  <si>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</si>
  <si>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</si>
  <si>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</si>
  <si>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</si>
  <si>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</si>
  <si>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</si>
  <si>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</si>
  <si>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</si>
  <si>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</si>
  <si>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</si>
  <si>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</si>
  <si>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</si>
  <si>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</si>
  <si>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hardware bill of materials is dollar-denominated while a large share of revenue is not, so yen weakness or component inflation compresses the very margin recovery the base case assumes.</t>
  </si>
  <si>
    <t>任天堂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</si>
  <si>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</si>
  <si>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</si>
  <si>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</si>
  <si>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</si>
  <si>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</si>
  <si>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</si>
  <si>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</si>
  <si>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</si>
  <si>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</si>
  <si>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</si>
  <si>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</si>
  <si>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</si>
  <si>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</si>
  <si>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</si>
  <si>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</si>
  <si>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</si>
  <si>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</si>
  <si>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</si>
  <si>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</si>
  <si>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</si>
  <si>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</si>
  <si>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</si>
  <si>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</si>
  <si>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</si>
  <si>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</si>
  <si>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</si>
  <si>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</si>
  <si>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</si>
  <si>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</si>
  <si>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0/6 — blank cells are years with no year-key match in the source data (verify against 決算短信 or set hist_ocf / hist_cash / hist_debt in overrides).</t>
  </si>
  <si>
    <t>DCF Valuation Model - 任天堂</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</si>
  <si>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</si>
  <si>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</si>
  <si>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</si>
  <si>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</si>
  <si>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</si>
  <si>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</si>
  <si>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</si>
  <si>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</si>
  <si>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</si>
  <si>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</si>
  <si>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</si>
  <si>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</si>
  <si>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</si>
  <si>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</si>
  <si>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</si>
  <si>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</si>
  <si>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</si>
  <si>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</si>
  <si>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</si>
  <si>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</si>
  <si>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</si>
  <si>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</si>
  <si>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</si>
  <si>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</si>
  <si>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</si>
  <si>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</si>
  <si>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</si>
  <si>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</si>
  <si>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</si>
  <si>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</si>
  <si>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</si>
  <si>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</si>
  <si>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</si>
  <si>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</si>
  <si>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</si>
  <si>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</si>
  <si>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</si>
  <si>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</si>
  <si>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</si>
  <si>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</si>
  <si>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</si>
  <si>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</si>
  <si>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</si>
  <si>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</si>
  <si>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</si>
  <si>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</si>
  <si>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</si>
  <si>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</si>
  <si>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</si>
  <si>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</si>
  <si>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</si>
  <si>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</si>
  <si>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</si>
  <si>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</si>
  <si>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</si>
  <si>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</si>
  <si>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</si>
  <si>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</si>
  <si>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</si>
  <si>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</si>
  <si>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</si>
  <si>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</si>
  <si>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</si>
  <si>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任天堂 (7974.T)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</si>
  <si>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</si>
  <si>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</si>
  <si>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</si>
  <si>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</si>
  <si>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</si>
  <si>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</si>
  <si>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</si>
  <si>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</si>
  <si>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</si>
  <si>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(FY2021 actual)</t>
  </si>
  <si>
    <t>Terminal-year Revenue, active scenario (JPY mn)</t>
  </si>
  <si>
    <t>Base-case DCF Enterprise Value, PGM (JPY mn)</t>
  </si>
  <si>
    <t>Cycle-peak Operating Margin (FY2021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</si>
  <si>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</si>
  <si>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</si>
  <si>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</si>
  <si>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</si>
  <si>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</si>
  <si>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</si>
  <si>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FY2021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</si>
  <si>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</si>
  <si>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</si>
  <si>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</si>
  <si>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</si>
  <si>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</si>
  <si>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</si>
  <si>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</si>
  <si>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</si>
  <si>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</si>
  <si>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</si>
  <si>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</si>
  <si>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</si>
  <si>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</si>
  <si>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</si>
  <si>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</si>
  <si>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FY2021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</si>
  <si>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</si>
  <si>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</si>
  <si>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</si>
  <si>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</si>
  <si>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</si>
  <si>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</si>
  <si>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(FY2021)</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</si>
  <si>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</si>
  <si>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</si>
  <si>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</si>
  <si>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</si>
  <si>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</si>
  <si>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</si>
  <si>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</si>
  <si>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</si>
  <si>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任天堂</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</si>
  <si>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</si>
  <si>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</si>
  <si>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</si>
  <si>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</si>
  <si>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</si>
  <si>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</si>
  <si>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</si>
  <si>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</si>
  <si>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</si>
  <si>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</si>
  <si>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</si>
  <si>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</si>
  <si>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</si>
  <si>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</si>
  <si>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</si>
  <si>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</si>
  <si>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</si>
  <si>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</si>
  <si>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</si>
  <si>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</si>
  <si>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</si>
  <si>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</si>
  <si>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</si>
  <si>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</si>
  <si>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</si>
  <si>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</si>
  <si>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</si>
  <si>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</si>
  <si>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</si>
  <si>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</si>
  <si>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</si>
  <si>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</si>
  <si>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</si>
  <si>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</si>
  <si>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Nintendo Co., Ltd.</t>
  </si>
  <si>
    <t>7974.T</t>
  </si>
  <si>
    <t>BANDAI NAMCO Holdings Inc.</t>
  </si>
  <si>
    <t>7832.T</t>
  </si>
  <si>
    <t>Konami Group Corporation</t>
  </si>
  <si>
    <t>9766.T</t>
  </si>
  <si>
    <t>Capcom Co., Ltd.</t>
  </si>
  <si>
    <t>9697.T</t>
  </si>
  <si>
    <t>Square Enix Holdings Co., Ltd.</t>
  </si>
  <si>
    <t>9684.T</t>
  </si>
  <si>
    <t>Sony Group Corporation</t>
  </si>
  <si>
    <t>6758.T</t>
  </si>
  <si>
    <t>N/A</t>
  </si>
  <si>
    <t>Statistics</t>
  </si>
  <si>
    <t>25th Percentile</t>
  </si>
  <si>
    <t>Median (50th)</t>
  </si>
  <si>
    <t>75th Percentile</t>
  </si>
  <si>
    <t>Implied Valuation for 任天堂</t>
  </si>
  <si>
    <t>任天堂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</si>
  <si>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</si>
  <si>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</si>
  <si>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</si>
  <si>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</si>
  <si>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</si>
  <si>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</si>
  <si>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</si>
  <si>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</si>
  <si>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</si>
  <si>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</si>
  <si>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</si>
  <si>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</si>
  <si>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</si>
  <si>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</si>
  <si>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</si>
  <si>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任天堂</t>
  </si>
  <si>
    <t>日付</t>
  </si>
  <si>
    <t>セル</t>
  </si>
  <si>
    <t>変更内容</t>
  </si>
  <si>
    <t>理由</t>
  </si>
  <si>
    <t>元の値</t>
  </si>
  <si>
    <t>状態</t>
  </si>
  <si>
    <t>2026-09-06</t>
  </si>
  <si>
    <t>-</t>
  </si>
  <si>
    <t>Generated by pipeline on 2026-09-06 01:34, template rev c9b5dd9</t>
  </si>
  <si>
    <t>初期生成（手修正なし）</t>
  </si>
  <si>
    <t>generated</t>
  </si>
  <si>
    <t>2026-09-05</t>
  </si>
  <si>
    <t>DCF Model!C7</t>
  </si>
  <si>
    <t>Risk-Free Rate = 2.97%</t>
  </si>
  <si>
    <t>財務省 国債金利情報 jgbcm.csv の10年物 R8.9.3(2026-09-03) 2.966% を四捨五入。バッチ全銘柄共通の一次ソース。yfinanceは日本国債利回りを返さないため使用しない。</t>
  </si>
  <si>
    <t>テンプレ既定 2.2%</t>
  </si>
  <si>
    <t>確定</t>
  </si>
  <si>
    <t>DCF Model!C9</t>
  </si>
  <si>
    <t>Equity Risk Premium = 6.5%</t>
  </si>
  <si>
    <t>バッチ共通の固定前提(§1-3)。銘柄固有の調整なし。</t>
  </si>
  <si>
    <t>テンプレ既定 6.5%(同値)</t>
  </si>
  <si>
    <t>設計判断</t>
  </si>
  <si>
    <t>DCF Model!C10</t>
  </si>
  <si>
    <t>Size Premium = 1.0%</t>
  </si>
  <si>
    <t>時価総額バンドによる機械決定(&gt;3,000億円 -&gt; 1.0%)。当社時価総額 10,190,200百万円。■テンプレートの自動規則(&gt;=1兆円 -&gt; 0.0%)とは異なる値で、明示指定により上書きしている。WACCを1.0pt押し上げる。</t>
  </si>
  <si>
    <t>テンプレ自動値 0.0%</t>
  </si>
  <si>
    <t>DCF Model!C8</t>
  </si>
  <si>
    <t>Beta = 1.00</t>
  </si>
  <si>
    <t>yfinance が当社の beta を返さない(null)。テンプレのフォールバック値 1.0 を明示的に採用した。実測値ではなく推定である。■低ベータの同業(9697 カプコン 0.49 / 7832 バンダイナムコ 0.11)と比べると保守的(WACCを高く見積もる方向)。</t>
  </si>
  <si>
    <t>推定(要確認)</t>
  </si>
  <si>
    <t>DCF Model!C6</t>
  </si>
  <si>
    <t>Effective Tax Rate = 25%</t>
  </si>
  <si>
    <t>バッチ共通の既定値(§1-3)。当社の実績税負担率を個別検証したものではない。</t>
  </si>
  <si>
    <t>テンプレ既定 30%</t>
  </si>
  <si>
    <t>推定</t>
  </si>
  <si>
    <t>DCF Model!C11</t>
  </si>
  <si>
    <t>After-tax Cost of Debt = 1.0%(テンプレ既定値のまま)</t>
  </si>
  <si>
    <t>当社は有利子負債ゼロ・ネットキャッシュ(net_debt −1,791,802百万円)で D/E=0 のため、負債コストはWACCに一切寄与しない(WACC = Ke = 10.47%)。実績Kdの算出は無意味なので interest_expense を指定していない。</t>
  </si>
  <si>
    <t>テンプレ既定</t>
  </si>
  <si>
    <t>DCF Model!C13</t>
  </si>
  <si>
    <t>Terminal Growth = 1.0%</t>
  </si>
  <si>
    <t>バッチ共通の固定前提(§1-3)。</t>
  </si>
  <si>
    <t>テンプレ既定 2.0%</t>
  </si>
  <si>
    <t>DCF Model!C14</t>
  </si>
  <si>
    <t>Exit Multiple (EV/EBITDA) = 13.2x</t>
  </si>
  <si>
    <t>Peer 5社の実測EV/EBITDA中央値 13.17x(7832 13.17 / 9766 15.44 / 9697 20.30 / 9684 12.08 / 6758 8.10)。型Bのため §4-4 により Peer中央値が上限だが、本ルールは中央値そのものを採るため上限は binding しない。自社の現在倍率 22.34x は算式に入れていない(市場価格への循環参照回避)。</t>
  </si>
  <si>
    <t>テンプレ既定 10.0x</t>
  </si>
  <si>
    <t>DCF Model!C16</t>
  </si>
  <si>
    <t>Net Debt = −1,791,802百万円(ネットキャッシュ)</t>
  </si>
  <si>
    <t>型A定義: 有利子負債 0 − 現金及び現金同等物 1,791,802。■有利子負債ゼロは抽出漏れではなく事実(EDINET側 Debt 0/6、yfinance にも Total Debt 行が存在しない)。■保守的な定義: 短期有価証券(定期預金等)は現金及び現金同等物に含まれないためネットキャッシュから除外している。含めればネットキャッシュは拡大し株式価値は上振れる。</t>
  </si>
  <si>
    <t>DCF Model!C15</t>
  </si>
  <si>
    <t>Fully Diluted Shares = 1,152,873,205株</t>
  </si>
  <si>
    <t>yfinance sharesOutstanding(自己株控除後)。時価総額 10,190,200百万円 ÷ 株価 8,839円 = 1,152,873,205 と整合。■EDINET有報(docID S100Y9NX)による発行済−自己株の独立検算は本バッチでは未実施。</t>
  </si>
  <si>
    <t>要確認(EDINET側の自己株控除検算 未実施)</t>
  </si>
  <si>
    <t>全体(型判定)</t>
  </si>
  <si>
    <t>型B(シクリカル・コンソールサイクル)として処理</t>
  </si>
  <si>
    <t>機械ルール: 実績OPMレンジ 31.64% − 15.57% = 16.07pt が閾値12ptを超える。FY2026/3 は Switch 2 立ち上げ年で、ハード比率上昇によりOPMが観測4期の最低15.57%まで低下する一方、売上は+98.6%。§4-4 のミッドサイクル正常化を適用する。</t>
  </si>
  <si>
    <t>型A(初期トリアージ)</t>
  </si>
  <si>
    <t>設計判断(Phase 2 で型Bに修正)</t>
  </si>
  <si>
    <t>DCF Model シナリオ5本</t>
  </si>
  <si>
    <t>実績OPM分布からの導出(min 15.57 / p25 22.08 / med 27.87 / p75 31.53 / max 31.64%)</t>
  </si>
  <si>
    <t>Base はソフト比率回復によるマージン正常化を織り込み Y1 20.0% → Y5 27.9%(実績中央値)へ収束。Upside は Switch 1 ピーク期の economics 31.5%。Downside 1 は p25 の22.1%。Downside 2 は売上−15%+OPM 9-11%(観測5期の最低値15.57%は直近実績そのものでトラフとして機能しないため、§4-3 の代替アームを採用)。SGA% は実績23.7-25.5%の水準を基準にシナリオ別に調整し、COGS% = 100% − OPM − SGA% で逆算。既存銘柄からの流用なし。</t>
  </si>
  <si>
    <t>テンプレ自動生成シナリオ</t>
  </si>
  <si>
    <t>DCF Model シナリオ(構造上の留保)</t>
  </si>
  <si>
    <t>売上パスを『平滑化したサイクル』として置いている</t>
  </si>
  <si>
    <t>実際のコンソール移行では世代間で売上が断崖状に落ちる(FY2025 売上 1,164,922 → FY2026 2,313,051 の振幅が実例)。5年単一パスのDCFはこの断崖を表現できないため、Base は Y1 +12.0% → Y5 +2.0% の平滑パスとした。サイクルの山谷そのものを見たい場合は Downside 2(売上−15%)と Upside を上下限として読むこと。</t>
  </si>
  <si>
    <t>DCF Model!C5 / C18</t>
  </si>
  <si>
    <t>capex_method / da_method とも revenue_pct(capex 0.95% / D&amp;A 0.90%)</t>
  </si>
  <si>
    <t>当社は資産が軽く実績 capex 1.0-1.6% / D&amp;A 0.7-1.3%。ターミナル比率 0.95/0.90 = 1.056x でレンジ[0.90,1.15]内(validate チェック9 PASS)。direct 方式を使うほどの投資計画の起伏がない。</t>
  </si>
  <si>
    <t>テンプレ自動値</t>
  </si>
  <si>
    <t>DCF Model NWC(dso/dih/dpo)</t>
  </si>
  <si>
    <t>DSO 22日 / DIH 136日 / DPO 69日 — 実績『中央値』を採用(平均ではない)</t>
  </si>
  <si>
    <t>FY2025 は Switch 2 の事前在庫積み増しで DIH 390日・DPO 161日と極端に歪む(実績: DIH 132/79/390/140、DPO 76/30/161/61)。平均(DIH 185)はサイクル常態を表さないため、外れ値に頑健な中央値を用いた。§4-2 は『実績平均から導出』とするが、当社では平均が単年の異常値に支配されるためこの逸脱を選んだ。</t>
  </si>
  <si>
    <t>§4-2の機械適用値(平均 DIH 185 / DPO 82)</t>
  </si>
  <si>
    <t>DCF Model Management シナリオ</t>
  </si>
  <si>
    <t>Management = Base と同一</t>
  </si>
  <si>
    <t>EDINET XBRL・TDnet短信のいずれからも会社業績予想を取得できなかった(生成ログ Step 3: 'No guidance data found')。§7-2 に従い Management=Base で続行。</t>
  </si>
  <si>
    <t>フォールバック使用(会社予想未取得)</t>
  </si>
  <si>
    <t>Comps Analysis</t>
  </si>
  <si>
    <t>Peer 5社 = 7832 バンダイナムコ / 9766 コナミG / 9697 カプコン / 9684 スクウェア・エニックス / 6758 ソニーG</t>
  </si>
  <si>
    <t>■選定理由: 国内上場のゲーム・エンタテインメント。■時価総額バンドの逸脱: §5 は0.3〜3倍(3.06〜30.6兆円)を求めるが、この帯に入る国内ゲーム関連は 6758 ソニーG(22.7兆円)と 7832 バンダイナムコ(3.57兆円)の2社のみ。3社以上を確保するためバンドを緩和し、9766(2.91兆円 = 0.29倍)・9697(1.78兆円)・9684(1.04兆円)を事業比較可能性で採用した。■6758 ソニーG は半導体・音楽・映画を含むコングロマリットで比較可能性は限定的だが、家庭用ゲーム機の直接競合であり除外しない。EV/EBITDA 8.10x と5社中最低で中央値を押し下げる方向に働く。■EBITDA = 営業利益 + 減価償却費(CF計算書)で全6社統一、D&amp;A欠損による除外はゼロ(validate チェック12 PASS)。■7974 と 9684 は yfinance に Total Debt 行が存在しない(無借金)ため Net_Debt = 0 − 現金 として算出した。■Market_Cap は全行記入(2026-09-04終値ベース)で静的値を採用。海外Peerは §5 により不使用。</t>
  </si>
  <si>
    <t>Executive Summary!C10 / Target</t>
  </si>
  <si>
    <t>Target Price = 7,917円 = PGM 6,669円 と Exit 9,164円 の2本平均。Comps 2本(EV/EBITDA 5,848円 / PER 11,346円)は [参考・Target不算入]</t>
  </si>
  <si>
    <t>メモ§2 の規約どおり。validate チェック14 PASS。EV&lt;net_debt による INVALID 化は発生していない(当社はネットキャッシュ、チェック10・15 とも PASS)。</t>
  </si>
  <si>
    <t>全体(納品状態)</t>
  </si>
  <si>
    <t>本ファイルは DRAFT。_FINAL は付けない</t>
  </si>
  <si>
    <t>バッチモードでの機械生成物であり人間の検証を経ていない。FINAL化は手順書v2 §6 に従い検証後。</t>
  </si>
  <si>
    <t>DRAFT</t>
  </si>
  <si>
    <t>全体(未解決)</t>
  </si>
  <si>
    <t>beta が推定値(1.0)である</t>
  </si>
  <si>
    <t>yfinance が beta を返さないためテンプレのフォールバックを採用した。ゲーム同業の実測beta(9697 0.49 / 7832 0.11 / 9766 0.41 / 9684 0.35)はいずれも大幅に低く、実勢betaを使えば Ke = 10.47% は過大である可能性が高い。beta 0.6(クランプ下限)なら Ke は 7.87% となり Target は大幅に上振れる。実測beta の取得は人間の判断・別ソースを要する。</t>
  </si>
  <si>
    <t>未解決</t>
  </si>
  <si>
    <t>逆算DCF(Block F)が示すギャップ</t>
  </si>
  <si>
    <t>現値 8,839円は定常営業利益 1,235,786百万円(FY2021サイクルピーク 640,634百万の1.93倍)を5年で達成し永続することを織り込んだ水準。実績FY2026 は 360,117百万。ミッドサイクル前提の Base が支える EV は 5,896,857百万円にとどまり、1株2,170円が説明できない。Switch 2 サイクルのピーク利益をどこに置くか(Base の Y5 OPM 27.9% が保守的すぎないか)は人間の判断を要する。</t>
  </si>
  <si>
    <t>Pipeline Metadata (do not edit — read by scripts/validate_output.py)</t>
  </si>
  <si>
    <t>key</t>
  </si>
  <si>
    <t>value</t>
  </si>
  <si>
    <t>auto_log_entries</t>
  </si>
  <si>
    <t>0</t>
  </si>
  <si>
    <t>capex_pct_basis</t>
  </si>
  <si>
    <t>assumption</t>
  </si>
  <si>
    <t>capex_pct_c5</t>
  </si>
  <si>
    <t>0.0095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</si>
  <si>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</si>
  <si>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</si>
  <si>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</si>
  <si>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</si>
  <si>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</si>
  <si>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</si>
  <si>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</si>
  <si>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</si>
  <si>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</si>
  <si>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</si>
  <si>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</si>
  <si>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</si>
  <si>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</si>
  <si>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</si>
  <si>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</si>
  <si>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</si>
  <si>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</si>
  <si>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</si>
  <si>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</si>
  <si>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</si>
  <si>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</si>
  <si>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</si>
  <si>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</si>
  <si>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</si>
  <si>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0.009</t>
  </si>
  <si>
    <t>da_pct_hist3yr</t>
  </si>
  <si>
    <t>0.01024</t>
  </si>
  <si>
    <t>fs_year_coverage</t>
  </si>
  <si>
    <t>OCF 6/6, Cash 6/6, Debt 0/6</t>
  </si>
  <si>
    <t>fs_year_map</t>
  </si>
  <si>
    <t>FY2021&lt;-FY2021[ocf+cash]; FY2022&lt;-FY2022[ocf+cash]; 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</si>
  <si>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</si>
  <si>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</si>
  <si>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</si>
  <si>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</si>
  <si>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</si>
  <si>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01:34:22</t>
  </si>
  <si>
    <t>ltm_revenue_c20</t>
  </si>
  <si>
    <t>2313051.0</t>
  </si>
  <si>
    <t>ltm_revenue_source</t>
  </si>
  <si>
    <t>latest FY (no LTM)</t>
  </si>
  <si>
    <t>narrative_tokens_used</t>
  </si>
  <si>
    <t>pb,per,price,target_price,upside_pct,wacc</t>
  </si>
  <si>
    <t>reverse_dcf_sheet</t>
  </si>
  <si>
    <t>op0=360,117(FY2026) peak=640,634(FY2021) peak_opm=0.3642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</si>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</sst>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8839</v>
      </c>
    </row>
    <row r="10" spans="2:5" ht="14" customHeight="1" x14ac:dyDescent="0.3">
      <c r="B10" s="4" t="s">
        <v>10</v>
      </c>
      <c r="C10" s="5">
        <f>IF(COUNT(C16:C17)=0,"N/A",ROUND(AVERAGE(C16:C17),0))</f>
        <v>7917</v>
      </c>
    </row>
    <row r="11" spans="2:5" ht="14" customHeight="1" x14ac:dyDescent="0.3">
      <c r="B11" s="4" t="s">
        <v>11</v>
      </c>
      <c r="C11" s="6" t="str">
        <f>IF(NOT(ISNUMBER(C12)),"N/A",IF(C12&gt;0.15,"BUY",IF(C12&gt;0.05,"HOLD","SELL")))</f>
        <v>SELL</v>
      </c>
    </row>
    <row r="12" spans="2:5" ht="14" customHeight="1" x14ac:dyDescent="0.3">
      <c r="B12" s="4" t="s">
        <v>12</v>
      </c>
      <c r="C12" s="7">
        <f>IF(ISNUMBER(C10),(C10-C9)/C9,"N/A")</f>
        <v>-0.10431044235773278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6669</v>
      </c>
      <c r="D16" s="7">
        <f>IF(ISNUMBER(C16),(C16-C9)/C9,"N/A")</f>
        <v>-0.2455028849417355</v>
      </c>
    </row>
    <row r="17" spans="2:5" ht="13.5" customHeight="1" x14ac:dyDescent="0.25">
      <c r="B17" t="s">
        <v>18</v>
      </c>
      <c r="C17" s="11">
        <f>IF('DCF Model'!C62&lt;'DCF Model'!C16,"INVALID (EV &lt; net debt)",'DCF Model'!C64)</f>
        <v>9164</v>
      </c>
      <c r="D17" s="7">
        <f>IF(ISNUMBER(C17),(C17-C9)/C9,"N/A")</f>
        <v>3.6768865256250706E-2</v>
      </c>
    </row>
    <row r="18" spans="2:5" ht="13.5" customHeight="1" x14ac:dyDescent="0.25">
      <c r="B18" t="s">
        <v>19</v>
      </c>
      <c r="C18" s="11">
        <f>'Comps Analysis'!C27</f>
        <v>5848</v>
      </c>
      <c r="D18" s="7">
        <f>IF(ISNUMBER(C18),(C18-C9)/C9,"N/A")</f>
        <v>-0.33838669532752574</v>
      </c>
    </row>
    <row r="19" spans="2:5" ht="13.5" customHeight="1" x14ac:dyDescent="0.25">
      <c r="B19" t="s">
        <v>20</v>
      </c>
      <c r="C19" s="11">
        <f>'Comps Analysis'!C28</f>
        <v>11346</v>
      </c>
      <c r="D19" s="7">
        <f>IF(ISNUMBER(C19),(C19-C9)/C9,"N/A")</f>
        <v>0.28362936983821702</v>
      </c>
    </row>
    <row r="20" spans="2:5" ht="14" customHeight="1" x14ac:dyDescent="0.3">
      <c r="B20" s="47" t="s">
        <v>21</v>
      </c>
      <c r="C20" s="46"/>
      <c r="D20" s="46"/>
      <c r="E20" s="46"/>
    </row>
    <row r="21" spans="2:5" ht="14" customHeight="1" x14ac:dyDescent="0.3">
      <c r="B21" s="4" t="s">
        <v>22</v>
      </c>
      <c r="C21" s="6" t="str">
        <f>IF(COUNT(C16:C17)=0,"N/A",MIN(C16:C17)&amp;" - "&amp;MAX(C16:C17))</f>
        <v>6669 - 9164</v>
      </c>
    </row>
    <row r="23" spans="2:5" ht="14" customHeight="1" x14ac:dyDescent="0.3">
      <c r="B23" s="8" t="s">
        <v>23</v>
      </c>
      <c r="C23" s="9"/>
      <c r="D23" s="9"/>
    </row>
    <row r="24" spans="2:5" x14ac:dyDescent="0.2">
      <c r="B24" t="str">
        <f>"The Switch 2 launch year carries hardware-heavy economics, which is why the operating margin sits at the bottom of its four-year range; as the software attach rate builds, the mix normalises and the "&amp;TEXT('Comps Analysis'!L5,"0.0""x""")&amp;" the market pays looks different against mid-cycle earnings."</f>
        <v>The Switch 2 launch year carries hardware-heavy economics, which is why the operating margin sits at the bottom of its four-year range; as the software attach rate builds, the mix normalises and the 24.0x the market pays looks different against mid-cycle earnings.</v>
      </c>
    </row>
    <row r="25" spans="2:5" x14ac:dyDescent="0.2">
      <c r="B25" t="str">
        <f>"A large net cash position means enterprise value is well below market capitalisation, so the "&amp;TEXT('DCF Model'!C26,"0.00%")&amp;" discount rate applies to a business with no financial leverage and the equity absorbs none of the balance-sheet risk."</f>
        <v>A large net cash position means enterprise value is well below market capitalisation, so the 10.47% discount rate applies to a business with no financial leverage and the equity absorbs none of the balance-sheet risk.</v>
      </c>
    </row>
    <row r="26" spans="2:5" x14ac:dyDescent="0.2">
      <c r="B26" t="str">
        <f>"At "&amp;TEXT(C9,"#,##0")&amp;" the shares are held at a clear premium to the listed Japanese game peer group on "&amp;TEXT('Comps Analysis'!M5,"0.00""x""")&amp;" book; the base case mid-cycle normalisation supports "&amp;TEXT(C10,"#,##0")&amp;", or "&amp;TEXT(C12,"+0.0%;-0.0%")&amp;" from here."</f>
        <v>At 8,839 the shares are held at a clear premium to the listed Japanese game peer group on 3.45x book; the base case mid-cycle normalisation supports 7,917, or -10.4% from here.</v>
      </c>
    </row>
    <row r="28" spans="2:5" ht="14" customHeight="1" x14ac:dyDescent="0.3">
      <c r="B28" s="8" t="s">
        <v>24</v>
      </c>
      <c r="C28" s="9"/>
      <c r="D28" s="9"/>
    </row>
    <row r="29" spans="2:5" x14ac:dyDescent="0.2">
      <c r="B29" t="str">
        <f>"Console cycles are hit-driven and the projected margin recovery depends on a software line-up that is not yet on the market, so a soft attach rate would leave earnings near the launch-year trough rather than the "&amp;TEXT('Comps Analysis'!L5,"0.0""x""")&amp;" implied by "&amp;TEXT(C9,"#,##0")&amp;"."</f>
        <v>Console cycles are hit-driven and the projected margin recovery depends on a software line-up that is not yet on the market, so a soft attach rate would leave earnings near the launch-year trough rather than the 24.0x implied by 8,839.</v>
      </c>
    </row>
    <row r="30" spans="2:5" x14ac:dyDescent="0.2">
      <c r="B30" t="s">
        <v>25</v>
      </c>
    </row>
    <row r="31" spans="2:5" x14ac:dyDescent="0.2">
      <c r="B31" t="str">
        <f>"The model discounts a smoothed cycle rather than an actual one: real console transitions produce a revenue cliff between generations, which the "&amp;TEXT('DCF Model'!C26,"0.00%")&amp;" single-path discounting does not represent."</f>
        <v>The model discounts a smoothed cycle rather than an actual one: real console transitions produce a revenue cliff between generations, which the 10.47% single-path discounting does not represent.</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customHeight="1" x14ac:dyDescent="0.4">
      <c r="B2" s="2" t="s">
        <v>26</v>
      </c>
    </row>
    <row r="4" spans="2:8" ht="14" customHeight="1" x14ac:dyDescent="0.3">
      <c r="C4" s="10" t="s">
        <v>27</v>
      </c>
      <c r="D4" s="10" t="s">
        <v>28</v>
      </c>
      <c r="E4" s="10" t="s">
        <v>29</v>
      </c>
      <c r="F4" s="10" t="s">
        <v>30</v>
      </c>
      <c r="G4" s="10" t="s">
        <v>31</v>
      </c>
      <c r="H4" s="10" t="s">
        <v>32</v>
      </c>
    </row>
    <row r="5" spans="2:8" ht="14" customHeight="1" x14ac:dyDescent="0.3">
      <c r="B5" s="3" t="s">
        <v>33</v>
      </c>
    </row>
    <row r="6" spans="2:8" ht="14" customHeight="1" x14ac:dyDescent="0.3">
      <c r="B6" s="4" t="s">
        <v>34</v>
      </c>
      <c r="C6" s="5">
        <v>1758910</v>
      </c>
      <c r="D6" s="5">
        <v>1695344</v>
      </c>
      <c r="E6" s="5">
        <v>1601677</v>
      </c>
      <c r="F6" s="5">
        <v>1671865</v>
      </c>
      <c r="G6" s="5">
        <v>1164922</v>
      </c>
      <c r="H6" s="5">
        <v>2313051</v>
      </c>
    </row>
    <row r="7" spans="2:8" ht="14" customHeight="1" x14ac:dyDescent="0.3">
      <c r="B7" s="4" t="s">
        <v>35</v>
      </c>
      <c r="C7" s="5">
        <v>788437</v>
      </c>
      <c r="D7" s="5">
        <v>749299</v>
      </c>
      <c r="E7" s="5">
        <v>716237</v>
      </c>
      <c r="F7" s="5">
        <v>717530</v>
      </c>
      <c r="G7" s="5">
        <v>454754</v>
      </c>
      <c r="H7" s="5">
        <v>1404094</v>
      </c>
    </row>
    <row r="8" spans="2:8" ht="14" customHeight="1" x14ac:dyDescent="0.3">
      <c r="B8" s="4" t="s">
        <v>36</v>
      </c>
      <c r="C8" s="5">
        <f t="shared" ref="C8:H8" si="0">C6-C7</f>
        <v>970473</v>
      </c>
      <c r="D8" s="5">
        <f t="shared" si="0"/>
        <v>946045</v>
      </c>
      <c r="E8" s="5">
        <f t="shared" si="0"/>
        <v>885440</v>
      </c>
      <c r="F8" s="5">
        <f t="shared" si="0"/>
        <v>954335</v>
      </c>
      <c r="G8" s="5">
        <f t="shared" si="0"/>
        <v>710168</v>
      </c>
      <c r="H8" s="5">
        <f t="shared" si="0"/>
        <v>908957</v>
      </c>
    </row>
    <row r="9" spans="2:8" ht="13.5" customHeight="1" x14ac:dyDescent="0.25">
      <c r="B9" t="s">
        <v>37</v>
      </c>
      <c r="C9" s="7">
        <f t="shared" ref="C9:H9" si="1">C8/C6</f>
        <v>0.55174682047404355</v>
      </c>
      <c r="D9" s="7">
        <f t="shared" si="1"/>
        <v>0.55802539189686573</v>
      </c>
      <c r="E9" s="7">
        <f t="shared" si="1"/>
        <v>0.55282057493489634</v>
      </c>
      <c r="F9" s="7">
        <f t="shared" si="1"/>
        <v>0.57082061051580124</v>
      </c>
      <c r="G9" s="7">
        <f t="shared" si="1"/>
        <v>0.60962708232825891</v>
      </c>
      <c r="H9" s="7">
        <f t="shared" si="1"/>
        <v>0.39296885369150963</v>
      </c>
    </row>
    <row r="10" spans="2:8" ht="14" customHeight="1" x14ac:dyDescent="0.3">
      <c r="B10" s="4" t="s">
        <v>38</v>
      </c>
      <c r="C10" s="5">
        <v>329838</v>
      </c>
      <c r="D10" s="5">
        <v>353283</v>
      </c>
      <c r="E10" s="5">
        <v>381065</v>
      </c>
      <c r="F10" s="5">
        <v>425393</v>
      </c>
      <c r="G10" s="5">
        <v>427614</v>
      </c>
      <c r="H10" s="5">
        <v>548839</v>
      </c>
    </row>
    <row r="11" spans="2:8" ht="14" customHeight="1" x14ac:dyDescent="0.3">
      <c r="B11" s="4" t="s">
        <v>39</v>
      </c>
      <c r="C11" s="5">
        <v>640634</v>
      </c>
      <c r="D11" s="5">
        <v>592760</v>
      </c>
      <c r="E11" s="5">
        <v>504375</v>
      </c>
      <c r="F11" s="5">
        <v>528941</v>
      </c>
      <c r="G11" s="5">
        <v>282553</v>
      </c>
      <c r="H11" s="5">
        <v>360117</v>
      </c>
    </row>
    <row r="12" spans="2:8" ht="14" customHeight="1" x14ac:dyDescent="0.3">
      <c r="B12" s="4" t="s">
        <v>40</v>
      </c>
      <c r="C12" s="5">
        <v>480376</v>
      </c>
      <c r="D12" s="5">
        <v>477691</v>
      </c>
      <c r="E12" s="5">
        <v>432768</v>
      </c>
      <c r="F12" s="5">
        <v>490602</v>
      </c>
      <c r="G12" s="5">
        <v>278806</v>
      </c>
      <c r="H12" s="5">
        <v>424056</v>
      </c>
    </row>
    <row r="13" spans="2:8" ht="13.5" customHeight="1" x14ac:dyDescent="0.25">
      <c r="B13" t="s">
        <v>41</v>
      </c>
      <c r="C13" s="7">
        <f t="shared" ref="C13:H13" si="2">C11/C6</f>
        <v>0.36422216031519522</v>
      </c>
      <c r="D13" s="7">
        <f t="shared" si="2"/>
        <v>0.34963995507696372</v>
      </c>
      <c r="E13" s="7">
        <f t="shared" si="2"/>
        <v>0.31490431591388274</v>
      </c>
      <c r="F13" s="7">
        <f t="shared" si="2"/>
        <v>0.31637781758694633</v>
      </c>
      <c r="G13" s="7">
        <f t="shared" si="2"/>
        <v>0.24255100341482091</v>
      </c>
      <c r="H13" s="7">
        <f t="shared" si="2"/>
        <v>0.15568917416866296</v>
      </c>
    </row>
    <row r="14" spans="2:8" ht="13.5" customHeight="1" x14ac:dyDescent="0.25">
      <c r="B14" t="s">
        <v>42</v>
      </c>
      <c r="C14" s="7">
        <f t="shared" ref="C14:H14" si="3">C12/C6</f>
        <v>0.27311005111119957</v>
      </c>
      <c r="D14" s="7">
        <f t="shared" si="3"/>
        <v>0.28176641436782152</v>
      </c>
      <c r="E14" s="7">
        <f t="shared" si="3"/>
        <v>0.27019679997902196</v>
      </c>
      <c r="F14" s="7">
        <f t="shared" si="3"/>
        <v>0.2934459421065696</v>
      </c>
      <c r="G14" s="7">
        <f t="shared" si="3"/>
        <v>0.2393344790466658</v>
      </c>
      <c r="H14" s="7">
        <f t="shared" si="3"/>
        <v>0.18333188502977238</v>
      </c>
    </row>
    <row r="15" spans="2:8" ht="13.5" customHeight="1" x14ac:dyDescent="0.25">
      <c r="B15" t="s">
        <v>43</v>
      </c>
      <c r="C15" t="s">
        <v>44</v>
      </c>
      <c r="D15" s="7">
        <f>(D6-C6)/C6</f>
        <v>-3.6139427258927402E-2</v>
      </c>
      <c r="E15" s="7">
        <f>(E6-D6)/D6</f>
        <v>-5.5249554072801743E-2</v>
      </c>
      <c r="F15" s="7">
        <f>(F6-E6)/E6</f>
        <v>4.3821569517449525E-2</v>
      </c>
      <c r="G15" s="7">
        <f>(G6-F6)/F6</f>
        <v>-0.30322005664332946</v>
      </c>
      <c r="H15" s="7">
        <f>(H6-G6)/G6</f>
        <v>0.98558444256353639</v>
      </c>
    </row>
    <row r="16" spans="2:8" ht="13.5" customHeight="1" x14ac:dyDescent="0.25">
      <c r="B16" t="s">
        <v>45</v>
      </c>
      <c r="C16" t="s">
        <v>44</v>
      </c>
      <c r="D16" s="7">
        <f>(D11-C11)/C11</f>
        <v>-7.4729096488790794E-2</v>
      </c>
      <c r="E16" s="7">
        <f>(E11-D11)/D11</f>
        <v>-0.14910756461299682</v>
      </c>
      <c r="F16" s="7">
        <f>(F11-E11)/E11</f>
        <v>4.8705824039653033E-2</v>
      </c>
      <c r="G16" s="7">
        <f>(G11-F11)/F11</f>
        <v>-0.46581376750904163</v>
      </c>
      <c r="H16" s="7">
        <f>(H11-G11)/G11</f>
        <v>0.27451133061761862</v>
      </c>
    </row>
    <row r="18" spans="2:8" ht="14" customHeight="1" x14ac:dyDescent="0.3">
      <c r="B18" s="3" t="s">
        <v>46</v>
      </c>
    </row>
    <row r="19" spans="2:8" ht="14" customHeight="1" x14ac:dyDescent="0.3">
      <c r="B19" s="4" t="s">
        <v>47</v>
      </c>
      <c r="C19" s="5">
        <v>612106</v>
      </c>
      <c r="D19" s="5">
        <v>289661</v>
      </c>
      <c r="E19" s="5">
        <v>322843</v>
      </c>
      <c r="F19" s="5">
        <v>462097</v>
      </c>
      <c r="G19" s="5">
        <v>12069</v>
      </c>
      <c r="H19" s="5">
        <v>289789</v>
      </c>
    </row>
    <row r="20" spans="2:8" ht="14" customHeight="1" x14ac:dyDescent="0.3">
      <c r="B20" s="4" t="s">
        <v>48</v>
      </c>
      <c r="C20" s="5"/>
      <c r="D20" s="5"/>
      <c r="E20" s="5"/>
      <c r="F20" s="5"/>
      <c r="G20" s="5"/>
      <c r="H20" s="5"/>
    </row>
    <row r="21" spans="2:8" ht="14" customHeight="1" x14ac:dyDescent="0.3">
      <c r="B21" s="4" t="s">
        <v>49</v>
      </c>
    </row>
    <row r="22" spans="2:8" x14ac:dyDescent="0.2">
      <c r="B22" t="s">
        <v>50</v>
      </c>
    </row>
    <row r="23" spans="2:8" x14ac:dyDescent="0.2">
      <c r="B23" t="s">
        <v>51</v>
      </c>
    </row>
    <row r="25" spans="2:8" ht="14" customHeight="1" x14ac:dyDescent="0.3">
      <c r="B25" s="3" t="s">
        <v>52</v>
      </c>
    </row>
    <row r="26" spans="2:8" ht="14" customHeight="1" x14ac:dyDescent="0.3">
      <c r="B26" s="4" t="s">
        <v>53</v>
      </c>
      <c r="C26" s="5">
        <v>932079</v>
      </c>
      <c r="D26" s="5">
        <v>1022718</v>
      </c>
      <c r="E26" s="5">
        <v>1194569</v>
      </c>
      <c r="F26" s="5">
        <v>853432</v>
      </c>
      <c r="G26" s="5">
        <v>1586275</v>
      </c>
      <c r="H26" s="5">
        <v>1791802</v>
      </c>
    </row>
    <row r="27" spans="2:8" ht="14" customHeight="1" x14ac:dyDescent="0.3">
      <c r="B27" s="4" t="s">
        <v>54</v>
      </c>
      <c r="C27" s="5"/>
      <c r="D27" s="5"/>
      <c r="E27" s="5"/>
      <c r="F27" s="5"/>
      <c r="G27" s="5"/>
      <c r="H27" s="5"/>
    </row>
    <row r="28" spans="2:8" ht="14" customHeight="1" x14ac:dyDescent="0.3">
      <c r="B28" s="4" t="s">
        <v>55</v>
      </c>
    </row>
    <row r="30" spans="2:8" ht="14" customHeight="1"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57</v>
      </c>
    </row>
    <row r="4" spans="2:7" ht="14" customHeight="1" x14ac:dyDescent="0.3">
      <c r="B4" s="8" t="s">
        <v>58</v>
      </c>
      <c r="C4" s="9"/>
      <c r="D4" s="9"/>
      <c r="E4" s="9"/>
      <c r="F4" s="9"/>
      <c r="G4" s="9"/>
    </row>
    <row r="5" spans="2:7" ht="14" customHeight="1" x14ac:dyDescent="0.3">
      <c r="B5" s="4" t="s">
        <v>51</v>
      </c>
      <c r="C5" s="7">
        <v>9.4999999999999998E-3</v>
      </c>
    </row>
    <row r="6" spans="2:7" ht="14" customHeight="1" x14ac:dyDescent="0.3">
      <c r="B6" s="4" t="s">
        <v>59</v>
      </c>
      <c r="C6" s="7">
        <v>0.25</v>
      </c>
    </row>
    <row r="7" spans="2:7" ht="14" customHeight="1" x14ac:dyDescent="0.3">
      <c r="B7" s="4" t="s">
        <v>60</v>
      </c>
      <c r="C7" s="7">
        <v>2.9700000000000001E-2</v>
      </c>
    </row>
    <row r="8" spans="2:7" ht="14" customHeight="1" x14ac:dyDescent="0.3">
      <c r="B8" s="4" t="s">
        <v>61</v>
      </c>
      <c r="C8" s="12">
        <v>1</v>
      </c>
    </row>
    <row r="9" spans="2:7" ht="14" customHeight="1" x14ac:dyDescent="0.3">
      <c r="B9" s="4" t="s">
        <v>62</v>
      </c>
      <c r="C9" s="7">
        <v>6.5000000000000002E-2</v>
      </c>
    </row>
    <row r="10" spans="2:7" ht="14" customHeight="1" x14ac:dyDescent="0.3">
      <c r="B10" s="4" t="s">
        <v>63</v>
      </c>
      <c r="C10" s="7">
        <v>0.01</v>
      </c>
    </row>
    <row r="11" spans="2:7" ht="14" customHeight="1" x14ac:dyDescent="0.3">
      <c r="B11" s="4" t="s">
        <v>64</v>
      </c>
      <c r="C11" s="7">
        <v>0.01</v>
      </c>
    </row>
    <row r="12" spans="2:7" ht="14" customHeight="1" x14ac:dyDescent="0.3">
      <c r="B12" s="4" t="s">
        <v>65</v>
      </c>
      <c r="C12" s="13">
        <v>0</v>
      </c>
    </row>
    <row r="13" spans="2:7" ht="14" customHeight="1" x14ac:dyDescent="0.3">
      <c r="B13" s="4" t="s">
        <v>66</v>
      </c>
      <c r="C13" s="7">
        <v>0.01</v>
      </c>
    </row>
    <row r="14" spans="2:7" ht="14" customHeight="1" x14ac:dyDescent="0.3">
      <c r="B14" s="4" t="s">
        <v>67</v>
      </c>
      <c r="C14" s="14">
        <v>13.2</v>
      </c>
    </row>
    <row r="15" spans="2:7" ht="14" customHeight="1" x14ac:dyDescent="0.3">
      <c r="B15" s="4" t="s">
        <v>68</v>
      </c>
      <c r="C15" s="15">
        <v>1152873205</v>
      </c>
    </row>
    <row r="16" spans="2:7" ht="14" customHeight="1" x14ac:dyDescent="0.3">
      <c r="B16" s="4" t="s">
        <v>69</v>
      </c>
      <c r="C16" s="5">
        <v>-1791802</v>
      </c>
    </row>
    <row r="17" spans="2:7" ht="14" customHeight="1" x14ac:dyDescent="0.3">
      <c r="B17" s="4" t="s">
        <v>70</v>
      </c>
      <c r="C17" s="5">
        <v>2313051</v>
      </c>
    </row>
    <row r="18" spans="2:7" ht="14" customHeight="1" x14ac:dyDescent="0.3">
      <c r="B18" s="4" t="s">
        <v>71</v>
      </c>
      <c r="C18" s="7">
        <v>8.9999999999999993E-3</v>
      </c>
    </row>
    <row r="19" spans="2:7" ht="14" customHeight="1" x14ac:dyDescent="0.3">
      <c r="B19" s="4" t="s">
        <v>72</v>
      </c>
      <c r="C19" s="12">
        <v>1</v>
      </c>
    </row>
    <row r="20" spans="2:7" ht="14" customHeight="1" x14ac:dyDescent="0.3">
      <c r="B20" s="4" t="s">
        <v>73</v>
      </c>
      <c r="C20" s="5">
        <v>2313051</v>
      </c>
    </row>
    <row r="22" spans="2:7" ht="14" customHeight="1" x14ac:dyDescent="0.3">
      <c r="B22" s="8" t="s">
        <v>74</v>
      </c>
      <c r="C22" s="9"/>
      <c r="D22" s="9"/>
      <c r="E22" s="9"/>
      <c r="F22" s="9"/>
      <c r="G22" s="9"/>
    </row>
    <row r="23" spans="2:7" ht="14" customHeight="1" x14ac:dyDescent="0.3">
      <c r="B23" s="4" t="s">
        <v>75</v>
      </c>
      <c r="C23" s="16">
        <f>C7+C8*C9+C10</f>
        <v>0.1047</v>
      </c>
    </row>
    <row r="24" spans="2:7" ht="14" customHeight="1" x14ac:dyDescent="0.3">
      <c r="B24" s="4" t="s">
        <v>76</v>
      </c>
      <c r="C24" s="16">
        <f>1/(1+C12)</f>
        <v>1</v>
      </c>
    </row>
    <row r="25" spans="2:7" ht="14" customHeight="1" x14ac:dyDescent="0.3">
      <c r="B25" s="4" t="s">
        <v>77</v>
      </c>
      <c r="C25" s="16">
        <f>C12/(1+C12)</f>
        <v>0</v>
      </c>
    </row>
    <row r="26" spans="2:7" ht="14" customHeight="1" x14ac:dyDescent="0.3">
      <c r="B26" s="4" t="s">
        <v>78</v>
      </c>
      <c r="C26" s="16">
        <f>C23*C24+C11*C25</f>
        <v>0.1047</v>
      </c>
    </row>
    <row r="27" spans="2:7" ht="14" customHeight="1" x14ac:dyDescent="0.3">
      <c r="B27" s="4" t="s">
        <v>79</v>
      </c>
      <c r="C27" s="17" t="s">
        <v>80</v>
      </c>
      <c r="D27" s="6">
        <f>MATCH(C27,B69:B73,0)</f>
        <v>1</v>
      </c>
    </row>
    <row r="28" spans="2:7" ht="14" customHeight="1" x14ac:dyDescent="0.3">
      <c r="B28" s="8" t="s">
        <v>81</v>
      </c>
      <c r="C28" s="9"/>
      <c r="D28" s="9"/>
      <c r="E28" s="9"/>
      <c r="F28" s="9"/>
      <c r="G28" s="9"/>
    </row>
    <row r="29" spans="2:7" ht="14" customHeight="1" x14ac:dyDescent="0.3">
      <c r="C29" s="10" t="s">
        <v>82</v>
      </c>
      <c r="D29" s="10" t="s">
        <v>83</v>
      </c>
      <c r="E29" s="10" t="s">
        <v>84</v>
      </c>
      <c r="F29" s="10" t="s">
        <v>85</v>
      </c>
      <c r="G29" s="10" t="s">
        <v>86</v>
      </c>
    </row>
    <row r="30" spans="2:7" ht="14" customHeight="1" x14ac:dyDescent="0.3">
      <c r="B30" s="4" t="s">
        <v>43</v>
      </c>
      <c r="C30" s="18">
        <f>CHOOSE($D$27,C69,C70,C71,C72,C73)</f>
        <v>0.12</v>
      </c>
      <c r="D30" s="18">
        <f>CHOOSE($D$27,D69,D70,D71,D72,D73)</f>
        <v>0.06</v>
      </c>
      <c r="E30" s="18">
        <f>CHOOSE($D$27,E69,E70,E71,E72,E73)</f>
        <v>0.03</v>
      </c>
      <c r="F30" s="18">
        <f>CHOOSE($D$27,F69,F70,F71,F72,F73)</f>
        <v>0.02</v>
      </c>
      <c r="G30" s="18">
        <f>CHOOSE($D$27,G69,G70,G71,G72,G73)</f>
        <v>0.02</v>
      </c>
    </row>
    <row r="31" spans="2:7" ht="14" customHeight="1" x14ac:dyDescent="0.3">
      <c r="B31" s="4" t="s">
        <v>87</v>
      </c>
      <c r="C31" s="18">
        <f>CHOOSE($D$27,C76,C77,C78,C79,C80)</f>
        <v>0.56000000000000005</v>
      </c>
      <c r="D31" s="18">
        <f>CHOOSE($D$27,D76,D77,D78,D79,D80)</f>
        <v>0.52</v>
      </c>
      <c r="E31" s="18">
        <f>CHOOSE($D$27,E76,E77,E78,E79,E80)</f>
        <v>0.49</v>
      </c>
      <c r="F31" s="18">
        <f>CHOOSE($D$27,F76,F77,F78,F79,F80)</f>
        <v>0.48</v>
      </c>
      <c r="G31" s="18">
        <f>CHOOSE($D$27,G76,G77,G78,G79,G80)</f>
        <v>0.48099999999999998</v>
      </c>
    </row>
    <row r="32" spans="2:7" ht="14" customHeight="1" x14ac:dyDescent="0.3">
      <c r="B32" s="4" t="s">
        <v>88</v>
      </c>
      <c r="C32" s="18">
        <f>CHOOSE($D$27,C83,C84,C85,C86,C87)</f>
        <v>0.24</v>
      </c>
      <c r="D32" s="18">
        <f>CHOOSE($D$27,D83,D84,D85,D86,D87)</f>
        <v>0.24</v>
      </c>
      <c r="E32" s="18">
        <f>CHOOSE($D$27,E83,E84,E85,E86,E87)</f>
        <v>0.24</v>
      </c>
      <c r="F32" s="18">
        <f>CHOOSE($D$27,F83,F84,F85,F86,F87)</f>
        <v>0.24</v>
      </c>
      <c r="G32" s="18">
        <f>CHOOSE($D$27,G83,G84,G85,G86,G87)</f>
        <v>0.24</v>
      </c>
    </row>
    <row r="33" spans="2:7" ht="14" customHeight="1" x14ac:dyDescent="0.3">
      <c r="B33" s="4" t="s">
        <v>34</v>
      </c>
      <c r="C33" s="5">
        <f>C17*(1+C30)</f>
        <v>2590617.12</v>
      </c>
      <c r="D33" s="5">
        <f>C33*(1+D30)</f>
        <v>2746054.1472000005</v>
      </c>
      <c r="E33" s="5">
        <f>D33*(1+E30)</f>
        <v>2828435.7716160007</v>
      </c>
      <c r="F33" s="5">
        <f>E33*(1+F30)</f>
        <v>2885004.4870483209</v>
      </c>
      <c r="G33" s="5">
        <f>F33*(1+G30)</f>
        <v>2942704.5767892874</v>
      </c>
    </row>
    <row r="34" spans="2:7" ht="14" customHeight="1" x14ac:dyDescent="0.3">
      <c r="B34" s="4" t="s">
        <v>35</v>
      </c>
      <c r="C34" s="5">
        <f>C33*C31</f>
        <v>1450745.5872000002</v>
      </c>
      <c r="D34" s="5">
        <f>D33*D31</f>
        <v>1427948.1565440004</v>
      </c>
      <c r="E34" s="5">
        <f>E33*E31</f>
        <v>1385933.5280918402</v>
      </c>
      <c r="F34" s="5">
        <f>F33*F31</f>
        <v>1384802.153783194</v>
      </c>
      <c r="G34" s="5">
        <f>G33*G31</f>
        <v>1415440.9014356472</v>
      </c>
    </row>
    <row r="35" spans="2:7" ht="14" customHeight="1" x14ac:dyDescent="0.3">
      <c r="B35" s="4" t="s">
        <v>36</v>
      </c>
      <c r="C35" s="19">
        <f>C33-C34</f>
        <v>1139871.5327999999</v>
      </c>
      <c r="D35" s="19">
        <f>D33-D34</f>
        <v>1318105.9906560001</v>
      </c>
      <c r="E35" s="19">
        <f>E33-E34</f>
        <v>1442502.2435241605</v>
      </c>
      <c r="F35" s="19">
        <f>F33-F34</f>
        <v>1500202.3332651269</v>
      </c>
      <c r="G35" s="19">
        <f>G33-G34</f>
        <v>1527263.6753536402</v>
      </c>
    </row>
    <row r="36" spans="2:7" ht="14" customHeight="1" x14ac:dyDescent="0.3">
      <c r="B36" s="4" t="s">
        <v>37</v>
      </c>
      <c r="C36" s="7">
        <f>C35/C33</f>
        <v>0.43999999999999995</v>
      </c>
      <c r="D36" s="7">
        <f>D35/D33</f>
        <v>0.47999999999999993</v>
      </c>
      <c r="E36" s="7">
        <f>E35/E33</f>
        <v>0.51</v>
      </c>
      <c r="F36" s="7">
        <f>F35/F33</f>
        <v>0.52</v>
      </c>
      <c r="G36" s="7">
        <f>G35/G33</f>
        <v>0.51900000000000002</v>
      </c>
    </row>
    <row r="37" spans="2:7" ht="14" customHeight="1" x14ac:dyDescent="0.3">
      <c r="B37" s="4" t="s">
        <v>89</v>
      </c>
      <c r="C37" s="5">
        <f>C33*C32</f>
        <v>621748.10880000005</v>
      </c>
      <c r="D37" s="5">
        <f>D33*D32</f>
        <v>659052.99532800005</v>
      </c>
      <c r="E37" s="5">
        <f>E33*E32</f>
        <v>678824.58518784016</v>
      </c>
      <c r="F37" s="5">
        <f>F33*F32</f>
        <v>692401.07689159701</v>
      </c>
      <c r="G37" s="5">
        <f>G33*G32</f>
        <v>706249.098429429</v>
      </c>
    </row>
    <row r="38" spans="2:7" ht="14" customHeight="1" x14ac:dyDescent="0.3">
      <c r="B38" s="4" t="s">
        <v>90</v>
      </c>
      <c r="C38" s="7">
        <f>(C35-C37)/C33</f>
        <v>0.19999999999999996</v>
      </c>
      <c r="D38" s="7">
        <f>(D35-D37)/D33</f>
        <v>0.23999999999999996</v>
      </c>
      <c r="E38" s="7">
        <f>(E35-E37)/E33</f>
        <v>0.27</v>
      </c>
      <c r="F38" s="7">
        <f>(F35-F37)/F33</f>
        <v>0.28000000000000003</v>
      </c>
      <c r="G38" s="7">
        <f>(G35-G37)/G33</f>
        <v>0.27900000000000003</v>
      </c>
    </row>
    <row r="39" spans="2:7" ht="14" customHeight="1" x14ac:dyDescent="0.3">
      <c r="B39" s="4" t="s">
        <v>91</v>
      </c>
      <c r="C39" s="19">
        <f>C35-C37</f>
        <v>518123.42399999988</v>
      </c>
      <c r="D39" s="19">
        <f>D35-D37</f>
        <v>659052.99532800005</v>
      </c>
      <c r="E39" s="19">
        <f>E35-E37</f>
        <v>763677.65833632031</v>
      </c>
      <c r="F39" s="19">
        <f>F35-F37</f>
        <v>807801.2563735299</v>
      </c>
      <c r="G39" s="19">
        <f>G35-G37</f>
        <v>821014.57692421123</v>
      </c>
    </row>
    <row r="40" spans="2:7" ht="14" customHeight="1" x14ac:dyDescent="0.3">
      <c r="B40" s="4" t="s">
        <v>92</v>
      </c>
      <c r="C40" s="5">
        <f>MAX(0,C39*C6)</f>
        <v>129530.85599999997</v>
      </c>
      <c r="D40" s="5">
        <f>MAX(0,D39*C6)</f>
        <v>164763.24883200001</v>
      </c>
      <c r="E40" s="5">
        <f>MAX(0,E39*C6)</f>
        <v>190919.41458408008</v>
      </c>
      <c r="F40" s="5">
        <f>MAX(0,F39*C6)</f>
        <v>201950.31409338248</v>
      </c>
      <c r="G40" s="5">
        <f>MAX(0,G39*C6)</f>
        <v>205253.64423105281</v>
      </c>
    </row>
    <row r="41" spans="2:7" ht="14" customHeight="1" x14ac:dyDescent="0.3">
      <c r="B41" s="4" t="s">
        <v>93</v>
      </c>
      <c r="C41" s="19">
        <f>C39-C40</f>
        <v>388592.56799999991</v>
      </c>
      <c r="D41" s="19">
        <f>D39-D40</f>
        <v>494289.74649600004</v>
      </c>
      <c r="E41" s="19">
        <f>E39-E40</f>
        <v>572758.2437522402</v>
      </c>
      <c r="F41" s="19">
        <f>F39-F40</f>
        <v>605850.94228014746</v>
      </c>
      <c r="G41" s="19">
        <f>G39-G40</f>
        <v>615760.93269315839</v>
      </c>
    </row>
    <row r="42" spans="2:7" ht="14" customHeight="1" x14ac:dyDescent="0.3">
      <c r="B42" s="4" t="s">
        <v>94</v>
      </c>
      <c r="C42" s="5">
        <f>C33*C18</f>
        <v>23315.554079999998</v>
      </c>
      <c r="D42" s="5">
        <f>D33*C18</f>
        <v>24714.487324800004</v>
      </c>
      <c r="E42" s="5">
        <f>E33*C18</f>
        <v>25455.921944544003</v>
      </c>
      <c r="F42" s="5">
        <f>F33*C18</f>
        <v>25965.040383434887</v>
      </c>
      <c r="G42" s="5">
        <f>G33*C18</f>
        <v>26484.341191103584</v>
      </c>
    </row>
    <row r="43" spans="2:7" ht="14" customHeight="1" x14ac:dyDescent="0.3">
      <c r="B43" s="4" t="s">
        <v>95</v>
      </c>
      <c r="C43" s="5">
        <f>C33*C5</f>
        <v>24610.862639999999</v>
      </c>
      <c r="D43" s="5">
        <f>D33*C5</f>
        <v>26087.514398400002</v>
      </c>
      <c r="E43" s="5">
        <f>E33*C5</f>
        <v>26870.139830352007</v>
      </c>
      <c r="F43" s="5">
        <f>F33*C5</f>
        <v>27407.54262695905</v>
      </c>
      <c r="G43" s="5">
        <f>G33*C5</f>
        <v>27955.69347949823</v>
      </c>
    </row>
    <row r="44" spans="2:7" ht="14" customHeight="1" x14ac:dyDescent="0.3">
      <c r="B44" s="4" t="s">
        <v>96</v>
      </c>
      <c r="C44" s="5">
        <f>'NWC Schedule'!D19</f>
        <v>-28758.969911232882</v>
      </c>
      <c r="D44" s="5">
        <f>'NWC Schedule'!E19</f>
        <v>5184.0732724603731</v>
      </c>
      <c r="E44" s="5">
        <f>'NWC Schedule'!F19</f>
        <v>-2746.8064908019733</v>
      </c>
      <c r="F44" s="5">
        <f>'NWC Schedule'!G19</f>
        <v>3201.9442762514227</v>
      </c>
      <c r="G44" s="5">
        <f>'NWC Schedule'!H19</f>
        <v>9101.9125123714912</v>
      </c>
    </row>
    <row r="45" spans="2:7" ht="14" customHeight="1" x14ac:dyDescent="0.3">
      <c r="B45" s="4" t="s">
        <v>97</v>
      </c>
      <c r="C45" s="20">
        <f>C41+C42-C43-C44</f>
        <v>416056.22935123276</v>
      </c>
      <c r="D45" s="20">
        <f>D41+D42-D43-D44</f>
        <v>487732.64614993962</v>
      </c>
      <c r="E45" s="20">
        <f>E41+E42-E43-E44</f>
        <v>574090.83235723409</v>
      </c>
      <c r="F45" s="20">
        <f>F41+F42-F43-F44</f>
        <v>601206.49576037191</v>
      </c>
      <c r="G45" s="20">
        <f>G41+G42-G43-G44</f>
        <v>605187.66789239226</v>
      </c>
    </row>
    <row r="46" spans="2:7" ht="14" customHeight="1" x14ac:dyDescent="0.3">
      <c r="B46" s="4" t="s">
        <v>98</v>
      </c>
      <c r="C46" s="21">
        <f>1/(1+C26)^(C19+0)</f>
        <v>0.90522313750339456</v>
      </c>
      <c r="D46" s="21">
        <f>1/(1+C26)^(C19+1)</f>
        <v>0.81942892867148953</v>
      </c>
      <c r="E46" s="21">
        <f>1/(1+C26)^(C19+2)</f>
        <v>0.74176602577305117</v>
      </c>
      <c r="F46" s="21">
        <f>1/(1+C26)^(C19+3)</f>
        <v>0.67146376914370509</v>
      </c>
      <c r="G46" s="21">
        <f>1/(1+C26)^(C19+4)</f>
        <v>0.60782453982411977</v>
      </c>
    </row>
    <row r="47" spans="2:7" ht="14" customHeight="1" x14ac:dyDescent="0.3">
      <c r="B47" s="4" t="s">
        <v>99</v>
      </c>
      <c r="C47" s="19">
        <f>C45*C46</f>
        <v>376623.72531115485</v>
      </c>
      <c r="D47" s="19">
        <f>D45*D46</f>
        <v>399662.23971275572</v>
      </c>
      <c r="E47" s="19">
        <f>E45*E46</f>
        <v>425841.0751503685</v>
      </c>
      <c r="F47" s="19">
        <f>F45*F46</f>
        <v>403688.37967693829</v>
      </c>
      <c r="G47" s="19">
        <f>G45*G46</f>
        <v>367847.91574392555</v>
      </c>
    </row>
    <row r="49" spans="2:7" ht="14" customHeight="1" x14ac:dyDescent="0.3">
      <c r="B49" s="22" t="s">
        <v>100</v>
      </c>
      <c r="C49" s="23"/>
      <c r="D49" s="23"/>
      <c r="E49" s="23"/>
      <c r="F49" s="23"/>
      <c r="G49" s="23"/>
    </row>
    <row r="50" spans="2:7" ht="14" customHeight="1" x14ac:dyDescent="0.3">
      <c r="B50" s="4" t="s">
        <v>101</v>
      </c>
      <c r="C50" s="5">
        <f>SUM(C47:G47)</f>
        <v>1973663.335595143</v>
      </c>
    </row>
    <row r="51" spans="2:7" ht="14" customHeight="1" x14ac:dyDescent="0.3">
      <c r="B51" s="4" t="s">
        <v>102</v>
      </c>
      <c r="C51" s="5">
        <f>G45*(1+C13)/(C26-C13)</f>
        <v>6454483.0472155884</v>
      </c>
    </row>
    <row r="52" spans="2:7" ht="14" customHeight="1" x14ac:dyDescent="0.3">
      <c r="B52" s="4" t="s">
        <v>103</v>
      </c>
      <c r="C52" s="5">
        <f>C51*G46</f>
        <v>3923193.1879763971</v>
      </c>
    </row>
    <row r="53" spans="2:7" ht="14" customHeight="1" x14ac:dyDescent="0.3">
      <c r="B53" s="4" t="s">
        <v>104</v>
      </c>
      <c r="C53" s="5">
        <f>C50+C52</f>
        <v>5896856.5235715397</v>
      </c>
    </row>
    <row r="54" spans="2:7" ht="14" customHeight="1" x14ac:dyDescent="0.3">
      <c r="B54" s="4" t="s">
        <v>105</v>
      </c>
      <c r="C54" s="5">
        <f>C53-C16</f>
        <v>7688658.5235715397</v>
      </c>
    </row>
    <row r="55" spans="2:7" ht="14" customHeight="1" x14ac:dyDescent="0.3">
      <c r="B55" s="4" t="s">
        <v>106</v>
      </c>
      <c r="C55" s="24">
        <f>ROUND(C54*1000000/C15,0)</f>
        <v>6669</v>
      </c>
    </row>
    <row r="57" spans="2:7" ht="14" customHeight="1" x14ac:dyDescent="0.3">
      <c r="B57" s="22" t="s">
        <v>107</v>
      </c>
      <c r="C57" s="23"/>
      <c r="D57" s="23"/>
      <c r="E57" s="23"/>
      <c r="F57" s="23"/>
      <c r="G57" s="23"/>
    </row>
    <row r="58" spans="2:7" ht="14" customHeight="1" x14ac:dyDescent="0.3">
      <c r="B58" s="4" t="s">
        <v>101</v>
      </c>
      <c r="C58" s="5">
        <f>C50</f>
        <v>1973663.335595143</v>
      </c>
    </row>
    <row r="59" spans="2:7" ht="14" customHeight="1" x14ac:dyDescent="0.3">
      <c r="B59" s="4" t="s">
        <v>108</v>
      </c>
      <c r="C59" s="5">
        <f>G39+G42</f>
        <v>847498.91811531479</v>
      </c>
    </row>
    <row r="60" spans="2:7" ht="14" customHeight="1" x14ac:dyDescent="0.3">
      <c r="B60" s="4" t="s">
        <v>109</v>
      </c>
      <c r="C60" s="5">
        <f>C59*C14</f>
        <v>11186985.719122155</v>
      </c>
    </row>
    <row r="61" spans="2:7" ht="14" customHeight="1" x14ac:dyDescent="0.3">
      <c r="B61" s="4" t="s">
        <v>103</v>
      </c>
      <c r="C61" s="5">
        <f>C60*G46</f>
        <v>6799724.4467444234</v>
      </c>
    </row>
    <row r="62" spans="2:7" ht="14" customHeight="1" x14ac:dyDescent="0.3">
      <c r="B62" s="4" t="s">
        <v>104</v>
      </c>
      <c r="C62" s="5">
        <f>C58+C61</f>
        <v>8773387.7823395655</v>
      </c>
    </row>
    <row r="63" spans="2:7" ht="14" customHeight="1" x14ac:dyDescent="0.3">
      <c r="B63" s="4" t="s">
        <v>105</v>
      </c>
      <c r="C63" s="5">
        <f>C62-C16</f>
        <v>10565189.782339565</v>
      </c>
    </row>
    <row r="64" spans="2:7" ht="14" customHeight="1" x14ac:dyDescent="0.3">
      <c r="B64" s="4" t="s">
        <v>110</v>
      </c>
      <c r="C64" s="24">
        <f>ROUND(C63*1000000/C15,0)</f>
        <v>9164</v>
      </c>
    </row>
    <row r="66" spans="2:7" ht="14" customHeight="1" x14ac:dyDescent="0.3">
      <c r="B66" s="22" t="s">
        <v>111</v>
      </c>
      <c r="C66" s="23"/>
      <c r="D66" s="23"/>
      <c r="E66" s="23"/>
      <c r="F66" s="23"/>
      <c r="G66" s="23"/>
    </row>
    <row r="67" spans="2:7" ht="14" customHeight="1" x14ac:dyDescent="0.3">
      <c r="C67" s="25" t="s">
        <v>112</v>
      </c>
      <c r="D67" s="25" t="s">
        <v>113</v>
      </c>
      <c r="E67" s="25" t="s">
        <v>114</v>
      </c>
      <c r="F67" s="25" t="s">
        <v>115</v>
      </c>
      <c r="G67" s="25" t="s">
        <v>116</v>
      </c>
    </row>
    <row r="68" spans="2:7" ht="14" customHeight="1" x14ac:dyDescent="0.3">
      <c r="B68" s="3" t="s">
        <v>43</v>
      </c>
    </row>
    <row r="69" spans="2:7" ht="14" customHeight="1" x14ac:dyDescent="0.3">
      <c r="B69" s="4" t="s">
        <v>80</v>
      </c>
      <c r="C69" s="26">
        <v>0.12</v>
      </c>
      <c r="D69" s="26">
        <v>0.06</v>
      </c>
      <c r="E69" s="26">
        <v>0.03</v>
      </c>
      <c r="F69" s="26">
        <v>0.02</v>
      </c>
      <c r="G69" s="26">
        <v>0.02</v>
      </c>
    </row>
    <row r="70" spans="2:7" ht="14" customHeight="1" x14ac:dyDescent="0.3">
      <c r="B70" s="4" t="s">
        <v>117</v>
      </c>
      <c r="C70" s="26">
        <v>0.16</v>
      </c>
      <c r="D70" s="26">
        <v>0.09</v>
      </c>
      <c r="E70" s="26">
        <v>0.05</v>
      </c>
      <c r="F70" s="26">
        <v>0.03</v>
      </c>
      <c r="G70" s="26">
        <v>0.03</v>
      </c>
    </row>
    <row r="71" spans="2:7" ht="14" customHeight="1" x14ac:dyDescent="0.3">
      <c r="B71" s="4" t="s">
        <v>118</v>
      </c>
      <c r="C71" s="26">
        <v>0.12</v>
      </c>
      <c r="D71" s="26">
        <v>0.06</v>
      </c>
      <c r="E71" s="26">
        <v>0.03</v>
      </c>
      <c r="F71" s="26">
        <v>0.02</v>
      </c>
      <c r="G71" s="26">
        <v>0.02</v>
      </c>
    </row>
    <row r="72" spans="2:7" ht="14" customHeight="1" x14ac:dyDescent="0.3">
      <c r="B72" s="4" t="s">
        <v>119</v>
      </c>
      <c r="C72" s="26">
        <v>0.05</v>
      </c>
      <c r="D72" s="26">
        <v>0.02</v>
      </c>
      <c r="E72" s="26">
        <v>0</v>
      </c>
      <c r="F72" s="26">
        <v>0</v>
      </c>
      <c r="G72" s="26">
        <v>0</v>
      </c>
    </row>
    <row r="73" spans="2:7" ht="14" customHeight="1" x14ac:dyDescent="0.3">
      <c r="B73" s="4" t="s">
        <v>120</v>
      </c>
      <c r="C73" s="26">
        <v>-0.15</v>
      </c>
      <c r="D73" s="26">
        <v>-0.05</v>
      </c>
      <c r="E73" s="26">
        <v>0</v>
      </c>
      <c r="F73" s="26">
        <v>0.01</v>
      </c>
      <c r="G73" s="26">
        <v>0.02</v>
      </c>
    </row>
    <row r="75" spans="2:7" ht="14" customHeight="1" x14ac:dyDescent="0.3">
      <c r="B75" s="3" t="s">
        <v>87</v>
      </c>
    </row>
    <row r="76" spans="2:7" ht="14" customHeight="1" x14ac:dyDescent="0.3">
      <c r="B76" s="4" t="s">
        <v>80</v>
      </c>
      <c r="C76" s="26">
        <v>0.56000000000000005</v>
      </c>
      <c r="D76" s="26">
        <v>0.52</v>
      </c>
      <c r="E76" s="26">
        <v>0.49</v>
      </c>
      <c r="F76" s="26">
        <v>0.48</v>
      </c>
      <c r="G76" s="26">
        <v>0.48099999999999998</v>
      </c>
    </row>
    <row r="77" spans="2:7" ht="14" customHeight="1" x14ac:dyDescent="0.3">
      <c r="B77" s="4" t="s">
        <v>117</v>
      </c>
      <c r="C77" s="26">
        <v>0.54500000000000004</v>
      </c>
      <c r="D77" s="26">
        <v>0.495</v>
      </c>
      <c r="E77" s="26">
        <v>0.46500000000000002</v>
      </c>
      <c r="F77" s="26">
        <v>0.45</v>
      </c>
      <c r="G77" s="26">
        <v>0.45</v>
      </c>
    </row>
    <row r="78" spans="2:7" ht="14" customHeight="1" x14ac:dyDescent="0.3">
      <c r="B78" s="4" t="s">
        <v>118</v>
      </c>
      <c r="C78" s="26">
        <v>0.56000000000000005</v>
      </c>
      <c r="D78" s="26">
        <v>0.52</v>
      </c>
      <c r="E78" s="26">
        <v>0.49</v>
      </c>
      <c r="F78" s="26">
        <v>0.48</v>
      </c>
      <c r="G78" s="26">
        <v>0.48099999999999998</v>
      </c>
    </row>
    <row r="79" spans="2:7" ht="14" customHeight="1" x14ac:dyDescent="0.3">
      <c r="B79" s="4" t="s">
        <v>119</v>
      </c>
      <c r="C79" s="26">
        <v>0.57999999999999996</v>
      </c>
      <c r="D79" s="26">
        <v>0.56000000000000005</v>
      </c>
      <c r="E79" s="26">
        <v>0.54</v>
      </c>
      <c r="F79" s="26">
        <v>0.53</v>
      </c>
      <c r="G79" s="26">
        <v>0.52900000000000003</v>
      </c>
    </row>
    <row r="80" spans="2:7" ht="14" customHeight="1" x14ac:dyDescent="0.3">
      <c r="B80" s="4" t="s">
        <v>120</v>
      </c>
      <c r="C80" s="26">
        <v>0.64</v>
      </c>
      <c r="D80" s="26">
        <v>0.65</v>
      </c>
      <c r="E80" s="26">
        <v>0.64</v>
      </c>
      <c r="F80" s="26">
        <v>0.63</v>
      </c>
      <c r="G80" s="26">
        <v>0.62</v>
      </c>
    </row>
    <row r="82" spans="2:7" ht="14" customHeight="1" x14ac:dyDescent="0.3">
      <c r="B82" s="3" t="s">
        <v>88</v>
      </c>
    </row>
    <row r="83" spans="2:7" ht="14" customHeight="1" x14ac:dyDescent="0.3">
      <c r="B83" s="4" t="s">
        <v>80</v>
      </c>
      <c r="C83" s="26">
        <v>0.24</v>
      </c>
      <c r="D83" s="26">
        <v>0.24</v>
      </c>
      <c r="E83" s="26">
        <v>0.24</v>
      </c>
      <c r="F83" s="26">
        <v>0.24</v>
      </c>
      <c r="G83" s="26">
        <v>0.24</v>
      </c>
    </row>
    <row r="84" spans="2:7" ht="14" customHeight="1" x14ac:dyDescent="0.3">
      <c r="B84" s="4" t="s">
        <v>117</v>
      </c>
      <c r="C84" s="26">
        <v>0.23499999999999999</v>
      </c>
      <c r="D84" s="26">
        <v>0.23499999999999999</v>
      </c>
      <c r="E84" s="26">
        <v>0.23499999999999999</v>
      </c>
      <c r="F84" s="26">
        <v>0.23499999999999999</v>
      </c>
      <c r="G84" s="26">
        <v>0.23499999999999999</v>
      </c>
    </row>
    <row r="85" spans="2:7" ht="14" customHeight="1" x14ac:dyDescent="0.3">
      <c r="B85" s="4" t="s">
        <v>118</v>
      </c>
      <c r="C85" s="26">
        <v>0.24</v>
      </c>
      <c r="D85" s="26">
        <v>0.24</v>
      </c>
      <c r="E85" s="26">
        <v>0.24</v>
      </c>
      <c r="F85" s="26">
        <v>0.24</v>
      </c>
      <c r="G85" s="26">
        <v>0.24</v>
      </c>
    </row>
    <row r="86" spans="2:7" ht="14" customHeight="1" x14ac:dyDescent="0.3">
      <c r="B86" s="4" t="s">
        <v>119</v>
      </c>
      <c r="C86" s="26">
        <v>0.25</v>
      </c>
      <c r="D86" s="26">
        <v>0.25</v>
      </c>
      <c r="E86" s="26">
        <v>0.25</v>
      </c>
      <c r="F86" s="26">
        <v>0.25</v>
      </c>
      <c r="G86" s="26">
        <v>0.25</v>
      </c>
    </row>
    <row r="87" spans="2:7" ht="14" customHeight="1" x14ac:dyDescent="0.3">
      <c r="B87" s="4" t="s">
        <v>120</v>
      </c>
      <c r="C87" s="26">
        <v>0.27</v>
      </c>
      <c r="D87" s="26">
        <v>0.27</v>
      </c>
      <c r="E87" s="26">
        <v>0.27</v>
      </c>
      <c r="F87" s="26">
        <v>0.27</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121</v>
      </c>
    </row>
    <row r="3" spans="2:9" ht="14" customHeight="1" x14ac:dyDescent="0.3">
      <c r="B3" s="1" t="s">
        <v>122</v>
      </c>
    </row>
    <row r="5" spans="2:9" ht="14" customHeight="1" x14ac:dyDescent="0.3">
      <c r="B5" s="8" t="s">
        <v>123</v>
      </c>
      <c r="C5" s="9"/>
      <c r="D5" s="9"/>
      <c r="E5" s="9"/>
      <c r="F5" s="9"/>
      <c r="G5" s="9"/>
      <c r="H5" s="9"/>
      <c r="I5" s="9"/>
    </row>
    <row r="6" spans="2:9" ht="14" customHeight="1" x14ac:dyDescent="0.3">
      <c r="B6" s="4" t="s">
        <v>124</v>
      </c>
      <c r="C6" s="15">
        <f>'Executive Summary'!C9</f>
        <v>8839</v>
      </c>
    </row>
    <row r="7" spans="2:9" ht="14" customHeight="1" x14ac:dyDescent="0.3">
      <c r="B7" s="4" t="s">
        <v>68</v>
      </c>
      <c r="C7" s="15">
        <f>'DCF Model'!C15</f>
        <v>1152873205</v>
      </c>
    </row>
    <row r="8" spans="2:9" ht="14" customHeight="1" x14ac:dyDescent="0.3">
      <c r="B8" s="4" t="s">
        <v>125</v>
      </c>
      <c r="C8" s="5">
        <f>C6*C7/1000000</f>
        <v>10190246.258995</v>
      </c>
    </row>
    <row r="9" spans="2:9" ht="14" customHeight="1" x14ac:dyDescent="0.3">
      <c r="B9" s="4" t="s">
        <v>69</v>
      </c>
      <c r="C9" s="5">
        <f>'DCF Model'!C16</f>
        <v>-1791802</v>
      </c>
    </row>
    <row r="10" spans="2:9" ht="14" customHeight="1" x14ac:dyDescent="0.3">
      <c r="B10" s="4" t="s">
        <v>126</v>
      </c>
      <c r="C10" s="5">
        <f>C8+C9</f>
        <v>8398444.2589950003</v>
      </c>
    </row>
    <row r="11" spans="2:9" ht="14" customHeight="1" x14ac:dyDescent="0.3">
      <c r="B11" s="4" t="s">
        <v>127</v>
      </c>
      <c r="C11" s="16">
        <f>'DCF Model'!C26</f>
        <v>0.1047</v>
      </c>
    </row>
    <row r="12" spans="2:9" ht="14" customHeight="1" x14ac:dyDescent="0.3">
      <c r="B12" s="4" t="s">
        <v>128</v>
      </c>
      <c r="C12" s="16">
        <f>'DCF Model'!C13</f>
        <v>0.01</v>
      </c>
    </row>
    <row r="13" spans="2:9" ht="14" customHeight="1" x14ac:dyDescent="0.3">
      <c r="B13" s="4" t="s">
        <v>129</v>
      </c>
      <c r="C13" s="16">
        <f>'DCF Model'!C6</f>
        <v>0.25</v>
      </c>
    </row>
    <row r="14" spans="2:9" ht="14" customHeight="1" x14ac:dyDescent="0.3">
      <c r="B14" s="4" t="s">
        <v>130</v>
      </c>
      <c r="C14" s="27">
        <v>360117</v>
      </c>
    </row>
    <row r="15" spans="2:9" ht="14" customHeight="1" x14ac:dyDescent="0.3">
      <c r="B15" s="4" t="s">
        <v>131</v>
      </c>
      <c r="C15" s="27">
        <v>640634</v>
      </c>
    </row>
    <row r="16" spans="2:9" ht="14" customHeight="1" x14ac:dyDescent="0.3">
      <c r="B16" s="4" t="s">
        <v>132</v>
      </c>
      <c r="C16" s="5">
        <f>'DCF Model'!G33</f>
        <v>2942704.5767892874</v>
      </c>
    </row>
    <row r="17" spans="2:9" ht="14" customHeight="1" x14ac:dyDescent="0.3">
      <c r="B17" s="4" t="s">
        <v>133</v>
      </c>
      <c r="C17" s="5">
        <f>'DCF Model'!C53</f>
        <v>5896856.5235715397</v>
      </c>
    </row>
    <row r="18" spans="2:9" ht="14" customHeight="1" x14ac:dyDescent="0.3">
      <c r="B18" s="4" t="s">
        <v>134</v>
      </c>
      <c r="C18" s="26">
        <v>0.36422216031519522</v>
      </c>
    </row>
    <row r="19" spans="2:9" ht="14" customHeight="1" x14ac:dyDescent="0.3">
      <c r="B19" s="4" t="s">
        <v>135</v>
      </c>
      <c r="C19" s="5">
        <f>C10-C17</f>
        <v>2501587.7354234606</v>
      </c>
    </row>
    <row r="20" spans="2:9" ht="14" customHeight="1" x14ac:dyDescent="0.3">
      <c r="B20" s="4" t="s">
        <v>136</v>
      </c>
      <c r="C20" s="15">
        <f>IFERROR(ROUND(C19*1000000/C7,0),"N/A")</f>
        <v>2170</v>
      </c>
    </row>
    <row r="22" spans="2:9" ht="14" customHeight="1" x14ac:dyDescent="0.3">
      <c r="B22" s="8" t="s">
        <v>137</v>
      </c>
      <c r="C22" s="9"/>
      <c r="D22" s="9"/>
      <c r="E22" s="9"/>
      <c r="F22" s="9"/>
      <c r="G22" s="9"/>
      <c r="H22" s="9"/>
      <c r="I22" s="9"/>
    </row>
    <row r="23" spans="2:9" ht="14" customHeight="1" x14ac:dyDescent="0.3">
      <c r="B23" s="1" t="s">
        <v>138</v>
      </c>
    </row>
    <row r="24" spans="2:9" ht="14" customHeight="1" x14ac:dyDescent="0.3">
      <c r="B24" s="4" t="s">
        <v>139</v>
      </c>
      <c r="C24" s="5">
        <f>C10*(C11-C12)</f>
        <v>795332.67132682656</v>
      </c>
    </row>
    <row r="25" spans="2:9" ht="14" customHeight="1" x14ac:dyDescent="0.3">
      <c r="B25" s="4" t="s">
        <v>140</v>
      </c>
      <c r="C25" s="5">
        <f>IFERROR(C24/(1-C13),"N/A")</f>
        <v>1060443.561769102</v>
      </c>
    </row>
    <row r="26" spans="2:9" ht="13.5" customHeight="1" x14ac:dyDescent="0.25">
      <c r="B26" s="6" t="s">
        <v>141</v>
      </c>
      <c r="C26" s="14">
        <f>IFERROR(C25/C15,"N/A")</f>
        <v>1.655303280452024</v>
      </c>
    </row>
    <row r="27" spans="2:9" ht="13.5" customHeight="1" x14ac:dyDescent="0.25">
      <c r="B27" s="6" t="s">
        <v>142</v>
      </c>
      <c r="C27" s="14">
        <f>IFERROR(C25/C14,"N/A")</f>
        <v>2.9447195266235751</v>
      </c>
    </row>
    <row r="28" spans="2:9" ht="13.5" customHeight="1" x14ac:dyDescent="0.25">
      <c r="B28" s="6" t="s">
        <v>143</v>
      </c>
      <c r="C28" s="7">
        <f>IFERROR(C25/C16,"N/A")</f>
        <v>0.3603635819012882</v>
      </c>
    </row>
    <row r="29" spans="2:9" ht="13.5" customHeight="1" x14ac:dyDescent="0.25">
      <c r="B29" s="6" t="s">
        <v>144</v>
      </c>
      <c r="C29" s="5">
        <f>IFERROR(C25/C18,"N/A")</f>
        <v>2911529.4930198696</v>
      </c>
    </row>
    <row r="32" spans="2:9" ht="14" customHeight="1" x14ac:dyDescent="0.3">
      <c r="B32" s="8" t="s">
        <v>145</v>
      </c>
      <c r="C32" s="9"/>
      <c r="D32" s="9"/>
      <c r="E32" s="9"/>
      <c r="F32" s="9"/>
      <c r="G32" s="9"/>
      <c r="H32" s="9"/>
      <c r="I32" s="9"/>
    </row>
    <row r="33" spans="2:9" ht="14" customHeight="1" x14ac:dyDescent="0.3">
      <c r="B33" s="1" t="s">
        <v>146</v>
      </c>
    </row>
    <row r="34" spans="2:9" ht="14" customHeight="1" x14ac:dyDescent="0.3">
      <c r="B34" s="1" t="s">
        <v>147</v>
      </c>
    </row>
    <row r="36" spans="2:9" ht="14" customHeight="1" x14ac:dyDescent="0.3">
      <c r="B36" s="28" t="s">
        <v>148</v>
      </c>
      <c r="C36" s="28" t="s">
        <v>149</v>
      </c>
      <c r="D36" s="29">
        <f>'DCF Model'!C26-0.02</f>
        <v>8.4699999999999998E-2</v>
      </c>
      <c r="E36" s="29">
        <f>'DCF Model'!C26-0.01</f>
        <v>9.4700000000000006E-2</v>
      </c>
      <c r="F36" s="29">
        <f>'DCF Model'!C26</f>
        <v>0.1047</v>
      </c>
      <c r="G36" s="29">
        <f>'DCF Model'!C26+0.01</f>
        <v>0.1147</v>
      </c>
      <c r="H36" s="29">
        <f>'DCF Model'!C26+0.02</f>
        <v>0.12470000000000001</v>
      </c>
    </row>
    <row r="37" spans="2:9" ht="14" customHeight="1" x14ac:dyDescent="0.3">
      <c r="B37" s="3" t="s">
        <v>150</v>
      </c>
    </row>
    <row r="38" spans="2:9" ht="14" customHeight="1" x14ac:dyDescent="0.3">
      <c r="B38" s="4" t="s">
        <v>151</v>
      </c>
      <c r="C38" s="30">
        <v>3</v>
      </c>
      <c r="D38" s="13">
        <f t="shared" ref="D38:H41" si="0">IFERROR((1-(1+D$36)^(-$C38))/D$36-(1+D$36)/(D$36^2*$C38)*(1-($C38+1)/(1+D$36)^$C38+$C38/(1+D$36)^($C38+1)),"N/A")</f>
        <v>0.89791767101267017</v>
      </c>
      <c r="E38" s="13">
        <f t="shared" si="0"/>
        <v>0.88715090313639156</v>
      </c>
      <c r="F38" s="13">
        <f t="shared" si="0"/>
        <v>0.8766250678927674</v>
      </c>
      <c r="G38" s="13">
        <f t="shared" si="0"/>
        <v>0.8663324539873869</v>
      </c>
      <c r="H38" s="13">
        <f t="shared" si="0"/>
        <v>0.85626566763067169</v>
      </c>
    </row>
    <row r="39" spans="2:9" ht="14" customHeight="1" x14ac:dyDescent="0.3">
      <c r="B39" s="4" t="s">
        <v>152</v>
      </c>
      <c r="C39" s="30">
        <v>5</v>
      </c>
      <c r="D39" s="13">
        <f t="shared" si="0"/>
        <v>1.7053839785028742</v>
      </c>
      <c r="E39" s="13">
        <f t="shared" si="0"/>
        <v>1.6756542156273726</v>
      </c>
      <c r="F39" s="13">
        <f t="shared" si="0"/>
        <v>1.6468350313435702</v>
      </c>
      <c r="G39" s="13">
        <f t="shared" si="0"/>
        <v>1.6188882647482199</v>
      </c>
      <c r="H39" s="13">
        <f t="shared" si="0"/>
        <v>1.591777744036055</v>
      </c>
    </row>
    <row r="40" spans="2:9" ht="14" customHeight="1" x14ac:dyDescent="0.3">
      <c r="B40" s="4" t="s">
        <v>153</v>
      </c>
      <c r="C40" s="30">
        <v>7</v>
      </c>
      <c r="D40" s="13">
        <f t="shared" si="0"/>
        <v>2.4326219733811332</v>
      </c>
      <c r="E40" s="13">
        <f t="shared" si="0"/>
        <v>2.3778135383305101</v>
      </c>
      <c r="F40" s="13">
        <f t="shared" si="0"/>
        <v>2.3251149707915095</v>
      </c>
      <c r="G40" s="13">
        <f t="shared" si="0"/>
        <v>2.2744177429264396</v>
      </c>
      <c r="H40" s="13">
        <f t="shared" si="0"/>
        <v>2.2256201338324573</v>
      </c>
    </row>
    <row r="41" spans="2:9" ht="14" customHeight="1" x14ac:dyDescent="0.3">
      <c r="B41" s="4" t="s">
        <v>154</v>
      </c>
      <c r="C41" s="30">
        <v>10</v>
      </c>
      <c r="D41" s="13">
        <f t="shared" si="0"/>
        <v>3.392423269542153</v>
      </c>
      <c r="E41" s="13">
        <f t="shared" si="0"/>
        <v>3.2921058635017864</v>
      </c>
      <c r="F41" s="13">
        <f t="shared" si="0"/>
        <v>3.1967640886759918</v>
      </c>
      <c r="G41" s="13">
        <f t="shared" si="0"/>
        <v>3.1060742842930376</v>
      </c>
      <c r="H41" s="13">
        <f t="shared" si="0"/>
        <v>3.0197380234086331</v>
      </c>
    </row>
    <row r="42" spans="2:9" ht="14" customHeight="1" x14ac:dyDescent="0.3">
      <c r="B42" s="3" t="s">
        <v>155</v>
      </c>
    </row>
    <row r="43" spans="2:9" ht="14" customHeight="1" x14ac:dyDescent="0.3">
      <c r="B43" s="4" t="s">
        <v>151</v>
      </c>
      <c r="C43" s="30">
        <v>3</v>
      </c>
      <c r="D43" s="13">
        <f t="shared" ref="D43:H46" si="1">IFERROR((1+D$36)/(D$36^2*$C43)*(1-($C43+1)/(1+D$36)^$C43+$C43/(1+D$36)^($C43+1))+(1+$C$12)/((D$36-$C$12)*(1+D$36)^$C43),"N/A")</f>
        <v>12.251769193807187</v>
      </c>
      <c r="E43" s="13">
        <f t="shared" si="1"/>
        <v>10.712853768833034</v>
      </c>
      <c r="F43" s="13">
        <f t="shared" si="1"/>
        <v>9.5009195924900336</v>
      </c>
      <c r="G43" s="13">
        <f t="shared" si="1"/>
        <v>8.5222162563676331</v>
      </c>
      <c r="H43" s="13">
        <f t="shared" si="1"/>
        <v>7.7156897801688586</v>
      </c>
    </row>
    <row r="44" spans="2:9" ht="14" customHeight="1" x14ac:dyDescent="0.3">
      <c r="B44" s="4" t="s">
        <v>152</v>
      </c>
      <c r="C44" s="30">
        <v>5</v>
      </c>
      <c r="D44" s="13">
        <f t="shared" si="1"/>
        <v>11.242705728979853</v>
      </c>
      <c r="E44" s="13">
        <f t="shared" si="1"/>
        <v>9.7521406215744619</v>
      </c>
      <c r="F44" s="13">
        <f t="shared" si="1"/>
        <v>8.5814773381293286</v>
      </c>
      <c r="G44" s="13">
        <f t="shared" si="1"/>
        <v>7.6388416702883717</v>
      </c>
      <c r="H44" s="13">
        <f t="shared" si="1"/>
        <v>6.8644099999400972</v>
      </c>
    </row>
    <row r="45" spans="2:9" ht="14" customHeight="1" x14ac:dyDescent="0.3">
      <c r="B45" s="4" t="s">
        <v>153</v>
      </c>
      <c r="C45" s="30">
        <v>7</v>
      </c>
      <c r="D45" s="13">
        <f t="shared" si="1"/>
        <v>10.344125224479335</v>
      </c>
      <c r="E45" s="13">
        <f t="shared" si="1"/>
        <v>8.9062776770838088</v>
      </c>
      <c r="F45" s="13">
        <f t="shared" si="1"/>
        <v>7.7809121424178977</v>
      </c>
      <c r="G45" s="13">
        <f t="shared" si="1"/>
        <v>6.8780302041409556</v>
      </c>
      <c r="H45" s="13">
        <f t="shared" si="1"/>
        <v>6.1390480278782977</v>
      </c>
    </row>
    <row r="46" spans="2:9" ht="14" customHeight="1" x14ac:dyDescent="0.3">
      <c r="B46" s="4" t="s">
        <v>154</v>
      </c>
      <c r="C46" s="30">
        <v>10</v>
      </c>
      <c r="D46" s="13">
        <f t="shared" si="1"/>
        <v>9.1742946031890646</v>
      </c>
      <c r="E46" s="13">
        <f t="shared" si="1"/>
        <v>7.8197742135626989</v>
      </c>
      <c r="F46" s="13">
        <f t="shared" si="1"/>
        <v>6.7659615713919861</v>
      </c>
      <c r="G46" s="13">
        <f t="shared" si="1"/>
        <v>5.9256990876347668</v>
      </c>
      <c r="H46" s="13">
        <f t="shared" si="1"/>
        <v>5.2423032420831337</v>
      </c>
    </row>
    <row r="47" spans="2:9" ht="14" customHeight="1" x14ac:dyDescent="0.3">
      <c r="B47" s="22" t="s">
        <v>156</v>
      </c>
      <c r="C47" s="23"/>
      <c r="D47" s="23"/>
      <c r="E47" s="23"/>
      <c r="F47" s="23"/>
      <c r="G47" s="23"/>
      <c r="H47" s="23"/>
      <c r="I47" s="23"/>
    </row>
    <row r="48" spans="2:9" ht="14" customHeight="1" x14ac:dyDescent="0.3">
      <c r="B48" s="4" t="s">
        <v>151</v>
      </c>
      <c r="C48" s="30">
        <v>3</v>
      </c>
      <c r="D48" s="5">
        <f t="shared" ref="D48:H51" si="2">IFERROR(($C$10/(1-$C$13)-$C$14*D38)/D43,"N/A")</f>
        <v>887591.83173517673</v>
      </c>
      <c r="E48" s="5">
        <f t="shared" si="2"/>
        <v>1015457.4860831165</v>
      </c>
      <c r="F48" s="5">
        <f t="shared" si="2"/>
        <v>1145387.873578836</v>
      </c>
      <c r="G48" s="5">
        <f t="shared" si="2"/>
        <v>1277360.7600245606</v>
      </c>
      <c r="H48" s="5">
        <f t="shared" si="2"/>
        <v>1411354.0286726672</v>
      </c>
    </row>
    <row r="49" spans="2:9" ht="14" customHeight="1" x14ac:dyDescent="0.3">
      <c r="B49" s="4" t="s">
        <v>152</v>
      </c>
      <c r="C49" s="30">
        <v>5</v>
      </c>
      <c r="D49" s="5">
        <f t="shared" si="2"/>
        <v>941391.52723637444</v>
      </c>
      <c r="E49" s="5">
        <f t="shared" si="2"/>
        <v>1086376.2655404019</v>
      </c>
      <c r="F49" s="5">
        <f t="shared" si="2"/>
        <v>1235786.3302345325</v>
      </c>
      <c r="G49" s="5">
        <f t="shared" si="2"/>
        <v>1389600.2760092479</v>
      </c>
      <c r="H49" s="5">
        <f t="shared" si="2"/>
        <v>1547794.9966426371</v>
      </c>
    </row>
    <row r="50" spans="2:9" ht="14" customHeight="1" x14ac:dyDescent="0.3">
      <c r="B50" s="4" t="s">
        <v>153</v>
      </c>
      <c r="C50" s="30">
        <v>7</v>
      </c>
      <c r="D50" s="5">
        <f t="shared" si="2"/>
        <v>997851.14037919545</v>
      </c>
      <c r="E50" s="5">
        <f t="shared" si="2"/>
        <v>1161162.3818204603</v>
      </c>
      <c r="F50" s="5">
        <f t="shared" si="2"/>
        <v>1331542.1201381078</v>
      </c>
      <c r="G50" s="5">
        <f t="shared" si="2"/>
        <v>1508988.6023009762</v>
      </c>
      <c r="H50" s="5">
        <f t="shared" si="2"/>
        <v>1693494.1681043904</v>
      </c>
    </row>
    <row r="51" spans="2:9" ht="14" customHeight="1" x14ac:dyDescent="0.3">
      <c r="B51" s="4" t="s">
        <v>154</v>
      </c>
      <c r="C51" s="30">
        <v>10</v>
      </c>
      <c r="D51" s="5">
        <f t="shared" si="2"/>
        <v>1087413.9996152353</v>
      </c>
      <c r="E51" s="5">
        <f t="shared" si="2"/>
        <v>1280392.7732398903</v>
      </c>
      <c r="F51" s="5">
        <f t="shared" si="2"/>
        <v>1484891.1687317374</v>
      </c>
      <c r="G51" s="5">
        <f t="shared" si="2"/>
        <v>1700959.7309212016</v>
      </c>
      <c r="H51" s="5">
        <f t="shared" si="2"/>
        <v>1928630.6445841079</v>
      </c>
    </row>
    <row r="52" spans="2:9" ht="14" customHeight="1" x14ac:dyDescent="0.3">
      <c r="B52" s="22" t="s">
        <v>157</v>
      </c>
      <c r="C52" s="23"/>
      <c r="D52" s="23"/>
      <c r="E52" s="23"/>
      <c r="F52" s="23"/>
      <c r="G52" s="23"/>
      <c r="H52" s="23"/>
      <c r="I52" s="23"/>
    </row>
    <row r="53" spans="2:9" ht="14" customHeight="1" x14ac:dyDescent="0.3">
      <c r="B53" s="4" t="s">
        <v>151</v>
      </c>
      <c r="C53" s="30">
        <v>3</v>
      </c>
      <c r="D53" s="14">
        <f t="shared" ref="D53:H56" si="3">IFERROR(D48/$C$15,"N/A")</f>
        <v>1.3854897363161753</v>
      </c>
      <c r="E53" s="14">
        <f t="shared" si="3"/>
        <v>1.5850821000495079</v>
      </c>
      <c r="F53" s="14">
        <f t="shared" si="3"/>
        <v>1.787897416588623</v>
      </c>
      <c r="G53" s="14">
        <f t="shared" si="3"/>
        <v>1.993900979380677</v>
      </c>
      <c r="H53" s="14">
        <f t="shared" si="3"/>
        <v>2.2030582652070718</v>
      </c>
    </row>
    <row r="54" spans="2:9" ht="14" customHeight="1" x14ac:dyDescent="0.3">
      <c r="B54" s="4" t="s">
        <v>152</v>
      </c>
      <c r="C54" s="30">
        <v>5</v>
      </c>
      <c r="D54" s="14">
        <f t="shared" si="3"/>
        <v>1.4694685690056639</v>
      </c>
      <c r="E54" s="14">
        <f t="shared" si="3"/>
        <v>1.6957830298429399</v>
      </c>
      <c r="F54" s="14">
        <f t="shared" si="3"/>
        <v>1.929005220195201</v>
      </c>
      <c r="G54" s="14">
        <f t="shared" si="3"/>
        <v>2.1691016649276307</v>
      </c>
      <c r="H54" s="14">
        <f t="shared" si="3"/>
        <v>2.4160362962980999</v>
      </c>
    </row>
    <row r="55" spans="2:9" ht="14" customHeight="1" x14ac:dyDescent="0.3">
      <c r="B55" s="4" t="s">
        <v>153</v>
      </c>
      <c r="C55" s="30">
        <v>7</v>
      </c>
      <c r="D55" s="14">
        <f t="shared" si="3"/>
        <v>1.5575994099270338</v>
      </c>
      <c r="E55" s="14">
        <f t="shared" si="3"/>
        <v>1.8125206932826861</v>
      </c>
      <c r="F55" s="14">
        <f t="shared" si="3"/>
        <v>2.0784755728514375</v>
      </c>
      <c r="G55" s="14">
        <f t="shared" si="3"/>
        <v>2.3554613122328445</v>
      </c>
      <c r="H55" s="14">
        <f t="shared" si="3"/>
        <v>2.6434659542022283</v>
      </c>
    </row>
    <row r="56" spans="2:9" ht="14" customHeight="1" x14ac:dyDescent="0.3">
      <c r="B56" s="4" t="s">
        <v>154</v>
      </c>
      <c r="C56" s="30">
        <v>10</v>
      </c>
      <c r="D56" s="14">
        <f t="shared" si="3"/>
        <v>1.6974028846661826</v>
      </c>
      <c r="E56" s="14">
        <f t="shared" si="3"/>
        <v>1.9986338115677444</v>
      </c>
      <c r="F56" s="14">
        <f t="shared" si="3"/>
        <v>2.3178463346181086</v>
      </c>
      <c r="G56" s="14">
        <f t="shared" si="3"/>
        <v>2.6551193519563459</v>
      </c>
      <c r="H56" s="14">
        <f t="shared" si="3"/>
        <v>3.0105031025267279</v>
      </c>
    </row>
    <row r="58" spans="2:9" ht="14" customHeight="1" x14ac:dyDescent="0.3">
      <c r="B58" s="8" t="s">
        <v>158</v>
      </c>
      <c r="C58" s="9"/>
      <c r="D58" s="9"/>
      <c r="E58" s="9"/>
      <c r="F58" s="9"/>
      <c r="G58" s="9"/>
      <c r="H58" s="9"/>
      <c r="I58" s="9"/>
    </row>
    <row r="59" spans="2:9" ht="14" customHeight="1" x14ac:dyDescent="0.3">
      <c r="B59" s="1" t="s">
        <v>159</v>
      </c>
    </row>
    <row r="60" spans="2:9" ht="14" customHeight="1" x14ac:dyDescent="0.3">
      <c r="B60" s="4" t="s">
        <v>160</v>
      </c>
      <c r="C60" s="5">
        <f>F49</f>
        <v>1235786.3302345325</v>
      </c>
    </row>
    <row r="62" spans="2:9" ht="14" customHeight="1" x14ac:dyDescent="0.3">
      <c r="B62" s="28" t="s">
        <v>161</v>
      </c>
      <c r="C62" s="28" t="s">
        <v>162</v>
      </c>
      <c r="D62" s="28" t="s">
        <v>163</v>
      </c>
    </row>
    <row r="63" spans="2:9" ht="14" customHeight="1" x14ac:dyDescent="0.3">
      <c r="B63" s="31">
        <v>0.18210000000000001</v>
      </c>
      <c r="C63" s="5">
        <f>IFERROR($C$60/B63,"N/A")</f>
        <v>6786306.0419249441</v>
      </c>
      <c r="D63" s="14">
        <f>IFERROR(C63/'DCF Model'!C17,"N/A")</f>
        <v>2.9339197630856146</v>
      </c>
    </row>
    <row r="64" spans="2:9" ht="14" customHeight="1" x14ac:dyDescent="0.3">
      <c r="B64" s="31">
        <v>0.2732</v>
      </c>
      <c r="C64" s="5">
        <f>IFERROR($C$60/B64,"N/A")</f>
        <v>4523376.0257486552</v>
      </c>
      <c r="D64" s="14">
        <f>IFERROR(C64/'DCF Model'!C17,"N/A")</f>
        <v>1.9555885390113124</v>
      </c>
    </row>
    <row r="65" spans="2:9" ht="14" customHeight="1" x14ac:dyDescent="0.3">
      <c r="B65" s="4" t="s">
        <v>164</v>
      </c>
      <c r="C65" s="5">
        <f>IFERROR($C$60/$C$18,"N/A")</f>
        <v>3392946.5718535413</v>
      </c>
      <c r="D65" s="14">
        <f>IFERROR(C65/'DCF Model'!C17,"N/A")</f>
        <v>1.4668706275190393</v>
      </c>
    </row>
    <row r="66" spans="2:9" ht="14" customHeight="1" x14ac:dyDescent="0.3">
      <c r="B66" s="31">
        <v>0.45529999999999998</v>
      </c>
      <c r="C66" s="5">
        <f>IFERROR($C$60/B66,"N/A")</f>
        <v>2714224.314154475</v>
      </c>
      <c r="D66" s="14">
        <f>IFERROR(C66/'DCF Model'!C17,"N/A")</f>
        <v>1.1734390267030321</v>
      </c>
    </row>
    <row r="67" spans="2:9" ht="14" customHeight="1" x14ac:dyDescent="0.3">
      <c r="B67" s="31">
        <v>0.54630000000000001</v>
      </c>
      <c r="C67" s="5">
        <f>IFERROR($C$60/B67,"N/A")</f>
        <v>2262102.0139749818</v>
      </c>
      <c r="D67" s="14">
        <f>IFERROR(C67/'DCF Model'!C17,"N/A")</f>
        <v>0.97797325436187177</v>
      </c>
    </row>
    <row r="69" spans="2:9" ht="14" customHeight="1" x14ac:dyDescent="0.3">
      <c r="B69" s="8" t="s">
        <v>165</v>
      </c>
      <c r="C69" s="9"/>
      <c r="D69" s="9"/>
      <c r="E69" s="9"/>
      <c r="F69" s="9"/>
      <c r="G69" s="9"/>
      <c r="H69" s="9"/>
      <c r="I69" s="9"/>
    </row>
    <row r="70" spans="2:9" ht="13.5" customHeight="1" x14ac:dyDescent="0.25">
      <c r="B70" s="6" t="s">
        <v>166</v>
      </c>
      <c r="C70" s="14">
        <f>IFERROR(C10/'Comps Analysis'!G5,"N/A")</f>
        <v>22.3380108013517</v>
      </c>
    </row>
    <row r="71" spans="2:9" ht="13.5" customHeight="1" x14ac:dyDescent="0.25">
      <c r="B71" s="6" t="s">
        <v>167</v>
      </c>
      <c r="C71" s="14">
        <f>IFERROR(C10/'Comps Analysis'!F5,"N/A")</f>
        <v>3.6308945453407642</v>
      </c>
    </row>
    <row r="72" spans="2:9" ht="14" customHeight="1" x14ac:dyDescent="0.3">
      <c r="B72" s="4" t="s">
        <v>168</v>
      </c>
      <c r="C72" s="14">
        <f>IFERROR(C10/(C25+'DCF Model'!G42),"N/A")</f>
        <v>7.7267721585968721</v>
      </c>
    </row>
    <row r="73" spans="2:9" ht="14" customHeight="1" x14ac:dyDescent="0.3">
      <c r="B73" s="4" t="s">
        <v>169</v>
      </c>
      <c r="C73" s="14">
        <f>IFERROR(C10/(C60+'DCF Model'!G42),"N/A")</f>
        <v>6.6534416501253357</v>
      </c>
    </row>
    <row r="74" spans="2:9" ht="14" customHeight="1" x14ac:dyDescent="0.3">
      <c r="B74" s="4" t="s">
        <v>170</v>
      </c>
      <c r="C74" s="14">
        <f>IFERROR('Comps Analysis'!D16,"N/A")</f>
        <v>13.167573626906812</v>
      </c>
    </row>
    <row r="75" spans="2:9" ht="14" customHeight="1" x14ac:dyDescent="0.3">
      <c r="B75" s="1" t="s">
        <v>171</v>
      </c>
    </row>
    <row r="77" spans="2:9" ht="14" customHeight="1" x14ac:dyDescent="0.3">
      <c r="B77" s="22" t="s">
        <v>172</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FY2021 cycle peak of "&amp;TEXT(C15,"#,##0")&amp;" mn - reached in 5 years and sustained for ever, against "&amp;TEXT(C14,"#,##0")&amp;" mn actually earned in FY2026."</f>
        <v>At 8,839 yen the market is paying for a steady-state operating profit of 1,235,786 mn JPY - 1.93x the FY2021 cycle peak of 640,634 mn - reached in 5 years and sustained for ever, against 360,117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1,060,444 mn, or 1.66x the peak. The base case supports an EV of only 5,896,857 mn, leaving 2,170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173</v>
      </c>
    </row>
    <row r="4" spans="2:8" ht="14" customHeight="1" x14ac:dyDescent="0.3">
      <c r="B4" s="8" t="s">
        <v>174</v>
      </c>
      <c r="C4" s="32" t="s">
        <v>175</v>
      </c>
      <c r="D4" s="32" t="s">
        <v>82</v>
      </c>
      <c r="E4" s="32" t="s">
        <v>83</v>
      </c>
      <c r="F4" s="32" t="s">
        <v>84</v>
      </c>
      <c r="G4" s="32" t="s">
        <v>85</v>
      </c>
      <c r="H4" s="32" t="s">
        <v>86</v>
      </c>
    </row>
    <row r="5" spans="2:8" ht="14" customHeight="1" x14ac:dyDescent="0.3">
      <c r="B5" s="33" t="s">
        <v>176</v>
      </c>
      <c r="C5" s="34">
        <f>C12/C9*365</f>
        <v>23.273168209434207</v>
      </c>
      <c r="D5" s="34">
        <f>CHOOSE('DCF Model'!$D$27,D25,D26,D27,D28,D29)</f>
        <v>22</v>
      </c>
      <c r="E5" s="34">
        <f>CHOOSE('DCF Model'!$D$27,E25,E26,E27,E28,E29)</f>
        <v>22</v>
      </c>
      <c r="F5" s="34">
        <f>CHOOSE('DCF Model'!$D$27,F25,F26,F27,F28,F29)</f>
        <v>22</v>
      </c>
      <c r="G5" s="34">
        <f>CHOOSE('DCF Model'!$D$27,G25,G26,G27,G28,G29)</f>
        <v>22</v>
      </c>
      <c r="H5" s="34">
        <f>CHOOSE('DCF Model'!$D$27,H25,H26,H27,H28,H29)</f>
        <v>22</v>
      </c>
    </row>
    <row r="6" spans="2:8" ht="14" customHeight="1" x14ac:dyDescent="0.3">
      <c r="B6" s="33" t="s">
        <v>177</v>
      </c>
      <c r="C6" s="34">
        <f>C13/C10*365</f>
        <v>140.32426603916832</v>
      </c>
      <c r="D6" s="34">
        <f>CHOOSE('DCF Model'!$D$27,D32,D33,D34,D35,D36)</f>
        <v>136</v>
      </c>
      <c r="E6" s="34">
        <f>CHOOSE('DCF Model'!$D$27,E32,E33,E34,E35,E36)</f>
        <v>136</v>
      </c>
      <c r="F6" s="34">
        <f>CHOOSE('DCF Model'!$D$27,F32,F33,F34,F35,F36)</f>
        <v>136</v>
      </c>
      <c r="G6" s="34">
        <f>CHOOSE('DCF Model'!$D$27,G32,G33,G34,G35,G36)</f>
        <v>136</v>
      </c>
      <c r="H6" s="34">
        <f>CHOOSE('DCF Model'!$D$27,H32,H33,H34,H35,H36)</f>
        <v>136</v>
      </c>
    </row>
    <row r="7" spans="2:8" ht="14" customHeight="1" x14ac:dyDescent="0.3">
      <c r="B7" s="33" t="s">
        <v>178</v>
      </c>
      <c r="C7" s="34">
        <f>C15/C10*365</f>
        <v>61.37048516694751</v>
      </c>
      <c r="D7" s="34">
        <f>CHOOSE('DCF Model'!$D$27,D39,D40,D41,D42,D43)</f>
        <v>69</v>
      </c>
      <c r="E7" s="34">
        <f>CHOOSE('DCF Model'!$D$27,E39,E40,E41,E42,E43)</f>
        <v>69</v>
      </c>
      <c r="F7" s="34">
        <f>CHOOSE('DCF Model'!$D$27,F39,F40,F41,F42,F43)</f>
        <v>69</v>
      </c>
      <c r="G7" s="34">
        <f>CHOOSE('DCF Model'!$D$27,G39,G40,G41,G42,G43)</f>
        <v>69</v>
      </c>
      <c r="H7" s="34">
        <f>CHOOSE('DCF Model'!$D$27,H39,H40,H41,H42,H43)</f>
        <v>69</v>
      </c>
    </row>
    <row r="8" spans="2:8" ht="14" customHeight="1" x14ac:dyDescent="0.3">
      <c r="B8" s="8" t="s">
        <v>179</v>
      </c>
      <c r="C8" s="9"/>
      <c r="D8" s="9"/>
      <c r="E8" s="9"/>
      <c r="F8" s="9"/>
      <c r="G8" s="9"/>
      <c r="H8" s="9"/>
    </row>
    <row r="9" spans="2:8" ht="14" customHeight="1" x14ac:dyDescent="0.3">
      <c r="B9" s="33" t="s">
        <v>34</v>
      </c>
      <c r="C9" s="35">
        <v>2313051</v>
      </c>
      <c r="D9" s="35">
        <f>'DCF Model'!C33</f>
        <v>2590617.12</v>
      </c>
      <c r="E9" s="35">
        <f>'DCF Model'!D33</f>
        <v>2746054.1472000005</v>
      </c>
      <c r="F9" s="35">
        <f>'DCF Model'!E33</f>
        <v>2828435.7716160007</v>
      </c>
      <c r="G9" s="35">
        <f>'DCF Model'!F33</f>
        <v>2885004.4870483209</v>
      </c>
      <c r="H9" s="35">
        <f>'DCF Model'!G33</f>
        <v>2942704.5767892874</v>
      </c>
    </row>
    <row r="10" spans="2:8" ht="14" customHeight="1" x14ac:dyDescent="0.3">
      <c r="B10" s="33" t="s">
        <v>35</v>
      </c>
      <c r="C10" s="35">
        <v>1404094</v>
      </c>
      <c r="D10" s="35">
        <f>'DCF Model'!C34</f>
        <v>1450745.5872000002</v>
      </c>
      <c r="E10" s="35">
        <f>'DCF Model'!D34</f>
        <v>1427948.1565440004</v>
      </c>
      <c r="F10" s="35">
        <f>'DCF Model'!E34</f>
        <v>1385933.5280918402</v>
      </c>
      <c r="G10" s="35">
        <f>'DCF Model'!F34</f>
        <v>1384802.153783194</v>
      </c>
      <c r="H10" s="35">
        <f>'DCF Model'!G34</f>
        <v>1415440.9014356472</v>
      </c>
    </row>
    <row r="11" spans="2:8" ht="14" customHeight="1" x14ac:dyDescent="0.3">
      <c r="B11" s="8" t="s">
        <v>180</v>
      </c>
      <c r="C11" s="9"/>
      <c r="D11" s="9"/>
      <c r="E11" s="9"/>
      <c r="F11" s="9"/>
      <c r="G11" s="9"/>
      <c r="H11" s="9"/>
    </row>
    <row r="12" spans="2:8" ht="14" customHeight="1" x14ac:dyDescent="0.3">
      <c r="B12" s="33" t="s">
        <v>181</v>
      </c>
      <c r="C12" s="35">
        <v>147485</v>
      </c>
      <c r="D12" s="35">
        <f t="shared" ref="D12:H13" si="0">D9*D5/365</f>
        <v>156146.7853150685</v>
      </c>
      <c r="E12" s="35">
        <f t="shared" si="0"/>
        <v>165515.59243397263</v>
      </c>
      <c r="F12" s="35">
        <f t="shared" si="0"/>
        <v>170481.06020699182</v>
      </c>
      <c r="G12" s="35">
        <f t="shared" si="0"/>
        <v>173890.68141113166</v>
      </c>
      <c r="H12" s="35">
        <f t="shared" si="0"/>
        <v>177368.49503935431</v>
      </c>
    </row>
    <row r="13" spans="2:8" ht="14" customHeight="1" x14ac:dyDescent="0.3">
      <c r="B13" s="33" t="s">
        <v>182</v>
      </c>
      <c r="C13" s="35">
        <v>539804</v>
      </c>
      <c r="D13" s="35">
        <f t="shared" si="0"/>
        <v>540551.78043616447</v>
      </c>
      <c r="E13" s="35">
        <f t="shared" si="0"/>
        <v>532057.39531502477</v>
      </c>
      <c r="F13" s="35">
        <f t="shared" si="0"/>
        <v>516402.62964517885</v>
      </c>
      <c r="G13" s="35">
        <f t="shared" si="0"/>
        <v>515981.07647812163</v>
      </c>
      <c r="H13" s="35">
        <f t="shared" si="0"/>
        <v>527397.15779520001</v>
      </c>
    </row>
    <row r="14" spans="2:8" ht="14" customHeight="1" x14ac:dyDescent="0.3">
      <c r="B14" s="33" t="s">
        <v>183</v>
      </c>
      <c r="C14" s="35">
        <f t="shared" ref="C14:H14" si="1">C12+C13</f>
        <v>687289</v>
      </c>
      <c r="D14" s="35">
        <f t="shared" si="1"/>
        <v>696698.56575123291</v>
      </c>
      <c r="E14" s="35">
        <f t="shared" si="1"/>
        <v>697572.9877489974</v>
      </c>
      <c r="F14" s="35">
        <f t="shared" si="1"/>
        <v>686883.68985217065</v>
      </c>
      <c r="G14" s="35">
        <f t="shared" si="1"/>
        <v>689871.75788925332</v>
      </c>
      <c r="H14" s="35">
        <f t="shared" si="1"/>
        <v>704765.65283455432</v>
      </c>
    </row>
    <row r="15" spans="2:8" ht="14" customHeight="1" x14ac:dyDescent="0.3">
      <c r="B15" s="33" t="s">
        <v>184</v>
      </c>
      <c r="C15" s="35">
        <v>236082</v>
      </c>
      <c r="D15" s="35">
        <f>D10*D7/365</f>
        <v>274250.53566246579</v>
      </c>
      <c r="E15" s="35">
        <f>E10*E7/365</f>
        <v>269940.88438776991</v>
      </c>
      <c r="F15" s="35">
        <f>F10*F7/365</f>
        <v>261998.39298174513</v>
      </c>
      <c r="G15" s="35">
        <f>G10*G7/365</f>
        <v>261784.51674257638</v>
      </c>
      <c r="H15" s="35">
        <f>H10*H7/365</f>
        <v>267576.49917550589</v>
      </c>
    </row>
    <row r="16" spans="2:8" ht="14" customHeight="1" x14ac:dyDescent="0.3">
      <c r="B16" s="33" t="s">
        <v>185</v>
      </c>
      <c r="C16" s="35">
        <f t="shared" ref="C16:H16" si="2">C15</f>
        <v>236082</v>
      </c>
      <c r="D16" s="35">
        <f t="shared" si="2"/>
        <v>274250.53566246579</v>
      </c>
      <c r="E16" s="35">
        <f t="shared" si="2"/>
        <v>269940.88438776991</v>
      </c>
      <c r="F16" s="35">
        <f t="shared" si="2"/>
        <v>261998.39298174513</v>
      </c>
      <c r="G16" s="35">
        <f t="shared" si="2"/>
        <v>261784.51674257638</v>
      </c>
      <c r="H16" s="35">
        <f t="shared" si="2"/>
        <v>267576.49917550589</v>
      </c>
    </row>
    <row r="17" spans="2:8" ht="14" customHeight="1" x14ac:dyDescent="0.3">
      <c r="B17" s="22" t="s">
        <v>186</v>
      </c>
      <c r="C17" s="23"/>
      <c r="D17" s="23"/>
      <c r="E17" s="23"/>
      <c r="F17" s="23"/>
      <c r="G17" s="23"/>
      <c r="H17" s="23"/>
    </row>
    <row r="18" spans="2:8" ht="14" customHeight="1" x14ac:dyDescent="0.3">
      <c r="B18" s="33" t="s">
        <v>187</v>
      </c>
      <c r="C18" s="20">
        <f t="shared" ref="C18:H18" si="3">C14-C16</f>
        <v>451207</v>
      </c>
      <c r="D18" s="20">
        <f t="shared" si="3"/>
        <v>422448.03008876712</v>
      </c>
      <c r="E18" s="20">
        <f t="shared" si="3"/>
        <v>427632.10336122749</v>
      </c>
      <c r="F18" s="20">
        <f t="shared" si="3"/>
        <v>424885.29687042552</v>
      </c>
      <c r="G18" s="20">
        <f t="shared" si="3"/>
        <v>428087.24114667694</v>
      </c>
      <c r="H18" s="20">
        <f t="shared" si="3"/>
        <v>437189.15365904843</v>
      </c>
    </row>
    <row r="19" spans="2:8" ht="14" customHeight="1" x14ac:dyDescent="0.3">
      <c r="B19" s="33" t="s">
        <v>96</v>
      </c>
      <c r="C19" s="36" t="s">
        <v>44</v>
      </c>
      <c r="D19" s="24">
        <f>D18-C18</f>
        <v>-28758.969911232882</v>
      </c>
      <c r="E19" s="24">
        <f>E18-D18</f>
        <v>5184.0732724603731</v>
      </c>
      <c r="F19" s="24">
        <f>F18-E18</f>
        <v>-2746.8064908019733</v>
      </c>
      <c r="G19" s="24">
        <f>G18-F18</f>
        <v>3201.9442762514227</v>
      </c>
      <c r="H19" s="24">
        <f>H18-G18</f>
        <v>9101.9125123714912</v>
      </c>
    </row>
    <row r="22" spans="2:8" ht="14" customHeight="1" x14ac:dyDescent="0.3">
      <c r="B22" s="22" t="s">
        <v>188</v>
      </c>
      <c r="C22" s="23"/>
      <c r="D22" s="23"/>
      <c r="E22" s="23"/>
      <c r="F22" s="23"/>
      <c r="G22" s="23"/>
      <c r="H22" s="23"/>
    </row>
    <row r="23" spans="2:8" ht="14" customHeight="1" x14ac:dyDescent="0.3">
      <c r="D23" s="25" t="s">
        <v>82</v>
      </c>
      <c r="E23" s="25" t="s">
        <v>83</v>
      </c>
      <c r="F23" s="25" t="s">
        <v>84</v>
      </c>
      <c r="G23" s="25" t="s">
        <v>85</v>
      </c>
      <c r="H23" s="25" t="s">
        <v>86</v>
      </c>
    </row>
    <row r="24" spans="2:8" ht="14" customHeight="1" x14ac:dyDescent="0.3">
      <c r="B24" s="3" t="s">
        <v>189</v>
      </c>
    </row>
    <row r="25" spans="2:8" ht="14" customHeight="1" x14ac:dyDescent="0.3">
      <c r="B25" s="4" t="s">
        <v>80</v>
      </c>
      <c r="D25" s="30">
        <v>22</v>
      </c>
      <c r="E25" s="30">
        <v>22</v>
      </c>
      <c r="F25" s="30">
        <v>22</v>
      </c>
      <c r="G25" s="30">
        <v>22</v>
      </c>
      <c r="H25" s="30">
        <v>22</v>
      </c>
    </row>
    <row r="26" spans="2:8" ht="14" customHeight="1" x14ac:dyDescent="0.3">
      <c r="B26" s="4" t="s">
        <v>117</v>
      </c>
      <c r="D26" s="30">
        <v>21</v>
      </c>
      <c r="E26" s="30">
        <v>21</v>
      </c>
      <c r="F26" s="30">
        <v>21</v>
      </c>
      <c r="G26" s="30">
        <v>21</v>
      </c>
      <c r="H26" s="30">
        <v>21</v>
      </c>
    </row>
    <row r="27" spans="2:8" ht="14" customHeight="1" x14ac:dyDescent="0.3">
      <c r="B27" s="4" t="s">
        <v>118</v>
      </c>
      <c r="D27" s="30">
        <v>22</v>
      </c>
      <c r="E27" s="30">
        <v>22</v>
      </c>
      <c r="F27" s="30">
        <v>22</v>
      </c>
      <c r="G27" s="30">
        <v>22</v>
      </c>
      <c r="H27" s="30">
        <v>22</v>
      </c>
    </row>
    <row r="28" spans="2:8" ht="14" customHeight="1" x14ac:dyDescent="0.3">
      <c r="B28" s="4" t="s">
        <v>119</v>
      </c>
      <c r="D28" s="30">
        <v>24</v>
      </c>
      <c r="E28" s="30">
        <v>24</v>
      </c>
      <c r="F28" s="30">
        <v>24</v>
      </c>
      <c r="G28" s="30">
        <v>24</v>
      </c>
      <c r="H28" s="30">
        <v>24</v>
      </c>
    </row>
    <row r="29" spans="2:8" ht="14" customHeight="1" x14ac:dyDescent="0.3">
      <c r="B29" s="4" t="s">
        <v>120</v>
      </c>
      <c r="D29" s="30">
        <v>26</v>
      </c>
      <c r="E29" s="30">
        <v>26</v>
      </c>
      <c r="F29" s="30">
        <v>26</v>
      </c>
      <c r="G29" s="30">
        <v>26</v>
      </c>
      <c r="H29" s="30">
        <v>26</v>
      </c>
    </row>
    <row r="31" spans="2:8" ht="14" customHeight="1" x14ac:dyDescent="0.3">
      <c r="B31" s="3" t="s">
        <v>190</v>
      </c>
    </row>
    <row r="32" spans="2:8" ht="14" customHeight="1" x14ac:dyDescent="0.3">
      <c r="B32" s="4" t="s">
        <v>80</v>
      </c>
      <c r="D32" s="30">
        <v>136</v>
      </c>
      <c r="E32" s="30">
        <v>136</v>
      </c>
      <c r="F32" s="30">
        <v>136</v>
      </c>
      <c r="G32" s="30">
        <v>136</v>
      </c>
      <c r="H32" s="30">
        <v>136</v>
      </c>
    </row>
    <row r="33" spans="2:8" ht="14" customHeight="1" x14ac:dyDescent="0.3">
      <c r="B33" s="4" t="s">
        <v>117</v>
      </c>
      <c r="D33" s="30">
        <v>120</v>
      </c>
      <c r="E33" s="30">
        <v>118</v>
      </c>
      <c r="F33" s="30">
        <v>115</v>
      </c>
      <c r="G33" s="30">
        <v>115</v>
      </c>
      <c r="H33" s="30">
        <v>115</v>
      </c>
    </row>
    <row r="34" spans="2:8" ht="14" customHeight="1" x14ac:dyDescent="0.3">
      <c r="B34" s="4" t="s">
        <v>118</v>
      </c>
      <c r="D34" s="30">
        <v>136</v>
      </c>
      <c r="E34" s="30">
        <v>136</v>
      </c>
      <c r="F34" s="30">
        <v>136</v>
      </c>
      <c r="G34" s="30">
        <v>136</v>
      </c>
      <c r="H34" s="30">
        <v>136</v>
      </c>
    </row>
    <row r="35" spans="2:8" ht="14" customHeight="1" x14ac:dyDescent="0.3">
      <c r="B35" s="4" t="s">
        <v>119</v>
      </c>
      <c r="D35" s="30">
        <v>150</v>
      </c>
      <c r="E35" s="30">
        <v>152</v>
      </c>
      <c r="F35" s="30">
        <v>155</v>
      </c>
      <c r="G35" s="30">
        <v>155</v>
      </c>
      <c r="H35" s="30">
        <v>155</v>
      </c>
    </row>
    <row r="36" spans="2:8" ht="14" customHeight="1" x14ac:dyDescent="0.3">
      <c r="B36" s="4" t="s">
        <v>120</v>
      </c>
      <c r="D36" s="30">
        <v>175</v>
      </c>
      <c r="E36" s="30">
        <v>180</v>
      </c>
      <c r="F36" s="30">
        <v>175</v>
      </c>
      <c r="G36" s="30">
        <v>170</v>
      </c>
      <c r="H36" s="30">
        <v>165</v>
      </c>
    </row>
    <row r="38" spans="2:8" ht="14" customHeight="1" x14ac:dyDescent="0.3">
      <c r="B38" s="3" t="s">
        <v>191</v>
      </c>
    </row>
    <row r="39" spans="2:8" ht="14" customHeight="1" x14ac:dyDescent="0.3">
      <c r="B39" s="4" t="s">
        <v>80</v>
      </c>
      <c r="D39" s="30">
        <v>69</v>
      </c>
      <c r="E39" s="30">
        <v>69</v>
      </c>
      <c r="F39" s="30">
        <v>69</v>
      </c>
      <c r="G39" s="30">
        <v>69</v>
      </c>
      <c r="H39" s="30">
        <v>69</v>
      </c>
    </row>
    <row r="40" spans="2:8" ht="14" customHeight="1" x14ac:dyDescent="0.3">
      <c r="B40" s="4" t="s">
        <v>117</v>
      </c>
      <c r="D40" s="30">
        <v>72</v>
      </c>
      <c r="E40" s="30">
        <v>72</v>
      </c>
      <c r="F40" s="30">
        <v>72</v>
      </c>
      <c r="G40" s="30">
        <v>72</v>
      </c>
      <c r="H40" s="30">
        <v>72</v>
      </c>
    </row>
    <row r="41" spans="2:8" ht="14" customHeight="1" x14ac:dyDescent="0.3">
      <c r="B41" s="4" t="s">
        <v>118</v>
      </c>
      <c r="D41" s="30">
        <v>69</v>
      </c>
      <c r="E41" s="30">
        <v>69</v>
      </c>
      <c r="F41" s="30">
        <v>69</v>
      </c>
      <c r="G41" s="30">
        <v>69</v>
      </c>
      <c r="H41" s="30">
        <v>69</v>
      </c>
    </row>
    <row r="42" spans="2:8" ht="14" customHeight="1" x14ac:dyDescent="0.3">
      <c r="B42" s="4" t="s">
        <v>119</v>
      </c>
      <c r="D42" s="30">
        <v>65</v>
      </c>
      <c r="E42" s="30">
        <v>65</v>
      </c>
      <c r="F42" s="30">
        <v>65</v>
      </c>
      <c r="G42" s="30">
        <v>65</v>
      </c>
      <c r="H42" s="30">
        <v>65</v>
      </c>
    </row>
    <row r="43" spans="2:8" ht="14" customHeight="1" x14ac:dyDescent="0.3">
      <c r="B43" s="4" t="s">
        <v>120</v>
      </c>
      <c r="D43" s="30">
        <v>60</v>
      </c>
      <c r="E43" s="30">
        <v>60</v>
      </c>
      <c r="F43" s="30">
        <v>60</v>
      </c>
      <c r="G43" s="30">
        <v>60</v>
      </c>
      <c r="H43" s="30">
        <v>60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192</v>
      </c>
    </row>
    <row r="3" spans="2:17" ht="14" customHeight="1" x14ac:dyDescent="0.3">
      <c r="B3" s="1" t="s">
        <v>193</v>
      </c>
    </row>
    <row r="4" spans="2:17" ht="28" customHeight="1" x14ac:dyDescent="0.3">
      <c r="B4" s="10" t="s">
        <v>3</v>
      </c>
      <c r="C4" s="10" t="s">
        <v>5</v>
      </c>
      <c r="D4" s="10" t="s">
        <v>194</v>
      </c>
      <c r="E4" s="10" t="s">
        <v>195</v>
      </c>
      <c r="F4" s="10" t="s">
        <v>196</v>
      </c>
      <c r="G4" s="10" t="s">
        <v>197</v>
      </c>
      <c r="H4" s="10" t="s">
        <v>198</v>
      </c>
      <c r="I4" s="10" t="s">
        <v>199</v>
      </c>
      <c r="J4" s="10" t="s">
        <v>200</v>
      </c>
      <c r="K4" s="10" t="s">
        <v>201</v>
      </c>
      <c r="L4" s="10" t="s">
        <v>202</v>
      </c>
      <c r="M4" s="10" t="s">
        <v>203</v>
      </c>
      <c r="N4" s="10" t="s">
        <v>204</v>
      </c>
      <c r="O4" s="10" t="s">
        <v>205</v>
      </c>
      <c r="P4" s="10" t="s">
        <v>206</v>
      </c>
      <c r="Q4" s="10" t="s">
        <v>207</v>
      </c>
    </row>
    <row r="5" spans="2:17" ht="14" customHeight="1" x14ac:dyDescent="0.3">
      <c r="B5" s="4" t="s">
        <v>208</v>
      </c>
      <c r="C5" t="s">
        <v>209</v>
      </c>
      <c r="D5" s="37">
        <f>'Executive Summary'!C9*C23/1000000</f>
        <v>10190246.258995</v>
      </c>
      <c r="E5" s="37">
        <f>D5+C24</f>
        <v>8398444.2589950003</v>
      </c>
      <c r="F5" s="37">
        <v>2313051</v>
      </c>
      <c r="G5" s="37">
        <v>375971</v>
      </c>
      <c r="H5" s="37">
        <v>360117</v>
      </c>
      <c r="I5" s="37">
        <v>424056</v>
      </c>
      <c r="J5" s="38">
        <f t="shared" ref="J5:J10" si="0">IFERROR(E5/G5,"")</f>
        <v>22.3380108013517</v>
      </c>
      <c r="K5" s="38">
        <f t="shared" ref="K5:K10" si="1">IFERROR(E5/F5,"")</f>
        <v>3.6308945453407642</v>
      </c>
      <c r="L5" s="38">
        <f>IFERROR(D5/I5,"")</f>
        <v>24.030425837613429</v>
      </c>
      <c r="M5" s="38">
        <f t="shared" ref="M5:M10" si="2">IFERROR(D5/P5,"")</f>
        <v>3.4496164244472709</v>
      </c>
      <c r="N5" s="39">
        <f t="shared" ref="N5:N10" si="3">IFERROR(H5/F5,"")</f>
        <v>0.15568917416866296</v>
      </c>
      <c r="O5" s="39">
        <f t="shared" ref="O5:O10" si="4">IFERROR(I5/P5,"")</f>
        <v>0.14355203056983645</v>
      </c>
      <c r="P5" s="37">
        <v>2954023</v>
      </c>
    </row>
    <row r="6" spans="2:17" ht="14" customHeight="1" x14ac:dyDescent="0.3">
      <c r="B6" s="4" t="s">
        <v>210</v>
      </c>
      <c r="C6" t="s">
        <v>211</v>
      </c>
      <c r="D6" s="37">
        <v>3569201</v>
      </c>
      <c r="E6" s="37">
        <v>3148064</v>
      </c>
      <c r="F6" s="37">
        <v>1348246</v>
      </c>
      <c r="G6" s="37">
        <v>239077</v>
      </c>
      <c r="H6" s="37">
        <v>189518</v>
      </c>
      <c r="I6" s="37">
        <v>140651</v>
      </c>
      <c r="J6" s="38">
        <f t="shared" si="0"/>
        <v>13.167573626906812</v>
      </c>
      <c r="K6" s="38">
        <f t="shared" si="1"/>
        <v>2.3349329425045577</v>
      </c>
      <c r="L6" s="38">
        <f>IFERROR(D6/I6,"")</f>
        <v>25.376293094254574</v>
      </c>
      <c r="M6" s="38">
        <f t="shared" si="2"/>
        <v>4.1464777834961124</v>
      </c>
      <c r="N6" s="39">
        <f t="shared" si="3"/>
        <v>0.14056633581705416</v>
      </c>
      <c r="O6" s="39">
        <f t="shared" si="4"/>
        <v>0.16339966472230386</v>
      </c>
      <c r="P6" s="37">
        <v>860779</v>
      </c>
    </row>
    <row r="7" spans="2:17" ht="14" customHeight="1" x14ac:dyDescent="0.3">
      <c r="B7" s="4" t="s">
        <v>212</v>
      </c>
      <c r="C7" t="s">
        <v>213</v>
      </c>
      <c r="D7" s="37">
        <v>2914464</v>
      </c>
      <c r="E7" s="37">
        <v>2626836</v>
      </c>
      <c r="F7" s="37">
        <v>493677</v>
      </c>
      <c r="G7" s="37">
        <v>170081</v>
      </c>
      <c r="H7" s="37">
        <v>135891</v>
      </c>
      <c r="I7" s="37">
        <v>100013</v>
      </c>
      <c r="J7" s="38">
        <f t="shared" si="0"/>
        <v>15.444617564572175</v>
      </c>
      <c r="K7" s="38">
        <f t="shared" si="1"/>
        <v>5.3209608711769034</v>
      </c>
      <c r="L7" s="38">
        <f>IFERROR(D7/I7,"")</f>
        <v>29.140851689280392</v>
      </c>
      <c r="M7" s="38">
        <f t="shared" si="2"/>
        <v>5.1625739322666186</v>
      </c>
      <c r="N7" s="39">
        <f t="shared" si="3"/>
        <v>0.27526297558930229</v>
      </c>
      <c r="O7" s="39">
        <f t="shared" si="4"/>
        <v>0.17715933588055344</v>
      </c>
      <c r="P7" s="37">
        <v>564537</v>
      </c>
    </row>
    <row r="8" spans="2:17" ht="14" customHeight="1" x14ac:dyDescent="0.3">
      <c r="B8" s="4" t="s">
        <v>214</v>
      </c>
      <c r="C8" t="s">
        <v>215</v>
      </c>
      <c r="D8" s="37">
        <v>1776976</v>
      </c>
      <c r="E8" s="37">
        <v>1634071</v>
      </c>
      <c r="F8" s="37">
        <v>195365</v>
      </c>
      <c r="G8" s="37">
        <v>80496</v>
      </c>
      <c r="H8" s="37">
        <v>75296</v>
      </c>
      <c r="I8" s="37">
        <v>54587</v>
      </c>
      <c r="J8" s="38">
        <f t="shared" si="0"/>
        <v>20.300027330550588</v>
      </c>
      <c r="K8" s="38">
        <f t="shared" si="1"/>
        <v>8.3641952243237014</v>
      </c>
      <c r="L8" s="38">
        <f>IFERROR(D8/I8,"")</f>
        <v>32.553098723139207</v>
      </c>
      <c r="M8" s="38">
        <f t="shared" si="2"/>
        <v>6.637937990287635</v>
      </c>
      <c r="N8" s="39">
        <f t="shared" si="3"/>
        <v>0.38541192127556112</v>
      </c>
      <c r="O8" s="39">
        <f t="shared" si="4"/>
        <v>0.20391109450877848</v>
      </c>
      <c r="P8" s="37">
        <v>267700</v>
      </c>
    </row>
    <row r="9" spans="2:17" ht="14" customHeight="1" x14ac:dyDescent="0.3">
      <c r="B9" s="4" t="s">
        <v>216</v>
      </c>
      <c r="C9" t="s">
        <v>217</v>
      </c>
      <c r="D9" s="37">
        <v>1042352</v>
      </c>
      <c r="E9" s="37">
        <v>766298</v>
      </c>
      <c r="F9" s="37">
        <v>297661</v>
      </c>
      <c r="G9" s="37">
        <v>63428</v>
      </c>
      <c r="H9" s="37">
        <v>54742</v>
      </c>
      <c r="I9" s="37">
        <v>29616</v>
      </c>
      <c r="J9" s="38">
        <f t="shared" si="0"/>
        <v>12.081383616068614</v>
      </c>
      <c r="K9" s="38">
        <f t="shared" si="1"/>
        <v>2.5743983928025505</v>
      </c>
      <c r="L9" s="38">
        <f>IFERROR(D9/I9,"")</f>
        <v>35.195569962182603</v>
      </c>
      <c r="M9" s="38">
        <f t="shared" si="2"/>
        <v>2.9877434962565497</v>
      </c>
      <c r="N9" s="39">
        <f t="shared" si="3"/>
        <v>0.18390719644158959</v>
      </c>
      <c r="O9" s="39">
        <f t="shared" si="4"/>
        <v>8.4889760258659241E-2</v>
      </c>
      <c r="P9" s="37">
        <v>348876</v>
      </c>
    </row>
    <row r="10" spans="2:17" ht="14" customHeight="1" x14ac:dyDescent="0.3">
      <c r="B10" s="4" t="s">
        <v>218</v>
      </c>
      <c r="C10" t="s">
        <v>219</v>
      </c>
      <c r="D10" s="37">
        <v>22696920</v>
      </c>
      <c r="E10" s="37">
        <v>22157710</v>
      </c>
      <c r="F10" s="37">
        <v>12479620</v>
      </c>
      <c r="G10" s="37">
        <v>2734345</v>
      </c>
      <c r="H10" s="37">
        <v>1553690</v>
      </c>
      <c r="I10" s="37">
        <v>-326865</v>
      </c>
      <c r="J10" s="38">
        <f t="shared" si="0"/>
        <v>8.1034799924662035</v>
      </c>
      <c r="K10" s="38">
        <f t="shared" si="1"/>
        <v>1.7755115941030255</v>
      </c>
      <c r="L10" s="40" t="s">
        <v>220</v>
      </c>
      <c r="M10" s="38">
        <f t="shared" si="2"/>
        <v>2.7955276818814507</v>
      </c>
      <c r="N10" s="39">
        <f t="shared" si="3"/>
        <v>0.12449818183566487</v>
      </c>
      <c r="O10" s="39">
        <f t="shared" si="4"/>
        <v>-4.0259213837744522E-2</v>
      </c>
      <c r="P10" s="37">
        <v>8119011</v>
      </c>
    </row>
    <row r="14" spans="2:17" ht="14" customHeight="1" x14ac:dyDescent="0.3">
      <c r="B14" s="3" t="s">
        <v>221</v>
      </c>
    </row>
    <row r="15" spans="2:17" ht="14" customHeight="1" x14ac:dyDescent="0.3">
      <c r="B15" s="4" t="s">
        <v>222</v>
      </c>
      <c r="D15" s="38">
        <f t="shared" ref="D15:I15" si="5">PERCENTILE(J6:J10,0.25)</f>
        <v>12.081383616068614</v>
      </c>
      <c r="E15" s="38">
        <f t="shared" si="5"/>
        <v>2.3349329425045577</v>
      </c>
      <c r="F15" s="38">
        <f t="shared" si="5"/>
        <v>28.199712040523938</v>
      </c>
      <c r="G15" s="38">
        <f t="shared" si="5"/>
        <v>2.9877434962565497</v>
      </c>
      <c r="H15" s="39">
        <f t="shared" si="5"/>
        <v>0.14056633581705416</v>
      </c>
      <c r="I15" s="39">
        <f t="shared" si="5"/>
        <v>8.4889760258659241E-2</v>
      </c>
    </row>
    <row r="16" spans="2:17" ht="14" customHeight="1" x14ac:dyDescent="0.3">
      <c r="B16" s="4" t="s">
        <v>223</v>
      </c>
      <c r="D16" s="38">
        <f t="shared" ref="D16:I16" si="6">MEDIAN(J6:J10)</f>
        <v>13.167573626906812</v>
      </c>
      <c r="E16" s="38">
        <f t="shared" si="6"/>
        <v>2.5743983928025505</v>
      </c>
      <c r="F16" s="38">
        <f t="shared" si="6"/>
        <v>30.846975206209798</v>
      </c>
      <c r="G16" s="38">
        <f t="shared" si="6"/>
        <v>4.1464777834961124</v>
      </c>
      <c r="H16" s="39">
        <f t="shared" si="6"/>
        <v>0.18390719644158959</v>
      </c>
      <c r="I16" s="39">
        <f t="shared" si="6"/>
        <v>0.16339966472230386</v>
      </c>
    </row>
    <row r="17" spans="2:9" ht="14" customHeight="1" x14ac:dyDescent="0.3">
      <c r="B17" s="4" t="s">
        <v>224</v>
      </c>
      <c r="D17" s="38">
        <f t="shared" ref="D17:I17" si="7">PERCENTILE(J6:J10,0.75)</f>
        <v>15.444617564572175</v>
      </c>
      <c r="E17" s="38">
        <f t="shared" si="7"/>
        <v>5.3209608711769034</v>
      </c>
      <c r="F17" s="38">
        <f t="shared" si="7"/>
        <v>33.213716532900058</v>
      </c>
      <c r="G17" s="38">
        <f t="shared" si="7"/>
        <v>5.1625739322666186</v>
      </c>
      <c r="H17" s="39">
        <f t="shared" si="7"/>
        <v>0.27526297558930229</v>
      </c>
      <c r="I17" s="39">
        <f t="shared" si="7"/>
        <v>0.17715933588055344</v>
      </c>
    </row>
    <row r="19" spans="2:9" ht="14" customHeight="1" x14ac:dyDescent="0.3">
      <c r="B19" s="22" t="s">
        <v>225</v>
      </c>
      <c r="C19" s="23"/>
      <c r="D19" s="23"/>
      <c r="E19" s="23"/>
      <c r="F19" s="23"/>
      <c r="G19" s="23"/>
      <c r="H19" s="23"/>
      <c r="I19" s="23"/>
    </row>
    <row r="20" spans="2:9" ht="14" customHeight="1" x14ac:dyDescent="0.3">
      <c r="B20" s="3" t="s">
        <v>226</v>
      </c>
    </row>
    <row r="21" spans="2:9" ht="14" customHeight="1" x14ac:dyDescent="0.3">
      <c r="B21" s="4" t="s">
        <v>227</v>
      </c>
      <c r="C21" s="5">
        <v>375971</v>
      </c>
    </row>
    <row r="22" spans="2:9" ht="14" customHeight="1" x14ac:dyDescent="0.3">
      <c r="B22" s="4" t="s">
        <v>228</v>
      </c>
      <c r="C22" s="5">
        <v>424056</v>
      </c>
    </row>
    <row r="23" spans="2:9" ht="14" customHeight="1" x14ac:dyDescent="0.3">
      <c r="B23" s="4" t="s">
        <v>229</v>
      </c>
      <c r="C23" s="15">
        <v>1152873205</v>
      </c>
    </row>
    <row r="24" spans="2:9" ht="14" customHeight="1" x14ac:dyDescent="0.3">
      <c r="B24" s="4" t="s">
        <v>69</v>
      </c>
      <c r="C24" s="5">
        <v>-1791802</v>
      </c>
    </row>
    <row r="26" spans="2:9" ht="14" customHeight="1" x14ac:dyDescent="0.3">
      <c r="B26" s="3" t="s">
        <v>230</v>
      </c>
    </row>
    <row r="27" spans="2:9" ht="14" customHeight="1" x14ac:dyDescent="0.3">
      <c r="B27" s="4" t="s">
        <v>231</v>
      </c>
      <c r="C27" s="24">
        <f>ROUND((C21*D16-C24)*1000000/C23,0)</f>
        <v>5848</v>
      </c>
    </row>
    <row r="28" spans="2:9" ht="14" customHeight="1" x14ac:dyDescent="0.3">
      <c r="B28" s="4" t="s">
        <v>232</v>
      </c>
      <c r="C28" s="24">
        <f>ROUND(C22*F16*1000000/C23,0)</f>
        <v>11346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233</v>
      </c>
    </row>
    <row r="3" spans="2:9" ht="14" customHeight="1" x14ac:dyDescent="0.3">
      <c r="B3" s="4" t="s">
        <v>234</v>
      </c>
      <c r="C3" s="16">
        <f>'DCF Model'!C26</f>
        <v>0.1047</v>
      </c>
      <c r="E3" s="4" t="s">
        <v>235</v>
      </c>
      <c r="F3" s="16">
        <f>'DCF Model'!C13</f>
        <v>0.01</v>
      </c>
      <c r="H3" s="4" t="s">
        <v>236</v>
      </c>
      <c r="I3" s="14">
        <f>'DCF Model'!C14</f>
        <v>13.2</v>
      </c>
    </row>
    <row r="5" spans="2:9" ht="14" customHeight="1" x14ac:dyDescent="0.3">
      <c r="B5" s="3" t="s">
        <v>237</v>
      </c>
    </row>
    <row r="6" spans="2:9" ht="14" customHeight="1" x14ac:dyDescent="0.3">
      <c r="B6" s="41" t="s">
        <v>238</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8.9700000000000002E-2</v>
      </c>
      <c r="C7" s="37">
        <f>IFERROR(ROUND(('DCF Model'!C45/(1+$B7)^('DCF Model'!C19+0)+'DCF Model'!D45/(1+$B7)^('DCF Model'!C19+1)+'DCF Model'!E45/(1+$B7)^('DCF Model'!C19+2)+'DCF Model'!F45/(1+$B7)^('DCF Model'!C19+3)+'DCF Model'!G45/(1+$B7)^('DCF Model'!C19+4)+'DCF Model'!G45*(1+C$6)/($B7-C$6)/(1+$B7)^('DCF Model'!C19+4)-'DCF Model'!C16)*1000000/'DCF Model'!C15,0),"")</f>
        <v>7266</v>
      </c>
      <c r="D7" s="37">
        <f>IFERROR(ROUND(('DCF Model'!C45/(1+$B7)^('DCF Model'!C19+0)+'DCF Model'!D45/(1+$B7)^('DCF Model'!C19+1)+'DCF Model'!E45/(1+$B7)^('DCF Model'!C19+2)+'DCF Model'!F45/(1+$B7)^('DCF Model'!C19+3)+'DCF Model'!G45/(1+$B7)^('DCF Model'!C19+4)+'DCF Model'!G45*(1+D$6)/($B7-D$6)/(1+$B7)^('DCF Model'!C19+4)-'DCF Model'!C16)*1000000/'DCF Model'!C15,0),"")</f>
        <v>7392</v>
      </c>
      <c r="E7" s="37">
        <f>IFERROR(ROUND(('DCF Model'!C45/(1+$B7)^('DCF Model'!C19+0)+'DCF Model'!D45/(1+$B7)^('DCF Model'!C19+1)+'DCF Model'!E45/(1+$B7)^('DCF Model'!C19+2)+'DCF Model'!F45/(1+$B7)^('DCF Model'!C19+3)+'DCF Model'!G45/(1+$B7)^('DCF Model'!C19+4)+'DCF Model'!G45*(1+E$6)/($B7-E$6)/(1+$B7)^('DCF Model'!C19+4)-'DCF Model'!C16)*1000000/'DCF Model'!C15,0),"")</f>
        <v>7525</v>
      </c>
      <c r="F7" s="37">
        <f>IFERROR(ROUND(('DCF Model'!C45/(1+$B7)^('DCF Model'!C19+0)+'DCF Model'!D45/(1+$B7)^('DCF Model'!C19+1)+'DCF Model'!E45/(1+$B7)^('DCF Model'!C19+2)+'DCF Model'!F45/(1+$B7)^('DCF Model'!C19+3)+'DCF Model'!G45/(1+$B7)^('DCF Model'!C19+4)+'DCF Model'!G45*(1+F$6)/($B7-F$6)/(1+$B7)^('DCF Model'!C19+4)-'DCF Model'!C16)*1000000/'DCF Model'!C15,0),"")</f>
        <v>7667</v>
      </c>
      <c r="G7" s="37">
        <f>IFERROR(ROUND(('DCF Model'!C45/(1+$B7)^('DCF Model'!C19+0)+'DCF Model'!D45/(1+$B7)^('DCF Model'!C19+1)+'DCF Model'!E45/(1+$B7)^('DCF Model'!C19+2)+'DCF Model'!F45/(1+$B7)^('DCF Model'!C19+3)+'DCF Model'!G45/(1+$B7)^('DCF Model'!C19+4)+'DCF Model'!G45*(1+G$6)/($B7-G$6)/(1+$B7)^('DCF Model'!C19+4)-'DCF Model'!C16)*1000000/'DCF Model'!C15,0),"")</f>
        <v>7819</v>
      </c>
      <c r="H7" s="37">
        <f>IFERROR(ROUND(('DCF Model'!C45/(1+$B7)^('DCF Model'!C19+0)+'DCF Model'!D45/(1+$B7)^('DCF Model'!C19+1)+'DCF Model'!E45/(1+$B7)^('DCF Model'!C19+2)+'DCF Model'!F45/(1+$B7)^('DCF Model'!C19+3)+'DCF Model'!G45/(1+$B7)^('DCF Model'!C19+4)+'DCF Model'!G45*(1+H$6)/($B7-H$6)/(1+$B7)^('DCF Model'!C19+4)-'DCF Model'!C16)*1000000/'DCF Model'!C15,0),"")</f>
        <v>7980</v>
      </c>
      <c r="I7" s="37">
        <f>IFERROR(ROUND(('DCF Model'!C45/(1+$B7)^('DCF Model'!C19+0)+'DCF Model'!D45/(1+$B7)^('DCF Model'!C19+1)+'DCF Model'!E45/(1+$B7)^('DCF Model'!C19+2)+'DCF Model'!F45/(1+$B7)^('DCF Model'!C19+3)+'DCF Model'!G45/(1+$B7)^('DCF Model'!C19+4)+'DCF Model'!G45*(1+I$6)/($B7-I$6)/(1+$B7)^('DCF Model'!C19+4)-'DCF Model'!C16)*1000000/'DCF Model'!C15,0),"")</f>
        <v>8153</v>
      </c>
    </row>
    <row r="8" spans="2:9" ht="13.5" customHeight="1" x14ac:dyDescent="0.25">
      <c r="B8" s="39">
        <f>$C$3-0.01</f>
        <v>9.4700000000000006E-2</v>
      </c>
      <c r="C8" s="37">
        <f>IFERROR(ROUND(('DCF Model'!C45/(1+$B8)^('DCF Model'!C19+0)+'DCF Model'!D45/(1+$B8)^('DCF Model'!C19+1)+'DCF Model'!E45/(1+$B8)^('DCF Model'!C19+2)+'DCF Model'!F45/(1+$B8)^('DCF Model'!C19+3)+'DCF Model'!G45/(1+$B8)^('DCF Model'!C19+4)+'DCF Model'!G45*(1+C$6)/($B8-C$6)/(1+$B8)^('DCF Model'!C19+4)-'DCF Model'!C16)*1000000/'DCF Model'!C15,0),"")</f>
        <v>6944</v>
      </c>
      <c r="D8" s="37">
        <f>IFERROR(ROUND(('DCF Model'!C45/(1+$B8)^('DCF Model'!C19+0)+'DCF Model'!D45/(1+$B8)^('DCF Model'!C19+1)+'DCF Model'!E45/(1+$B8)^('DCF Model'!C19+2)+'DCF Model'!F45/(1+$B8)^('DCF Model'!C19+3)+'DCF Model'!G45/(1+$B8)^('DCF Model'!C19+4)+'DCF Model'!G45*(1+D$6)/($B8-D$6)/(1+$B8)^('DCF Model'!C19+4)-'DCF Model'!C16)*1000000/'DCF Model'!C15,0),"")</f>
        <v>7055</v>
      </c>
      <c r="E8" s="37">
        <f>IFERROR(ROUND(('DCF Model'!C45/(1+$B8)^('DCF Model'!C19+0)+'DCF Model'!D45/(1+$B8)^('DCF Model'!C19+1)+'DCF Model'!E45/(1+$B8)^('DCF Model'!C19+2)+'DCF Model'!F45/(1+$B8)^('DCF Model'!C19+3)+'DCF Model'!G45/(1+$B8)^('DCF Model'!C19+4)+'DCF Model'!G45*(1+E$6)/($B8-E$6)/(1+$B8)^('DCF Model'!C19+4)-'DCF Model'!C16)*1000000/'DCF Model'!C15,0),"")</f>
        <v>7172</v>
      </c>
      <c r="F8" s="37">
        <f>IFERROR(ROUND(('DCF Model'!C45/(1+$B8)^('DCF Model'!C19+0)+'DCF Model'!D45/(1+$B8)^('DCF Model'!C19+1)+'DCF Model'!E45/(1+$B8)^('DCF Model'!C19+2)+'DCF Model'!F45/(1+$B8)^('DCF Model'!C19+3)+'DCF Model'!G45/(1+$B8)^('DCF Model'!C19+4)+'DCF Model'!G45*(1+F$6)/($B8-F$6)/(1+$B8)^('DCF Model'!C19+4)-'DCF Model'!C16)*1000000/'DCF Model'!C15,0),"")</f>
        <v>7295</v>
      </c>
      <c r="G8" s="37">
        <f>IFERROR(ROUND(('DCF Model'!C45/(1+$B8)^('DCF Model'!C19+0)+'DCF Model'!D45/(1+$B8)^('DCF Model'!C19+1)+'DCF Model'!E45/(1+$B8)^('DCF Model'!C19+2)+'DCF Model'!F45/(1+$B8)^('DCF Model'!C19+3)+'DCF Model'!G45/(1+$B8)^('DCF Model'!C19+4)+'DCF Model'!G45*(1+G$6)/($B8-G$6)/(1+$B8)^('DCF Model'!C19+4)-'DCF Model'!C16)*1000000/'DCF Model'!C15,0),"")</f>
        <v>7427</v>
      </c>
      <c r="H8" s="37">
        <f>IFERROR(ROUND(('DCF Model'!C45/(1+$B8)^('DCF Model'!C19+0)+'DCF Model'!D45/(1+$B8)^('DCF Model'!C19+1)+'DCF Model'!E45/(1+$B8)^('DCF Model'!C19+2)+'DCF Model'!F45/(1+$B8)^('DCF Model'!C19+3)+'DCF Model'!G45/(1+$B8)^('DCF Model'!C19+4)+'DCF Model'!G45*(1+H$6)/($B8-H$6)/(1+$B8)^('DCF Model'!C19+4)-'DCF Model'!C16)*1000000/'DCF Model'!C15,0),"")</f>
        <v>7566</v>
      </c>
      <c r="I8" s="37">
        <f>IFERROR(ROUND(('DCF Model'!C45/(1+$B8)^('DCF Model'!C19+0)+'DCF Model'!D45/(1+$B8)^('DCF Model'!C19+1)+'DCF Model'!E45/(1+$B8)^('DCF Model'!C19+2)+'DCF Model'!F45/(1+$B8)^('DCF Model'!C19+3)+'DCF Model'!G45/(1+$B8)^('DCF Model'!C19+4)+'DCF Model'!G45*(1+I$6)/($B8-I$6)/(1+$B8)^('DCF Model'!C19+4)-'DCF Model'!C16)*1000000/'DCF Model'!C15,0),"")</f>
        <v>7715</v>
      </c>
    </row>
    <row r="9" spans="2:9" ht="13.5" customHeight="1" x14ac:dyDescent="0.25">
      <c r="B9" s="39">
        <f>$C$3-0.005</f>
        <v>9.9699999999999997E-2</v>
      </c>
      <c r="C9" s="37">
        <f>IFERROR(ROUND(('DCF Model'!C45/(1+$B9)^('DCF Model'!C19+0)+'DCF Model'!D45/(1+$B9)^('DCF Model'!C19+1)+'DCF Model'!E45/(1+$B9)^('DCF Model'!C19+2)+'DCF Model'!F45/(1+$B9)^('DCF Model'!C19+3)+'DCF Model'!G45/(1+$B9)^('DCF Model'!C19+4)+'DCF Model'!G45*(1+C$6)/($B9-C$6)/(1+$B9)^('DCF Model'!C19+4)-'DCF Model'!C16)*1000000/'DCF Model'!C15,0),"")</f>
        <v>6656</v>
      </c>
      <c r="D9" s="37">
        <f>IFERROR(ROUND(('DCF Model'!C45/(1+$B9)^('DCF Model'!C19+0)+'DCF Model'!D45/(1+$B9)^('DCF Model'!C19+1)+'DCF Model'!E45/(1+$B9)^('DCF Model'!C19+2)+'DCF Model'!F45/(1+$B9)^('DCF Model'!C19+3)+'DCF Model'!G45/(1+$B9)^('DCF Model'!C19+4)+'DCF Model'!G45*(1+D$6)/($B9-D$6)/(1+$B9)^('DCF Model'!C19+4)-'DCF Model'!C16)*1000000/'DCF Model'!C15,0),"")</f>
        <v>6753</v>
      </c>
      <c r="E9" s="37">
        <f>IFERROR(ROUND(('DCF Model'!C45/(1+$B9)^('DCF Model'!C19+0)+'DCF Model'!D45/(1+$B9)^('DCF Model'!C19+1)+'DCF Model'!E45/(1+$B9)^('DCF Model'!C19+2)+'DCF Model'!F45/(1+$B9)^('DCF Model'!C19+3)+'DCF Model'!G45/(1+$B9)^('DCF Model'!C19+4)+'DCF Model'!G45*(1+E$6)/($B9-E$6)/(1+$B9)^('DCF Model'!C19+4)-'DCF Model'!C16)*1000000/'DCF Model'!C15,0),"")</f>
        <v>6856</v>
      </c>
      <c r="F9" s="37">
        <f>IFERROR(ROUND(('DCF Model'!C45/(1+$B9)^('DCF Model'!C19+0)+'DCF Model'!D45/(1+$B9)^('DCF Model'!C19+1)+'DCF Model'!E45/(1+$B9)^('DCF Model'!C19+2)+'DCF Model'!F45/(1+$B9)^('DCF Model'!C19+3)+'DCF Model'!G45/(1+$B9)^('DCF Model'!C19+4)+'DCF Model'!G45*(1+F$6)/($B9-F$6)/(1+$B9)^('DCF Model'!C19+4)-'DCF Model'!C16)*1000000/'DCF Model'!C15,0),"")</f>
        <v>6965</v>
      </c>
      <c r="G9" s="37">
        <f>IFERROR(ROUND(('DCF Model'!C45/(1+$B9)^('DCF Model'!C19+0)+'DCF Model'!D45/(1+$B9)^('DCF Model'!C19+1)+'DCF Model'!E45/(1+$B9)^('DCF Model'!C19+2)+'DCF Model'!F45/(1+$B9)^('DCF Model'!C19+3)+'DCF Model'!G45/(1+$B9)^('DCF Model'!C19+4)+'DCF Model'!G45*(1+G$6)/($B9-G$6)/(1+$B9)^('DCF Model'!C19+4)-'DCF Model'!C16)*1000000/'DCF Model'!C15,0),"")</f>
        <v>7079</v>
      </c>
      <c r="H9" s="37">
        <f>IFERROR(ROUND(('DCF Model'!C45/(1+$B9)^('DCF Model'!C19+0)+'DCF Model'!D45/(1+$B9)^('DCF Model'!C19+1)+'DCF Model'!E45/(1+$B9)^('DCF Model'!C19+2)+'DCF Model'!F45/(1+$B9)^('DCF Model'!C19+3)+'DCF Model'!G45/(1+$B9)^('DCF Model'!C19+4)+'DCF Model'!G45*(1+H$6)/($B9-H$6)/(1+$B9)^('DCF Model'!C19+4)-'DCF Model'!C16)*1000000/'DCF Model'!C15,0),"")</f>
        <v>7201</v>
      </c>
      <c r="I9" s="37">
        <f>IFERROR(ROUND(('DCF Model'!C45/(1+$B9)^('DCF Model'!C19+0)+'DCF Model'!D45/(1+$B9)^('DCF Model'!C19+1)+'DCF Model'!E45/(1+$B9)^('DCF Model'!C19+2)+'DCF Model'!F45/(1+$B9)^('DCF Model'!C19+3)+'DCF Model'!G45/(1+$B9)^('DCF Model'!C19+4)+'DCF Model'!G45*(1+I$6)/($B9-I$6)/(1+$B9)^('DCF Model'!C19+4)-'DCF Model'!C16)*1000000/'DCF Model'!C15,0),"")</f>
        <v>7330</v>
      </c>
    </row>
    <row r="10" spans="2:9" ht="13.5" customHeight="1" x14ac:dyDescent="0.25">
      <c r="B10" s="39">
        <f>$C$3</f>
        <v>0.1047</v>
      </c>
      <c r="C10" s="37">
        <f>IFERROR(ROUND(('DCF Model'!C45/(1+$B10)^('DCF Model'!C19+0)+'DCF Model'!D45/(1+$B10)^('DCF Model'!C19+1)+'DCF Model'!E45/(1+$B10)^('DCF Model'!C19+2)+'DCF Model'!F45/(1+$B10)^('DCF Model'!C19+3)+'DCF Model'!G45/(1+$B10)^('DCF Model'!C19+4)+'DCF Model'!G45*(1+C$6)/($B10-C$6)/(1+$B10)^('DCF Model'!C19+4)-'DCF Model'!C16)*1000000/'DCF Model'!C15,0),"")</f>
        <v>6396</v>
      </c>
      <c r="D10" s="37">
        <f>IFERROR(ROUND(('DCF Model'!C45/(1+$B10)^('DCF Model'!C19+0)+'DCF Model'!D45/(1+$B10)^('DCF Model'!C19+1)+'DCF Model'!E45/(1+$B10)^('DCF Model'!C19+2)+'DCF Model'!F45/(1+$B10)^('DCF Model'!C19+3)+'DCF Model'!G45/(1+$B10)^('DCF Model'!C19+4)+'DCF Model'!G45*(1+D$6)/($B10-D$6)/(1+$B10)^('DCF Model'!C19+4)-'DCF Model'!C16)*1000000/'DCF Model'!C15,0),"")</f>
        <v>6482</v>
      </c>
      <c r="E10" s="37">
        <f>IFERROR(ROUND(('DCF Model'!C45/(1+$B10)^('DCF Model'!C19+0)+'DCF Model'!D45/(1+$B10)^('DCF Model'!C19+1)+'DCF Model'!E45/(1+$B10)^('DCF Model'!C19+2)+'DCF Model'!F45/(1+$B10)^('DCF Model'!C19+3)+'DCF Model'!G45/(1+$B10)^('DCF Model'!C19+4)+'DCF Model'!G45*(1+E$6)/($B10-E$6)/(1+$B10)^('DCF Model'!C19+4)-'DCF Model'!C16)*1000000/'DCF Model'!C15,0),"")</f>
        <v>6573</v>
      </c>
      <c r="F10" s="37">
        <f>IFERROR(ROUND(('DCF Model'!C45/(1+$B10)^('DCF Model'!C19+0)+'DCF Model'!D45/(1+$B10)^('DCF Model'!C19+1)+'DCF Model'!E45/(1+$B10)^('DCF Model'!C19+2)+'DCF Model'!F45/(1+$B10)^('DCF Model'!C19+3)+'DCF Model'!G45/(1+$B10)^('DCF Model'!C19+4)+'DCF Model'!G45*(1+F$6)/($B10-F$6)/(1+$B10)^('DCF Model'!C19+4)-'DCF Model'!C16)*1000000/'DCF Model'!C15,0),"")</f>
        <v>6669</v>
      </c>
      <c r="G10" s="37">
        <f>IFERROR(ROUND(('DCF Model'!C45/(1+$B10)^('DCF Model'!C19+0)+'DCF Model'!D45/(1+$B10)^('DCF Model'!C19+1)+'DCF Model'!E45/(1+$B10)^('DCF Model'!C19+2)+'DCF Model'!F45/(1+$B10)^('DCF Model'!C19+3)+'DCF Model'!G45/(1+$B10)^('DCF Model'!C19+4)+'DCF Model'!G45*(1+G$6)/($B10-G$6)/(1+$B10)^('DCF Model'!C19+4)-'DCF Model'!C16)*1000000/'DCF Model'!C15,0),"")</f>
        <v>6770</v>
      </c>
      <c r="H10" s="37">
        <f>IFERROR(ROUND(('DCF Model'!C45/(1+$B10)^('DCF Model'!C19+0)+'DCF Model'!D45/(1+$B10)^('DCF Model'!C19+1)+'DCF Model'!E45/(1+$B10)^('DCF Model'!C19+2)+'DCF Model'!F45/(1+$B10)^('DCF Model'!C19+3)+'DCF Model'!G45/(1+$B10)^('DCF Model'!C19+4)+'DCF Model'!G45*(1+H$6)/($B10-H$6)/(1+$B10)^('DCF Model'!C19+4)-'DCF Model'!C16)*1000000/'DCF Model'!C15,0),"")</f>
        <v>6877</v>
      </c>
      <c r="I10" s="37">
        <f>IFERROR(ROUND(('DCF Model'!C45/(1+$B10)^('DCF Model'!C19+0)+'DCF Model'!D45/(1+$B10)^('DCF Model'!C19+1)+'DCF Model'!E45/(1+$B10)^('DCF Model'!C19+2)+'DCF Model'!F45/(1+$B10)^('DCF Model'!C19+3)+'DCF Model'!G45/(1+$B10)^('DCF Model'!C19+4)+'DCF Model'!G45*(1+I$6)/($B10-I$6)/(1+$B10)^('DCF Model'!C19+4)-'DCF Model'!C16)*1000000/'DCF Model'!C15,0),"")</f>
        <v>6989</v>
      </c>
    </row>
    <row r="11" spans="2:9" ht="13.5" customHeight="1" x14ac:dyDescent="0.25">
      <c r="B11" s="39">
        <f>$C$3+0.005</f>
        <v>0.10970000000000001</v>
      </c>
      <c r="C11" s="37">
        <f>IFERROR(ROUND(('DCF Model'!C45/(1+$B11)^('DCF Model'!C19+0)+'DCF Model'!D45/(1+$B11)^('DCF Model'!C19+1)+'DCF Model'!E45/(1+$B11)^('DCF Model'!C19+2)+'DCF Model'!F45/(1+$B11)^('DCF Model'!C19+3)+'DCF Model'!G45/(1+$B11)^('DCF Model'!C19+4)+'DCF Model'!G45*(1+C$6)/($B11-C$6)/(1+$B11)^('DCF Model'!C19+4)-'DCF Model'!C16)*1000000/'DCF Model'!C15,0),"")</f>
        <v>6160</v>
      </c>
      <c r="D11" s="37">
        <f>IFERROR(ROUND(('DCF Model'!C45/(1+$B11)^('DCF Model'!C19+0)+'DCF Model'!D45/(1+$B11)^('DCF Model'!C19+1)+'DCF Model'!E45/(1+$B11)^('DCF Model'!C19+2)+'DCF Model'!F45/(1+$B11)^('DCF Model'!C19+3)+'DCF Model'!G45/(1+$B11)^('DCF Model'!C19+4)+'DCF Model'!G45*(1+D$6)/($B11-D$6)/(1+$B11)^('DCF Model'!C19+4)-'DCF Model'!C16)*1000000/'DCF Model'!C15,0),"")</f>
        <v>6238</v>
      </c>
      <c r="E11" s="37">
        <f>IFERROR(ROUND(('DCF Model'!C45/(1+$B11)^('DCF Model'!C19+0)+'DCF Model'!D45/(1+$B11)^('DCF Model'!C19+1)+'DCF Model'!E45/(1+$B11)^('DCF Model'!C19+2)+'DCF Model'!F45/(1+$B11)^('DCF Model'!C19+3)+'DCF Model'!G45/(1+$B11)^('DCF Model'!C19+4)+'DCF Model'!G45*(1+E$6)/($B11-E$6)/(1+$B11)^('DCF Model'!C19+4)-'DCF Model'!C16)*1000000/'DCF Model'!C15,0),"")</f>
        <v>6318</v>
      </c>
      <c r="F11" s="37">
        <f>IFERROR(ROUND(('DCF Model'!C45/(1+$B11)^('DCF Model'!C19+0)+'DCF Model'!D45/(1+$B11)^('DCF Model'!C19+1)+'DCF Model'!E45/(1+$B11)^('DCF Model'!C19+2)+'DCF Model'!F45/(1+$B11)^('DCF Model'!C19+3)+'DCF Model'!G45/(1+$B11)^('DCF Model'!C19+4)+'DCF Model'!G45*(1+F$6)/($B11-F$6)/(1+$B11)^('DCF Model'!C19+4)-'DCF Model'!C16)*1000000/'DCF Model'!C15,0),"")</f>
        <v>6403</v>
      </c>
      <c r="G11" s="37">
        <f>IFERROR(ROUND(('DCF Model'!C45/(1+$B11)^('DCF Model'!C19+0)+'DCF Model'!D45/(1+$B11)^('DCF Model'!C19+1)+'DCF Model'!E45/(1+$B11)^('DCF Model'!C19+2)+'DCF Model'!F45/(1+$B11)^('DCF Model'!C19+3)+'DCF Model'!G45/(1+$B11)^('DCF Model'!C19+4)+'DCF Model'!G45*(1+G$6)/($B11-G$6)/(1+$B11)^('DCF Model'!C19+4)-'DCF Model'!C16)*1000000/'DCF Model'!C15,0),"")</f>
        <v>6493</v>
      </c>
      <c r="H11" s="37">
        <f>IFERROR(ROUND(('DCF Model'!C45/(1+$B11)^('DCF Model'!C19+0)+'DCF Model'!D45/(1+$B11)^('DCF Model'!C19+1)+'DCF Model'!E45/(1+$B11)^('DCF Model'!C19+2)+'DCF Model'!F45/(1+$B11)^('DCF Model'!C19+3)+'DCF Model'!G45/(1+$B11)^('DCF Model'!C19+4)+'DCF Model'!G45*(1+H$6)/($B11-H$6)/(1+$B11)^('DCF Model'!C19+4)-'DCF Model'!C16)*1000000/'DCF Model'!C15,0),"")</f>
        <v>6587</v>
      </c>
      <c r="I11" s="37">
        <f>IFERROR(ROUND(('DCF Model'!C45/(1+$B11)^('DCF Model'!C19+0)+'DCF Model'!D45/(1+$B11)^('DCF Model'!C19+1)+'DCF Model'!E45/(1+$B11)^('DCF Model'!C19+2)+'DCF Model'!F45/(1+$B11)^('DCF Model'!C19+3)+'DCF Model'!G45/(1+$B11)^('DCF Model'!C19+4)+'DCF Model'!G45*(1+I$6)/($B11-I$6)/(1+$B11)^('DCF Model'!C19+4)-'DCF Model'!C16)*1000000/'DCF Model'!C15,0),"")</f>
        <v>6686</v>
      </c>
    </row>
    <row r="12" spans="2:9" ht="13.5" customHeight="1" x14ac:dyDescent="0.25">
      <c r="B12" s="39">
        <f>$C$3+0.01</f>
        <v>0.1147</v>
      </c>
      <c r="C12" s="37">
        <f>IFERROR(ROUND(('DCF Model'!C45/(1+$B12)^('DCF Model'!C19+0)+'DCF Model'!D45/(1+$B12)^('DCF Model'!C19+1)+'DCF Model'!E45/(1+$B12)^('DCF Model'!C19+2)+'DCF Model'!F45/(1+$B12)^('DCF Model'!C19+3)+'DCF Model'!G45/(1+$B12)^('DCF Model'!C19+4)+'DCF Model'!G45*(1+C$6)/($B12-C$6)/(1+$B12)^('DCF Model'!C19+4)-'DCF Model'!C16)*1000000/'DCF Model'!C15,0),"")</f>
        <v>5946</v>
      </c>
      <c r="D12" s="37">
        <f>IFERROR(ROUND(('DCF Model'!C45/(1+$B12)^('DCF Model'!C19+0)+'DCF Model'!D45/(1+$B12)^('DCF Model'!C19+1)+'DCF Model'!E45/(1+$B12)^('DCF Model'!C19+2)+'DCF Model'!F45/(1+$B12)^('DCF Model'!C19+3)+'DCF Model'!G45/(1+$B12)^('DCF Model'!C19+4)+'DCF Model'!G45*(1+D$6)/($B12-D$6)/(1+$B12)^('DCF Model'!C19+4)-'DCF Model'!C16)*1000000/'DCF Model'!C15,0),"")</f>
        <v>6015</v>
      </c>
      <c r="E12" s="37">
        <f>IFERROR(ROUND(('DCF Model'!C45/(1+$B12)^('DCF Model'!C19+0)+'DCF Model'!D45/(1+$B12)^('DCF Model'!C19+1)+'DCF Model'!E45/(1+$B12)^('DCF Model'!C19+2)+'DCF Model'!F45/(1+$B12)^('DCF Model'!C19+3)+'DCF Model'!G45/(1+$B12)^('DCF Model'!C19+4)+'DCF Model'!G45*(1+E$6)/($B12-E$6)/(1+$B12)^('DCF Model'!C19+4)-'DCF Model'!C16)*1000000/'DCF Model'!C15,0),"")</f>
        <v>6087</v>
      </c>
      <c r="F12" s="37">
        <f>IFERROR(ROUND(('DCF Model'!C45/(1+$B12)^('DCF Model'!C19+0)+'DCF Model'!D45/(1+$B12)^('DCF Model'!C19+1)+'DCF Model'!E45/(1+$B12)^('DCF Model'!C19+2)+'DCF Model'!F45/(1+$B12)^('DCF Model'!C19+3)+'DCF Model'!G45/(1+$B12)^('DCF Model'!C19+4)+'DCF Model'!G45*(1+F$6)/($B12-F$6)/(1+$B12)^('DCF Model'!C19+4)-'DCF Model'!C16)*1000000/'DCF Model'!C15,0),"")</f>
        <v>6163</v>
      </c>
      <c r="G12" s="37">
        <f>IFERROR(ROUND(('DCF Model'!C45/(1+$B12)^('DCF Model'!C19+0)+'DCF Model'!D45/(1+$B12)^('DCF Model'!C19+1)+'DCF Model'!E45/(1+$B12)^('DCF Model'!C19+2)+'DCF Model'!F45/(1+$B12)^('DCF Model'!C19+3)+'DCF Model'!G45/(1+$B12)^('DCF Model'!C19+4)+'DCF Model'!G45*(1+G$6)/($B12-G$6)/(1+$B12)^('DCF Model'!C19+4)-'DCF Model'!C16)*1000000/'DCF Model'!C15,0),"")</f>
        <v>6243</v>
      </c>
      <c r="H12" s="37">
        <f>IFERROR(ROUND(('DCF Model'!C45/(1+$B12)^('DCF Model'!C19+0)+'DCF Model'!D45/(1+$B12)^('DCF Model'!C19+1)+'DCF Model'!E45/(1+$B12)^('DCF Model'!C19+2)+'DCF Model'!F45/(1+$B12)^('DCF Model'!C19+3)+'DCF Model'!G45/(1+$B12)^('DCF Model'!C19+4)+'DCF Model'!G45*(1+H$6)/($B12-H$6)/(1+$B12)^('DCF Model'!C19+4)-'DCF Model'!C16)*1000000/'DCF Model'!C15,0),"")</f>
        <v>6326</v>
      </c>
      <c r="I12" s="37">
        <f>IFERROR(ROUND(('DCF Model'!C45/(1+$B12)^('DCF Model'!C19+0)+'DCF Model'!D45/(1+$B12)^('DCF Model'!C19+1)+'DCF Model'!E45/(1+$B12)^('DCF Model'!C19+2)+'DCF Model'!F45/(1+$B12)^('DCF Model'!C19+3)+'DCF Model'!G45/(1+$B12)^('DCF Model'!C19+4)+'DCF Model'!G45*(1+I$6)/($B12-I$6)/(1+$B12)^('DCF Model'!C19+4)-'DCF Model'!C16)*1000000/'DCF Model'!C15,0),"")</f>
        <v>6414</v>
      </c>
    </row>
    <row r="13" spans="2:9" ht="13.5" customHeight="1" x14ac:dyDescent="0.25">
      <c r="B13" s="39">
        <f>$C$3+0.015</f>
        <v>0.1197</v>
      </c>
      <c r="C13" s="37">
        <f>IFERROR(ROUND(('DCF Model'!C45/(1+$B13)^('DCF Model'!C19+0)+'DCF Model'!D45/(1+$B13)^('DCF Model'!C19+1)+'DCF Model'!E45/(1+$B13)^('DCF Model'!C19+2)+'DCF Model'!F45/(1+$B13)^('DCF Model'!C19+3)+'DCF Model'!G45/(1+$B13)^('DCF Model'!C19+4)+'DCF Model'!G45*(1+C$6)/($B13-C$6)/(1+$B13)^('DCF Model'!C19+4)-'DCF Model'!C16)*1000000/'DCF Model'!C15,0),"")</f>
        <v>5750</v>
      </c>
      <c r="D13" s="37">
        <f>IFERROR(ROUND(('DCF Model'!C45/(1+$B13)^('DCF Model'!C19+0)+'DCF Model'!D45/(1+$B13)^('DCF Model'!C19+1)+'DCF Model'!E45/(1+$B13)^('DCF Model'!C19+2)+'DCF Model'!F45/(1+$B13)^('DCF Model'!C19+3)+'DCF Model'!G45/(1+$B13)^('DCF Model'!C19+4)+'DCF Model'!G45*(1+D$6)/($B13-D$6)/(1+$B13)^('DCF Model'!C19+4)-'DCF Model'!C16)*1000000/'DCF Model'!C15,0),"")</f>
        <v>5812</v>
      </c>
      <c r="E13" s="37">
        <f>IFERROR(ROUND(('DCF Model'!C45/(1+$B13)^('DCF Model'!C19+0)+'DCF Model'!D45/(1+$B13)^('DCF Model'!C19+1)+'DCF Model'!E45/(1+$B13)^('DCF Model'!C19+2)+'DCF Model'!F45/(1+$B13)^('DCF Model'!C19+3)+'DCF Model'!G45/(1+$B13)^('DCF Model'!C19+4)+'DCF Model'!G45*(1+E$6)/($B13-E$6)/(1+$B13)^('DCF Model'!C19+4)-'DCF Model'!C16)*1000000/'DCF Model'!C15,0),"")</f>
        <v>5877</v>
      </c>
      <c r="F13" s="37">
        <f>IFERROR(ROUND(('DCF Model'!C45/(1+$B13)^('DCF Model'!C19+0)+'DCF Model'!D45/(1+$B13)^('DCF Model'!C19+1)+'DCF Model'!E45/(1+$B13)^('DCF Model'!C19+2)+'DCF Model'!F45/(1+$B13)^('DCF Model'!C19+3)+'DCF Model'!G45/(1+$B13)^('DCF Model'!C19+4)+'DCF Model'!G45*(1+F$6)/($B13-F$6)/(1+$B13)^('DCF Model'!C19+4)-'DCF Model'!C16)*1000000/'DCF Model'!C15,0),"")</f>
        <v>5945</v>
      </c>
      <c r="G13" s="37">
        <f>IFERROR(ROUND(('DCF Model'!C45/(1+$B13)^('DCF Model'!C19+0)+'DCF Model'!D45/(1+$B13)^('DCF Model'!C19+1)+'DCF Model'!E45/(1+$B13)^('DCF Model'!C19+2)+'DCF Model'!F45/(1+$B13)^('DCF Model'!C19+3)+'DCF Model'!G45/(1+$B13)^('DCF Model'!C19+4)+'DCF Model'!G45*(1+G$6)/($B13-G$6)/(1+$B13)^('DCF Model'!C19+4)-'DCF Model'!C16)*1000000/'DCF Model'!C15,0),"")</f>
        <v>6016</v>
      </c>
      <c r="H13" s="37">
        <f>IFERROR(ROUND(('DCF Model'!C45/(1+$B13)^('DCF Model'!C19+0)+'DCF Model'!D45/(1+$B13)^('DCF Model'!C19+1)+'DCF Model'!E45/(1+$B13)^('DCF Model'!C19+2)+'DCF Model'!F45/(1+$B13)^('DCF Model'!C19+3)+'DCF Model'!G45/(1+$B13)^('DCF Model'!C19+4)+'DCF Model'!G45*(1+H$6)/($B13-H$6)/(1+$B13)^('DCF Model'!C19+4)-'DCF Model'!C16)*1000000/'DCF Model'!C15,0),"")</f>
        <v>6090</v>
      </c>
      <c r="I13" s="37">
        <f>IFERROR(ROUND(('DCF Model'!C45/(1+$B13)^('DCF Model'!C19+0)+'DCF Model'!D45/(1+$B13)^('DCF Model'!C19+1)+'DCF Model'!E45/(1+$B13)^('DCF Model'!C19+2)+'DCF Model'!F45/(1+$B13)^('DCF Model'!C19+3)+'DCF Model'!G45/(1+$B13)^('DCF Model'!C19+4)+'DCF Model'!G45*(1+I$6)/($B13-I$6)/(1+$B13)^('DCF Model'!C19+4)-'DCF Model'!C16)*1000000/'DCF Model'!C15,0),"")</f>
        <v>6168</v>
      </c>
    </row>
    <row r="16" spans="2:9" ht="14" customHeight="1" x14ac:dyDescent="0.3">
      <c r="B16" s="3" t="s">
        <v>239</v>
      </c>
    </row>
    <row r="17" spans="2:9" ht="14" customHeight="1" x14ac:dyDescent="0.3">
      <c r="B17" s="41" t="s">
        <v>240</v>
      </c>
      <c r="C17" s="43">
        <f>$I$3-3</f>
        <v>10.199999999999999</v>
      </c>
      <c r="D17" s="43">
        <f>$I$3-2</f>
        <v>11.2</v>
      </c>
      <c r="E17" s="43">
        <f>$I$3-1</f>
        <v>12.2</v>
      </c>
      <c r="F17" s="43">
        <f>$I$3</f>
        <v>13.2</v>
      </c>
      <c r="G17" s="43">
        <f>$I$3+1</f>
        <v>14.2</v>
      </c>
      <c r="H17" s="43">
        <f>$I$3+2</f>
        <v>15.2</v>
      </c>
      <c r="I17" s="43">
        <f>$I$3+3</f>
        <v>16.2</v>
      </c>
    </row>
    <row r="18" spans="2:9" ht="13.5" customHeight="1" x14ac:dyDescent="0.25">
      <c r="B18" s="39">
        <f>$C$3-0.015</f>
        <v>8.9700000000000002E-2</v>
      </c>
      <c r="C18" s="37">
        <f>IFERROR(ROUND(('DCF Model'!C45/(1+$B18)^('DCF Model'!C19+0)+'DCF Model'!D45/(1+$B18)^('DCF Model'!C19+1)+'DCF Model'!E45/(1+$B18)^('DCF Model'!C19+2)+'DCF Model'!F45/(1+$B18)^('DCF Model'!C19+3)+'DCF Model'!G45/(1+$B18)^('DCF Model'!C19+4)+('DCF Model'!G39+'DCF Model'!G42)*C$17/(1+$B18)^('DCF Model'!C19+4)-'DCF Model'!C16)*1000000/'DCF Model'!C15,0),"")</f>
        <v>8218</v>
      </c>
      <c r="D18" s="37">
        <f>IFERROR(ROUND(('DCF Model'!C45/(1+$B18)^('DCF Model'!C19+0)+'DCF Model'!D45/(1+$B18)^('DCF Model'!C19+1)+'DCF Model'!E45/(1+$B18)^('DCF Model'!C19+2)+'DCF Model'!F45/(1+$B18)^('DCF Model'!C19+3)+'DCF Model'!G45/(1+$B18)^('DCF Model'!C19+4)+('DCF Model'!G39+'DCF Model'!G42)*D$17/(1+$B18)^('DCF Model'!C19+4)-'DCF Model'!C16)*1000000/'DCF Model'!C15,0),"")</f>
        <v>8696</v>
      </c>
      <c r="E18" s="37">
        <f>IFERROR(ROUND(('DCF Model'!C45/(1+$B18)^('DCF Model'!C19+0)+'DCF Model'!D45/(1+$B18)^('DCF Model'!C19+1)+'DCF Model'!E45/(1+$B18)^('DCF Model'!C19+2)+'DCF Model'!F45/(1+$B18)^('DCF Model'!C19+3)+'DCF Model'!G45/(1+$B18)^('DCF Model'!C19+4)+('DCF Model'!G39+'DCF Model'!G42)*E$17/(1+$B18)^('DCF Model'!C19+4)-'DCF Model'!C16)*1000000/'DCF Model'!C15,0),"")</f>
        <v>9175</v>
      </c>
      <c r="F18" s="37">
        <f>IFERROR(ROUND(('DCF Model'!C45/(1+$B18)^('DCF Model'!C19+0)+'DCF Model'!D45/(1+$B18)^('DCF Model'!C19+1)+'DCF Model'!E45/(1+$B18)^('DCF Model'!C19+2)+'DCF Model'!F45/(1+$B18)^('DCF Model'!C19+3)+'DCF Model'!G45/(1+$B18)^('DCF Model'!C19+4)+('DCF Model'!G39+'DCF Model'!G42)*F$17/(1+$B18)^('DCF Model'!C19+4)-'DCF Model'!C16)*1000000/'DCF Model'!C15,0),"")</f>
        <v>9653</v>
      </c>
      <c r="G18" s="37">
        <f>IFERROR(ROUND(('DCF Model'!C45/(1+$B18)^('DCF Model'!C19+0)+'DCF Model'!D45/(1+$B18)^('DCF Model'!C19+1)+'DCF Model'!E45/(1+$B18)^('DCF Model'!C19+2)+'DCF Model'!F45/(1+$B18)^('DCF Model'!C19+3)+'DCF Model'!G45/(1+$B18)^('DCF Model'!C19+4)+('DCF Model'!G39+'DCF Model'!G42)*G$17/(1+$B18)^('DCF Model'!C19+4)-'DCF Model'!C16)*1000000/'DCF Model'!C15,0),"")</f>
        <v>10132</v>
      </c>
      <c r="H18" s="37">
        <f>IFERROR(ROUND(('DCF Model'!C45/(1+$B18)^('DCF Model'!C19+0)+'DCF Model'!D45/(1+$B18)^('DCF Model'!C19+1)+'DCF Model'!E45/(1+$B18)^('DCF Model'!C19+2)+'DCF Model'!F45/(1+$B18)^('DCF Model'!C19+3)+'DCF Model'!G45/(1+$B18)^('DCF Model'!C19+4)+('DCF Model'!G39+'DCF Model'!G42)*H$17/(1+$B18)^('DCF Model'!C19+4)-'DCF Model'!C16)*1000000/'DCF Model'!C15,0),"")</f>
        <v>10610</v>
      </c>
      <c r="I18" s="37">
        <f>IFERROR(ROUND(('DCF Model'!C45/(1+$B18)^('DCF Model'!C19+0)+'DCF Model'!D45/(1+$B18)^('DCF Model'!C19+1)+'DCF Model'!E45/(1+$B18)^('DCF Model'!C19+2)+'DCF Model'!F45/(1+$B18)^('DCF Model'!C19+3)+'DCF Model'!G45/(1+$B18)^('DCF Model'!C19+4)+('DCF Model'!G39+'DCF Model'!G42)*I$17/(1+$B18)^('DCF Model'!C19+4)-'DCF Model'!C16)*1000000/'DCF Model'!C15,0),"")</f>
        <v>11089</v>
      </c>
    </row>
    <row r="19" spans="2:9" ht="13.5" customHeight="1" x14ac:dyDescent="0.25">
      <c r="B19" s="39">
        <f>$C$3-0.01</f>
        <v>9.4700000000000006E-2</v>
      </c>
      <c r="C19" s="37">
        <f>IFERROR(ROUND(('DCF Model'!C45/(1+$B19)^('DCF Model'!C19+0)+'DCF Model'!D45/(1+$B19)^('DCF Model'!C19+1)+'DCF Model'!E45/(1+$B19)^('DCF Model'!C19+2)+'DCF Model'!F45/(1+$B19)^('DCF Model'!C19+3)+'DCF Model'!G45/(1+$B19)^('DCF Model'!C19+4)+('DCF Model'!G39+'DCF Model'!G42)*C$17/(1+$B19)^('DCF Model'!C19+4)-'DCF Model'!C16)*1000000/'DCF Model'!C15,0),"")</f>
        <v>8083</v>
      </c>
      <c r="D19" s="37">
        <f>IFERROR(ROUND(('DCF Model'!C45/(1+$B19)^('DCF Model'!C19+0)+'DCF Model'!D45/(1+$B19)^('DCF Model'!C19+1)+'DCF Model'!E45/(1+$B19)^('DCF Model'!C19+2)+'DCF Model'!F45/(1+$B19)^('DCF Model'!C19+3)+'DCF Model'!G45/(1+$B19)^('DCF Model'!C19+4)+('DCF Model'!G39+'DCF Model'!G42)*D$17/(1+$B19)^('DCF Model'!C19+4)-'DCF Model'!C16)*1000000/'DCF Model'!C15,0),"")</f>
        <v>8551</v>
      </c>
      <c r="E19" s="37">
        <f>IFERROR(ROUND(('DCF Model'!C45/(1+$B19)^('DCF Model'!C19+0)+'DCF Model'!D45/(1+$B19)^('DCF Model'!C19+1)+'DCF Model'!E45/(1+$B19)^('DCF Model'!C19+2)+'DCF Model'!F45/(1+$B19)^('DCF Model'!C19+3)+'DCF Model'!G45/(1+$B19)^('DCF Model'!C19+4)+('DCF Model'!G39+'DCF Model'!G42)*E$17/(1+$B19)^('DCF Model'!C19+4)-'DCF Model'!C16)*1000000/'DCF Model'!C15,0),"")</f>
        <v>9018</v>
      </c>
      <c r="F19" s="37">
        <f>IFERROR(ROUND(('DCF Model'!C45/(1+$B19)^('DCF Model'!C19+0)+'DCF Model'!D45/(1+$B19)^('DCF Model'!C19+1)+'DCF Model'!E45/(1+$B19)^('DCF Model'!C19+2)+'DCF Model'!F45/(1+$B19)^('DCF Model'!C19+3)+'DCF Model'!G45/(1+$B19)^('DCF Model'!C19+4)+('DCF Model'!G39+'DCF Model'!G42)*F$17/(1+$B19)^('DCF Model'!C19+4)-'DCF Model'!C16)*1000000/'DCF Model'!C15,0),"")</f>
        <v>9486</v>
      </c>
      <c r="G19" s="37">
        <f>IFERROR(ROUND(('DCF Model'!C45/(1+$B19)^('DCF Model'!C19+0)+'DCF Model'!D45/(1+$B19)^('DCF Model'!C19+1)+'DCF Model'!E45/(1+$B19)^('DCF Model'!C19+2)+'DCF Model'!F45/(1+$B19)^('DCF Model'!C19+3)+'DCF Model'!G45/(1+$B19)^('DCF Model'!C19+4)+('DCF Model'!G39+'DCF Model'!G42)*G$17/(1+$B19)^('DCF Model'!C19+4)-'DCF Model'!C16)*1000000/'DCF Model'!C15,0),"")</f>
        <v>9954</v>
      </c>
      <c r="H19" s="37">
        <f>IFERROR(ROUND(('DCF Model'!C45/(1+$B19)^('DCF Model'!C19+0)+'DCF Model'!D45/(1+$B19)^('DCF Model'!C19+1)+'DCF Model'!E45/(1+$B19)^('DCF Model'!C19+2)+'DCF Model'!F45/(1+$B19)^('DCF Model'!C19+3)+'DCF Model'!G45/(1+$B19)^('DCF Model'!C19+4)+('DCF Model'!G39+'DCF Model'!G42)*H$17/(1+$B19)^('DCF Model'!C19+4)-'DCF Model'!C16)*1000000/'DCF Model'!C15,0),"")</f>
        <v>10421</v>
      </c>
      <c r="I19" s="37">
        <f>IFERROR(ROUND(('DCF Model'!C45/(1+$B19)^('DCF Model'!C19+0)+'DCF Model'!D45/(1+$B19)^('DCF Model'!C19+1)+'DCF Model'!E45/(1+$B19)^('DCF Model'!C19+2)+'DCF Model'!F45/(1+$B19)^('DCF Model'!C19+3)+'DCF Model'!G45/(1+$B19)^('DCF Model'!C19+4)+('DCF Model'!G39+'DCF Model'!G42)*I$17/(1+$B19)^('DCF Model'!C19+4)-'DCF Model'!C16)*1000000/'DCF Model'!C15,0),"")</f>
        <v>10889</v>
      </c>
    </row>
    <row r="20" spans="2:9" ht="13.5" customHeight="1" x14ac:dyDescent="0.25">
      <c r="B20" s="39">
        <f>$C$3-0.005</f>
        <v>9.9699999999999997E-2</v>
      </c>
      <c r="C20" s="37">
        <f>IFERROR(ROUND(('DCF Model'!C45/(1+$B20)^('DCF Model'!C19+0)+'DCF Model'!D45/(1+$B20)^('DCF Model'!C19+1)+'DCF Model'!E45/(1+$B20)^('DCF Model'!C19+2)+'DCF Model'!F45/(1+$B20)^('DCF Model'!C19+3)+'DCF Model'!G45/(1+$B20)^('DCF Model'!C19+4)+('DCF Model'!G39+'DCF Model'!G42)*C$17/(1+$B20)^('DCF Model'!C19+4)-'DCF Model'!C16)*1000000/'DCF Model'!C15,0),"")</f>
        <v>7952</v>
      </c>
      <c r="D20" s="37">
        <f>IFERROR(ROUND(('DCF Model'!C45/(1+$B20)^('DCF Model'!C19+0)+'DCF Model'!D45/(1+$B20)^('DCF Model'!C19+1)+'DCF Model'!E45/(1+$B20)^('DCF Model'!C19+2)+'DCF Model'!F45/(1+$B20)^('DCF Model'!C19+3)+'DCF Model'!G45/(1+$B20)^('DCF Model'!C19+4)+('DCF Model'!G39+'DCF Model'!G42)*D$17/(1+$B20)^('DCF Model'!C19+4)-'DCF Model'!C16)*1000000/'DCF Model'!C15,0),"")</f>
        <v>8409</v>
      </c>
      <c r="E20" s="37">
        <f>IFERROR(ROUND(('DCF Model'!C45/(1+$B20)^('DCF Model'!C19+0)+'DCF Model'!D45/(1+$B20)^('DCF Model'!C19+1)+'DCF Model'!E45/(1+$B20)^('DCF Model'!C19+2)+'DCF Model'!F45/(1+$B20)^('DCF Model'!C19+3)+'DCF Model'!G45/(1+$B20)^('DCF Model'!C19+4)+('DCF Model'!G39+'DCF Model'!G42)*E$17/(1+$B20)^('DCF Model'!C19+4)-'DCF Model'!C16)*1000000/'DCF Model'!C15,0),"")</f>
        <v>8866</v>
      </c>
      <c r="F20" s="37">
        <f>IFERROR(ROUND(('DCF Model'!C45/(1+$B20)^('DCF Model'!C19+0)+'DCF Model'!D45/(1+$B20)^('DCF Model'!C19+1)+'DCF Model'!E45/(1+$B20)^('DCF Model'!C19+2)+'DCF Model'!F45/(1+$B20)^('DCF Model'!C19+3)+'DCF Model'!G45/(1+$B20)^('DCF Model'!C19+4)+('DCF Model'!G39+'DCF Model'!G42)*F$17/(1+$B20)^('DCF Model'!C19+4)-'DCF Model'!C16)*1000000/'DCF Model'!C15,0),"")</f>
        <v>9323</v>
      </c>
      <c r="G20" s="37">
        <f>IFERROR(ROUND(('DCF Model'!C45/(1+$B20)^('DCF Model'!C19+0)+'DCF Model'!D45/(1+$B20)^('DCF Model'!C19+1)+'DCF Model'!E45/(1+$B20)^('DCF Model'!C19+2)+'DCF Model'!F45/(1+$B20)^('DCF Model'!C19+3)+'DCF Model'!G45/(1+$B20)^('DCF Model'!C19+4)+('DCF Model'!G39+'DCF Model'!G42)*G$17/(1+$B20)^('DCF Model'!C19+4)-'DCF Model'!C16)*1000000/'DCF Model'!C15,0),"")</f>
        <v>9780</v>
      </c>
      <c r="H20" s="37">
        <f>IFERROR(ROUND(('DCF Model'!C45/(1+$B20)^('DCF Model'!C19+0)+'DCF Model'!D45/(1+$B20)^('DCF Model'!C19+1)+'DCF Model'!E45/(1+$B20)^('DCF Model'!C19+2)+'DCF Model'!F45/(1+$B20)^('DCF Model'!C19+3)+'DCF Model'!G45/(1+$B20)^('DCF Model'!C19+4)+('DCF Model'!G39+'DCF Model'!G42)*H$17/(1+$B20)^('DCF Model'!C19+4)-'DCF Model'!C16)*1000000/'DCF Model'!C15,0),"")</f>
        <v>10237</v>
      </c>
      <c r="I20" s="37">
        <f>IFERROR(ROUND(('DCF Model'!C45/(1+$B20)^('DCF Model'!C19+0)+'DCF Model'!D45/(1+$B20)^('DCF Model'!C19+1)+'DCF Model'!E45/(1+$B20)^('DCF Model'!C19+2)+'DCF Model'!F45/(1+$B20)^('DCF Model'!C19+3)+'DCF Model'!G45/(1+$B20)^('DCF Model'!C19+4)+('DCF Model'!G39+'DCF Model'!G42)*I$17/(1+$B20)^('DCF Model'!C19+4)-'DCF Model'!C16)*1000000/'DCF Model'!C15,0),"")</f>
        <v>10694</v>
      </c>
    </row>
    <row r="21" spans="2:9" ht="13.5" customHeight="1" x14ac:dyDescent="0.25">
      <c r="B21" s="39">
        <f>$C$3</f>
        <v>0.1047</v>
      </c>
      <c r="C21" s="37">
        <f>IFERROR(ROUND(('DCF Model'!C45/(1+$B21)^('DCF Model'!C19+0)+'DCF Model'!D45/(1+$B21)^('DCF Model'!C19+1)+'DCF Model'!E45/(1+$B21)^('DCF Model'!C19+2)+'DCF Model'!F45/(1+$B21)^('DCF Model'!C19+3)+'DCF Model'!G45/(1+$B21)^('DCF Model'!C19+4)+('DCF Model'!G39+'DCF Model'!G42)*C$17/(1+$B21)^('DCF Model'!C19+4)-'DCF Model'!C16)*1000000/'DCF Model'!C15,0),"")</f>
        <v>7824</v>
      </c>
      <c r="D21" s="37">
        <f>IFERROR(ROUND(('DCF Model'!C45/(1+$B21)^('DCF Model'!C19+0)+'DCF Model'!D45/(1+$B21)^('DCF Model'!C19+1)+'DCF Model'!E45/(1+$B21)^('DCF Model'!C19+2)+'DCF Model'!F45/(1+$B21)^('DCF Model'!C19+3)+'DCF Model'!G45/(1+$B21)^('DCF Model'!C19+4)+('DCF Model'!G39+'DCF Model'!G42)*D$17/(1+$B21)^('DCF Model'!C19+4)-'DCF Model'!C16)*1000000/'DCF Model'!C15,0),"")</f>
        <v>8271</v>
      </c>
      <c r="E21" s="37">
        <f>IFERROR(ROUND(('DCF Model'!C45/(1+$B21)^('DCF Model'!C19+0)+'DCF Model'!D45/(1+$B21)^('DCF Model'!C19+1)+'DCF Model'!E45/(1+$B21)^('DCF Model'!C19+2)+'DCF Model'!F45/(1+$B21)^('DCF Model'!C19+3)+'DCF Model'!G45/(1+$B21)^('DCF Model'!C19+4)+('DCF Model'!G39+'DCF Model'!G42)*E$17/(1+$B21)^('DCF Model'!C19+4)-'DCF Model'!C16)*1000000/'DCF Model'!C15,0),"")</f>
        <v>8717</v>
      </c>
      <c r="F21" s="37">
        <f>IFERROR(ROUND(('DCF Model'!C45/(1+$B21)^('DCF Model'!C19+0)+'DCF Model'!D45/(1+$B21)^('DCF Model'!C19+1)+'DCF Model'!E45/(1+$B21)^('DCF Model'!C19+2)+'DCF Model'!F45/(1+$B21)^('DCF Model'!C19+3)+'DCF Model'!G45/(1+$B21)^('DCF Model'!C19+4)+('DCF Model'!G39+'DCF Model'!G42)*F$17/(1+$B21)^('DCF Model'!C19+4)-'DCF Model'!C16)*1000000/'DCF Model'!C15,0),"")</f>
        <v>9164</v>
      </c>
      <c r="G21" s="37">
        <f>IFERROR(ROUND(('DCF Model'!C45/(1+$B21)^('DCF Model'!C19+0)+'DCF Model'!D45/(1+$B21)^('DCF Model'!C19+1)+'DCF Model'!E45/(1+$B21)^('DCF Model'!C19+2)+'DCF Model'!F45/(1+$B21)^('DCF Model'!C19+3)+'DCF Model'!G45/(1+$B21)^('DCF Model'!C19+4)+('DCF Model'!G39+'DCF Model'!G42)*G$17/(1+$B21)^('DCF Model'!C19+4)-'DCF Model'!C16)*1000000/'DCF Model'!C15,0),"")</f>
        <v>9611</v>
      </c>
      <c r="H21" s="37">
        <f>IFERROR(ROUND(('DCF Model'!C45/(1+$B21)^('DCF Model'!C19+0)+'DCF Model'!D45/(1+$B21)^('DCF Model'!C19+1)+'DCF Model'!E45/(1+$B21)^('DCF Model'!C19+2)+'DCF Model'!F45/(1+$B21)^('DCF Model'!C19+3)+'DCF Model'!G45/(1+$B21)^('DCF Model'!C19+4)+('DCF Model'!G39+'DCF Model'!G42)*H$17/(1+$B21)^('DCF Model'!C19+4)-'DCF Model'!C16)*1000000/'DCF Model'!C15,0),"")</f>
        <v>10058</v>
      </c>
      <c r="I21" s="37">
        <f>IFERROR(ROUND(('DCF Model'!C45/(1+$B21)^('DCF Model'!C19+0)+'DCF Model'!D45/(1+$B21)^('DCF Model'!C19+1)+'DCF Model'!E45/(1+$B21)^('DCF Model'!C19+2)+'DCF Model'!F45/(1+$B21)^('DCF Model'!C19+3)+'DCF Model'!G45/(1+$B21)^('DCF Model'!C19+4)+('DCF Model'!G39+'DCF Model'!G42)*I$17/(1+$B21)^('DCF Model'!C19+4)-'DCF Model'!C16)*1000000/'DCF Model'!C15,0),"")</f>
        <v>10505</v>
      </c>
    </row>
    <row r="22" spans="2:9" ht="13.5" customHeight="1" x14ac:dyDescent="0.25">
      <c r="B22" s="39">
        <f>$C$3+0.005</f>
        <v>0.10970000000000001</v>
      </c>
      <c r="C22" s="37">
        <f>IFERROR(ROUND(('DCF Model'!C45/(1+$B22)^('DCF Model'!C19+0)+'DCF Model'!D45/(1+$B22)^('DCF Model'!C19+1)+'DCF Model'!E45/(1+$B22)^('DCF Model'!C19+2)+'DCF Model'!F45/(1+$B22)^('DCF Model'!C19+3)+'DCF Model'!G45/(1+$B22)^('DCF Model'!C19+4)+('DCF Model'!G39+'DCF Model'!G42)*C$17/(1+$B22)^('DCF Model'!C19+4)-'DCF Model'!C16)*1000000/'DCF Model'!C15,0),"")</f>
        <v>7699</v>
      </c>
      <c r="D22" s="37">
        <f>IFERROR(ROUND(('DCF Model'!C45/(1+$B22)^('DCF Model'!C19+0)+'DCF Model'!D45/(1+$B22)^('DCF Model'!C19+1)+'DCF Model'!E45/(1+$B22)^('DCF Model'!C19+2)+'DCF Model'!F45/(1+$B22)^('DCF Model'!C19+3)+'DCF Model'!G45/(1+$B22)^('DCF Model'!C19+4)+('DCF Model'!G39+'DCF Model'!G42)*D$17/(1+$B22)^('DCF Model'!C19+4)-'DCF Model'!C16)*1000000/'DCF Model'!C15,0),"")</f>
        <v>8136</v>
      </c>
      <c r="E22" s="37">
        <f>IFERROR(ROUND(('DCF Model'!C45/(1+$B22)^('DCF Model'!C19+0)+'DCF Model'!D45/(1+$B22)^('DCF Model'!C19+1)+'DCF Model'!E45/(1+$B22)^('DCF Model'!C19+2)+'DCF Model'!F45/(1+$B22)^('DCF Model'!C19+3)+'DCF Model'!G45/(1+$B22)^('DCF Model'!C19+4)+('DCF Model'!G39+'DCF Model'!G42)*E$17/(1+$B22)^('DCF Model'!C19+4)-'DCF Model'!C16)*1000000/'DCF Model'!C15,0),"")</f>
        <v>8573</v>
      </c>
      <c r="F22" s="37">
        <f>IFERROR(ROUND(('DCF Model'!C45/(1+$B22)^('DCF Model'!C19+0)+'DCF Model'!D45/(1+$B22)^('DCF Model'!C19+1)+'DCF Model'!E45/(1+$B22)^('DCF Model'!C19+2)+'DCF Model'!F45/(1+$B22)^('DCF Model'!C19+3)+'DCF Model'!G45/(1+$B22)^('DCF Model'!C19+4)+('DCF Model'!G39+'DCF Model'!G42)*F$17/(1+$B22)^('DCF Model'!C19+4)-'DCF Model'!C16)*1000000/'DCF Model'!C15,0),"")</f>
        <v>9010</v>
      </c>
      <c r="G22" s="37">
        <f>IFERROR(ROUND(('DCF Model'!C45/(1+$B22)^('DCF Model'!C19+0)+'DCF Model'!D45/(1+$B22)^('DCF Model'!C19+1)+'DCF Model'!E45/(1+$B22)^('DCF Model'!C19+2)+'DCF Model'!F45/(1+$B22)^('DCF Model'!C19+3)+'DCF Model'!G45/(1+$B22)^('DCF Model'!C19+4)+('DCF Model'!G39+'DCF Model'!G42)*G$17/(1+$B22)^('DCF Model'!C19+4)-'DCF Model'!C16)*1000000/'DCF Model'!C15,0),"")</f>
        <v>9446</v>
      </c>
      <c r="H22" s="37">
        <f>IFERROR(ROUND(('DCF Model'!C45/(1+$B22)^('DCF Model'!C19+0)+'DCF Model'!D45/(1+$B22)^('DCF Model'!C19+1)+'DCF Model'!E45/(1+$B22)^('DCF Model'!C19+2)+'DCF Model'!F45/(1+$B22)^('DCF Model'!C19+3)+'DCF Model'!G45/(1+$B22)^('DCF Model'!C19+4)+('DCF Model'!G39+'DCF Model'!G42)*H$17/(1+$B22)^('DCF Model'!C19+4)-'DCF Model'!C16)*1000000/'DCF Model'!C15,0),"")</f>
        <v>9883</v>
      </c>
      <c r="I22" s="37">
        <f>IFERROR(ROUND(('DCF Model'!C45/(1+$B22)^('DCF Model'!C19+0)+'DCF Model'!D45/(1+$B22)^('DCF Model'!C19+1)+'DCF Model'!E45/(1+$B22)^('DCF Model'!C19+2)+'DCF Model'!F45/(1+$B22)^('DCF Model'!C19+3)+'DCF Model'!G45/(1+$B22)^('DCF Model'!C19+4)+('DCF Model'!G39+'DCF Model'!G42)*I$17/(1+$B22)^('DCF Model'!C19+4)-'DCF Model'!C16)*1000000/'DCF Model'!C15,0),"")</f>
        <v>10320</v>
      </c>
    </row>
    <row r="23" spans="2:9" ht="13.5" customHeight="1" x14ac:dyDescent="0.25">
      <c r="B23" s="39">
        <f>$C$3+0.01</f>
        <v>0.1147</v>
      </c>
      <c r="C23" s="37">
        <f>IFERROR(ROUND(('DCF Model'!C45/(1+$B23)^('DCF Model'!C19+0)+'DCF Model'!D45/(1+$B23)^('DCF Model'!C19+1)+'DCF Model'!E45/(1+$B23)^('DCF Model'!C19+2)+'DCF Model'!F45/(1+$B23)^('DCF Model'!C19+3)+'DCF Model'!G45/(1+$B23)^('DCF Model'!C19+4)+('DCF Model'!G39+'DCF Model'!G42)*C$17/(1+$B23)^('DCF Model'!C19+4)-'DCF Model'!C16)*1000000/'DCF Model'!C15,0),"")</f>
        <v>7578</v>
      </c>
      <c r="D23" s="37">
        <f>IFERROR(ROUND(('DCF Model'!C45/(1+$B23)^('DCF Model'!C19+0)+'DCF Model'!D45/(1+$B23)^('DCF Model'!C19+1)+'DCF Model'!E45/(1+$B23)^('DCF Model'!C19+2)+'DCF Model'!F45/(1+$B23)^('DCF Model'!C19+3)+'DCF Model'!G45/(1+$B23)^('DCF Model'!C19+4)+('DCF Model'!G39+'DCF Model'!G42)*D$17/(1+$B23)^('DCF Model'!C19+4)-'DCF Model'!C16)*1000000/'DCF Model'!C15,0),"")</f>
        <v>8005</v>
      </c>
      <c r="E23" s="37">
        <f>IFERROR(ROUND(('DCF Model'!C45/(1+$B23)^('DCF Model'!C19+0)+'DCF Model'!D45/(1+$B23)^('DCF Model'!C19+1)+'DCF Model'!E45/(1+$B23)^('DCF Model'!C19+2)+'DCF Model'!F45/(1+$B23)^('DCF Model'!C19+3)+'DCF Model'!G45/(1+$B23)^('DCF Model'!C19+4)+('DCF Model'!G39+'DCF Model'!G42)*E$17/(1+$B23)^('DCF Model'!C19+4)-'DCF Model'!C16)*1000000/'DCF Model'!C15,0),"")</f>
        <v>8432</v>
      </c>
      <c r="F23" s="37">
        <f>IFERROR(ROUND(('DCF Model'!C45/(1+$B23)^('DCF Model'!C19+0)+'DCF Model'!D45/(1+$B23)^('DCF Model'!C19+1)+'DCF Model'!E45/(1+$B23)^('DCF Model'!C19+2)+'DCF Model'!F45/(1+$B23)^('DCF Model'!C19+3)+'DCF Model'!G45/(1+$B23)^('DCF Model'!C19+4)+('DCF Model'!G39+'DCF Model'!G42)*F$17/(1+$B23)^('DCF Model'!C19+4)-'DCF Model'!C16)*1000000/'DCF Model'!C15,0),"")</f>
        <v>8859</v>
      </c>
      <c r="G23" s="37">
        <f>IFERROR(ROUND(('DCF Model'!C45/(1+$B23)^('DCF Model'!C19+0)+'DCF Model'!D45/(1+$B23)^('DCF Model'!C19+1)+'DCF Model'!E45/(1+$B23)^('DCF Model'!C19+2)+'DCF Model'!F45/(1+$B23)^('DCF Model'!C19+3)+'DCF Model'!G45/(1+$B23)^('DCF Model'!C19+4)+('DCF Model'!G39+'DCF Model'!G42)*G$17/(1+$B23)^('DCF Model'!C19+4)-'DCF Model'!C16)*1000000/'DCF Model'!C15,0),"")</f>
        <v>9286</v>
      </c>
      <c r="H23" s="37">
        <f>IFERROR(ROUND(('DCF Model'!C45/(1+$B23)^('DCF Model'!C19+0)+'DCF Model'!D45/(1+$B23)^('DCF Model'!C19+1)+'DCF Model'!E45/(1+$B23)^('DCF Model'!C19+2)+'DCF Model'!F45/(1+$B23)^('DCF Model'!C19+3)+'DCF Model'!G45/(1+$B23)^('DCF Model'!C19+4)+('DCF Model'!G39+'DCF Model'!G42)*H$17/(1+$B23)^('DCF Model'!C19+4)-'DCF Model'!C16)*1000000/'DCF Model'!C15,0),"")</f>
        <v>9713</v>
      </c>
      <c r="I23" s="37">
        <f>IFERROR(ROUND(('DCF Model'!C45/(1+$B23)^('DCF Model'!C19+0)+'DCF Model'!D45/(1+$B23)^('DCF Model'!C19+1)+'DCF Model'!E45/(1+$B23)^('DCF Model'!C19+2)+'DCF Model'!F45/(1+$B23)^('DCF Model'!C19+3)+'DCF Model'!G45/(1+$B23)^('DCF Model'!C19+4)+('DCF Model'!G39+'DCF Model'!G42)*I$17/(1+$B23)^('DCF Model'!C19+4)-'DCF Model'!C16)*1000000/'DCF Model'!C15,0),"")</f>
        <v>10140</v>
      </c>
    </row>
    <row r="24" spans="2:9" ht="13.5" customHeight="1" x14ac:dyDescent="0.25">
      <c r="B24" s="39">
        <f>$C$3+0.015</f>
        <v>0.1197</v>
      </c>
      <c r="C24" s="37">
        <f>IFERROR(ROUND(('DCF Model'!C45/(1+$B24)^('DCF Model'!C19+0)+'DCF Model'!D45/(1+$B24)^('DCF Model'!C19+1)+'DCF Model'!E45/(1+$B24)^('DCF Model'!C19+2)+'DCF Model'!F45/(1+$B24)^('DCF Model'!C19+3)+'DCF Model'!G45/(1+$B24)^('DCF Model'!C19+4)+('DCF Model'!G39+'DCF Model'!G42)*C$17/(1+$B24)^('DCF Model'!C19+4)-'DCF Model'!C16)*1000000/'DCF Model'!C15,0),"")</f>
        <v>7459</v>
      </c>
      <c r="D24" s="37">
        <f>IFERROR(ROUND(('DCF Model'!C45/(1+$B24)^('DCF Model'!C19+0)+'DCF Model'!D45/(1+$B24)^('DCF Model'!C19+1)+'DCF Model'!E45/(1+$B24)^('DCF Model'!C19+2)+'DCF Model'!F45/(1+$B24)^('DCF Model'!C19+3)+'DCF Model'!G45/(1+$B24)^('DCF Model'!C19+4)+('DCF Model'!G39+'DCF Model'!G42)*D$17/(1+$B24)^('DCF Model'!C19+4)-'DCF Model'!C16)*1000000/'DCF Model'!C15,0),"")</f>
        <v>7877</v>
      </c>
      <c r="E24" s="37">
        <f>IFERROR(ROUND(('DCF Model'!C45/(1+$B24)^('DCF Model'!C19+0)+'DCF Model'!D45/(1+$B24)^('DCF Model'!C19+1)+'DCF Model'!E45/(1+$B24)^('DCF Model'!C19+2)+'DCF Model'!F45/(1+$B24)^('DCF Model'!C19+3)+'DCF Model'!G45/(1+$B24)^('DCF Model'!C19+4)+('DCF Model'!G39+'DCF Model'!G42)*E$17/(1+$B24)^('DCF Model'!C19+4)-'DCF Model'!C16)*1000000/'DCF Model'!C15,0),"")</f>
        <v>8294</v>
      </c>
      <c r="F24" s="37">
        <f>IFERROR(ROUND(('DCF Model'!C45/(1+$B24)^('DCF Model'!C19+0)+'DCF Model'!D45/(1+$B24)^('DCF Model'!C19+1)+'DCF Model'!E45/(1+$B24)^('DCF Model'!C19+2)+'DCF Model'!F45/(1+$B24)^('DCF Model'!C19+3)+'DCF Model'!G45/(1+$B24)^('DCF Model'!C19+4)+('DCF Model'!G39+'DCF Model'!G42)*F$17/(1+$B24)^('DCF Model'!C19+4)-'DCF Model'!C16)*1000000/'DCF Model'!C15,0),"")</f>
        <v>8712</v>
      </c>
      <c r="G24" s="37">
        <f>IFERROR(ROUND(('DCF Model'!C45/(1+$B24)^('DCF Model'!C19+0)+'DCF Model'!D45/(1+$B24)^('DCF Model'!C19+1)+'DCF Model'!E45/(1+$B24)^('DCF Model'!C19+2)+'DCF Model'!F45/(1+$B24)^('DCF Model'!C19+3)+'DCF Model'!G45/(1+$B24)^('DCF Model'!C19+4)+('DCF Model'!G39+'DCF Model'!G42)*G$17/(1+$B24)^('DCF Model'!C19+4)-'DCF Model'!C16)*1000000/'DCF Model'!C15,0),"")</f>
        <v>9130</v>
      </c>
      <c r="H24" s="37">
        <f>IFERROR(ROUND(('DCF Model'!C45/(1+$B24)^('DCF Model'!C19+0)+'DCF Model'!D45/(1+$B24)^('DCF Model'!C19+1)+'DCF Model'!E45/(1+$B24)^('DCF Model'!C19+2)+'DCF Model'!F45/(1+$B24)^('DCF Model'!C19+3)+'DCF Model'!G45/(1+$B24)^('DCF Model'!C19+4)+('DCF Model'!G39+'DCF Model'!G42)*H$17/(1+$B24)^('DCF Model'!C19+4)-'DCF Model'!C16)*1000000/'DCF Model'!C15,0),"")</f>
        <v>9548</v>
      </c>
      <c r="I24" s="37">
        <f>IFERROR(ROUND(('DCF Model'!C45/(1+$B24)^('DCF Model'!C19+0)+'DCF Model'!D45/(1+$B24)^('DCF Model'!C19+1)+'DCF Model'!E45/(1+$B24)^('DCF Model'!C19+2)+'DCF Model'!F45/(1+$B24)^('DCF Model'!C19+3)+'DCF Model'!G45/(1+$B24)^('DCF Model'!C19+4)+('DCF Model'!G39+'DCF Model'!G42)*I$17/(1+$B24)^('DCF Model'!C19+4)-'DCF Model'!C16)*1000000/'DCF Model'!C15,0),"")</f>
        <v>9965</v>
      </c>
    </row>
    <row r="26" spans="2:9" ht="14" customHeight="1" x14ac:dyDescent="0.3">
      <c r="B26" s="47" t="s">
        <v>241</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242</v>
      </c>
    </row>
    <row r="4" spans="2:7" ht="14" customHeight="1" x14ac:dyDescent="0.3">
      <c r="B4" s="10" t="s">
        <v>243</v>
      </c>
      <c r="C4" s="10" t="s">
        <v>244</v>
      </c>
      <c r="D4" s="10" t="s">
        <v>245</v>
      </c>
      <c r="E4" s="10" t="s">
        <v>246</v>
      </c>
      <c r="F4" s="10" t="s">
        <v>247</v>
      </c>
      <c r="G4" s="10" t="s">
        <v>248</v>
      </c>
    </row>
    <row r="5" spans="2:7" x14ac:dyDescent="0.2">
      <c r="B5" t="s">
        <v>249</v>
      </c>
      <c r="C5" t="s">
        <v>250</v>
      </c>
      <c r="D5" t="s">
        <v>251</v>
      </c>
      <c r="E5" t="s">
        <v>252</v>
      </c>
      <c r="F5" t="s">
        <v>250</v>
      </c>
      <c r="G5" t="s">
        <v>253</v>
      </c>
    </row>
    <row r="6" spans="2:7" ht="30" customHeight="1" x14ac:dyDescent="0.3">
      <c r="B6" s="44" t="s">
        <v>254</v>
      </c>
      <c r="C6" s="4" t="s">
        <v>255</v>
      </c>
      <c r="D6" s="44" t="s">
        <v>256</v>
      </c>
      <c r="E6" s="44" t="s">
        <v>257</v>
      </c>
      <c r="F6" s="44" t="s">
        <v>258</v>
      </c>
      <c r="G6" s="44" t="s">
        <v>259</v>
      </c>
    </row>
    <row r="7" spans="2:7" ht="30" customHeight="1" x14ac:dyDescent="0.3">
      <c r="B7" s="44" t="s">
        <v>254</v>
      </c>
      <c r="C7" s="4" t="s">
        <v>260</v>
      </c>
      <c r="D7" s="44" t="s">
        <v>261</v>
      </c>
      <c r="E7" s="44" t="s">
        <v>262</v>
      </c>
      <c r="F7" s="44" t="s">
        <v>263</v>
      </c>
      <c r="G7" s="44" t="s">
        <v>264</v>
      </c>
    </row>
    <row r="8" spans="2:7" ht="30" customHeight="1" x14ac:dyDescent="0.3">
      <c r="B8" s="44" t="s">
        <v>254</v>
      </c>
      <c r="C8" s="4" t="s">
        <v>265</v>
      </c>
      <c r="D8" s="44" t="s">
        <v>266</v>
      </c>
      <c r="E8" s="44" t="s">
        <v>267</v>
      </c>
      <c r="F8" s="44" t="s">
        <v>268</v>
      </c>
      <c r="G8" s="44" t="s">
        <v>264</v>
      </c>
    </row>
    <row r="9" spans="2:7" ht="30" customHeight="1" x14ac:dyDescent="0.3">
      <c r="B9" s="44" t="s">
        <v>254</v>
      </c>
      <c r="C9" s="4" t="s">
        <v>269</v>
      </c>
      <c r="D9" s="44" t="s">
        <v>270</v>
      </c>
      <c r="E9" s="44" t="s">
        <v>271</v>
      </c>
      <c r="F9" s="44" t="s">
        <v>250</v>
      </c>
      <c r="G9" s="44" t="s">
        <v>272</v>
      </c>
    </row>
    <row r="10" spans="2:7" ht="30" customHeight="1" x14ac:dyDescent="0.3">
      <c r="B10" s="44" t="s">
        <v>254</v>
      </c>
      <c r="C10" s="4" t="s">
        <v>273</v>
      </c>
      <c r="D10" s="44" t="s">
        <v>274</v>
      </c>
      <c r="E10" s="44" t="s">
        <v>275</v>
      </c>
      <c r="F10" s="44" t="s">
        <v>276</v>
      </c>
      <c r="G10" s="44" t="s">
        <v>277</v>
      </c>
    </row>
    <row r="11" spans="2:7" ht="30" customHeight="1" x14ac:dyDescent="0.3">
      <c r="B11" s="44" t="s">
        <v>254</v>
      </c>
      <c r="C11" s="4" t="s">
        <v>278</v>
      </c>
      <c r="D11" s="44" t="s">
        <v>279</v>
      </c>
      <c r="E11" s="44" t="s">
        <v>280</v>
      </c>
      <c r="F11" s="44" t="s">
        <v>281</v>
      </c>
      <c r="G11" s="44" t="s">
        <v>264</v>
      </c>
    </row>
    <row r="12" spans="2:7" ht="30" customHeight="1" x14ac:dyDescent="0.3">
      <c r="B12" s="44" t="s">
        <v>254</v>
      </c>
      <c r="C12" s="4" t="s">
        <v>282</v>
      </c>
      <c r="D12" s="44" t="s">
        <v>283</v>
      </c>
      <c r="E12" s="44" t="s">
        <v>284</v>
      </c>
      <c r="F12" s="44" t="s">
        <v>285</v>
      </c>
      <c r="G12" s="44" t="s">
        <v>264</v>
      </c>
    </row>
    <row r="13" spans="2:7" ht="30" customHeight="1" x14ac:dyDescent="0.3">
      <c r="B13" s="44" t="s">
        <v>254</v>
      </c>
      <c r="C13" s="4" t="s">
        <v>286</v>
      </c>
      <c r="D13" s="44" t="s">
        <v>287</v>
      </c>
      <c r="E13" s="44" t="s">
        <v>288</v>
      </c>
      <c r="F13" s="44" t="s">
        <v>289</v>
      </c>
      <c r="G13" s="44" t="s">
        <v>264</v>
      </c>
    </row>
    <row r="14" spans="2:7" ht="30" customHeight="1" x14ac:dyDescent="0.3">
      <c r="B14" s="44" t="s">
        <v>254</v>
      </c>
      <c r="C14" s="4" t="s">
        <v>290</v>
      </c>
      <c r="D14" s="44" t="s">
        <v>291</v>
      </c>
      <c r="E14" s="44" t="s">
        <v>292</v>
      </c>
      <c r="F14" s="44" t="s">
        <v>250</v>
      </c>
      <c r="G14" s="44" t="s">
        <v>264</v>
      </c>
    </row>
    <row r="15" spans="2:7" ht="30" customHeight="1" x14ac:dyDescent="0.3">
      <c r="B15" s="44" t="s">
        <v>254</v>
      </c>
      <c r="C15" s="4" t="s">
        <v>293</v>
      </c>
      <c r="D15" s="44" t="s">
        <v>294</v>
      </c>
      <c r="E15" s="44" t="s">
        <v>295</v>
      </c>
      <c r="F15" s="44" t="s">
        <v>250</v>
      </c>
      <c r="G15" s="44" t="s">
        <v>296</v>
      </c>
    </row>
    <row r="16" spans="2:7" ht="30" customHeight="1" x14ac:dyDescent="0.3">
      <c r="B16" s="44" t="s">
        <v>254</v>
      </c>
      <c r="C16" s="4" t="s">
        <v>297</v>
      </c>
      <c r="D16" s="44" t="s">
        <v>298</v>
      </c>
      <c r="E16" s="44" t="s">
        <v>299</v>
      </c>
      <c r="F16" s="44" t="s">
        <v>300</v>
      </c>
      <c r="G16" s="44" t="s">
        <v>301</v>
      </c>
    </row>
    <row r="17" spans="2:7" ht="30" customHeight="1" x14ac:dyDescent="0.3">
      <c r="B17" s="44" t="s">
        <v>254</v>
      </c>
      <c r="C17" s="4" t="s">
        <v>302</v>
      </c>
      <c r="D17" s="44" t="s">
        <v>303</v>
      </c>
      <c r="E17" s="44" t="s">
        <v>304</v>
      </c>
      <c r="F17" s="44" t="s">
        <v>305</v>
      </c>
      <c r="G17" s="44" t="s">
        <v>264</v>
      </c>
    </row>
    <row r="18" spans="2:7" ht="30" customHeight="1" x14ac:dyDescent="0.3">
      <c r="B18" s="44" t="s">
        <v>254</v>
      </c>
      <c r="C18" s="4" t="s">
        <v>306</v>
      </c>
      <c r="D18" s="44" t="s">
        <v>307</v>
      </c>
      <c r="E18" s="44" t="s">
        <v>308</v>
      </c>
      <c r="F18" s="44" t="s">
        <v>250</v>
      </c>
      <c r="G18" s="44" t="s">
        <v>264</v>
      </c>
    </row>
    <row r="19" spans="2:7" ht="30" customHeight="1" x14ac:dyDescent="0.3">
      <c r="B19" s="44" t="s">
        <v>254</v>
      </c>
      <c r="C19" s="4" t="s">
        <v>309</v>
      </c>
      <c r="D19" s="44" t="s">
        <v>310</v>
      </c>
      <c r="E19" s="44" t="s">
        <v>311</v>
      </c>
      <c r="F19" s="44" t="s">
        <v>312</v>
      </c>
      <c r="G19" s="44" t="s">
        <v>264</v>
      </c>
    </row>
    <row r="20" spans="2:7" ht="30" customHeight="1" x14ac:dyDescent="0.3">
      <c r="B20" s="44" t="s">
        <v>254</v>
      </c>
      <c r="C20" s="4" t="s">
        <v>313</v>
      </c>
      <c r="D20" s="44" t="s">
        <v>314</v>
      </c>
      <c r="E20" s="44" t="s">
        <v>315</v>
      </c>
      <c r="F20" s="44" t="s">
        <v>316</v>
      </c>
      <c r="G20" s="44" t="s">
        <v>264</v>
      </c>
    </row>
    <row r="21" spans="2:7" ht="30" customHeight="1" x14ac:dyDescent="0.3">
      <c r="B21" s="44" t="s">
        <v>254</v>
      </c>
      <c r="C21" s="4" t="s">
        <v>317</v>
      </c>
      <c r="D21" s="44" t="s">
        <v>318</v>
      </c>
      <c r="E21" s="44" t="s">
        <v>319</v>
      </c>
      <c r="F21" s="44" t="s">
        <v>250</v>
      </c>
      <c r="G21" s="44" t="s">
        <v>320</v>
      </c>
    </row>
    <row r="22" spans="2:7" ht="30" customHeight="1" x14ac:dyDescent="0.3">
      <c r="B22" s="44" t="s">
        <v>254</v>
      </c>
      <c r="C22" s="4" t="s">
        <v>321</v>
      </c>
      <c r="D22" s="44" t="s">
        <v>322</v>
      </c>
      <c r="E22" s="44" t="s">
        <v>323</v>
      </c>
      <c r="F22" s="44" t="s">
        <v>250</v>
      </c>
      <c r="G22" s="44" t="s">
        <v>264</v>
      </c>
    </row>
    <row r="23" spans="2:7" ht="30" customHeight="1" x14ac:dyDescent="0.3">
      <c r="B23" s="44" t="s">
        <v>254</v>
      </c>
      <c r="C23" s="4" t="s">
        <v>324</v>
      </c>
      <c r="D23" s="44" t="s">
        <v>325</v>
      </c>
      <c r="E23" s="44" t="s">
        <v>326</v>
      </c>
      <c r="F23" s="44" t="s">
        <v>250</v>
      </c>
      <c r="G23" s="44" t="s">
        <v>259</v>
      </c>
    </row>
    <row r="24" spans="2:7" ht="30" customHeight="1" x14ac:dyDescent="0.3">
      <c r="B24" s="44" t="s">
        <v>254</v>
      </c>
      <c r="C24" s="4" t="s">
        <v>327</v>
      </c>
      <c r="D24" s="44" t="s">
        <v>328</v>
      </c>
      <c r="E24" s="44" t="s">
        <v>329</v>
      </c>
      <c r="F24" s="44" t="s">
        <v>250</v>
      </c>
      <c r="G24" s="44" t="s">
        <v>330</v>
      </c>
    </row>
    <row r="25" spans="2:7" ht="30" customHeight="1" x14ac:dyDescent="0.3">
      <c r="B25" s="44" t="s">
        <v>254</v>
      </c>
      <c r="C25" s="4" t="s">
        <v>331</v>
      </c>
      <c r="D25" s="44" t="s">
        <v>332</v>
      </c>
      <c r="E25" s="44" t="s">
        <v>333</v>
      </c>
      <c r="F25" s="44" t="s">
        <v>250</v>
      </c>
      <c r="G25" s="44" t="s">
        <v>334</v>
      </c>
    </row>
    <row r="26" spans="2:7" ht="30" customHeight="1" x14ac:dyDescent="0.3">
      <c r="B26" s="44" t="s">
        <v>254</v>
      </c>
      <c r="C26" s="4" t="s">
        <v>331</v>
      </c>
      <c r="D26" s="44" t="s">
        <v>335</v>
      </c>
      <c r="E26" s="44" t="s">
        <v>336</v>
      </c>
      <c r="F26" s="44" t="s">
        <v>250</v>
      </c>
      <c r="G26" s="44" t="s">
        <v>334</v>
      </c>
    </row>
    <row r="27" spans="2:7" ht="14" customHeight="1" x14ac:dyDescent="0.2"/>
    <row r="28" spans="2:7" ht="14" customHeight="1" x14ac:dyDescent="0.3">
      <c r="B28" s="8" t="s">
        <v>337</v>
      </c>
    </row>
    <row r="29" spans="2:7" ht="14" customHeight="1" x14ac:dyDescent="0.3">
      <c r="B29" s="10" t="s">
        <v>338</v>
      </c>
      <c r="C29" s="10" t="s">
        <v>339</v>
      </c>
    </row>
    <row r="30" spans="2:7" ht="14" customHeight="1" x14ac:dyDescent="0.3">
      <c r="B30" s="4" t="s">
        <v>340</v>
      </c>
      <c r="C30" t="s">
        <v>341</v>
      </c>
    </row>
    <row r="31" spans="2:7" ht="14" customHeight="1" x14ac:dyDescent="0.3">
      <c r="B31" s="4" t="s">
        <v>342</v>
      </c>
      <c r="C31" t="s">
        <v>343</v>
      </c>
    </row>
    <row r="32" spans="2:7" ht="14" customHeight="1" x14ac:dyDescent="0.3">
      <c r="B32" s="4" t="s">
        <v>344</v>
      </c>
      <c r="C32" t="s">
        <v>345</v>
      </c>
    </row>
    <row r="33" spans="2:3" ht="14" customHeight="1" x14ac:dyDescent="0.3">
      <c r="B33" s="4" t="s">
        <v>346</v>
      </c>
      <c r="C33" t="s">
        <v>44</v>
      </c>
    </row>
    <row r="34" spans="2:3" ht="14" customHeight="1" x14ac:dyDescent="0.3">
      <c r="B34" s="4" t="s">
        <v>347</v>
      </c>
      <c r="C34" t="s">
        <v>4</v>
      </c>
    </row>
    <row r="35" spans="2:3" ht="14" customHeight="1" x14ac:dyDescent="0.3">
      <c r="B35" s="4" t="s">
        <v>348</v>
      </c>
      <c r="C35" t="s">
        <v>249</v>
      </c>
    </row>
    <row r="36" spans="2:3" ht="14" customHeight="1" x14ac:dyDescent="0.3">
      <c r="B36" s="4" t="s">
        <v>349</v>
      </c>
      <c r="C36" t="s">
        <v>350</v>
      </c>
    </row>
    <row r="37" spans="2:3" ht="14" customHeight="1" x14ac:dyDescent="0.3">
      <c r="B37" s="4" t="s">
        <v>351</v>
      </c>
      <c r="C37" t="s">
        <v>352</v>
      </c>
    </row>
    <row r="38" spans="2:3" ht="14" customHeight="1" x14ac:dyDescent="0.3">
      <c r="B38" s="4" t="s">
        <v>353</v>
      </c>
      <c r="C38" t="s">
        <v>354</v>
      </c>
    </row>
    <row r="39" spans="2:3" ht="14" customHeight="1" x14ac:dyDescent="0.3">
      <c r="B39" s="4" t="s">
        <v>355</v>
      </c>
      <c r="C39" t="s">
        <v>356</v>
      </c>
    </row>
    <row r="40" spans="2:3" ht="14" customHeight="1" x14ac:dyDescent="0.3">
      <c r="B40" s="4" t="s">
        <v>357</v>
      </c>
      <c r="C40" t="s">
        <v>358</v>
      </c>
    </row>
    <row r="41" spans="2:3" ht="14" customHeight="1" x14ac:dyDescent="0.3">
      <c r="B41" s="4" t="s">
        <v>359</v>
      </c>
      <c r="C41" t="s">
        <v>354</v>
      </c>
    </row>
    <row r="42" spans="2:3" ht="14" customHeight="1" x14ac:dyDescent="0.3">
      <c r="B42" s="4" t="s">
        <v>360</v>
      </c>
      <c r="C42" t="s">
        <v>350</v>
      </c>
    </row>
    <row r="43" spans="2:3" ht="14" customHeight="1" x14ac:dyDescent="0.3">
      <c r="B43" s="4" t="s">
        <v>361</v>
      </c>
      <c r="C43" t="s">
        <v>362</v>
      </c>
    </row>
    <row r="44" spans="2:3" ht="14" customHeight="1" x14ac:dyDescent="0.3">
      <c r="B44" s="4" t="s">
        <v>363</v>
      </c>
      <c r="C44" t="s">
        <v>364</v>
      </c>
    </row>
    <row r="45" spans="2:3" ht="14" customHeight="1" x14ac:dyDescent="0.3">
      <c r="B45" s="4" t="s">
        <v>365</v>
      </c>
      <c r="C45" t="s">
        <v>366</v>
      </c>
    </row>
    <row r="46" spans="2:3" ht="14" customHeight="1" x14ac:dyDescent="0.3">
      <c r="B46" s="4" t="s">
        <v>367</v>
      </c>
      <c r="C46" t="s">
        <v>343</v>
      </c>
    </row>
    <row r="47" spans="2:3" ht="14" x14ac:dyDescent="0.3">
      <c r="B47" s="4" t="s">
        <v>368</v>
      </c>
      <c r="C47" t="s">
        <v>343</v>
      </c>
    </row>
    <row r="48" spans="2:3" ht="14" x14ac:dyDescent="0.3">
      <c r="B48" s="4" t="s">
        <v>369</v>
      </c>
      <c r="C48" t="s">
        <v>370</v>
      </c>
    </row>
    <row r="49" spans="2:3" ht="14" x14ac:dyDescent="0.3">
      <c r="B49" s="4" t="s">
        <v>371</v>
      </c>
      <c r="C49" t="s">
        <v>372</v>
      </c>
    </row>
    <row r="50" spans="2:3" ht="14" x14ac:dyDescent="0.3">
      <c r="B50" s="4" t="s">
        <v>373</v>
      </c>
      <c r="C50" t="s">
        <v>374</v>
      </c>
    </row>
    <row r="51" spans="2:3" ht="14" x14ac:dyDescent="0.3">
      <c r="B51" s="4" t="s">
        <v>375</v>
      </c>
      <c r="C51" t="s">
        <v>376</v>
      </c>
    </row>
    <row r="52" spans="2:3" ht="14" x14ac:dyDescent="0.3">
      <c r="B52" s="4" t="s">
        <v>377</v>
      </c>
      <c r="C52" t="s">
        <v>378</v>
      </c>
    </row>
    <row r="53" spans="2:3" ht="14" x14ac:dyDescent="0.3">
      <c r="B53" s="4" t="s">
        <v>379</v>
      </c>
      <c r="C53" t="s">
        <v>380</v>
      </c>
    </row>
    <row r="54" spans="2:3" ht="14" x14ac:dyDescent="0.3">
      <c r="B54" s="4" t="s">
        <v>381</v>
      </c>
      <c r="C54" t="s">
        <v>382</v>
      </c>
    </row>
    <row r="55" spans="2:3" ht="14" x14ac:dyDescent="0.3">
      <c r="B55" s="4" t="s">
        <v>383</v>
      </c>
      <c r="C55" t="s">
        <v>384</v>
      </c>
    </row>
    <row r="56" spans="2:3" ht="14" x14ac:dyDescent="0.3">
      <c r="B56" s="4" t="s">
        <v>385</v>
      </c>
      <c r="C56" t="s">
        <v>386</v>
      </c>
    </row>
    <row r="57" spans="2:3" ht="14" x14ac:dyDescent="0.3">
      <c r="B57" s="4" t="s">
        <v>387</v>
      </c>
      <c r="C57" t="s">
        <v>388</v>
      </c>
    </row>
    <row r="58" spans="2:3" ht="14" x14ac:dyDescent="0.3">
      <c r="B58" s="4" t="s">
        <v>389</v>
      </c>
      <c r="C58" t="s">
        <v>390</v>
      </c>
    </row>
    <row r="59" spans="2:3" ht="14" x14ac:dyDescent="0.3">
      <c r="B59" s="4" t="s">
        <v>391</v>
      </c>
      <c r="C59" t="s">
        <v>392</v>
      </c>
    </row>
    <row r="60" spans="2:3" ht="14" x14ac:dyDescent="0.3">
      <c r="B60" s="4" t="s">
        <v>393</v>
      </c>
      <c r="C60" t="s">
        <v>394</v>
      </c>
    </row>
    <row r="61" spans="2:3" ht="14" x14ac:dyDescent="0.3">
      <c r="B61" s="4" t="s">
        <v>395</v>
      </c>
      <c r="C61" t="s">
        <v>396</v>
      </c>
    </row>
    <row r="62" spans="2:3" ht="14" x14ac:dyDescent="0.3">
      <c r="B62" s="4" t="s">
        <v>397</v>
      </c>
      <c r="C62"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2026-09-05T16:34:22Z</dcterms:created>
  <dcterms:modified xsi:type="dcterms:W3CDTF">2026-09-05T16:39:31Z</dcterms:modified>
</cp:coreProperties>
</file>