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yosuke0923\ryosuke-japanese-equity-research\models\"/>
    </mc:Choice>
  </mc:AlternateContent>
  <xr:revisionPtr revIDLastSave="0" documentId="13_ncr:1_{7E2D9307-C3E1-43D3-A296-660208ED01B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ecutive Summary" sheetId="1" r:id="rId1"/>
    <sheet name="Financial Statements" sheetId="2" r:id="rId2"/>
    <sheet name="DCF Model" sheetId="3" r:id="rId3"/>
    <sheet name="Reverse DCF" sheetId="4" r:id="rId4"/>
    <sheet name="NWC Schedule" sheetId="5" r:id="rId5"/>
    <sheet name="Comps Analysis" sheetId="6" r:id="rId6"/>
    <sheet name="Sensitivity Analysis" sheetId="7" r:id="rId7"/>
    <sheet name="Adjustments Log" sheetId="8" r:id="rId8"/>
  </sheets>
  <calcPr calcId="181029"/>
</workbook>
</file>

<file path=xl/calcChain.xml><?xml version="1.0" encoding="utf-8"?>
<calcChain xmlns="http://schemas.openxmlformats.org/spreadsheetml/2006/main">
  <c r="I3" i="7" l="1"/>
  <c r="I17" i="7" s="1"/>
  <c r="F3" i="7"/>
  <c r="H6" i="7" s="1"/>
  <c r="O8" i="6"/>
  <c r="N8" i="6"/>
  <c r="M8" i="6"/>
  <c r="L8" i="6"/>
  <c r="K8" i="6"/>
  <c r="J8" i="6"/>
  <c r="O7" i="6"/>
  <c r="N7" i="6"/>
  <c r="M7" i="6"/>
  <c r="G16" i="6" s="1"/>
  <c r="L7" i="6"/>
  <c r="K7" i="6"/>
  <c r="J7" i="6"/>
  <c r="O6" i="6"/>
  <c r="I17" i="6" s="1"/>
  <c r="N6" i="6"/>
  <c r="H15" i="6" s="1"/>
  <c r="M6" i="6"/>
  <c r="L6" i="6"/>
  <c r="K6" i="6"/>
  <c r="J6" i="6"/>
  <c r="O5" i="6"/>
  <c r="N5" i="6"/>
  <c r="D5" i="6"/>
  <c r="C5" i="5"/>
  <c r="C13" i="4"/>
  <c r="C12" i="4"/>
  <c r="C9" i="4"/>
  <c r="C7" i="4"/>
  <c r="C6" i="4"/>
  <c r="C8" i="4" s="1"/>
  <c r="C10" i="4" s="1"/>
  <c r="D27" i="3"/>
  <c r="D31" i="3" s="1"/>
  <c r="C25" i="3"/>
  <c r="C24" i="3"/>
  <c r="C23" i="3"/>
  <c r="D28" i="2"/>
  <c r="C28" i="2"/>
  <c r="D16" i="2"/>
  <c r="D15" i="2"/>
  <c r="D14" i="2"/>
  <c r="C14" i="2"/>
  <c r="D13" i="2"/>
  <c r="C13" i="2"/>
  <c r="I16" i="6" l="1"/>
  <c r="C26" i="3"/>
  <c r="C3" i="7"/>
  <c r="F36" i="4"/>
  <c r="F46" i="3"/>
  <c r="D36" i="4"/>
  <c r="D46" i="3"/>
  <c r="C46" i="3"/>
  <c r="G36" i="4"/>
  <c r="C11" i="4"/>
  <c r="C24" i="4" s="1"/>
  <c r="C25" i="4" s="1"/>
  <c r="G46" i="3"/>
  <c r="E36" i="4"/>
  <c r="E46" i="3"/>
  <c r="H36" i="4"/>
  <c r="E15" i="6"/>
  <c r="E16" i="6"/>
  <c r="E17" i="6"/>
  <c r="L5" i="6"/>
  <c r="M5" i="6"/>
  <c r="E5" i="6"/>
  <c r="C71" i="4"/>
  <c r="C70" i="4"/>
  <c r="F5" i="5"/>
  <c r="D32" i="3"/>
  <c r="F30" i="3"/>
  <c r="D5" i="5"/>
  <c r="G31" i="3"/>
  <c r="D30" i="3"/>
  <c r="F31" i="3"/>
  <c r="C30" i="3"/>
  <c r="C33" i="3" s="1"/>
  <c r="G5" i="5"/>
  <c r="E32" i="3"/>
  <c r="G30" i="3"/>
  <c r="E5" i="5"/>
  <c r="C32" i="3"/>
  <c r="E30" i="3"/>
  <c r="G32" i="3"/>
  <c r="C31" i="3"/>
  <c r="H5" i="5"/>
  <c r="D17" i="6"/>
  <c r="D15" i="6"/>
  <c r="D16" i="6"/>
  <c r="E31" i="3"/>
  <c r="F15" i="6"/>
  <c r="F32" i="3"/>
  <c r="G17" i="6"/>
  <c r="G15" i="6"/>
  <c r="I15" i="6"/>
  <c r="I6" i="7"/>
  <c r="F17" i="6"/>
  <c r="C17" i="7"/>
  <c r="C6" i="7"/>
  <c r="D17" i="7"/>
  <c r="F16" i="6"/>
  <c r="C28" i="6" s="1"/>
  <c r="C19" i="1" s="1"/>
  <c r="D19" i="1" s="1"/>
  <c r="H17" i="6"/>
  <c r="D6" i="7"/>
  <c r="E17" i="7"/>
  <c r="E6" i="7"/>
  <c r="F17" i="7"/>
  <c r="H16" i="6"/>
  <c r="F6" i="7"/>
  <c r="G17" i="7"/>
  <c r="G6" i="7"/>
  <c r="H17" i="7"/>
  <c r="C29" i="4" l="1"/>
  <c r="C26" i="4"/>
  <c r="C27" i="4"/>
  <c r="G40" i="4"/>
  <c r="G38" i="4"/>
  <c r="G41" i="4"/>
  <c r="G45" i="4"/>
  <c r="G46" i="4"/>
  <c r="G44" i="4"/>
  <c r="G43" i="4"/>
  <c r="G39" i="4"/>
  <c r="C37" i="3"/>
  <c r="C43" i="3"/>
  <c r="D33" i="3"/>
  <c r="C42" i="3"/>
  <c r="C34" i="3"/>
  <c r="C35" i="3" s="1"/>
  <c r="D9" i="5"/>
  <c r="D18" i="5" s="1"/>
  <c r="D19" i="5" s="1"/>
  <c r="C44" i="3" s="1"/>
  <c r="C27" i="6"/>
  <c r="C18" i="1" s="1"/>
  <c r="D18" i="1" s="1"/>
  <c r="C74" i="4"/>
  <c r="H44" i="4"/>
  <c r="H38" i="4"/>
  <c r="H41" i="4"/>
  <c r="H45" i="4"/>
  <c r="H39" i="4"/>
  <c r="H40" i="4"/>
  <c r="H46" i="4"/>
  <c r="H43" i="4"/>
  <c r="D39" i="4"/>
  <c r="D43" i="4"/>
  <c r="D46" i="4"/>
  <c r="D40" i="4"/>
  <c r="D44" i="4"/>
  <c r="D45" i="4"/>
  <c r="D38" i="4"/>
  <c r="D48" i="4" s="1"/>
  <c r="D53" i="4" s="1"/>
  <c r="D41" i="4"/>
  <c r="K5" i="6"/>
  <c r="J5" i="6"/>
  <c r="E43" i="4"/>
  <c r="E46" i="4"/>
  <c r="E40" i="4"/>
  <c r="E50" i="4" s="1"/>
  <c r="E55" i="4" s="1"/>
  <c r="E44" i="4"/>
  <c r="E38" i="4"/>
  <c r="E48" i="4" s="1"/>
  <c r="E53" i="4" s="1"/>
  <c r="E39" i="4"/>
  <c r="E49" i="4" s="1"/>
  <c r="E54" i="4" s="1"/>
  <c r="E41" i="4"/>
  <c r="E45" i="4"/>
  <c r="F46" i="4"/>
  <c r="F44" i="4"/>
  <c r="F38" i="4"/>
  <c r="F48" i="4" s="1"/>
  <c r="F53" i="4" s="1"/>
  <c r="F41" i="4"/>
  <c r="F43" i="4"/>
  <c r="F40" i="4"/>
  <c r="F50" i="4" s="1"/>
  <c r="F55" i="4" s="1"/>
  <c r="F39" i="4"/>
  <c r="F45" i="4"/>
  <c r="B13" i="7"/>
  <c r="B12" i="7"/>
  <c r="B11" i="7"/>
  <c r="B10" i="7"/>
  <c r="B9" i="7"/>
  <c r="B8" i="7"/>
  <c r="B7" i="7"/>
  <c r="B24" i="7"/>
  <c r="B23" i="7"/>
  <c r="B22" i="7"/>
  <c r="B21" i="7"/>
  <c r="B20" i="7"/>
  <c r="B19" i="7"/>
  <c r="B18" i="7"/>
  <c r="G48" i="4" l="1"/>
  <c r="G53" i="4" s="1"/>
  <c r="F49" i="4"/>
  <c r="E51" i="4"/>
  <c r="E56" i="4" s="1"/>
  <c r="D49" i="4"/>
  <c r="D54" i="4" s="1"/>
  <c r="H50" i="4"/>
  <c r="H55" i="4" s="1"/>
  <c r="C38" i="3"/>
  <c r="C36" i="3"/>
  <c r="C39" i="3"/>
  <c r="D51" i="4"/>
  <c r="D56" i="4" s="1"/>
  <c r="G50" i="4"/>
  <c r="G55" i="4" s="1"/>
  <c r="G49" i="4"/>
  <c r="G54" i="4" s="1"/>
  <c r="F54" i="4"/>
  <c r="B78" i="4" s="1"/>
  <c r="C60" i="4"/>
  <c r="F51" i="4"/>
  <c r="F56" i="4" s="1"/>
  <c r="H49" i="4"/>
  <c r="H54" i="4" s="1"/>
  <c r="D50" i="4"/>
  <c r="D55" i="4" s="1"/>
  <c r="H51" i="4"/>
  <c r="H56" i="4" s="1"/>
  <c r="E33" i="3"/>
  <c r="E9" i="5"/>
  <c r="E18" i="5" s="1"/>
  <c r="E19" i="5" s="1"/>
  <c r="D44" i="3" s="1"/>
  <c r="D37" i="3"/>
  <c r="D43" i="3"/>
  <c r="D42" i="3"/>
  <c r="D34" i="3"/>
  <c r="D35" i="3" s="1"/>
  <c r="H48" i="4"/>
  <c r="H53" i="4" s="1"/>
  <c r="G51" i="4"/>
  <c r="G56" i="4" s="1"/>
  <c r="D38" i="3" l="1"/>
  <c r="D36" i="3"/>
  <c r="D39" i="3"/>
  <c r="C40" i="3"/>
  <c r="C41" i="3" s="1"/>
  <c r="C45" i="3" s="1"/>
  <c r="E43" i="3"/>
  <c r="F9" i="5"/>
  <c r="F18" i="5" s="1"/>
  <c r="F19" i="5" s="1"/>
  <c r="E44" i="3" s="1"/>
  <c r="F33" i="3"/>
  <c r="E34" i="3"/>
  <c r="E35" i="3" s="1"/>
  <c r="E42" i="3"/>
  <c r="E37" i="3"/>
  <c r="C65" i="4"/>
  <c r="D65" i="4" s="1"/>
  <c r="C64" i="4"/>
  <c r="D64" i="4" s="1"/>
  <c r="C67" i="4"/>
  <c r="D67" i="4" s="1"/>
  <c r="C63" i="4"/>
  <c r="D63" i="4" s="1"/>
  <c r="C66" i="4"/>
  <c r="D66" i="4" s="1"/>
  <c r="E36" i="3" l="1"/>
  <c r="E38" i="3"/>
  <c r="E39" i="3"/>
  <c r="C47" i="3"/>
  <c r="D40" i="3"/>
  <c r="D41" i="3" s="1"/>
  <c r="D45" i="3" s="1"/>
  <c r="D47" i="3" s="1"/>
  <c r="G33" i="3"/>
  <c r="G9" i="5"/>
  <c r="G18" i="5" s="1"/>
  <c r="G19" i="5" s="1"/>
  <c r="F44" i="3" s="1"/>
  <c r="F43" i="3"/>
  <c r="F34" i="3"/>
  <c r="F35" i="3" s="1"/>
  <c r="F37" i="3"/>
  <c r="F42" i="3"/>
  <c r="F38" i="3" l="1"/>
  <c r="F36" i="3"/>
  <c r="F39" i="3"/>
  <c r="G42" i="3"/>
  <c r="G34" i="3"/>
  <c r="G35" i="3" s="1"/>
  <c r="C16" i="4"/>
  <c r="C28" i="4" s="1"/>
  <c r="H9" i="5"/>
  <c r="H18" i="5" s="1"/>
  <c r="H19" i="5" s="1"/>
  <c r="G44" i="3" s="1"/>
  <c r="G43" i="3"/>
  <c r="G37" i="3"/>
  <c r="E40" i="3"/>
  <c r="E41" i="3" s="1"/>
  <c r="E45" i="3" s="1"/>
  <c r="E47" i="3" l="1"/>
  <c r="C72" i="4"/>
  <c r="C73" i="4"/>
  <c r="F40" i="3"/>
  <c r="F41" i="3" s="1"/>
  <c r="F45" i="3" s="1"/>
  <c r="G39" i="3"/>
  <c r="G38" i="3"/>
  <c r="G36" i="3"/>
  <c r="F47" i="3" l="1"/>
  <c r="C59" i="3"/>
  <c r="C60" i="3" s="1"/>
  <c r="C61" i="3" s="1"/>
  <c r="G40" i="3"/>
  <c r="G41" i="3" s="1"/>
  <c r="G45" i="3" s="1"/>
  <c r="C51" i="3" l="1"/>
  <c r="C52" i="3" s="1"/>
  <c r="G47" i="3"/>
  <c r="C50" i="3" s="1"/>
  <c r="D11" i="7"/>
  <c r="C7" i="7"/>
  <c r="I20" i="7"/>
  <c r="H9" i="7"/>
  <c r="E7" i="7"/>
  <c r="F10" i="7"/>
  <c r="C13" i="7"/>
  <c r="G10" i="7"/>
  <c r="D18" i="7"/>
  <c r="I22" i="7"/>
  <c r="H10" i="7"/>
  <c r="D10" i="7"/>
  <c r="G23" i="7"/>
  <c r="I12" i="7"/>
  <c r="H19" i="7"/>
  <c r="D20" i="7"/>
  <c r="G20" i="7"/>
  <c r="F18" i="7"/>
  <c r="I24" i="7"/>
  <c r="F19" i="7"/>
  <c r="E9" i="7"/>
  <c r="G24" i="7"/>
  <c r="C22" i="7"/>
  <c r="E22" i="7"/>
  <c r="C19" i="7"/>
  <c r="G9" i="7"/>
  <c r="E23" i="7"/>
  <c r="G18" i="7"/>
  <c r="G11" i="7"/>
  <c r="F20" i="7"/>
  <c r="H22" i="7"/>
  <c r="I13" i="7"/>
  <c r="H11" i="7"/>
  <c r="C9" i="7"/>
  <c r="F24" i="7"/>
  <c r="D19" i="7"/>
  <c r="H18" i="7"/>
  <c r="I10" i="7"/>
  <c r="E19" i="7"/>
  <c r="F13" i="7"/>
  <c r="G12" i="7"/>
  <c r="C8" i="7"/>
  <c r="E10" i="7"/>
  <c r="F9" i="7"/>
  <c r="H24" i="7"/>
  <c r="D23" i="7"/>
  <c r="C24" i="7"/>
  <c r="H21" i="7"/>
  <c r="F12" i="7"/>
  <c r="I18" i="7"/>
  <c r="I23" i="7"/>
  <c r="E12" i="7"/>
  <c r="G19" i="7"/>
  <c r="F23" i="7"/>
  <c r="F8" i="7"/>
  <c r="I19" i="7"/>
  <c r="G7" i="7"/>
  <c r="E13" i="7"/>
  <c r="H23" i="7"/>
  <c r="I9" i="7"/>
  <c r="D24" i="7"/>
  <c r="H12" i="7"/>
  <c r="E11" i="7"/>
  <c r="C11" i="7"/>
  <c r="H13" i="7"/>
  <c r="F21" i="7"/>
  <c r="E18" i="7"/>
  <c r="I11" i="7"/>
  <c r="I8" i="7"/>
  <c r="G8" i="7"/>
  <c r="D13" i="7"/>
  <c r="C23" i="7"/>
  <c r="C12" i="7"/>
  <c r="I7" i="7"/>
  <c r="D22" i="7"/>
  <c r="E8" i="7"/>
  <c r="G13" i="7"/>
  <c r="G21" i="7"/>
  <c r="D9" i="7"/>
  <c r="D21" i="7"/>
  <c r="H20" i="7"/>
  <c r="D7" i="7"/>
  <c r="C20" i="7"/>
  <c r="F11" i="7"/>
  <c r="C10" i="7"/>
  <c r="F22" i="7"/>
  <c r="C21" i="7"/>
  <c r="D12" i="7"/>
  <c r="I21" i="7"/>
  <c r="F7" i="7"/>
  <c r="C18" i="7"/>
  <c r="E24" i="7"/>
  <c r="E20" i="7"/>
  <c r="H7" i="7"/>
  <c r="G22" i="7"/>
  <c r="D8" i="7"/>
  <c r="E21" i="7"/>
  <c r="H8" i="7"/>
  <c r="C58" i="3" l="1"/>
  <c r="C62" i="3" s="1"/>
  <c r="C53" i="3"/>
  <c r="C17" i="4" l="1"/>
  <c r="C54" i="3"/>
  <c r="C55" i="3" s="1"/>
  <c r="C16" i="1"/>
  <c r="C63" i="3"/>
  <c r="C64" i="3" s="1"/>
  <c r="C17" i="1" s="1"/>
  <c r="D17" i="1" s="1"/>
  <c r="D16" i="1" l="1"/>
  <c r="C21" i="1"/>
  <c r="C10" i="1"/>
  <c r="C12" i="1" s="1"/>
  <c r="C11" i="1" s="1"/>
  <c r="C19" i="4"/>
  <c r="C20" i="4" s="1"/>
  <c r="B79" i="4" s="1"/>
</calcChain>
</file>

<file path=xl/sharedStrings.xml><?xml version="1.0" encoding="utf-8"?>
<sst xmlns="http://schemas.openxmlformats.org/spreadsheetml/2006/main" count="465" uniqueCount="335">
  <si>
    <t>DISCLAIMER: This is a sample analysis for demonstration purposes only. It does not constitute investment advice.</t>
  </si>
  <si>
    <t>KDDI (ex-au Financial Holdings) (9433.T)</t>
  </si>
  <si>
    <t>Equity Research Report</t>
  </si>
  <si>
    <t>Company</t>
  </si>
  <si>
    <t>KDDI (ex-au Financial Holdings)</t>
  </si>
  <si>
    <t>Ticker</t>
  </si>
  <si>
    <t>9433.T (TSE Prime)</t>
  </si>
  <si>
    <t>Sector</t>
  </si>
  <si>
    <t>情報・通信業</t>
  </si>
  <si>
    <t>Current Price</t>
  </si>
  <si>
    <t>Target Price (DCF Mid)</t>
  </si>
  <si>
    <t>Recommendation</t>
  </si>
  <si>
    <t>Upside / Downside</t>
  </si>
  <si>
    <t>Valuation Summary</t>
  </si>
  <si>
    <t>Methodology</t>
  </si>
  <si>
    <t>Implied Value (JPY)</t>
  </si>
  <si>
    <t>vs Current Price</t>
  </si>
  <si>
    <t>DCF - Perpetuity Growth</t>
  </si>
  <si>
    <t>DCF - Exit Multiple</t>
  </si>
  <si>
    <t>Comps - EV/EBITDA Median [参考・Target不算入]</t>
  </si>
  <si>
    <t>Comps - PER Median [参考・Target不算入]</t>
  </si>
  <si>
    <t>Note: Target Mid は DCF 2法（PGM / Exit）の平均のみ。Comps 2法は [参考] で Target 不算入（EV&lt;ネットデットで株式価値が負になる手法は INVALID として平均から除外）</t>
  </si>
  <si>
    <t>DCF Valuation Range (PGM - Exit)</t>
  </si>
  <si>
    <t>Key Investment Thesis</t>
  </si>
  <si>
    <t>1. [Edit] Describe key competitive advantage</t>
  </si>
  <si>
    <t>2. [Edit] Describe growth driver</t>
  </si>
  <si>
    <t>3. [Edit] Describe margin expansion opportunity</t>
  </si>
  <si>
    <t>Key Risks</t>
  </si>
  <si>
    <t>1. [Edit] Describe primary risk factor</t>
  </si>
  <si>
    <t>2. [Edit] Describe secondary risk factor</t>
  </si>
  <si>
    <t>3. [Edit] Describe tertiary risk factor</t>
  </si>
  <si>
    <t>KDDI (ex-au Financial Holdings) - Historical Financials (JPY mn)</t>
  </si>
  <si>
    <t>FY2025</t>
  </si>
  <si>
    <t>FY2026</t>
  </si>
  <si>
    <t>Income Statement</t>
  </si>
  <si>
    <t>Revenue</t>
  </si>
  <si>
    <t>COGS</t>
  </si>
  <si>
    <t>Gross Profit</t>
  </si>
  <si>
    <t>Gross Margin</t>
  </si>
  <si>
    <t>SGA</t>
  </si>
  <si>
    <t>Operating Income</t>
  </si>
  <si>
    <t>Net Income</t>
  </si>
  <si>
    <t>Operating Margin</t>
  </si>
  <si>
    <t>Net Margin</t>
  </si>
  <si>
    <t>Revenue Growth (YoY)</t>
  </si>
  <si>
    <t>n/a</t>
  </si>
  <si>
    <t>Operating Income Growth (YoY)</t>
  </si>
  <si>
    <t>Cash Flow Statement</t>
  </si>
  <si>
    <t>Operating Cash Flow</t>
  </si>
  <si>
    <t>Capex</t>
  </si>
  <si>
    <t>Free Cash Flow</t>
  </si>
  <si>
    <t>FCF Margin</t>
  </si>
  <si>
    <t>Capex / Revenue</t>
  </si>
  <si>
    <t>Balance Sheet Highlights</t>
  </si>
  <si>
    <t>Cash &amp; Deposits</t>
  </si>
  <si>
    <t>Total Interest-bearing Debt (short + long)</t>
  </si>
  <si>
    <t>Net Debt (Cash)</t>
  </si>
  <si>
    <t>Note: OCF / Cash / Debt coverage OCF 2/2, Cash 2/2, Debt 2/2 — blank cells are years with no year-key match in the source data (verify against 決算短信 or set hist_ocf / hist_cash / hist_debt in overrides).</t>
  </si>
  <si>
    <t>DCF Valuation Model - KDDI (ex-au Financial Holdings)</t>
  </si>
  <si>
    <t>Assumptions</t>
  </si>
  <si>
    <t>Effective Tax Rate</t>
  </si>
  <si>
    <t>Risk-Free Rate</t>
  </si>
  <si>
    <t>Beta</t>
  </si>
  <si>
    <t>Equity Risk Premium</t>
  </si>
  <si>
    <t>Size Premium</t>
  </si>
  <si>
    <t>After-tax Cost of Debt</t>
  </si>
  <si>
    <t>D/E Ratio</t>
  </si>
  <si>
    <t>Terminal Growth Rate</t>
  </si>
  <si>
    <t>Exit Multiple (EV/EBITDA)</t>
  </si>
  <si>
    <t>Fully Diluted Shares</t>
  </si>
  <si>
    <t>Net Debt (JPY mn)</t>
  </si>
  <si>
    <t>Base Year Revenue (JPY mn)</t>
  </si>
  <si>
    <t>D&amp;A / Revenue</t>
  </si>
  <si>
    <t>Stub Fraction (yr remaining)</t>
  </si>
  <si>
    <t>LTM Revenue (JPY mn)</t>
  </si>
  <si>
    <t>WACC Calculation</t>
  </si>
  <si>
    <t>Cost of Equity (Ke)</t>
  </si>
  <si>
    <t>Weight of Equity</t>
  </si>
  <si>
    <t>Weight of Debt</t>
  </si>
  <si>
    <t>WACC</t>
  </si>
  <si>
    <t>Active Scenario</t>
  </si>
  <si>
    <t>Base</t>
  </si>
  <si>
    <t>Projected Free Cash Flow</t>
  </si>
  <si>
    <t>FY2027(E)</t>
  </si>
  <si>
    <t>FY2028(E)</t>
  </si>
  <si>
    <t>FY2029(E)</t>
  </si>
  <si>
    <t>FY2030(E)</t>
  </si>
  <si>
    <t>FY2031(E)</t>
  </si>
  <si>
    <t>COGS % of Revenue</t>
  </si>
  <si>
    <t>SGA % of Revenue</t>
  </si>
  <si>
    <t>SGA Expense</t>
  </si>
  <si>
    <t>Implied Operating Margin</t>
  </si>
  <si>
    <t>Operating Income (EBIT)</t>
  </si>
  <si>
    <t>Less: Tax</t>
  </si>
  <si>
    <t>NOPAT</t>
  </si>
  <si>
    <t>Plus: D&amp;A</t>
  </si>
  <si>
    <t>Less: Capex</t>
  </si>
  <si>
    <t>Change in NWC</t>
  </si>
  <si>
    <t>Unlevered Free Cash Flow</t>
  </si>
  <si>
    <t>Discount Factor</t>
  </si>
  <si>
    <t>PV of FCF</t>
  </si>
  <si>
    <t>Valuation - Perpetuity Growth Method</t>
  </si>
  <si>
    <t>Sum of PV of FCFs</t>
  </si>
  <si>
    <t>Terminal Value (PGM)</t>
  </si>
  <si>
    <t>PV of Terminal Value</t>
  </si>
  <si>
    <t>Enterprise Value</t>
  </si>
  <si>
    <t>Equity Value</t>
  </si>
  <si>
    <t>Implied Share Price (PGM)</t>
  </si>
  <si>
    <t>Valuation - Exit Multiple Method</t>
  </si>
  <si>
    <t>Year 5 EBITDA</t>
  </si>
  <si>
    <t>Terminal Value (Exit Multiple)</t>
  </si>
  <si>
    <t>Implied Share Price (Exit Multiple)</t>
  </si>
  <si>
    <t>Scenario Input Matrix</t>
  </si>
  <si>
    <t>Year 1</t>
  </si>
  <si>
    <t>Year 2</t>
  </si>
  <si>
    <t>Year 3</t>
  </si>
  <si>
    <t>Year 4</t>
  </si>
  <si>
    <t>Year 5</t>
  </si>
  <si>
    <t>Upside</t>
  </si>
  <si>
    <t>Management</t>
  </si>
  <si>
    <t>Downside 1</t>
  </si>
  <si>
    <t>Downside 2</t>
  </si>
  <si>
    <t>Reverse DCF - KDDI (ex-au Financial Holdings) (9433.T)</t>
  </si>
  <si>
    <t>What is the current share price already assuming? Every value below is a live formula off the other sheets.</t>
  </si>
  <si>
    <t>Block 0: Market-implied enterprise value (live)</t>
  </si>
  <si>
    <t>Current Share Price (JPY)</t>
  </si>
  <si>
    <t>Market Capitalisation (JPY mn)</t>
  </si>
  <si>
    <t>Enterprise Value (JPY mn)</t>
  </si>
  <si>
    <t>WACC (w)</t>
  </si>
  <si>
    <t>Terminal Growth (g)</t>
  </si>
  <si>
    <t>Effective Tax Rate (t)</t>
  </si>
  <si>
    <t>Starting Operating Profit OP0 (FY2026 actual)</t>
  </si>
  <si>
    <t>Cycle-peak Operating Profit (FY2026 actual)</t>
  </si>
  <si>
    <t>Terminal-year Revenue, active scenario (JPY mn)</t>
  </si>
  <si>
    <t>Base-case DCF Enterprise Value, PGM (JPY mn)</t>
  </si>
  <si>
    <t>Cycle-peak Operating Margin (FY2026 actual)</t>
  </si>
  <si>
    <t>Gap: market EV less base-case DCF EV (JPY mn)</t>
  </si>
  <si>
    <t>Gap per share (JPY) - the part of the price the base case does not explain</t>
  </si>
  <si>
    <t>Block A: Required steady-state operating profit, reached IMMEDIATELY (no ramp)</t>
  </si>
  <si>
    <t>The lowest bar the price can clear: today's EV read as a perpetuity of one steady-state profit, capex = D&amp;A, no NWC build.</t>
  </si>
  <si>
    <t>Required steady-state NOPAT (JPY mn)</t>
  </si>
  <si>
    <t>Required steady-state Operating Profit (JPY mn)</t>
  </si>
  <si>
    <t>... as a multiple of the FY2026 peak</t>
  </si>
  <si>
    <t>... as a multiple of FY2026 actual</t>
  </si>
  <si>
    <t>... implied OPM on terminal-year revenue</t>
  </si>
  <si>
    <t>... revenue needed if margins only reach the cycle peak</t>
  </si>
  <si>
    <t>Block B: Required steady-state operating profit by YEARS-TO-REACH (linear ramp) x WACC</t>
  </si>
  <si>
    <t>Operating profit ramps linearly from OP0 (C14) to OP* over N years, then grows at g for ever. Column F is the model WACC.</t>
  </si>
  <si>
    <t>OP* = ( EV/(1-t) - OP0*(A-B) ) / ( B + TVF ). A longer ramp needs a HIGHER steady state, because more years are spent below it.</t>
  </si>
  <si>
    <t>Years to steady state (N)   \   WACC</t>
  </si>
  <si>
    <t>N</t>
  </si>
  <si>
    <t>B-1  PV weight on the RAMP from OP0   (A - B)</t>
  </si>
  <si>
    <t>N = 3 years</t>
  </si>
  <si>
    <t>N = 5 years</t>
  </si>
  <si>
    <t>N = 7 years</t>
  </si>
  <si>
    <t>N = 10 years</t>
  </si>
  <si>
    <t>B-2  PV weight on the STEADY STATE OP*   (B + terminal factor)</t>
  </si>
  <si>
    <t>B-3  REQUIRED steady-state Operating Profit (JPY mn)</t>
  </si>
  <si>
    <t>B-4  ... as a multiple of the FY2026 peak operating profit</t>
  </si>
  <si>
    <t>Block C: Decomposing the required profit into revenue x margin (N = 5 years, model WACC)</t>
  </si>
  <si>
    <t>The revenue the company must run at, for a given steady-state operating margin, to earn the Block B-3 profit.</t>
  </si>
  <si>
    <t>Required steady-state Operating Profit (N=5, model WACC)</t>
  </si>
  <si>
    <t>Assumed steady-state OPM</t>
  </si>
  <si>
    <t>Required Revenue</t>
  </si>
  <si>
    <t>x base-year revenue</t>
  </si>
  <si>
    <t>cycle-peak OPM (FY2026)</t>
  </si>
  <si>
    <t>Block D: The same question expressed as multiples</t>
  </si>
  <si>
    <t>Current EV / latest-FY EBITDA (actual)</t>
  </si>
  <si>
    <t>Current EV / latest-FY Revenue (actual)</t>
  </si>
  <si>
    <t>EV / EBITDA if the Block A profit were already earned</t>
  </si>
  <si>
    <t>EV / EBITDA if the Block B-3 (N=5) profit were already earned</t>
  </si>
  <si>
    <t>Peer median EV / EBITDA (statistics rows)</t>
  </si>
  <si>
    <t>Rows 3-4 answer: what multiple would today's EV be paying IF the company already earned the profit the price requires?</t>
  </si>
  <si>
    <t>Block F: The one-line answer</t>
  </si>
  <si>
    <t>NWC Schedule - KDDI (ex-au Financial Holdings)</t>
  </si>
  <si>
    <t>Working Capital Drivers (% of Revenue)</t>
  </si>
  <si>
    <t>Base Year</t>
  </si>
  <si>
    <t>NWC % of Revenue</t>
  </si>
  <si>
    <t>—</t>
  </si>
  <si>
    <t>P&amp;L Reference (JPY mn)</t>
  </si>
  <si>
    <t>Working Capital Items (JPY mn)</t>
  </si>
  <si>
    <t>Net Working Capital (JPY mn)</t>
  </si>
  <si>
    <t>Net Working Capital</t>
  </si>
  <si>
    <t>Scenario Input Matrix (NWC % of Revenue)</t>
  </si>
  <si>
    <t>Comparable Company Analysis</t>
  </si>
  <si>
    <t>Peer prices as of 2026-09-07 (Mkt Cap / EV of peer rows are static CSV values; the subject row is live-linked to Executive Summary)</t>
  </si>
  <si>
    <t>Mkt Cap
(JPY mn)</t>
  </si>
  <si>
    <t>EV
(JPY mn)</t>
  </si>
  <si>
    <t>Revenue
(JPY mn)</t>
  </si>
  <si>
    <t>EBITDA
(JPY mn)</t>
  </si>
  <si>
    <t>Op Income
(JPY mn)</t>
  </si>
  <si>
    <t>Net Income
(JPY mn)</t>
  </si>
  <si>
    <t>EV/EBITDA</t>
  </si>
  <si>
    <t>EV/Revenue</t>
  </si>
  <si>
    <t>PER</t>
  </si>
  <si>
    <t>PBR</t>
  </si>
  <si>
    <t>Op Margin</t>
  </si>
  <si>
    <t>ROE</t>
  </si>
  <si>
    <t>Book Value
(JPY mn)</t>
  </si>
  <si>
    <t>Note</t>
  </si>
  <si>
    <t>KDDI Corporation (ex-au Financial Holdings)</t>
  </si>
  <si>
    <t>9433.T</t>
  </si>
  <si>
    <t>NTT, Inc.</t>
  </si>
  <si>
    <t>9432.T</t>
  </si>
  <si>
    <t>SoftBank Corp.</t>
  </si>
  <si>
    <t>9434.T</t>
  </si>
  <si>
    <t>Okinawa Cellular Telephone Company</t>
  </si>
  <si>
    <t>9436.T</t>
  </si>
  <si>
    <t>Statistics</t>
  </si>
  <si>
    <t>25th Percentile</t>
  </si>
  <si>
    <t>Median (50th)</t>
  </si>
  <si>
    <t>75th Percentile</t>
  </si>
  <si>
    <t>Implied Valuation for KDDI (ex-au Financial Holdings)</t>
  </si>
  <si>
    <t>KDDI (ex-au Financial Holdings) Financials</t>
  </si>
  <si>
    <t>EBITDA (JPY mn)</t>
  </si>
  <si>
    <t>Net Income (JPY mn)</t>
  </si>
  <si>
    <t>Shares Outstanding</t>
  </si>
  <si>
    <t>Implied Share Price (Median Multiples)</t>
  </si>
  <si>
    <t>Via EV/EBITDA (Median)</t>
  </si>
  <si>
    <t>Via PER (Median)</t>
  </si>
  <si>
    <t>Sensitivity Analysis</t>
  </si>
  <si>
    <t>Current WACC:</t>
  </si>
  <si>
    <t>Terminal g:</t>
  </si>
  <si>
    <t>Exit Multiple:</t>
  </si>
  <si>
    <t>Table 1: WACC vs Terminal Growth Rate (PGM - Implied Share Price, JPY)</t>
  </si>
  <si>
    <t>WACC \ Terminal g</t>
  </si>
  <si>
    <t>Table 2: WACC vs Exit Multiple (Exit Multiple - Implied Share Price, JPY)</t>
  </si>
  <si>
    <t>WACC \ Exit Multiple</t>
  </si>
  <si>
    <t>All values dynamically linked to DCF Model. Headers auto-center on current WACC / Terminal g / Exit Multiple.</t>
  </si>
  <si>
    <t>Adjustments Log - KDDI (ex-au Financial Holdings)</t>
  </si>
  <si>
    <t>日付</t>
  </si>
  <si>
    <t>セル</t>
  </si>
  <si>
    <t>変更内容</t>
  </si>
  <si>
    <t>理由</t>
  </si>
  <si>
    <t>元の値</t>
  </si>
  <si>
    <t>状態</t>
  </si>
  <si>
    <t>2026-09-07</t>
  </si>
  <si>
    <t>-</t>
  </si>
  <si>
    <t>Generated by pipeline on 2026-09-07 02:30, template rev 15b64f7</t>
  </si>
  <si>
    <t>初期生成（手修正なし）</t>
  </si>
  <si>
    <t>generated</t>
  </si>
  <si>
    <t>DCF Model!C8</t>
  </si>
  <si>
    <t>Beta = 0.482（採用値）</t>
  </si>
  <si>
    <t>実測β(raw) = 0.227 → Blume調整 0.67×raw + 0.33×1.00 = 0.482 → 採用 0.482。クランプ域 [0.3, 2.0] の内側。置換なし。回帰βは平均回帰するため Blume 調整を既定とする（2026-09-05 バッチで85件中57件が旧下限 0.60 に張り付き、両裾の歪みが実証された）。</t>
  </si>
  <si>
    <t>実測 0.227</t>
  </si>
  <si>
    <t>確定</t>
  </si>
  <si>
    <t>Pipeline Metadata (do not edit — read by scripts/validate_output.py)</t>
  </si>
  <si>
    <t>key</t>
  </si>
  <si>
    <t>value</t>
  </si>
  <si>
    <t>annual_doc_ids</t>
  </si>
  <si>
    <t>2026-03-31=S100YKG2 (有価証券報告書, 2026-06-25 提出)</t>
  </si>
  <si>
    <t>auto_log_entries</t>
  </si>
  <si>
    <t>1</t>
  </si>
  <si>
    <t>beta_adopted_c8</t>
  </si>
  <si>
    <t>0.4821</t>
  </si>
  <si>
    <t>beta_basis</t>
  </si>
  <si>
    <t>Blume: 0.67 x 0.227 + 0.33 x 1.00 = 0.482</t>
  </si>
  <si>
    <t>beta_blume_adjusted</t>
  </si>
  <si>
    <t>beta_clamped</t>
  </si>
  <si>
    <t>no</t>
  </si>
  <si>
    <t>beta_raw</t>
  </si>
  <si>
    <t>0.227</t>
  </si>
  <si>
    <t>capex_pct_basis</t>
  </si>
  <si>
    <t>explicit_override</t>
  </si>
  <si>
    <t>capex_pct_c5</t>
  </si>
  <si>
    <t>0.1161</t>
  </si>
  <si>
    <t>capex_pct_hist3yr</t>
  </si>
  <si>
    <t>company_name</t>
  </si>
  <si>
    <t>comps_asof</t>
  </si>
  <si>
    <t>comps_da_missing</t>
  </si>
  <si>
    <t>none</t>
  </si>
  <si>
    <t>comps_ebitda_excluded</t>
  </si>
  <si>
    <t>comps_ev_ebitda_invalid</t>
  </si>
  <si>
    <t>comps_ev_ebitda_rows</t>
  </si>
  <si>
    <t>6,7,8</t>
  </si>
  <si>
    <t>comps_impl_mult_row</t>
  </si>
  <si>
    <t>27</t>
  </si>
  <si>
    <t>comps_impl_per_row</t>
  </si>
  <si>
    <t>28</t>
  </si>
  <si>
    <t>comps_peer_rows</t>
  </si>
  <si>
    <t>comps_per_excluded</t>
  </si>
  <si>
    <t>comps_stale_excluded</t>
  </si>
  <si>
    <t>comps_stat_median_row</t>
  </si>
  <si>
    <t>16</t>
  </si>
  <si>
    <t>comps_subject_row</t>
  </si>
  <si>
    <t>5</t>
  </si>
  <si>
    <t>core_ebitda</t>
  </si>
  <si>
    <t>1735409</t>
  </si>
  <si>
    <t>core_net_income</t>
  </si>
  <si>
    <t>707112.0</t>
  </si>
  <si>
    <t>cost_of_debt_at_c11</t>
  </si>
  <si>
    <t>0.01</t>
  </si>
  <si>
    <t>cost_of_debt_basis</t>
  </si>
  <si>
    <t>assumption</t>
  </si>
  <si>
    <t>da_pct_basis</t>
  </si>
  <si>
    <t>da_pct_c18</t>
  </si>
  <si>
    <t>0.1185</t>
  </si>
  <si>
    <t>da_pct_hist3yr</t>
  </si>
  <si>
    <t>0.121097</t>
  </si>
  <si>
    <t>disclosure_basis_date</t>
  </si>
  <si>
    <t>2026-03-31</t>
  </si>
  <si>
    <t>fs_year_coverage</t>
  </si>
  <si>
    <t>OCF 2/2, Cash 2/2, Debt 2/2</t>
  </si>
  <si>
    <t>fs_year_map</t>
  </si>
  <si>
    <t>FY2025&lt;-FY2025[ocf+cash+debt]; FY2026&lt;-FY2026[ocf+cash+debt]</t>
  </si>
  <si>
    <t>fs_year_sources</t>
  </si>
  <si>
    <t>overrides: none | EDINET year-key match: hist_ocf, hist_cash, hist_debt, hist_capex, hist_depreciation</t>
  </si>
  <si>
    <t>fx_sensitivity</t>
  </si>
  <si>
    <t>not enabled</t>
  </si>
  <si>
    <t>generated_at</t>
  </si>
  <si>
    <t>2026-09-07 02:30:17</t>
  </si>
  <si>
    <t>guidance_note</t>
  </si>
  <si>
    <t>TDnet 決算短信 via screener guidance table: FY2027 disclosed 2026-08-07 (net_income=731,000mn, operating_income=1,210,000mn, revenue=6,410,000mn)</t>
  </si>
  <si>
    <t>guidance_source</t>
  </si>
  <si>
    <t>tdnet_screener_db</t>
  </si>
  <si>
    <t>latest_operating_income</t>
  </si>
  <si>
    <t>1055926</t>
  </si>
  <si>
    <t>ltm_revenue_c20</t>
  </si>
  <si>
    <t>6071915.0</t>
  </si>
  <si>
    <t>ltm_revenue_source</t>
  </si>
  <si>
    <t>latest FY (no LTM)</t>
  </si>
  <si>
    <t>market_data_source</t>
  </si>
  <si>
    <t>yfinance; from overrides: beta, current_price, shares_outstanding</t>
  </si>
  <si>
    <t>narrative_tokens_used</t>
  </si>
  <si>
    <t>net_debt_source</t>
  </si>
  <si>
    <t>EDINET net_debt</t>
  </si>
  <si>
    <t>reverse_dcf_sheet</t>
  </si>
  <si>
    <t>op0=1,055,926(FY2026) peak=1,055,926(FY2026) peak_opm=0.1842 N=3/5/7/10</t>
  </si>
  <si>
    <t>scenario_index_range</t>
  </si>
  <si>
    <t>B69:B73</t>
  </si>
  <si>
    <t>tax_rate_c6</t>
  </si>
  <si>
    <t>0.25</t>
  </si>
  <si>
    <t>template_rev</t>
  </si>
  <si>
    <t>15b64f7</t>
  </si>
  <si>
    <t>ticker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</si>
</sst>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;\(#,##0\)"/>
    <numFmt numFmtId="177" formatCode="0.0%;\(0.0%\)"/>
    <numFmt numFmtId="178" formatCode="0.000"/>
    <numFmt numFmtId="179" formatCode="0.00&quot;x&quot;"/>
    <numFmt numFmtId="180" formatCode="0.00%;\(0.00%\)"/>
    <numFmt numFmtId="181" formatCode="0.0000"/>
  </numFmts>
  <fonts count="9" x14ac:knownFonts="1">
    <font>
      <sz val="11"/>
      <color theme="1"/>
      <name val="ＭＳ Ｐゴシック"/>
      <family val="2"/>
      <scheme val="minor"/>
    </font>
    <font>
      <i/>
      <sz val="9"/>
      <color rgb="FF808080"/>
      <name val="Arial"/>
    </font>
    <font>
      <b/>
      <sz val="14"/>
      <name val="Arial"/>
    </font>
    <font>
      <b/>
      <sz val="11"/>
      <name val="Arial"/>
    </font>
    <font>
      <b/>
      <sz val="10"/>
      <name val="Arial"/>
    </font>
    <font>
      <sz val="10"/>
      <color rgb="FF000000"/>
      <name val="Arial"/>
    </font>
    <font>
      <b/>
      <sz val="11"/>
      <color rgb="FFFFFFFF"/>
      <name val="Arial"/>
    </font>
    <font>
      <sz val="10"/>
      <color rgb="FF006600"/>
      <name val="Arial"/>
    </font>
    <font>
      <sz val="6"/>
      <name val="ＭＳ Ｐ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000080"/>
        <bgColor rgb="FF000080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hair">
        <color rgb="FFB0B0B0"/>
      </left>
      <right style="hair">
        <color rgb="FFB0B0B0"/>
      </right>
      <top style="hair">
        <color rgb="FFB0B0B0"/>
      </top>
      <bottom style="hair">
        <color rgb="FFB0B0B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76" fontId="5" fillId="0" borderId="0" xfId="0" applyNumberFormat="1" applyFont="1"/>
    <xf numFmtId="0" fontId="5" fillId="0" borderId="0" xfId="0" applyFont="1"/>
    <xf numFmtId="177" fontId="5" fillId="0" borderId="0" xfId="0" applyNumberFormat="1" applyFont="1"/>
    <xf numFmtId="0" fontId="3" fillId="2" borderId="0" xfId="0" applyFont="1" applyFill="1"/>
    <xf numFmtId="0" fontId="0" fillId="2" borderId="0" xfId="0" applyFill="1"/>
    <xf numFmtId="0" fontId="6" fillId="3" borderId="1" xfId="0" applyFont="1" applyFill="1" applyBorder="1" applyAlignment="1">
      <alignment horizontal="center" wrapText="1"/>
    </xf>
    <xf numFmtId="176" fontId="7" fillId="0" borderId="0" xfId="0" applyNumberFormat="1" applyFont="1"/>
    <xf numFmtId="2" fontId="5" fillId="0" borderId="0" xfId="0" applyNumberFormat="1" applyFont="1"/>
    <xf numFmtId="178" fontId="5" fillId="0" borderId="0" xfId="0" applyNumberFormat="1" applyFont="1"/>
    <xf numFmtId="179" fontId="5" fillId="0" borderId="0" xfId="0" applyNumberFormat="1" applyFont="1"/>
    <xf numFmtId="3" fontId="5" fillId="0" borderId="0" xfId="0" applyNumberFormat="1" applyFont="1"/>
    <xf numFmtId="180" fontId="5" fillId="0" borderId="0" xfId="0" applyNumberFormat="1" applyFont="1"/>
    <xf numFmtId="0" fontId="5" fillId="0" borderId="2" xfId="0" applyFont="1" applyBorder="1"/>
    <xf numFmtId="177" fontId="5" fillId="2" borderId="0" xfId="0" applyNumberFormat="1" applyFont="1" applyFill="1"/>
    <xf numFmtId="176" fontId="5" fillId="0" borderId="3" xfId="0" applyNumberFormat="1" applyFont="1" applyBorder="1"/>
    <xf numFmtId="176" fontId="5" fillId="4" borderId="3" xfId="0" applyNumberFormat="1" applyFont="1" applyFill="1" applyBorder="1"/>
    <xf numFmtId="181" fontId="5" fillId="0" borderId="0" xfId="0" applyNumberFormat="1" applyFont="1"/>
    <xf numFmtId="0" fontId="3" fillId="5" borderId="0" xfId="0" applyFont="1" applyFill="1"/>
    <xf numFmtId="0" fontId="0" fillId="5" borderId="0" xfId="0" applyFill="1"/>
    <xf numFmtId="176" fontId="5" fillId="0" borderId="4" xfId="0" applyNumberFormat="1" applyFont="1" applyBorder="1"/>
    <xf numFmtId="0" fontId="6" fillId="3" borderId="0" xfId="0" applyFont="1" applyFill="1" applyAlignment="1">
      <alignment horizontal="center"/>
    </xf>
    <xf numFmtId="177" fontId="5" fillId="0" borderId="2" xfId="0" applyNumberFormat="1" applyFont="1" applyBorder="1"/>
    <xf numFmtId="176" fontId="5" fillId="0" borderId="2" xfId="0" applyNumberFormat="1" applyFont="1" applyBorder="1"/>
    <xf numFmtId="0" fontId="6" fillId="3" borderId="0" xfId="0" applyFont="1" applyFill="1"/>
    <xf numFmtId="180" fontId="6" fillId="3" borderId="0" xfId="0" applyNumberFormat="1" applyFont="1" applyFill="1" applyAlignment="1">
      <alignment horizontal="center"/>
    </xf>
    <xf numFmtId="3" fontId="5" fillId="0" borderId="2" xfId="0" applyNumberFormat="1" applyFont="1" applyBorder="1"/>
    <xf numFmtId="177" fontId="4" fillId="0" borderId="2" xfId="0" applyNumberFormat="1" applyFont="1" applyBorder="1"/>
    <xf numFmtId="0" fontId="6" fillId="2" borderId="1" xfId="0" applyFont="1" applyFill="1" applyBorder="1" applyAlignment="1">
      <alignment horizontal="center" wrapText="1"/>
    </xf>
    <xf numFmtId="0" fontId="4" fillId="0" borderId="5" xfId="0" applyFont="1" applyBorder="1"/>
    <xf numFmtId="177" fontId="5" fillId="0" borderId="5" xfId="0" applyNumberFormat="1" applyFont="1" applyBorder="1"/>
    <xf numFmtId="0" fontId="1" fillId="0" borderId="5" xfId="0" applyFont="1" applyBorder="1"/>
    <xf numFmtId="176" fontId="5" fillId="0" borderId="5" xfId="0" applyNumberFormat="1" applyFont="1" applyBorder="1"/>
    <xf numFmtId="0" fontId="5" fillId="0" borderId="5" xfId="0" applyFont="1" applyBorder="1"/>
    <xf numFmtId="176" fontId="5" fillId="0" borderId="6" xfId="0" applyNumberFormat="1" applyFont="1" applyBorder="1"/>
    <xf numFmtId="179" fontId="5" fillId="0" borderId="6" xfId="0" applyNumberFormat="1" applyFont="1" applyBorder="1"/>
    <xf numFmtId="177" fontId="5" fillId="0" borderId="6" xfId="0" applyNumberFormat="1" applyFont="1" applyBorder="1"/>
    <xf numFmtId="0" fontId="6" fillId="3" borderId="6" xfId="0" applyFont="1" applyFill="1" applyBorder="1" applyAlignment="1">
      <alignment horizontal="center" wrapText="1"/>
    </xf>
    <xf numFmtId="177" fontId="6" fillId="3" borderId="6" xfId="0" applyNumberFormat="1" applyFont="1" applyFill="1" applyBorder="1" applyAlignment="1">
      <alignment horizontal="center"/>
    </xf>
    <xf numFmtId="179" fontId="6" fillId="3" borderId="6" xfId="0" applyNumberFormat="1" applyFont="1" applyFill="1" applyBorder="1" applyAlignment="1">
      <alignment horizontal="center"/>
    </xf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3366"/>
  </sheetPr>
  <dimension ref="B1:E31"/>
  <sheetViews>
    <sheetView tabSelected="1" workbookViewId="0"/>
  </sheetViews>
  <sheetFormatPr defaultRowHeight="13" x14ac:dyDescent="0.2"/>
  <cols>
    <col min="1" max="1" width="3" customWidth="1"/>
    <col min="2" max="2" width="30" customWidth="1"/>
    <col min="3" max="5" width="22" customWidth="1"/>
  </cols>
  <sheetData>
    <row r="1" spans="2:5" ht="14" x14ac:dyDescent="0.3">
      <c r="B1" s="46" t="s">
        <v>0</v>
      </c>
      <c r="C1" s="45"/>
      <c r="D1" s="45"/>
      <c r="E1" s="45"/>
    </row>
    <row r="3" spans="2:5" ht="18" x14ac:dyDescent="0.4">
      <c r="B3" s="44" t="s">
        <v>1</v>
      </c>
      <c r="C3" s="45"/>
      <c r="D3" s="45"/>
    </row>
    <row r="4" spans="2:5" ht="14" x14ac:dyDescent="0.3">
      <c r="B4" s="3" t="s">
        <v>2</v>
      </c>
    </row>
    <row r="6" spans="2:5" ht="14" x14ac:dyDescent="0.3">
      <c r="B6" s="4" t="s">
        <v>3</v>
      </c>
      <c r="C6" t="s">
        <v>4</v>
      </c>
    </row>
    <row r="7" spans="2:5" ht="14" x14ac:dyDescent="0.3">
      <c r="B7" s="4" t="s">
        <v>5</v>
      </c>
      <c r="C7" t="s">
        <v>6</v>
      </c>
    </row>
    <row r="8" spans="2:5" ht="14" x14ac:dyDescent="0.3">
      <c r="B8" s="4" t="s">
        <v>7</v>
      </c>
      <c r="C8" t="s">
        <v>8</v>
      </c>
    </row>
    <row r="9" spans="2:5" ht="14" x14ac:dyDescent="0.3">
      <c r="B9" s="4" t="s">
        <v>9</v>
      </c>
      <c r="C9" s="5">
        <v>2981</v>
      </c>
    </row>
    <row r="10" spans="2:5" ht="14" x14ac:dyDescent="0.3">
      <c r="B10" s="4" t="s">
        <v>10</v>
      </c>
      <c r="C10" s="5">
        <f>IF(COUNT(C16:C17)=0,"N/A",ROUND(AVERAGE(C16:C17),0))</f>
        <v>4220</v>
      </c>
    </row>
    <row r="11" spans="2:5" ht="14" x14ac:dyDescent="0.3">
      <c r="B11" s="4" t="s">
        <v>11</v>
      </c>
      <c r="C11" s="6" t="str">
        <f>IF(NOT(ISNUMBER(C12)),"N/A",IF(C12&gt;0.15,"BUY",IF(C12&gt;0.05,"HOLD","SELL")))</f>
        <v>BUY</v>
      </c>
    </row>
    <row r="12" spans="2:5" ht="14" x14ac:dyDescent="0.3">
      <c r="B12" s="4" t="s">
        <v>12</v>
      </c>
      <c r="C12" s="7">
        <f>IF(ISNUMBER(C10),(C10-C9)/C9,"N/A")</f>
        <v>0.41563233814156325</v>
      </c>
    </row>
    <row r="14" spans="2:5" ht="14" x14ac:dyDescent="0.3">
      <c r="B14" s="8" t="s">
        <v>13</v>
      </c>
      <c r="C14" s="9"/>
      <c r="D14" s="9"/>
    </row>
    <row r="15" spans="2:5" ht="14" x14ac:dyDescent="0.3">
      <c r="B15" s="10" t="s">
        <v>14</v>
      </c>
      <c r="C15" s="10" t="s">
        <v>15</v>
      </c>
      <c r="D15" s="10" t="s">
        <v>16</v>
      </c>
    </row>
    <row r="16" spans="2:5" ht="13.5" x14ac:dyDescent="0.25">
      <c r="B16" t="s">
        <v>17</v>
      </c>
      <c r="C16" s="11">
        <f>IF('DCF Model'!C53&lt;'DCF Model'!C16,"INVALID (EV &lt; net debt)",'DCF Model'!C55)</f>
        <v>4628</v>
      </c>
      <c r="D16" s="7">
        <f>IF(ISNUMBER(C16),(C16-C9)/C9,"N/A")</f>
        <v>0.5524991613552499</v>
      </c>
    </row>
    <row r="17" spans="2:5" ht="13.5" x14ac:dyDescent="0.25">
      <c r="B17" t="s">
        <v>18</v>
      </c>
      <c r="C17" s="11">
        <f>IF('DCF Model'!C62&lt;'DCF Model'!C16,"INVALID (EV &lt; net debt)",'DCF Model'!C64)</f>
        <v>3812</v>
      </c>
      <c r="D17" s="7">
        <f>IF(ISNUMBER(C17),(C17-C9)/C9,"N/A")</f>
        <v>0.27876551492787655</v>
      </c>
    </row>
    <row r="18" spans="2:5" ht="13.5" x14ac:dyDescent="0.25">
      <c r="B18" t="s">
        <v>19</v>
      </c>
      <c r="C18" s="11">
        <f>'Comps Analysis'!C27</f>
        <v>3356</v>
      </c>
      <c r="D18" s="7">
        <f>IF(ISNUMBER(C18),(C18-C9)/C9,"N/A")</f>
        <v>0.12579671251257968</v>
      </c>
    </row>
    <row r="19" spans="2:5" ht="13.5" x14ac:dyDescent="0.25">
      <c r="B19" t="s">
        <v>20</v>
      </c>
      <c r="C19" s="11">
        <f>'Comps Analysis'!C28</f>
        <v>3975</v>
      </c>
      <c r="D19" s="7">
        <f>IF(ISNUMBER(C19),(C19-C9)/C9,"N/A")</f>
        <v>0.33344515263334451</v>
      </c>
    </row>
    <row r="20" spans="2:5" ht="14" x14ac:dyDescent="0.3">
      <c r="B20" s="46" t="s">
        <v>21</v>
      </c>
      <c r="C20" s="45"/>
      <c r="D20" s="45"/>
      <c r="E20" s="45"/>
    </row>
    <row r="21" spans="2:5" ht="14" x14ac:dyDescent="0.3">
      <c r="B21" s="4" t="s">
        <v>22</v>
      </c>
      <c r="C21" s="6" t="str">
        <f>IF(COUNT(C16:C17)=0,"N/A",MIN(C16:C17)&amp;" - "&amp;MAX(C16:C17))</f>
        <v>3812 - 4628</v>
      </c>
    </row>
    <row r="23" spans="2:5" ht="14" x14ac:dyDescent="0.3">
      <c r="B23" s="8" t="s">
        <v>23</v>
      </c>
      <c r="C23" s="9"/>
      <c r="D23" s="9"/>
    </row>
    <row r="24" spans="2:5" x14ac:dyDescent="0.2">
      <c r="B24" t="s">
        <v>24</v>
      </c>
    </row>
    <row r="25" spans="2:5" x14ac:dyDescent="0.2">
      <c r="B25" t="s">
        <v>25</v>
      </c>
    </row>
    <row r="26" spans="2:5" x14ac:dyDescent="0.2">
      <c r="B26" t="s">
        <v>26</v>
      </c>
    </row>
    <row r="28" spans="2:5" ht="14" x14ac:dyDescent="0.3">
      <c r="B28" s="8" t="s">
        <v>27</v>
      </c>
      <c r="C28" s="9"/>
      <c r="D28" s="9"/>
    </row>
    <row r="29" spans="2:5" x14ac:dyDescent="0.2">
      <c r="B29" t="s">
        <v>28</v>
      </c>
    </row>
    <row r="30" spans="2:5" x14ac:dyDescent="0.2">
      <c r="B30" t="s">
        <v>29</v>
      </c>
    </row>
    <row r="31" spans="2:5" x14ac:dyDescent="0.2">
      <c r="B31" t="s">
        <v>30</v>
      </c>
    </row>
  </sheetData>
  <mergeCells count="3">
    <mergeCell ref="B3:D3"/>
    <mergeCell ref="B1:E1"/>
    <mergeCell ref="B20:E20"/>
  </mergeCells>
  <phoneticPr fontId="8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3366"/>
  </sheetPr>
  <dimension ref="B2:D30"/>
  <sheetViews>
    <sheetView workbookViewId="0"/>
  </sheetViews>
  <sheetFormatPr defaultRowHeight="13" x14ac:dyDescent="0.2"/>
  <cols>
    <col min="1" max="1" width="3" customWidth="1"/>
    <col min="2" max="2" width="32" customWidth="1"/>
    <col min="3" max="4" width="18" customWidth="1"/>
  </cols>
  <sheetData>
    <row r="2" spans="2:4" ht="18" x14ac:dyDescent="0.4">
      <c r="B2" s="2" t="s">
        <v>31</v>
      </c>
    </row>
    <row r="4" spans="2:4" ht="14" x14ac:dyDescent="0.3">
      <c r="C4" s="10" t="s">
        <v>32</v>
      </c>
      <c r="D4" s="10" t="s">
        <v>33</v>
      </c>
    </row>
    <row r="5" spans="2:4" ht="14" x14ac:dyDescent="0.3">
      <c r="B5" s="3" t="s">
        <v>34</v>
      </c>
    </row>
    <row r="6" spans="2:4" ht="14" x14ac:dyDescent="0.3">
      <c r="B6" s="4" t="s">
        <v>35</v>
      </c>
      <c r="C6" s="5">
        <v>5567839</v>
      </c>
      <c r="D6" s="5">
        <v>5733007</v>
      </c>
    </row>
    <row r="7" spans="2:4" ht="14" x14ac:dyDescent="0.3">
      <c r="B7" s="4" t="s">
        <v>36</v>
      </c>
      <c r="C7" s="5"/>
      <c r="D7" s="5"/>
    </row>
    <row r="8" spans="2:4" ht="14" x14ac:dyDescent="0.3">
      <c r="B8" s="4" t="s">
        <v>37</v>
      </c>
    </row>
    <row r="9" spans="2:4" x14ac:dyDescent="0.2">
      <c r="B9" t="s">
        <v>38</v>
      </c>
    </row>
    <row r="10" spans="2:4" ht="14" x14ac:dyDescent="0.3">
      <c r="B10" s="4" t="s">
        <v>39</v>
      </c>
      <c r="C10" s="5"/>
      <c r="D10" s="5"/>
    </row>
    <row r="11" spans="2:4" ht="14" x14ac:dyDescent="0.3">
      <c r="B11" s="4" t="s">
        <v>40</v>
      </c>
      <c r="C11" s="5">
        <v>1046821</v>
      </c>
      <c r="D11" s="5">
        <v>1055926</v>
      </c>
    </row>
    <row r="12" spans="2:4" ht="14" x14ac:dyDescent="0.3">
      <c r="B12" s="4" t="s">
        <v>41</v>
      </c>
      <c r="C12" s="5">
        <v>627485</v>
      </c>
      <c r="D12" s="5">
        <v>665647</v>
      </c>
    </row>
    <row r="13" spans="2:4" ht="13.5" x14ac:dyDescent="0.25">
      <c r="B13" t="s">
        <v>42</v>
      </c>
      <c r="C13" s="7">
        <f>C11/C6</f>
        <v>0.18801208152750107</v>
      </c>
      <c r="D13" s="7">
        <f>D11/D6</f>
        <v>0.18418362300970503</v>
      </c>
    </row>
    <row r="14" spans="2:4" ht="13.5" x14ac:dyDescent="0.25">
      <c r="B14" t="s">
        <v>43</v>
      </c>
      <c r="C14" s="7">
        <f>C12/C6</f>
        <v>0.11269812219785809</v>
      </c>
      <c r="D14" s="7">
        <f>D12/D6</f>
        <v>0.11610782962588394</v>
      </c>
    </row>
    <row r="15" spans="2:4" ht="13.5" x14ac:dyDescent="0.25">
      <c r="B15" t="s">
        <v>44</v>
      </c>
      <c r="C15" t="s">
        <v>45</v>
      </c>
      <c r="D15" s="7">
        <f>(D6-C6)/C6</f>
        <v>2.966465086364746E-2</v>
      </c>
    </row>
    <row r="16" spans="2:4" ht="13.5" x14ac:dyDescent="0.25">
      <c r="B16" t="s">
        <v>46</v>
      </c>
      <c r="C16" t="s">
        <v>45</v>
      </c>
      <c r="D16" s="7">
        <f>(D11-C11)/C11</f>
        <v>8.6977620815784171E-3</v>
      </c>
    </row>
    <row r="18" spans="2:4" ht="14" x14ac:dyDescent="0.3">
      <c r="B18" s="3" t="s">
        <v>47</v>
      </c>
    </row>
    <row r="19" spans="2:4" ht="14" x14ac:dyDescent="0.3">
      <c r="B19" s="4" t="s">
        <v>48</v>
      </c>
      <c r="C19" s="5">
        <v>1249042</v>
      </c>
      <c r="D19" s="5">
        <v>1788853</v>
      </c>
    </row>
    <row r="20" spans="2:4" ht="14" x14ac:dyDescent="0.3">
      <c r="B20" s="4" t="s">
        <v>49</v>
      </c>
      <c r="C20" s="5"/>
      <c r="D20" s="5"/>
    </row>
    <row r="21" spans="2:4" ht="14" x14ac:dyDescent="0.3">
      <c r="B21" s="4" t="s">
        <v>50</v>
      </c>
    </row>
    <row r="22" spans="2:4" x14ac:dyDescent="0.2">
      <c r="B22" t="s">
        <v>51</v>
      </c>
    </row>
    <row r="23" spans="2:4" x14ac:dyDescent="0.2">
      <c r="B23" t="s">
        <v>52</v>
      </c>
    </row>
    <row r="25" spans="2:4" ht="14" x14ac:dyDescent="0.3">
      <c r="B25" s="3" t="s">
        <v>53</v>
      </c>
    </row>
    <row r="26" spans="2:4" ht="14" x14ac:dyDescent="0.3">
      <c r="B26" s="4" t="s">
        <v>54</v>
      </c>
      <c r="C26" s="5">
        <v>921175</v>
      </c>
      <c r="D26" s="5">
        <v>1078807</v>
      </c>
    </row>
    <row r="27" spans="2:4" ht="14" x14ac:dyDescent="0.3">
      <c r="B27" s="4" t="s">
        <v>55</v>
      </c>
      <c r="C27" s="5">
        <v>4032092</v>
      </c>
      <c r="D27" s="5">
        <v>4868056</v>
      </c>
    </row>
    <row r="28" spans="2:4" ht="14" x14ac:dyDescent="0.3">
      <c r="B28" s="4" t="s">
        <v>56</v>
      </c>
      <c r="C28" s="5">
        <f>C27-C26</f>
        <v>3110917</v>
      </c>
      <c r="D28" s="5">
        <f>D27-D26</f>
        <v>3789249</v>
      </c>
    </row>
    <row r="30" spans="2:4" ht="14" x14ac:dyDescent="0.3">
      <c r="B30" s="1" t="s">
        <v>57</v>
      </c>
    </row>
  </sheetData>
  <phoneticPr fontId="8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6600"/>
  </sheetPr>
  <dimension ref="B2:G87"/>
  <sheetViews>
    <sheetView workbookViewId="0"/>
  </sheetViews>
  <sheetFormatPr defaultRowHeight="13" x14ac:dyDescent="0.2"/>
  <cols>
    <col min="1" max="1" width="3" customWidth="1"/>
    <col min="2" max="2" width="32" customWidth="1"/>
    <col min="3" max="7" width="16" customWidth="1"/>
  </cols>
  <sheetData>
    <row r="2" spans="2:7" ht="18" x14ac:dyDescent="0.4">
      <c r="B2" s="2" t="s">
        <v>58</v>
      </c>
    </row>
    <row r="4" spans="2:7" ht="14" x14ac:dyDescent="0.3">
      <c r="B4" s="8" t="s">
        <v>59</v>
      </c>
      <c r="C4" s="9"/>
      <c r="D4" s="9"/>
      <c r="E4" s="9"/>
      <c r="F4" s="9"/>
      <c r="G4" s="9"/>
    </row>
    <row r="5" spans="2:7" ht="14" x14ac:dyDescent="0.3">
      <c r="B5" s="4" t="s">
        <v>52</v>
      </c>
      <c r="C5" s="7">
        <v>0.11609999999999999</v>
      </c>
    </row>
    <row r="6" spans="2:7" ht="14" x14ac:dyDescent="0.3">
      <c r="B6" s="4" t="s">
        <v>60</v>
      </c>
      <c r="C6" s="7">
        <v>0.25</v>
      </c>
    </row>
    <row r="7" spans="2:7" ht="14" x14ac:dyDescent="0.3">
      <c r="B7" s="4" t="s">
        <v>61</v>
      </c>
      <c r="C7" s="7">
        <v>2.9700000000000001E-2</v>
      </c>
    </row>
    <row r="8" spans="2:7" ht="14" x14ac:dyDescent="0.3">
      <c r="B8" s="4" t="s">
        <v>62</v>
      </c>
      <c r="C8" s="12">
        <v>0.48209999999999997</v>
      </c>
    </row>
    <row r="9" spans="2:7" ht="14" x14ac:dyDescent="0.3">
      <c r="B9" s="4" t="s">
        <v>63</v>
      </c>
      <c r="C9" s="7">
        <v>6.5000000000000002E-2</v>
      </c>
    </row>
    <row r="10" spans="2:7" ht="14" x14ac:dyDescent="0.3">
      <c r="B10" s="4" t="s">
        <v>64</v>
      </c>
      <c r="C10" s="7">
        <v>0.01</v>
      </c>
    </row>
    <row r="11" spans="2:7" ht="14" x14ac:dyDescent="0.3">
      <c r="B11" s="4" t="s">
        <v>65</v>
      </c>
      <c r="C11" s="7">
        <v>0.01</v>
      </c>
    </row>
    <row r="12" spans="2:7" ht="14" x14ac:dyDescent="0.3">
      <c r="B12" s="4" t="s">
        <v>66</v>
      </c>
      <c r="C12" s="13">
        <v>0.3246</v>
      </c>
    </row>
    <row r="13" spans="2:7" ht="14" x14ac:dyDescent="0.3">
      <c r="B13" s="4" t="s">
        <v>67</v>
      </c>
      <c r="C13" s="7">
        <v>0.01</v>
      </c>
    </row>
    <row r="14" spans="2:7" ht="14" x14ac:dyDescent="0.3">
      <c r="B14" s="4" t="s">
        <v>68</v>
      </c>
      <c r="C14" s="14">
        <v>8.1</v>
      </c>
    </row>
    <row r="15" spans="2:7" ht="14" x14ac:dyDescent="0.3">
      <c r="B15" s="4" t="s">
        <v>69</v>
      </c>
      <c r="C15" s="15">
        <v>3695962728</v>
      </c>
    </row>
    <row r="16" spans="2:7" ht="14" x14ac:dyDescent="0.3">
      <c r="B16" s="4" t="s">
        <v>70</v>
      </c>
      <c r="C16" s="5">
        <v>3576109</v>
      </c>
    </row>
    <row r="17" spans="2:7" ht="14" x14ac:dyDescent="0.3">
      <c r="B17" s="4" t="s">
        <v>71</v>
      </c>
      <c r="C17" s="5">
        <v>5733007</v>
      </c>
    </row>
    <row r="18" spans="2:7" ht="14" x14ac:dyDescent="0.3">
      <c r="B18" s="4" t="s">
        <v>72</v>
      </c>
      <c r="C18" s="7">
        <v>0.11849999999999999</v>
      </c>
    </row>
    <row r="19" spans="2:7" ht="14" x14ac:dyDescent="0.3">
      <c r="B19" s="4" t="s">
        <v>73</v>
      </c>
      <c r="C19" s="12">
        <v>1</v>
      </c>
    </row>
    <row r="20" spans="2:7" ht="14" x14ac:dyDescent="0.3">
      <c r="B20" s="4" t="s">
        <v>74</v>
      </c>
      <c r="C20" s="5">
        <v>6071915</v>
      </c>
    </row>
    <row r="22" spans="2:7" ht="14" x14ac:dyDescent="0.3">
      <c r="B22" s="8" t="s">
        <v>75</v>
      </c>
      <c r="C22" s="9"/>
      <c r="D22" s="9"/>
      <c r="E22" s="9"/>
      <c r="F22" s="9"/>
      <c r="G22" s="9"/>
    </row>
    <row r="23" spans="2:7" ht="14" x14ac:dyDescent="0.3">
      <c r="B23" s="4" t="s">
        <v>76</v>
      </c>
      <c r="C23" s="16">
        <f>C7+C8*C9+C10</f>
        <v>7.1036499999999989E-2</v>
      </c>
    </row>
    <row r="24" spans="2:7" ht="14" x14ac:dyDescent="0.3">
      <c r="B24" s="4" t="s">
        <v>77</v>
      </c>
      <c r="C24" s="16">
        <f>1/(1+C12)</f>
        <v>0.75494488902310131</v>
      </c>
    </row>
    <row r="25" spans="2:7" ht="14" x14ac:dyDescent="0.3">
      <c r="B25" s="4" t="s">
        <v>78</v>
      </c>
      <c r="C25" s="16">
        <f>C12/(1+C12)</f>
        <v>0.24505511097689869</v>
      </c>
    </row>
    <row r="26" spans="2:7" ht="14" x14ac:dyDescent="0.3">
      <c r="B26" s="4" t="s">
        <v>79</v>
      </c>
      <c r="C26" s="16">
        <f>C23*C24+C11*C25</f>
        <v>5.6079193718858514E-2</v>
      </c>
    </row>
    <row r="27" spans="2:7" ht="14" x14ac:dyDescent="0.3">
      <c r="B27" s="4" t="s">
        <v>80</v>
      </c>
      <c r="C27" s="17" t="s">
        <v>81</v>
      </c>
      <c r="D27" s="6">
        <f>MATCH(C27,B69:B73,0)</f>
        <v>1</v>
      </c>
    </row>
    <row r="28" spans="2:7" ht="14" x14ac:dyDescent="0.3">
      <c r="B28" s="8" t="s">
        <v>82</v>
      </c>
      <c r="C28" s="9"/>
      <c r="D28" s="9"/>
      <c r="E28" s="9"/>
      <c r="F28" s="9"/>
      <c r="G28" s="9"/>
    </row>
    <row r="29" spans="2:7" ht="14" x14ac:dyDescent="0.3">
      <c r="C29" s="10" t="s">
        <v>83</v>
      </c>
      <c r="D29" s="10" t="s">
        <v>84</v>
      </c>
      <c r="E29" s="10" t="s">
        <v>85</v>
      </c>
      <c r="F29" s="10" t="s">
        <v>86</v>
      </c>
      <c r="G29" s="10" t="s">
        <v>87</v>
      </c>
    </row>
    <row r="30" spans="2:7" ht="14" x14ac:dyDescent="0.3">
      <c r="B30" s="4" t="s">
        <v>44</v>
      </c>
      <c r="C30" s="18">
        <f>CHOOSE($D$27,C69,C70,C71,C72,C73)</f>
        <v>2.5000000000000001E-2</v>
      </c>
      <c r="D30" s="18">
        <f>CHOOSE($D$27,D69,D70,D71,D72,D73)</f>
        <v>0.02</v>
      </c>
      <c r="E30" s="18">
        <f>CHOOSE($D$27,E69,E70,E71,E72,E73)</f>
        <v>0.02</v>
      </c>
      <c r="F30" s="18">
        <f>CHOOSE($D$27,F69,F70,F71,F72,F73)</f>
        <v>1.4999999999999999E-2</v>
      </c>
      <c r="G30" s="18">
        <f>CHOOSE($D$27,G69,G70,G71,G72,G73)</f>
        <v>1.4999999999999999E-2</v>
      </c>
    </row>
    <row r="31" spans="2:7" ht="14" x14ac:dyDescent="0.3">
      <c r="B31" s="4" t="s">
        <v>88</v>
      </c>
      <c r="C31" s="18">
        <f>CHOOSE($D$27,C76,C77,C78,C79,C80)</f>
        <v>0.57330000000000003</v>
      </c>
      <c r="D31" s="18">
        <f>CHOOSE($D$27,D76,D77,D78,D79,D80)</f>
        <v>0.57330000000000003</v>
      </c>
      <c r="E31" s="18">
        <f>CHOOSE($D$27,E76,E77,E78,E79,E80)</f>
        <v>0.57330000000000003</v>
      </c>
      <c r="F31" s="18">
        <f>CHOOSE($D$27,F76,F77,F78,F79,F80)</f>
        <v>0.57330000000000003</v>
      </c>
      <c r="G31" s="18">
        <f>CHOOSE($D$27,G76,G77,G78,G79,G80)</f>
        <v>0.57330000000000003</v>
      </c>
    </row>
    <row r="32" spans="2:7" ht="14" x14ac:dyDescent="0.3">
      <c r="B32" s="4" t="s">
        <v>89</v>
      </c>
      <c r="C32" s="18">
        <f>CHOOSE($D$27,C83,C84,C85,C86,C87)</f>
        <v>0.24249999999999999</v>
      </c>
      <c r="D32" s="18">
        <f>CHOOSE($D$27,D83,D84,D85,D86,D87)</f>
        <v>0.24249999999999999</v>
      </c>
      <c r="E32" s="18">
        <f>CHOOSE($D$27,E83,E84,E85,E86,E87)</f>
        <v>0.24249999999999999</v>
      </c>
      <c r="F32" s="18">
        <f>CHOOSE($D$27,F83,F84,F85,F86,F87)</f>
        <v>0.24249999999999999</v>
      </c>
      <c r="G32" s="18">
        <f>CHOOSE($D$27,G83,G84,G85,G86,G87)</f>
        <v>0.24249999999999999</v>
      </c>
    </row>
    <row r="33" spans="2:7" ht="14" x14ac:dyDescent="0.3">
      <c r="B33" s="4" t="s">
        <v>35</v>
      </c>
      <c r="C33" s="5">
        <f>C17*(1+C30)</f>
        <v>5876332.1749999998</v>
      </c>
      <c r="D33" s="5">
        <f>C33*(1+D30)</f>
        <v>5993858.8185000001</v>
      </c>
      <c r="E33" s="5">
        <f>D33*(1+E30)</f>
        <v>6113735.9948700005</v>
      </c>
      <c r="F33" s="5">
        <f>E33*(1+F30)</f>
        <v>6205442.03479305</v>
      </c>
      <c r="G33" s="5">
        <f>F33*(1+G30)</f>
        <v>6298523.6653149454</v>
      </c>
    </row>
    <row r="34" spans="2:7" ht="14" x14ac:dyDescent="0.3">
      <c r="B34" s="4" t="s">
        <v>36</v>
      </c>
      <c r="C34" s="5">
        <f>C33*C31</f>
        <v>3368901.2359275003</v>
      </c>
      <c r="D34" s="5">
        <f>D33*D31</f>
        <v>3436279.2606460503</v>
      </c>
      <c r="E34" s="5">
        <f>E33*E31</f>
        <v>3505004.8458589716</v>
      </c>
      <c r="F34" s="5">
        <f>F33*F31</f>
        <v>3557579.9185468559</v>
      </c>
      <c r="G34" s="5">
        <f>G33*G31</f>
        <v>3610943.6173250582</v>
      </c>
    </row>
    <row r="35" spans="2:7" ht="14" x14ac:dyDescent="0.3">
      <c r="B35" s="4" t="s">
        <v>37</v>
      </c>
      <c r="C35" s="19">
        <f>C33-C34</f>
        <v>2507430.9390724995</v>
      </c>
      <c r="D35" s="19">
        <f>D33-D34</f>
        <v>2557579.5578539497</v>
      </c>
      <c r="E35" s="19">
        <f>E33-E34</f>
        <v>2608731.1490110289</v>
      </c>
      <c r="F35" s="19">
        <f>F33-F34</f>
        <v>2647862.1162461941</v>
      </c>
      <c r="G35" s="19">
        <f>G33-G34</f>
        <v>2687580.0479898872</v>
      </c>
    </row>
    <row r="36" spans="2:7" ht="14" x14ac:dyDescent="0.3">
      <c r="B36" s="4" t="s">
        <v>38</v>
      </c>
      <c r="C36" s="7">
        <f>C35/C33</f>
        <v>0.42669999999999991</v>
      </c>
      <c r="D36" s="7">
        <f>D35/D33</f>
        <v>0.42669999999999997</v>
      </c>
      <c r="E36" s="7">
        <f>E35/E33</f>
        <v>0.42669999999999997</v>
      </c>
      <c r="F36" s="7">
        <f>F35/F33</f>
        <v>0.42669999999999997</v>
      </c>
      <c r="G36" s="7">
        <f>G35/G33</f>
        <v>0.42670000000000002</v>
      </c>
    </row>
    <row r="37" spans="2:7" ht="14" x14ac:dyDescent="0.3">
      <c r="B37" s="4" t="s">
        <v>90</v>
      </c>
      <c r="C37" s="5">
        <f>C33*C32</f>
        <v>1425010.5524374999</v>
      </c>
      <c r="D37" s="5">
        <f>D33*D32</f>
        <v>1453510.7634862501</v>
      </c>
      <c r="E37" s="5">
        <f>E33*E32</f>
        <v>1482580.9787559751</v>
      </c>
      <c r="F37" s="5">
        <f>F33*F32</f>
        <v>1504819.6934373146</v>
      </c>
      <c r="G37" s="5">
        <f>G33*G32</f>
        <v>1527391.9888388743</v>
      </c>
    </row>
    <row r="38" spans="2:7" ht="14" x14ac:dyDescent="0.3">
      <c r="B38" s="4" t="s">
        <v>91</v>
      </c>
      <c r="C38" s="7">
        <f>(C35-C37)/C33</f>
        <v>0.18419999999999995</v>
      </c>
      <c r="D38" s="7">
        <f>(D35-D37)/D33</f>
        <v>0.18419999999999995</v>
      </c>
      <c r="E38" s="7">
        <f>(E35-E37)/E33</f>
        <v>0.18419999999999995</v>
      </c>
      <c r="F38" s="7">
        <f>(F35-F37)/F33</f>
        <v>0.18419999999999995</v>
      </c>
      <c r="G38" s="7">
        <f>(G35-G37)/G33</f>
        <v>0.1842</v>
      </c>
    </row>
    <row r="39" spans="2:7" ht="14" x14ac:dyDescent="0.3">
      <c r="B39" s="4" t="s">
        <v>92</v>
      </c>
      <c r="C39" s="19">
        <f>C35-C37</f>
        <v>1082420.3866349997</v>
      </c>
      <c r="D39" s="19">
        <f>D35-D37</f>
        <v>1104068.7943676997</v>
      </c>
      <c r="E39" s="19">
        <f>E35-E37</f>
        <v>1126150.1702550538</v>
      </c>
      <c r="F39" s="19">
        <f>F35-F37</f>
        <v>1143042.4228088795</v>
      </c>
      <c r="G39" s="19">
        <f>G35-G37</f>
        <v>1160188.0591510129</v>
      </c>
    </row>
    <row r="40" spans="2:7" ht="14" x14ac:dyDescent="0.3">
      <c r="B40" s="4" t="s">
        <v>93</v>
      </c>
      <c r="C40" s="5">
        <f>MAX(0,C39*C6)</f>
        <v>270605.09665874991</v>
      </c>
      <c r="D40" s="5">
        <f>MAX(0,D39*C6)</f>
        <v>276017.19859192491</v>
      </c>
      <c r="E40" s="5">
        <f>MAX(0,E39*C6)</f>
        <v>281537.54256376345</v>
      </c>
      <c r="F40" s="5">
        <f>MAX(0,F39*C6)</f>
        <v>285760.60570221988</v>
      </c>
      <c r="G40" s="5">
        <f>MAX(0,G39*C6)</f>
        <v>290047.01478775323</v>
      </c>
    </row>
    <row r="41" spans="2:7" ht="14" x14ac:dyDescent="0.3">
      <c r="B41" s="4" t="s">
        <v>94</v>
      </c>
      <c r="C41" s="19">
        <f>C39-C40</f>
        <v>811815.28997624968</v>
      </c>
      <c r="D41" s="19">
        <f>D39-D40</f>
        <v>828051.59577577468</v>
      </c>
      <c r="E41" s="19">
        <f>E39-E40</f>
        <v>844612.62769129034</v>
      </c>
      <c r="F41" s="19">
        <f>F39-F40</f>
        <v>857281.81710665964</v>
      </c>
      <c r="G41" s="19">
        <f>G39-G40</f>
        <v>870141.04436325969</v>
      </c>
    </row>
    <row r="42" spans="2:7" ht="14" x14ac:dyDescent="0.3">
      <c r="B42" s="4" t="s">
        <v>95</v>
      </c>
      <c r="C42" s="5">
        <f>C33*C18</f>
        <v>696345.36273749999</v>
      </c>
      <c r="D42" s="5">
        <f>D33*C18</f>
        <v>710272.26999225002</v>
      </c>
      <c r="E42" s="5">
        <f>E33*C18</f>
        <v>724477.71539209504</v>
      </c>
      <c r="F42" s="5">
        <f>F33*C18</f>
        <v>735344.88112297643</v>
      </c>
      <c r="G42" s="5">
        <f>G33*C18</f>
        <v>746375.05433982098</v>
      </c>
    </row>
    <row r="43" spans="2:7" ht="14" x14ac:dyDescent="0.3">
      <c r="B43" s="4" t="s">
        <v>96</v>
      </c>
      <c r="C43" s="5">
        <f>C33*C5</f>
        <v>682242.1655174999</v>
      </c>
      <c r="D43" s="5">
        <f>D33*C5</f>
        <v>695887.00882784999</v>
      </c>
      <c r="E43" s="5">
        <f>E33*C5</f>
        <v>709804.74900440697</v>
      </c>
      <c r="F43" s="5">
        <f>F33*C5</f>
        <v>720451.82023947313</v>
      </c>
      <c r="G43" s="5">
        <f>G33*C5</f>
        <v>731258.59754306509</v>
      </c>
    </row>
    <row r="44" spans="2:7" ht="14" x14ac:dyDescent="0.3">
      <c r="B44" s="4" t="s">
        <v>97</v>
      </c>
      <c r="C44" s="5">
        <f>'NWC Schedule'!D19</f>
        <v>-2394260</v>
      </c>
      <c r="D44" s="5">
        <f>'NWC Schedule'!E19</f>
        <v>0</v>
      </c>
      <c r="E44" s="5">
        <f>'NWC Schedule'!F19</f>
        <v>0</v>
      </c>
      <c r="F44" s="5">
        <f>'NWC Schedule'!G19</f>
        <v>0</v>
      </c>
      <c r="G44" s="5">
        <f>'NWC Schedule'!H19</f>
        <v>0</v>
      </c>
    </row>
    <row r="45" spans="2:7" ht="14" x14ac:dyDescent="0.3">
      <c r="B45" s="4" t="s">
        <v>98</v>
      </c>
      <c r="C45" s="20">
        <f>C41+C42-C43-C44</f>
        <v>3220178.4871962499</v>
      </c>
      <c r="D45" s="20">
        <f>D41+D42-D43-D44</f>
        <v>842436.85694017471</v>
      </c>
      <c r="E45" s="20">
        <f>E41+E42-E43-E44</f>
        <v>859285.59407897841</v>
      </c>
      <c r="F45" s="20">
        <f>F41+F42-F43-F44</f>
        <v>872174.87799016293</v>
      </c>
      <c r="G45" s="20">
        <f>G41+G42-G43-G44</f>
        <v>885257.5011600157</v>
      </c>
    </row>
    <row r="46" spans="2:7" ht="14" x14ac:dyDescent="0.3">
      <c r="B46" s="4" t="s">
        <v>99</v>
      </c>
      <c r="C46" s="21">
        <f>1/(1+C26)^(C19+0)</f>
        <v>0.94689868520050824</v>
      </c>
      <c r="D46" s="21">
        <f>1/(1+C26)^(C19+1)</f>
        <v>0.89661712003445138</v>
      </c>
      <c r="E46" s="21">
        <f>1/(1+C26)^(C19+2)</f>
        <v>0.84900557208888827</v>
      </c>
      <c r="F46" s="21">
        <f>1/(1+C26)^(C19+3)</f>
        <v>0.80392225993887367</v>
      </c>
      <c r="G46" s="21">
        <f>1/(1+C26)^(C19+4)</f>
        <v>0.7612329309395407</v>
      </c>
    </row>
    <row r="47" spans="2:7" ht="14" x14ac:dyDescent="0.3">
      <c r="B47" s="4" t="s">
        <v>100</v>
      </c>
      <c r="C47" s="19">
        <f>C45*C46</f>
        <v>3049182.7756370907</v>
      </c>
      <c r="D47" s="19">
        <f>D45*D46</f>
        <v>755343.30848057452</v>
      </c>
      <c r="E47" s="19">
        <f>E45*E46</f>
        <v>729538.25738876325</v>
      </c>
      <c r="F47" s="19">
        <f>F45*F46</f>
        <v>701160.79897576314</v>
      </c>
      <c r="G47" s="19">
        <f>G45*G46</f>
        <v>673887.16224425263</v>
      </c>
    </row>
    <row r="49" spans="2:7" ht="14" x14ac:dyDescent="0.3">
      <c r="B49" s="22" t="s">
        <v>101</v>
      </c>
      <c r="C49" s="23"/>
      <c r="D49" s="23"/>
      <c r="E49" s="23"/>
      <c r="F49" s="23"/>
      <c r="G49" s="23"/>
    </row>
    <row r="50" spans="2:7" ht="14" x14ac:dyDescent="0.3">
      <c r="B50" s="4" t="s">
        <v>102</v>
      </c>
      <c r="C50" s="5">
        <f>SUM(C47:G47)</f>
        <v>5909112.3027264439</v>
      </c>
    </row>
    <row r="51" spans="2:7" ht="14" x14ac:dyDescent="0.3">
      <c r="B51" s="4" t="s">
        <v>103</v>
      </c>
      <c r="C51" s="5">
        <f>G45*(1+C13)/(C26-C13)</f>
        <v>19403769.988399114</v>
      </c>
    </row>
    <row r="52" spans="2:7" ht="14" x14ac:dyDescent="0.3">
      <c r="B52" s="4" t="s">
        <v>104</v>
      </c>
      <c r="C52" s="5">
        <f>C51*G46</f>
        <v>14770788.699545756</v>
      </c>
    </row>
    <row r="53" spans="2:7" ht="14" x14ac:dyDescent="0.3">
      <c r="B53" s="4" t="s">
        <v>105</v>
      </c>
      <c r="C53" s="5">
        <f>C50+C52</f>
        <v>20679901.0022722</v>
      </c>
    </row>
    <row r="54" spans="2:7" ht="14" x14ac:dyDescent="0.3">
      <c r="B54" s="4" t="s">
        <v>106</v>
      </c>
      <c r="C54" s="5">
        <f>C53-C16</f>
        <v>17103792.0022722</v>
      </c>
    </row>
    <row r="55" spans="2:7" ht="14" x14ac:dyDescent="0.3">
      <c r="B55" s="4" t="s">
        <v>107</v>
      </c>
      <c r="C55" s="24">
        <f>ROUND(C54*1000000/C15,0)</f>
        <v>4628</v>
      </c>
    </row>
    <row r="57" spans="2:7" ht="14" x14ac:dyDescent="0.3">
      <c r="B57" s="22" t="s">
        <v>108</v>
      </c>
      <c r="C57" s="23"/>
      <c r="D57" s="23"/>
      <c r="E57" s="23"/>
      <c r="F57" s="23"/>
      <c r="G57" s="23"/>
    </row>
    <row r="58" spans="2:7" ht="14" x14ac:dyDescent="0.3">
      <c r="B58" s="4" t="s">
        <v>102</v>
      </c>
      <c r="C58" s="5">
        <f>C50</f>
        <v>5909112.3027264439</v>
      </c>
    </row>
    <row r="59" spans="2:7" ht="14" x14ac:dyDescent="0.3">
      <c r="B59" s="4" t="s">
        <v>109</v>
      </c>
      <c r="C59" s="5">
        <f>G39+G42</f>
        <v>1906563.1134908339</v>
      </c>
    </row>
    <row r="60" spans="2:7" ht="14" x14ac:dyDescent="0.3">
      <c r="B60" s="4" t="s">
        <v>110</v>
      </c>
      <c r="C60" s="5">
        <f>C59*C14</f>
        <v>15443161.219275754</v>
      </c>
    </row>
    <row r="61" spans="2:7" ht="14" x14ac:dyDescent="0.3">
      <c r="B61" s="4" t="s">
        <v>104</v>
      </c>
      <c r="C61" s="5">
        <f>C60*G46</f>
        <v>11755842.877921132</v>
      </c>
    </row>
    <row r="62" spans="2:7" ht="14" x14ac:dyDescent="0.3">
      <c r="B62" s="4" t="s">
        <v>105</v>
      </c>
      <c r="C62" s="5">
        <f>C58+C61</f>
        <v>17664955.180647574</v>
      </c>
    </row>
    <row r="63" spans="2:7" ht="14" x14ac:dyDescent="0.3">
      <c r="B63" s="4" t="s">
        <v>106</v>
      </c>
      <c r="C63" s="5">
        <f>C62-C16</f>
        <v>14088846.180647574</v>
      </c>
    </row>
    <row r="64" spans="2:7" ht="14" x14ac:dyDescent="0.3">
      <c r="B64" s="4" t="s">
        <v>111</v>
      </c>
      <c r="C64" s="24">
        <f>ROUND(C63*1000000/C15,0)</f>
        <v>3812</v>
      </c>
    </row>
    <row r="66" spans="2:7" ht="14" x14ac:dyDescent="0.3">
      <c r="B66" s="22" t="s">
        <v>112</v>
      </c>
      <c r="C66" s="23"/>
      <c r="D66" s="23"/>
      <c r="E66" s="23"/>
      <c r="F66" s="23"/>
      <c r="G66" s="23"/>
    </row>
    <row r="67" spans="2:7" ht="14" x14ac:dyDescent="0.3">
      <c r="C67" s="25" t="s">
        <v>113</v>
      </c>
      <c r="D67" s="25" t="s">
        <v>114</v>
      </c>
      <c r="E67" s="25" t="s">
        <v>115</v>
      </c>
      <c r="F67" s="25" t="s">
        <v>116</v>
      </c>
      <c r="G67" s="25" t="s">
        <v>117</v>
      </c>
    </row>
    <row r="68" spans="2:7" ht="14" x14ac:dyDescent="0.3">
      <c r="B68" s="3" t="s">
        <v>44</v>
      </c>
    </row>
    <row r="69" spans="2:7" ht="14" x14ac:dyDescent="0.3">
      <c r="B69" s="4" t="s">
        <v>81</v>
      </c>
      <c r="C69" s="26">
        <v>2.5000000000000001E-2</v>
      </c>
      <c r="D69" s="26">
        <v>0.02</v>
      </c>
      <c r="E69" s="26">
        <v>0.02</v>
      </c>
      <c r="F69" s="26">
        <v>1.4999999999999999E-2</v>
      </c>
      <c r="G69" s="26">
        <v>1.4999999999999999E-2</v>
      </c>
    </row>
    <row r="70" spans="2:7" ht="14" x14ac:dyDescent="0.3">
      <c r="B70" s="4" t="s">
        <v>118</v>
      </c>
      <c r="C70" s="26">
        <v>3.5000000000000003E-2</v>
      </c>
      <c r="D70" s="26">
        <v>0.03</v>
      </c>
      <c r="E70" s="26">
        <v>2.8000000000000001E-2</v>
      </c>
      <c r="F70" s="26">
        <v>2.5000000000000001E-2</v>
      </c>
      <c r="G70" s="26">
        <v>0.02</v>
      </c>
    </row>
    <row r="71" spans="2:7" ht="14" x14ac:dyDescent="0.3">
      <c r="B71" s="4" t="s">
        <v>119</v>
      </c>
      <c r="C71" s="26">
        <v>2.5000000000000001E-2</v>
      </c>
      <c r="D71" s="26">
        <v>0.02</v>
      </c>
      <c r="E71" s="26">
        <v>0.02</v>
      </c>
      <c r="F71" s="26">
        <v>1.4999999999999999E-2</v>
      </c>
      <c r="G71" s="26">
        <v>1.4999999999999999E-2</v>
      </c>
    </row>
    <row r="72" spans="2:7" ht="14" x14ac:dyDescent="0.3">
      <c r="B72" s="4" t="s">
        <v>120</v>
      </c>
      <c r="C72" s="26">
        <v>1.4999999999999999E-2</v>
      </c>
      <c r="D72" s="26">
        <v>0.01</v>
      </c>
      <c r="E72" s="26">
        <v>0.01</v>
      </c>
      <c r="F72" s="26">
        <v>0.01</v>
      </c>
      <c r="G72" s="26">
        <v>0.01</v>
      </c>
    </row>
    <row r="73" spans="2:7" ht="14" x14ac:dyDescent="0.3">
      <c r="B73" s="4" t="s">
        <v>121</v>
      </c>
      <c r="C73" s="26">
        <v>0</v>
      </c>
      <c r="D73" s="26">
        <v>-5.0000000000000001E-3</v>
      </c>
      <c r="E73" s="26">
        <v>0</v>
      </c>
      <c r="F73" s="26">
        <v>5.0000000000000001E-3</v>
      </c>
      <c r="G73" s="26">
        <v>5.0000000000000001E-3</v>
      </c>
    </row>
    <row r="75" spans="2:7" ht="14" x14ac:dyDescent="0.3">
      <c r="B75" s="3" t="s">
        <v>88</v>
      </c>
    </row>
    <row r="76" spans="2:7" ht="14" x14ac:dyDescent="0.3">
      <c r="B76" s="4" t="s">
        <v>81</v>
      </c>
      <c r="C76" s="26">
        <v>0.57330000000000003</v>
      </c>
      <c r="D76" s="26">
        <v>0.57330000000000003</v>
      </c>
      <c r="E76" s="26">
        <v>0.57330000000000003</v>
      </c>
      <c r="F76" s="26">
        <v>0.57330000000000003</v>
      </c>
      <c r="G76" s="26">
        <v>0.57330000000000003</v>
      </c>
    </row>
    <row r="77" spans="2:7" ht="14" x14ac:dyDescent="0.3">
      <c r="B77" s="4" t="s">
        <v>118</v>
      </c>
      <c r="C77" s="26">
        <v>0.57330000000000003</v>
      </c>
      <c r="D77" s="26">
        <v>0.57330000000000003</v>
      </c>
      <c r="E77" s="26">
        <v>0.57330000000000003</v>
      </c>
      <c r="F77" s="26">
        <v>0.57330000000000003</v>
      </c>
      <c r="G77" s="26">
        <v>0.57330000000000003</v>
      </c>
    </row>
    <row r="78" spans="2:7" ht="14" x14ac:dyDescent="0.3">
      <c r="B78" s="4" t="s">
        <v>119</v>
      </c>
      <c r="C78" s="26">
        <v>0.57330000000000003</v>
      </c>
      <c r="D78" s="26">
        <v>0.57330000000000003</v>
      </c>
      <c r="E78" s="26">
        <v>0.57330000000000003</v>
      </c>
      <c r="F78" s="26">
        <v>0.57330000000000003</v>
      </c>
      <c r="G78" s="26">
        <v>0.57330000000000003</v>
      </c>
    </row>
    <row r="79" spans="2:7" ht="14" x14ac:dyDescent="0.3">
      <c r="B79" s="4" t="s">
        <v>120</v>
      </c>
      <c r="C79" s="26">
        <v>0.57330000000000003</v>
      </c>
      <c r="D79" s="26">
        <v>0.57330000000000003</v>
      </c>
      <c r="E79" s="26">
        <v>0.57330000000000003</v>
      </c>
      <c r="F79" s="26">
        <v>0.57330000000000003</v>
      </c>
      <c r="G79" s="26">
        <v>0.57330000000000003</v>
      </c>
    </row>
    <row r="80" spans="2:7" ht="14" x14ac:dyDescent="0.3">
      <c r="B80" s="4" t="s">
        <v>121</v>
      </c>
      <c r="C80" s="26">
        <v>0.57330000000000003</v>
      </c>
      <c r="D80" s="26">
        <v>0.57330000000000003</v>
      </c>
      <c r="E80" s="26">
        <v>0.57330000000000003</v>
      </c>
      <c r="F80" s="26">
        <v>0.57330000000000003</v>
      </c>
      <c r="G80" s="26">
        <v>0.57330000000000003</v>
      </c>
    </row>
    <row r="82" spans="2:7" ht="14" x14ac:dyDescent="0.3">
      <c r="B82" s="3" t="s">
        <v>89</v>
      </c>
    </row>
    <row r="83" spans="2:7" ht="14" x14ac:dyDescent="0.3">
      <c r="B83" s="4" t="s">
        <v>81</v>
      </c>
      <c r="C83" s="26">
        <v>0.24249999999999999</v>
      </c>
      <c r="D83" s="26">
        <v>0.24249999999999999</v>
      </c>
      <c r="E83" s="26">
        <v>0.24249999999999999</v>
      </c>
      <c r="F83" s="26">
        <v>0.24249999999999999</v>
      </c>
      <c r="G83" s="26">
        <v>0.24249999999999999</v>
      </c>
    </row>
    <row r="84" spans="2:7" ht="14" x14ac:dyDescent="0.3">
      <c r="B84" s="4" t="s">
        <v>118</v>
      </c>
      <c r="C84" s="26">
        <v>0.23169999999999999</v>
      </c>
      <c r="D84" s="26">
        <v>0.23169999999999999</v>
      </c>
      <c r="E84" s="26">
        <v>0.23169999999999999</v>
      </c>
      <c r="F84" s="26">
        <v>0.23169999999999999</v>
      </c>
      <c r="G84" s="26">
        <v>0.23169999999999999</v>
      </c>
    </row>
    <row r="85" spans="2:7" ht="14" x14ac:dyDescent="0.3">
      <c r="B85" s="4" t="s">
        <v>119</v>
      </c>
      <c r="C85" s="26">
        <v>0.24249999999999999</v>
      </c>
      <c r="D85" s="26">
        <v>0.24249999999999999</v>
      </c>
      <c r="E85" s="26">
        <v>0.24249999999999999</v>
      </c>
      <c r="F85" s="26">
        <v>0.24249999999999999</v>
      </c>
      <c r="G85" s="26">
        <v>0.24249999999999999</v>
      </c>
    </row>
    <row r="86" spans="2:7" ht="14" x14ac:dyDescent="0.3">
      <c r="B86" s="4" t="s">
        <v>120</v>
      </c>
      <c r="C86" s="26">
        <v>0.25169999999999998</v>
      </c>
      <c r="D86" s="26">
        <v>0.25169999999999998</v>
      </c>
      <c r="E86" s="26">
        <v>0.25169999999999998</v>
      </c>
      <c r="F86" s="26">
        <v>0.25169999999999998</v>
      </c>
      <c r="G86" s="26">
        <v>0.25169999999999998</v>
      </c>
    </row>
    <row r="87" spans="2:7" ht="14" x14ac:dyDescent="0.3">
      <c r="B87" s="4" t="s">
        <v>121</v>
      </c>
      <c r="C87" s="26">
        <v>0.26169999999999999</v>
      </c>
      <c r="D87" s="26">
        <v>0.26169999999999999</v>
      </c>
      <c r="E87" s="26">
        <v>0.26169999999999999</v>
      </c>
      <c r="F87" s="26">
        <v>0.26169999999999999</v>
      </c>
      <c r="G87" s="26">
        <v>0.26169999999999999</v>
      </c>
    </row>
  </sheetData>
  <phoneticPr fontId="8"/>
  <dataValidations count="1">
    <dataValidation type="list" sqref="C27" xr:uid="{00000000-0002-0000-0200-000000000000}">
      <formula1>"Base,Upside,Management,Downside 1,Downside 2"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</sheetPr>
  <dimension ref="B2:I79"/>
  <sheetViews>
    <sheetView workbookViewId="0"/>
  </sheetViews>
  <sheetFormatPr defaultRowHeight="13" x14ac:dyDescent="0.2"/>
  <cols>
    <col min="1" max="1" width="3" customWidth="1"/>
    <col min="2" max="2" width="52" customWidth="1"/>
    <col min="3" max="9" width="15" customWidth="1"/>
  </cols>
  <sheetData>
    <row r="2" spans="2:9" ht="18" x14ac:dyDescent="0.4">
      <c r="B2" s="2" t="s">
        <v>122</v>
      </c>
    </row>
    <row r="3" spans="2:9" ht="14" x14ac:dyDescent="0.3">
      <c r="B3" s="1" t="s">
        <v>123</v>
      </c>
    </row>
    <row r="5" spans="2:9" ht="14" x14ac:dyDescent="0.3">
      <c r="B5" s="8" t="s">
        <v>124</v>
      </c>
      <c r="C5" s="9"/>
      <c r="D5" s="9"/>
      <c r="E5" s="9"/>
      <c r="F5" s="9"/>
      <c r="G5" s="9"/>
      <c r="H5" s="9"/>
      <c r="I5" s="9"/>
    </row>
    <row r="6" spans="2:9" ht="14" x14ac:dyDescent="0.3">
      <c r="B6" s="4" t="s">
        <v>125</v>
      </c>
      <c r="C6" s="15">
        <f>'Executive Summary'!C9</f>
        <v>2981</v>
      </c>
    </row>
    <row r="7" spans="2:9" ht="14" x14ac:dyDescent="0.3">
      <c r="B7" s="4" t="s">
        <v>69</v>
      </c>
      <c r="C7" s="15">
        <f>'DCF Model'!C15</f>
        <v>3695962728</v>
      </c>
    </row>
    <row r="8" spans="2:9" ht="14" x14ac:dyDescent="0.3">
      <c r="B8" s="4" t="s">
        <v>126</v>
      </c>
      <c r="C8" s="5">
        <f>C6*C7/1000000</f>
        <v>11017664.892168</v>
      </c>
    </row>
    <row r="9" spans="2:9" ht="14" x14ac:dyDescent="0.3">
      <c r="B9" s="4" t="s">
        <v>70</v>
      </c>
      <c r="C9" s="5">
        <f>'DCF Model'!C16</f>
        <v>3576109</v>
      </c>
    </row>
    <row r="10" spans="2:9" ht="14" x14ac:dyDescent="0.3">
      <c r="B10" s="4" t="s">
        <v>127</v>
      </c>
      <c r="C10" s="5">
        <f>C8+C9</f>
        <v>14593773.892168</v>
      </c>
    </row>
    <row r="11" spans="2:9" ht="14" x14ac:dyDescent="0.3">
      <c r="B11" s="4" t="s">
        <v>128</v>
      </c>
      <c r="C11" s="16">
        <f>'DCF Model'!C26</f>
        <v>5.6079193718858514E-2</v>
      </c>
    </row>
    <row r="12" spans="2:9" ht="14" x14ac:dyDescent="0.3">
      <c r="B12" s="4" t="s">
        <v>129</v>
      </c>
      <c r="C12" s="16">
        <f>'DCF Model'!C13</f>
        <v>0.01</v>
      </c>
    </row>
    <row r="13" spans="2:9" ht="14" x14ac:dyDescent="0.3">
      <c r="B13" s="4" t="s">
        <v>130</v>
      </c>
      <c r="C13" s="16">
        <f>'DCF Model'!C6</f>
        <v>0.25</v>
      </c>
    </row>
    <row r="14" spans="2:9" ht="14" x14ac:dyDescent="0.3">
      <c r="B14" s="4" t="s">
        <v>131</v>
      </c>
      <c r="C14" s="27">
        <v>1055926</v>
      </c>
    </row>
    <row r="15" spans="2:9" ht="14" x14ac:dyDescent="0.3">
      <c r="B15" s="4" t="s">
        <v>132</v>
      </c>
      <c r="C15" s="27">
        <v>1055926</v>
      </c>
    </row>
    <row r="16" spans="2:9" ht="14" x14ac:dyDescent="0.3">
      <c r="B16" s="4" t="s">
        <v>133</v>
      </c>
      <c r="C16" s="5">
        <f>'DCF Model'!G33</f>
        <v>6298523.6653149454</v>
      </c>
    </row>
    <row r="17" spans="2:9" ht="14" x14ac:dyDescent="0.3">
      <c r="B17" s="4" t="s">
        <v>134</v>
      </c>
      <c r="C17" s="5">
        <f>'DCF Model'!C53</f>
        <v>20679901.0022722</v>
      </c>
    </row>
    <row r="18" spans="2:9" ht="14" x14ac:dyDescent="0.3">
      <c r="B18" s="4" t="s">
        <v>135</v>
      </c>
      <c r="C18" s="26">
        <v>0.18418362300970501</v>
      </c>
    </row>
    <row r="19" spans="2:9" ht="14" x14ac:dyDescent="0.3">
      <c r="B19" s="4" t="s">
        <v>136</v>
      </c>
      <c r="C19" s="5">
        <f>C10-C17</f>
        <v>-6086127.1101041995</v>
      </c>
    </row>
    <row r="20" spans="2:9" ht="14" x14ac:dyDescent="0.3">
      <c r="B20" s="4" t="s">
        <v>137</v>
      </c>
      <c r="C20" s="15">
        <f>IFERROR(ROUND(C19*1000000/C7,0),"N/A")</f>
        <v>-1647</v>
      </c>
    </row>
    <row r="22" spans="2:9" ht="14" x14ac:dyDescent="0.3">
      <c r="B22" s="8" t="s">
        <v>138</v>
      </c>
      <c r="C22" s="9"/>
      <c r="D22" s="9"/>
      <c r="E22" s="9"/>
      <c r="F22" s="9"/>
      <c r="G22" s="9"/>
      <c r="H22" s="9"/>
      <c r="I22" s="9"/>
    </row>
    <row r="23" spans="2:9" ht="14" x14ac:dyDescent="0.3">
      <c r="B23" s="1" t="s">
        <v>139</v>
      </c>
    </row>
    <row r="24" spans="2:9" ht="14" x14ac:dyDescent="0.3">
      <c r="B24" s="4" t="s">
        <v>140</v>
      </c>
      <c r="C24" s="5">
        <f>C10*(C11-C12)</f>
        <v>672469.33426642907</v>
      </c>
    </row>
    <row r="25" spans="2:9" ht="14" x14ac:dyDescent="0.3">
      <c r="B25" s="4" t="s">
        <v>141</v>
      </c>
      <c r="C25" s="5">
        <f>IFERROR(C24/(1-C13),"N/A")</f>
        <v>896625.77902190539</v>
      </c>
    </row>
    <row r="26" spans="2:9" ht="13.5" x14ac:dyDescent="0.25">
      <c r="B26" s="6" t="s">
        <v>142</v>
      </c>
      <c r="C26" s="14">
        <f>IFERROR(C25/C15,"N/A")</f>
        <v>0.84913694617038071</v>
      </c>
    </row>
    <row r="27" spans="2:9" ht="13.5" x14ac:dyDescent="0.25">
      <c r="B27" s="6" t="s">
        <v>143</v>
      </c>
      <c r="C27" s="14">
        <f>IFERROR(C25/C14,"N/A")</f>
        <v>0.84913694617038071</v>
      </c>
    </row>
    <row r="28" spans="2:9" ht="13.5" x14ac:dyDescent="0.25">
      <c r="B28" s="6" t="s">
        <v>144</v>
      </c>
      <c r="C28" s="7">
        <f>IFERROR(C25/C16,"N/A")</f>
        <v>0.14235491151037397</v>
      </c>
    </row>
    <row r="29" spans="2:9" ht="13.5" x14ac:dyDescent="0.25">
      <c r="B29" s="6" t="s">
        <v>145</v>
      </c>
      <c r="C29" s="5">
        <f>IFERROR(C25/C18,"N/A")</f>
        <v>4868108.0563534163</v>
      </c>
    </row>
    <row r="32" spans="2:9" ht="14" x14ac:dyDescent="0.3">
      <c r="B32" s="8" t="s">
        <v>146</v>
      </c>
      <c r="C32" s="9"/>
      <c r="D32" s="9"/>
      <c r="E32" s="9"/>
      <c r="F32" s="9"/>
      <c r="G32" s="9"/>
      <c r="H32" s="9"/>
      <c r="I32" s="9"/>
    </row>
    <row r="33" spans="2:9" ht="14" x14ac:dyDescent="0.3">
      <c r="B33" s="1" t="s">
        <v>147</v>
      </c>
    </row>
    <row r="34" spans="2:9" ht="14" x14ac:dyDescent="0.3">
      <c r="B34" s="1" t="s">
        <v>148</v>
      </c>
    </row>
    <row r="36" spans="2:9" ht="14" x14ac:dyDescent="0.3">
      <c r="B36" s="28" t="s">
        <v>149</v>
      </c>
      <c r="C36" s="28" t="s">
        <v>150</v>
      </c>
      <c r="D36" s="29">
        <f>'DCF Model'!C26-0.02</f>
        <v>3.607919371885851E-2</v>
      </c>
      <c r="E36" s="29">
        <f>'DCF Model'!C26-0.01</f>
        <v>4.6079193718858512E-2</v>
      </c>
      <c r="F36" s="29">
        <f>'DCF Model'!C26</f>
        <v>5.6079193718858514E-2</v>
      </c>
      <c r="G36" s="29">
        <f>'DCF Model'!C26+0.01</f>
        <v>6.6079193718858509E-2</v>
      </c>
      <c r="H36" s="29">
        <f>'DCF Model'!C26+0.02</f>
        <v>7.6079193718858518E-2</v>
      </c>
    </row>
    <row r="37" spans="2:9" ht="14" x14ac:dyDescent="0.3">
      <c r="B37" s="3" t="s">
        <v>151</v>
      </c>
    </row>
    <row r="38" spans="2:9" ht="14" x14ac:dyDescent="0.3">
      <c r="B38" s="4" t="s">
        <v>152</v>
      </c>
      <c r="C38" s="30">
        <v>3</v>
      </c>
      <c r="D38" s="13">
        <f t="shared" ref="D38:H41" si="0">IFERROR((1-(1+D$36)^(-$C38))/D$36-(1+D$36)/(D$36^2*$C38)*(1-($C38+1)/(1+D$36)^$C38+$C38/(1+D$36)^($C38+1)),"N/A")</f>
        <v>0.9539737899485905</v>
      </c>
      <c r="E38" s="13">
        <f t="shared" si="0"/>
        <v>0.94191420889047772</v>
      </c>
      <c r="F38" s="13">
        <f t="shared" si="0"/>
        <v>0.93013816347847555</v>
      </c>
      <c r="G38" s="13">
        <f t="shared" si="0"/>
        <v>0.91863613744213124</v>
      </c>
      <c r="H38" s="13">
        <f t="shared" si="0"/>
        <v>0.9073990248681163</v>
      </c>
    </row>
    <row r="39" spans="2:9" ht="14" x14ac:dyDescent="0.3">
      <c r="B39" s="4" t="s">
        <v>153</v>
      </c>
      <c r="C39" s="30">
        <v>5</v>
      </c>
      <c r="D39" s="13">
        <f t="shared" si="0"/>
        <v>1.8642962482169243</v>
      </c>
      <c r="E39" s="13">
        <f t="shared" si="0"/>
        <v>1.8295215187798126</v>
      </c>
      <c r="F39" s="13">
        <f t="shared" si="0"/>
        <v>1.7958759010043672</v>
      </c>
      <c r="G39" s="13">
        <f t="shared" si="0"/>
        <v>1.7633094799785054</v>
      </c>
      <c r="H39" s="13">
        <f t="shared" si="0"/>
        <v>1.7317750769320215</v>
      </c>
    </row>
    <row r="40" spans="2:9" ht="14" x14ac:dyDescent="0.3">
      <c r="B40" s="4" t="s">
        <v>154</v>
      </c>
      <c r="C40" s="30">
        <v>7</v>
      </c>
      <c r="D40" s="13">
        <f t="shared" si="0"/>
        <v>2.7332117735760399</v>
      </c>
      <c r="E40" s="13">
        <f t="shared" si="0"/>
        <v>2.6663391726337968</v>
      </c>
      <c r="F40" s="13">
        <f t="shared" si="0"/>
        <v>2.6022204432663454</v>
      </c>
      <c r="G40" s="13">
        <f t="shared" si="0"/>
        <v>2.5407052548422064</v>
      </c>
      <c r="H40" s="13">
        <f t="shared" si="0"/>
        <v>2.4816532348954006</v>
      </c>
    </row>
    <row r="41" spans="2:9" ht="14" x14ac:dyDescent="0.3">
      <c r="B41" s="4" t="s">
        <v>155</v>
      </c>
      <c r="C41" s="30">
        <v>10</v>
      </c>
      <c r="D41" s="13">
        <f t="shared" si="0"/>
        <v>3.9635556775067791</v>
      </c>
      <c r="E41" s="13">
        <f t="shared" si="0"/>
        <v>3.8334358186331006</v>
      </c>
      <c r="F41" s="13">
        <f t="shared" si="0"/>
        <v>3.7103161724659834</v>
      </c>
      <c r="G41" s="13">
        <f t="shared" si="0"/>
        <v>3.5937089650918059</v>
      </c>
      <c r="H41" s="13">
        <f t="shared" si="0"/>
        <v>3.4831668526919852</v>
      </c>
    </row>
    <row r="42" spans="2:9" ht="14" x14ac:dyDescent="0.3">
      <c r="B42" s="3" t="s">
        <v>156</v>
      </c>
    </row>
    <row r="43" spans="2:9" ht="14" x14ac:dyDescent="0.3">
      <c r="B43" s="4" t="s">
        <v>152</v>
      </c>
      <c r="C43" s="30">
        <v>3</v>
      </c>
      <c r="D43" s="13">
        <f t="shared" ref="D43:H46" si="1">IFERROR((1+D$36)/(D$36^2*$C43)*(1-($C43+1)/(1+D$36)^$C43+$C43/(1+D$36)^($C43+1))+(1+$C$12)/((D$36-$C$12)*(1+D$36)^$C43),"N/A")</f>
        <v>36.663468249515205</v>
      </c>
      <c r="E43" s="13">
        <f t="shared" si="1"/>
        <v>26.256644801756593</v>
      </c>
      <c r="F43" s="13">
        <f t="shared" si="1"/>
        <v>20.371554915971657</v>
      </c>
      <c r="G43" s="13">
        <f t="shared" si="1"/>
        <v>16.589124173461293</v>
      </c>
      <c r="H43" s="13">
        <f t="shared" si="1"/>
        <v>13.954631976359451</v>
      </c>
    </row>
    <row r="44" spans="2:9" ht="14" x14ac:dyDescent="0.3">
      <c r="B44" s="4" t="s">
        <v>153</v>
      </c>
      <c r="C44" s="30">
        <v>5</v>
      </c>
      <c r="D44" s="13">
        <f t="shared" si="1"/>
        <v>35.075615532023676</v>
      </c>
      <c r="E44" s="13">
        <f t="shared" si="1"/>
        <v>24.895442218972473</v>
      </c>
      <c r="F44" s="13">
        <f t="shared" si="1"/>
        <v>19.147102604984973</v>
      </c>
      <c r="G44" s="13">
        <f t="shared" si="1"/>
        <v>15.459225998645874</v>
      </c>
      <c r="H44" s="13">
        <f t="shared" si="1"/>
        <v>12.895939763085964</v>
      </c>
    </row>
    <row r="45" spans="2:9" ht="14" x14ac:dyDescent="0.3">
      <c r="B45" s="4" t="s">
        <v>154</v>
      </c>
      <c r="C45" s="30">
        <v>7</v>
      </c>
      <c r="D45" s="13">
        <f t="shared" si="1"/>
        <v>33.57553517625842</v>
      </c>
      <c r="E45" s="13">
        <f t="shared" si="1"/>
        <v>23.625833555496957</v>
      </c>
      <c r="F45" s="13">
        <f t="shared" si="1"/>
        <v>18.019128434952194</v>
      </c>
      <c r="G45" s="13">
        <f t="shared" si="1"/>
        <v>14.430867974288374</v>
      </c>
      <c r="H45" s="13">
        <f t="shared" si="1"/>
        <v>11.943706681867685</v>
      </c>
    </row>
    <row r="46" spans="2:9" ht="14" x14ac:dyDescent="0.3">
      <c r="B46" s="4" t="s">
        <v>155</v>
      </c>
      <c r="C46" s="30">
        <v>10</v>
      </c>
      <c r="D46" s="13">
        <f t="shared" si="1"/>
        <v>31.47849821705212</v>
      </c>
      <c r="E46" s="13">
        <f t="shared" si="1"/>
        <v>21.878451492326199</v>
      </c>
      <c r="F46" s="13">
        <f t="shared" si="1"/>
        <v>16.489845306454345</v>
      </c>
      <c r="G46" s="13">
        <f t="shared" si="1"/>
        <v>13.056796813726947</v>
      </c>
      <c r="H46" s="13">
        <f t="shared" si="1"/>
        <v>10.689216311644898</v>
      </c>
    </row>
    <row r="47" spans="2:9" ht="14" x14ac:dyDescent="0.3">
      <c r="B47" s="22" t="s">
        <v>157</v>
      </c>
      <c r="C47" s="23"/>
      <c r="D47" s="23"/>
      <c r="E47" s="23"/>
      <c r="F47" s="23"/>
      <c r="G47" s="23"/>
      <c r="H47" s="23"/>
      <c r="I47" s="23"/>
    </row>
    <row r="48" spans="2:9" ht="14" x14ac:dyDescent="0.3">
      <c r="B48" s="4" t="s">
        <v>152</v>
      </c>
      <c r="C48" s="30">
        <v>3</v>
      </c>
      <c r="D48" s="5">
        <f t="shared" ref="D48:H51" si="2">IFERROR(($C$10/(1-$C$13)-$C$14*D38)/D43,"N/A")</f>
        <v>503254.06576002401</v>
      </c>
      <c r="E48" s="5">
        <f t="shared" si="2"/>
        <v>703203.84139047354</v>
      </c>
      <c r="F48" s="5">
        <f t="shared" si="2"/>
        <v>906961.11295178987</v>
      </c>
      <c r="G48" s="5">
        <f t="shared" si="2"/>
        <v>1114486.4077314967</v>
      </c>
      <c r="H48" s="5">
        <f t="shared" si="2"/>
        <v>1325740.3705211054</v>
      </c>
    </row>
    <row r="49" spans="2:9" ht="14" x14ac:dyDescent="0.3">
      <c r="B49" s="4" t="s">
        <v>153</v>
      </c>
      <c r="C49" s="30">
        <v>5</v>
      </c>
      <c r="D49" s="5">
        <f t="shared" si="2"/>
        <v>498631.48640669225</v>
      </c>
      <c r="E49" s="5">
        <f t="shared" si="2"/>
        <v>704005.40372653108</v>
      </c>
      <c r="F49" s="5">
        <f t="shared" si="2"/>
        <v>917217.26755363459</v>
      </c>
      <c r="G49" s="5">
        <f t="shared" si="2"/>
        <v>1138248.5038476624</v>
      </c>
      <c r="H49" s="5">
        <f t="shared" si="2"/>
        <v>1367076.7065876911</v>
      </c>
    </row>
    <row r="50" spans="2:9" ht="14" x14ac:dyDescent="0.3">
      <c r="B50" s="4" t="s">
        <v>154</v>
      </c>
      <c r="C50" s="30">
        <v>7</v>
      </c>
      <c r="D50" s="5">
        <f t="shared" si="2"/>
        <v>493582.47686400858</v>
      </c>
      <c r="E50" s="5">
        <f t="shared" si="2"/>
        <v>704436.87386778183</v>
      </c>
      <c r="F50" s="5">
        <f t="shared" si="2"/>
        <v>927381.86678146105</v>
      </c>
      <c r="G50" s="5">
        <f t="shared" si="2"/>
        <v>1162478.1324672932</v>
      </c>
      <c r="H50" s="5">
        <f t="shared" si="2"/>
        <v>1409773.654389021</v>
      </c>
    </row>
    <row r="51" spans="2:9" ht="14" x14ac:dyDescent="0.3">
      <c r="B51" s="4" t="s">
        <v>155</v>
      </c>
      <c r="C51" s="30">
        <v>10</v>
      </c>
      <c r="D51" s="5">
        <f t="shared" si="2"/>
        <v>485192.89554152684</v>
      </c>
      <c r="E51" s="5">
        <f t="shared" si="2"/>
        <v>704370.72042034415</v>
      </c>
      <c r="F51" s="5">
        <f t="shared" si="2"/>
        <v>942431.27124711347</v>
      </c>
      <c r="G51" s="5">
        <f t="shared" si="2"/>
        <v>1199656.7519850028</v>
      </c>
      <c r="H51" s="5">
        <f t="shared" si="2"/>
        <v>1476291.4592972014</v>
      </c>
    </row>
    <row r="52" spans="2:9" ht="14" x14ac:dyDescent="0.3">
      <c r="B52" s="22" t="s">
        <v>158</v>
      </c>
      <c r="C52" s="23"/>
      <c r="D52" s="23"/>
      <c r="E52" s="23"/>
      <c r="F52" s="23"/>
      <c r="G52" s="23"/>
      <c r="H52" s="23"/>
      <c r="I52" s="23"/>
    </row>
    <row r="53" spans="2:9" ht="14" x14ac:dyDescent="0.3">
      <c r="B53" s="4" t="s">
        <v>152</v>
      </c>
      <c r="C53" s="30">
        <v>3</v>
      </c>
      <c r="D53" s="14">
        <f t="shared" ref="D53:H56" si="3">IFERROR(D48/$C$15,"N/A")</f>
        <v>0.47659974823995621</v>
      </c>
      <c r="E53" s="14">
        <f t="shared" si="3"/>
        <v>0.66595939619866684</v>
      </c>
      <c r="F53" s="14">
        <f t="shared" si="3"/>
        <v>0.85892488010692969</v>
      </c>
      <c r="G53" s="14">
        <f t="shared" si="3"/>
        <v>1.0554588178825948</v>
      </c>
      <c r="H53" s="14">
        <f t="shared" si="3"/>
        <v>1.2555239387240256</v>
      </c>
    </row>
    <row r="54" spans="2:9" ht="14" x14ac:dyDescent="0.3">
      <c r="B54" s="4" t="s">
        <v>153</v>
      </c>
      <c r="C54" s="30">
        <v>5</v>
      </c>
      <c r="D54" s="14">
        <f t="shared" si="3"/>
        <v>0.47222199889641153</v>
      </c>
      <c r="E54" s="14">
        <f t="shared" si="3"/>
        <v>0.66671850463624449</v>
      </c>
      <c r="F54" s="14">
        <f t="shared" si="3"/>
        <v>0.86863782836452041</v>
      </c>
      <c r="G54" s="14">
        <f t="shared" si="3"/>
        <v>1.077962379795234</v>
      </c>
      <c r="H54" s="14">
        <f t="shared" si="3"/>
        <v>1.2946709396185823</v>
      </c>
    </row>
    <row r="55" spans="2:9" ht="14" x14ac:dyDescent="0.3">
      <c r="B55" s="4" t="s">
        <v>154</v>
      </c>
      <c r="C55" s="30">
        <v>7</v>
      </c>
      <c r="D55" s="14">
        <f t="shared" si="3"/>
        <v>0.46744040478594956</v>
      </c>
      <c r="E55" s="14">
        <f t="shared" si="3"/>
        <v>0.6671271224193569</v>
      </c>
      <c r="F55" s="14">
        <f t="shared" si="3"/>
        <v>0.8782640703813156</v>
      </c>
      <c r="G55" s="14">
        <f t="shared" si="3"/>
        <v>1.1009087118484564</v>
      </c>
      <c r="H55" s="14">
        <f t="shared" si="3"/>
        <v>1.3351064888912869</v>
      </c>
    </row>
    <row r="56" spans="2:9" ht="14" x14ac:dyDescent="0.3">
      <c r="B56" s="4" t="s">
        <v>155</v>
      </c>
      <c r="C56" s="30">
        <v>10</v>
      </c>
      <c r="D56" s="14">
        <f t="shared" si="3"/>
        <v>0.45949516873486101</v>
      </c>
      <c r="E56" s="14">
        <f t="shared" si="3"/>
        <v>0.66706447271905811</v>
      </c>
      <c r="F56" s="14">
        <f t="shared" si="3"/>
        <v>0.89251639911046177</v>
      </c>
      <c r="G56" s="14">
        <f t="shared" si="3"/>
        <v>1.1361182052388168</v>
      </c>
      <c r="H56" s="14">
        <f t="shared" si="3"/>
        <v>1.3981012488538036</v>
      </c>
    </row>
    <row r="58" spans="2:9" ht="14" x14ac:dyDescent="0.3">
      <c r="B58" s="8" t="s">
        <v>159</v>
      </c>
      <c r="C58" s="9"/>
      <c r="D58" s="9"/>
      <c r="E58" s="9"/>
      <c r="F58" s="9"/>
      <c r="G58" s="9"/>
      <c r="H58" s="9"/>
      <c r="I58" s="9"/>
    </row>
    <row r="59" spans="2:9" ht="14" x14ac:dyDescent="0.3">
      <c r="B59" s="1" t="s">
        <v>160</v>
      </c>
    </row>
    <row r="60" spans="2:9" ht="14" x14ac:dyDescent="0.3">
      <c r="B60" s="4" t="s">
        <v>161</v>
      </c>
      <c r="C60" s="5">
        <f>F49</f>
        <v>917217.26755363459</v>
      </c>
    </row>
    <row r="62" spans="2:9" ht="14" x14ac:dyDescent="0.3">
      <c r="B62" s="28" t="s">
        <v>162</v>
      </c>
      <c r="C62" s="28" t="s">
        <v>163</v>
      </c>
      <c r="D62" s="28" t="s">
        <v>164</v>
      </c>
    </row>
    <row r="63" spans="2:9" ht="14" x14ac:dyDescent="0.3">
      <c r="B63" s="31">
        <v>9.2100000000000001E-2</v>
      </c>
      <c r="C63" s="5">
        <f>IFERROR($C$60/B63,"N/A")</f>
        <v>9958927.986467259</v>
      </c>
      <c r="D63" s="14">
        <f>IFERROR(C63/'DCF Model'!C17,"N/A")</f>
        <v>1.7371211977357186</v>
      </c>
    </row>
    <row r="64" spans="2:9" ht="14" x14ac:dyDescent="0.3">
      <c r="B64" s="31">
        <v>0.1381</v>
      </c>
      <c r="C64" s="5">
        <f>IFERROR($C$60/B64,"N/A")</f>
        <v>6641689.1205911264</v>
      </c>
      <c r="D64" s="14">
        <f>IFERROR(C64/'DCF Model'!C17,"N/A")</f>
        <v>1.1585000891488753</v>
      </c>
    </row>
    <row r="65" spans="2:9" ht="14" x14ac:dyDescent="0.3">
      <c r="B65" s="4" t="s">
        <v>165</v>
      </c>
      <c r="C65" s="5">
        <f>IFERROR($C$60/$C$18,"N/A")</f>
        <v>4979906.7504785946</v>
      </c>
      <c r="D65" s="14">
        <f>IFERROR(C65/'DCF Model'!C17,"N/A")</f>
        <v>0.86863782836452053</v>
      </c>
    </row>
    <row r="66" spans="2:9" ht="14" x14ac:dyDescent="0.3">
      <c r="B66" s="31">
        <v>0.23019999999999999</v>
      </c>
      <c r="C66" s="5">
        <f>IFERROR($C$60/B66,"N/A")</f>
        <v>3984436.4359410712</v>
      </c>
      <c r="D66" s="14">
        <f>IFERROR(C66/'DCF Model'!C17,"N/A")</f>
        <v>0.69499940187428189</v>
      </c>
    </row>
    <row r="67" spans="2:9" ht="14" x14ac:dyDescent="0.3">
      <c r="B67" s="31">
        <v>0.27629999999999999</v>
      </c>
      <c r="C67" s="5">
        <f>IFERROR($C$60/B67,"N/A")</f>
        <v>3319642.6621557535</v>
      </c>
      <c r="D67" s="14">
        <f>IFERROR(C67/'DCF Model'!C17,"N/A")</f>
        <v>0.57904039924523965</v>
      </c>
    </row>
    <row r="69" spans="2:9" ht="14" x14ac:dyDescent="0.3">
      <c r="B69" s="8" t="s">
        <v>166</v>
      </c>
      <c r="C69" s="9"/>
      <c r="D69" s="9"/>
      <c r="E69" s="9"/>
      <c r="F69" s="9"/>
      <c r="G69" s="9"/>
      <c r="H69" s="9"/>
      <c r="I69" s="9"/>
    </row>
    <row r="70" spans="2:9" ht="13.5" x14ac:dyDescent="0.25">
      <c r="B70" s="6" t="s">
        <v>167</v>
      </c>
      <c r="C70" s="14">
        <f>IFERROR(C10/'Comps Analysis'!G5,"N/A")</f>
        <v>8.4094146637294145</v>
      </c>
    </row>
    <row r="71" spans="2:9" ht="13.5" x14ac:dyDescent="0.25">
      <c r="B71" s="6" t="s">
        <v>168</v>
      </c>
      <c r="C71" s="14">
        <f>IFERROR(C10/'Comps Analysis'!F5,"N/A")</f>
        <v>2.5455705691913511</v>
      </c>
    </row>
    <row r="72" spans="2:9" ht="14" x14ac:dyDescent="0.3">
      <c r="B72" s="4" t="s">
        <v>169</v>
      </c>
      <c r="C72" s="14">
        <f>IFERROR(C10/(C25+'DCF Model'!G42),"N/A")</f>
        <v>8.882389829533949</v>
      </c>
    </row>
    <row r="73" spans="2:9" ht="14" x14ac:dyDescent="0.3">
      <c r="B73" s="4" t="s">
        <v>170</v>
      </c>
      <c r="C73" s="14">
        <f>IFERROR(C10/(C60+'DCF Model'!G42),"N/A")</f>
        <v>8.7724460494971304</v>
      </c>
    </row>
    <row r="74" spans="2:9" ht="14" x14ac:dyDescent="0.3">
      <c r="B74" s="4" t="s">
        <v>171</v>
      </c>
      <c r="C74" s="14">
        <f>IFERROR('Comps Analysis'!D16,"N/A")</f>
        <v>9.2079191774778142</v>
      </c>
    </row>
    <row r="75" spans="2:9" ht="14" x14ac:dyDescent="0.3">
      <c r="B75" s="1" t="s">
        <v>172</v>
      </c>
    </row>
    <row r="77" spans="2:9" ht="14" x14ac:dyDescent="0.3">
      <c r="B77" s="22" t="s">
        <v>173</v>
      </c>
      <c r="C77" s="23"/>
      <c r="D77" s="23"/>
      <c r="E77" s="23"/>
      <c r="F77" s="23"/>
      <c r="G77" s="23"/>
      <c r="H77" s="23"/>
      <c r="I77" s="23"/>
    </row>
    <row r="78" spans="2:9" ht="14" x14ac:dyDescent="0.3">
      <c r="B78" s="4" t="str">
        <f>"At "&amp;TEXT(C6,"#,##0")&amp;" yen the market is paying for a steady-state operating profit of "&amp;TEXT(F49,"#,##0")&amp;" mn JPY - "&amp;TEXT(F54,"0.00")&amp;"x the FY2026 cycle peak of "&amp;TEXT(C15,"#,##0")&amp;" mn - reached in 5 years and sustained for ever, against "&amp;TEXT(C14,"#,##0")&amp;" mn actually earned in FY2026."</f>
        <v>At 2,981 yen the market is paying for a steady-state operating profit of 917,217 mn JPY - 0.87x the FY2026 cycle peak of 1,055,926 mn - reached in 5 years and sustained for ever, against 1,055,926 mn actually earned in FY2026.</v>
      </c>
    </row>
    <row r="79" spans="2:9" ht="14" x14ac:dyDescent="0.3">
      <c r="B79" s="4" t="str">
        <f>"Even with no ramp at all (Block A) the price needs "&amp;TEXT(C25,"#,##0")&amp;" mn, or "&amp;TEXT(C26,"0.00")&amp;"x the peak. The base case supports an EV of only "&amp;TEXT(C17,"#,##0")&amp;" mn, leaving "&amp;TEXT(C20,"#,##0")&amp;" yen per share of the current price unexplained by mid-cycle economics."</f>
        <v>Even with no ramp at all (Block A) the price needs 896,626 mn, or 0.85x the peak. The base case supports an EV of only 20,679,901 mn, leaving -1,647 yen per share of the current price unexplained by mid-cycle economics.</v>
      </c>
    </row>
  </sheetData>
  <phoneticPr fontId="8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C6600"/>
  </sheetPr>
  <dimension ref="B2:H29"/>
  <sheetViews>
    <sheetView workbookViewId="0"/>
  </sheetViews>
  <sheetFormatPr defaultRowHeight="13" x14ac:dyDescent="0.2"/>
  <cols>
    <col min="1" max="1" width="3" customWidth="1"/>
    <col min="2" max="2" width="28" customWidth="1"/>
    <col min="3" max="8" width="16" customWidth="1"/>
  </cols>
  <sheetData>
    <row r="2" spans="2:8" ht="18" x14ac:dyDescent="0.4">
      <c r="B2" s="2" t="s">
        <v>174</v>
      </c>
    </row>
    <row r="4" spans="2:8" ht="14" x14ac:dyDescent="0.3">
      <c r="B4" s="8" t="s">
        <v>175</v>
      </c>
      <c r="C4" s="32" t="s">
        <v>176</v>
      </c>
      <c r="D4" s="32" t="s">
        <v>83</v>
      </c>
      <c r="E4" s="32" t="s">
        <v>84</v>
      </c>
      <c r="F4" s="32" t="s">
        <v>85</v>
      </c>
      <c r="G4" s="32" t="s">
        <v>86</v>
      </c>
      <c r="H4" s="32" t="s">
        <v>87</v>
      </c>
    </row>
    <row r="5" spans="2:8" ht="14" x14ac:dyDescent="0.3">
      <c r="B5" s="33" t="s">
        <v>177</v>
      </c>
      <c r="C5" s="34">
        <f>C18/C9</f>
        <v>0.41762725913294718</v>
      </c>
      <c r="D5" s="34">
        <f>CHOOSE('DCF Model'!$D$27,D25,D26,D27,D28,D29)</f>
        <v>0</v>
      </c>
      <c r="E5" s="34">
        <f>CHOOSE('DCF Model'!$D$27,E25,E26,E27,E28,E29)</f>
        <v>0</v>
      </c>
      <c r="F5" s="34">
        <f>CHOOSE('DCF Model'!$D$27,F25,F26,F27,F28,F29)</f>
        <v>0</v>
      </c>
      <c r="G5" s="34">
        <f>CHOOSE('DCF Model'!$D$27,G25,G26,G27,G28,G29)</f>
        <v>0</v>
      </c>
      <c r="H5" s="34">
        <f>CHOOSE('DCF Model'!$D$27,H25,H26,H27,H28,H29)</f>
        <v>0</v>
      </c>
    </row>
    <row r="6" spans="2:8" ht="14" x14ac:dyDescent="0.3">
      <c r="B6" s="35" t="s">
        <v>178</v>
      </c>
      <c r="C6" s="35" t="s">
        <v>178</v>
      </c>
      <c r="D6" s="35" t="s">
        <v>178</v>
      </c>
      <c r="E6" s="35" t="s">
        <v>178</v>
      </c>
      <c r="F6" s="35" t="s">
        <v>178</v>
      </c>
      <c r="G6" s="35" t="s">
        <v>178</v>
      </c>
      <c r="H6" s="35" t="s">
        <v>178</v>
      </c>
    </row>
    <row r="7" spans="2:8" ht="14" x14ac:dyDescent="0.3">
      <c r="B7" s="35" t="s">
        <v>178</v>
      </c>
      <c r="C7" s="35" t="s">
        <v>178</v>
      </c>
      <c r="D7" s="35" t="s">
        <v>178</v>
      </c>
      <c r="E7" s="35" t="s">
        <v>178</v>
      </c>
      <c r="F7" s="35" t="s">
        <v>178</v>
      </c>
      <c r="G7" s="35" t="s">
        <v>178</v>
      </c>
      <c r="H7" s="35" t="s">
        <v>178</v>
      </c>
    </row>
    <row r="8" spans="2:8" ht="14" x14ac:dyDescent="0.3">
      <c r="B8" s="8" t="s">
        <v>179</v>
      </c>
      <c r="C8" s="9"/>
      <c r="D8" s="9"/>
      <c r="E8" s="9"/>
      <c r="F8" s="9"/>
      <c r="G8" s="9"/>
      <c r="H8" s="9"/>
    </row>
    <row r="9" spans="2:8" ht="14" x14ac:dyDescent="0.3">
      <c r="B9" s="33" t="s">
        <v>35</v>
      </c>
      <c r="C9" s="36">
        <v>5733007</v>
      </c>
      <c r="D9" s="36">
        <f>'DCF Model'!C33</f>
        <v>5876332.1749999998</v>
      </c>
      <c r="E9" s="36">
        <f>'DCF Model'!D33</f>
        <v>5993858.8185000001</v>
      </c>
      <c r="F9" s="36">
        <f>'DCF Model'!E33</f>
        <v>6113735.9948700005</v>
      </c>
      <c r="G9" s="36">
        <f>'DCF Model'!F33</f>
        <v>6205442.03479305</v>
      </c>
      <c r="H9" s="36">
        <f>'DCF Model'!G33</f>
        <v>6298523.6653149454</v>
      </c>
    </row>
    <row r="10" spans="2:8" ht="14" x14ac:dyDescent="0.3">
      <c r="B10" s="35" t="s">
        <v>178</v>
      </c>
      <c r="C10" s="35" t="s">
        <v>178</v>
      </c>
      <c r="D10" s="35" t="s">
        <v>178</v>
      </c>
      <c r="E10" s="35" t="s">
        <v>178</v>
      </c>
      <c r="F10" s="35" t="s">
        <v>178</v>
      </c>
      <c r="G10" s="35" t="s">
        <v>178</v>
      </c>
      <c r="H10" s="35" t="s">
        <v>178</v>
      </c>
    </row>
    <row r="11" spans="2:8" ht="14" x14ac:dyDescent="0.3">
      <c r="B11" s="8" t="s">
        <v>180</v>
      </c>
      <c r="C11" s="9"/>
      <c r="D11" s="9"/>
      <c r="E11" s="9"/>
      <c r="F11" s="9"/>
      <c r="G11" s="9"/>
      <c r="H11" s="9"/>
    </row>
    <row r="12" spans="2:8" ht="14" x14ac:dyDescent="0.3">
      <c r="B12" s="35" t="s">
        <v>178</v>
      </c>
      <c r="C12" s="35" t="s">
        <v>178</v>
      </c>
      <c r="D12" s="35" t="s">
        <v>178</v>
      </c>
      <c r="E12" s="35" t="s">
        <v>178</v>
      </c>
      <c r="F12" s="35" t="s">
        <v>178</v>
      </c>
      <c r="G12" s="35" t="s">
        <v>178</v>
      </c>
      <c r="H12" s="35" t="s">
        <v>178</v>
      </c>
    </row>
    <row r="13" spans="2:8" ht="14" x14ac:dyDescent="0.3">
      <c r="B13" s="35" t="s">
        <v>178</v>
      </c>
      <c r="C13" s="35" t="s">
        <v>178</v>
      </c>
      <c r="D13" s="35" t="s">
        <v>178</v>
      </c>
      <c r="E13" s="35" t="s">
        <v>178</v>
      </c>
      <c r="F13" s="35" t="s">
        <v>178</v>
      </c>
      <c r="G13" s="35" t="s">
        <v>178</v>
      </c>
      <c r="H13" s="35" t="s">
        <v>178</v>
      </c>
    </row>
    <row r="14" spans="2:8" ht="14" x14ac:dyDescent="0.3">
      <c r="B14" s="35" t="s">
        <v>178</v>
      </c>
      <c r="C14" s="35" t="s">
        <v>178</v>
      </c>
      <c r="D14" s="35" t="s">
        <v>178</v>
      </c>
      <c r="E14" s="35" t="s">
        <v>178</v>
      </c>
      <c r="F14" s="35" t="s">
        <v>178</v>
      </c>
      <c r="G14" s="35" t="s">
        <v>178</v>
      </c>
      <c r="H14" s="35" t="s">
        <v>178</v>
      </c>
    </row>
    <row r="15" spans="2:8" ht="14" x14ac:dyDescent="0.3">
      <c r="B15" s="35" t="s">
        <v>178</v>
      </c>
      <c r="C15" s="35" t="s">
        <v>178</v>
      </c>
      <c r="D15" s="35" t="s">
        <v>178</v>
      </c>
      <c r="E15" s="35" t="s">
        <v>178</v>
      </c>
      <c r="F15" s="35" t="s">
        <v>178</v>
      </c>
      <c r="G15" s="35" t="s">
        <v>178</v>
      </c>
      <c r="H15" s="35" t="s">
        <v>178</v>
      </c>
    </row>
    <row r="16" spans="2:8" ht="14" x14ac:dyDescent="0.3">
      <c r="B16" s="35" t="s">
        <v>178</v>
      </c>
      <c r="C16" s="35" t="s">
        <v>178</v>
      </c>
      <c r="D16" s="35" t="s">
        <v>178</v>
      </c>
      <c r="E16" s="35" t="s">
        <v>178</v>
      </c>
      <c r="F16" s="35" t="s">
        <v>178</v>
      </c>
      <c r="G16" s="35" t="s">
        <v>178</v>
      </c>
      <c r="H16" s="35" t="s">
        <v>178</v>
      </c>
    </row>
    <row r="17" spans="2:8" ht="14" x14ac:dyDescent="0.3">
      <c r="B17" s="22" t="s">
        <v>181</v>
      </c>
      <c r="C17" s="23"/>
      <c r="D17" s="23"/>
      <c r="E17" s="23"/>
      <c r="F17" s="23"/>
      <c r="G17" s="23"/>
      <c r="H17" s="23"/>
    </row>
    <row r="18" spans="2:8" ht="14" x14ac:dyDescent="0.3">
      <c r="B18" s="33" t="s">
        <v>182</v>
      </c>
      <c r="C18" s="20">
        <v>2394260</v>
      </c>
      <c r="D18" s="20">
        <f>D9*D5</f>
        <v>0</v>
      </c>
      <c r="E18" s="20">
        <f>E9*E5</f>
        <v>0</v>
      </c>
      <c r="F18" s="20">
        <f>F9*F5</f>
        <v>0</v>
      </c>
      <c r="G18" s="20">
        <f>G9*G5</f>
        <v>0</v>
      </c>
      <c r="H18" s="20">
        <f>H9*H5</f>
        <v>0</v>
      </c>
    </row>
    <row r="19" spans="2:8" ht="14" x14ac:dyDescent="0.3">
      <c r="B19" s="33" t="s">
        <v>97</v>
      </c>
      <c r="C19" s="37" t="s">
        <v>45</v>
      </c>
      <c r="D19" s="24">
        <f>D18-C18</f>
        <v>-2394260</v>
      </c>
      <c r="E19" s="24">
        <f>E18-D18</f>
        <v>0</v>
      </c>
      <c r="F19" s="24">
        <f>F18-E18</f>
        <v>0</v>
      </c>
      <c r="G19" s="24">
        <f>G18-F18</f>
        <v>0</v>
      </c>
      <c r="H19" s="24">
        <f>H18-G18</f>
        <v>0</v>
      </c>
    </row>
    <row r="22" spans="2:8" ht="14" x14ac:dyDescent="0.3">
      <c r="B22" s="22" t="s">
        <v>183</v>
      </c>
      <c r="C22" s="23"/>
      <c r="D22" s="23"/>
      <c r="E22" s="23"/>
      <c r="F22" s="23"/>
      <c r="G22" s="23"/>
      <c r="H22" s="23"/>
    </row>
    <row r="23" spans="2:8" ht="14" x14ac:dyDescent="0.3">
      <c r="D23" s="25" t="s">
        <v>83</v>
      </c>
      <c r="E23" s="25" t="s">
        <v>84</v>
      </c>
      <c r="F23" s="25" t="s">
        <v>85</v>
      </c>
      <c r="G23" s="25" t="s">
        <v>86</v>
      </c>
      <c r="H23" s="25" t="s">
        <v>87</v>
      </c>
    </row>
    <row r="24" spans="2:8" ht="14" x14ac:dyDescent="0.3">
      <c r="B24" s="3" t="s">
        <v>177</v>
      </c>
    </row>
    <row r="25" spans="2:8" ht="14" x14ac:dyDescent="0.3">
      <c r="B25" s="4" t="s">
        <v>81</v>
      </c>
      <c r="D25" s="26">
        <v>0</v>
      </c>
      <c r="E25" s="26">
        <v>0</v>
      </c>
      <c r="F25" s="26">
        <v>0</v>
      </c>
      <c r="G25" s="26">
        <v>0</v>
      </c>
      <c r="H25" s="26">
        <v>0</v>
      </c>
    </row>
    <row r="26" spans="2:8" ht="14" x14ac:dyDescent="0.3">
      <c r="B26" s="4" t="s">
        <v>118</v>
      </c>
      <c r="D26" s="26">
        <v>0</v>
      </c>
      <c r="E26" s="26">
        <v>0</v>
      </c>
      <c r="F26" s="26">
        <v>0</v>
      </c>
      <c r="G26" s="26">
        <v>0</v>
      </c>
      <c r="H26" s="26">
        <v>0</v>
      </c>
    </row>
    <row r="27" spans="2:8" ht="14" x14ac:dyDescent="0.3">
      <c r="B27" s="4" t="s">
        <v>119</v>
      </c>
      <c r="D27" s="26">
        <v>0</v>
      </c>
      <c r="E27" s="26">
        <v>0</v>
      </c>
      <c r="F27" s="26">
        <v>0</v>
      </c>
      <c r="G27" s="26">
        <v>0</v>
      </c>
      <c r="H27" s="26">
        <v>0</v>
      </c>
    </row>
    <row r="28" spans="2:8" ht="14" x14ac:dyDescent="0.3">
      <c r="B28" s="4" t="s">
        <v>120</v>
      </c>
      <c r="D28" s="26">
        <v>0</v>
      </c>
      <c r="E28" s="26">
        <v>0</v>
      </c>
      <c r="F28" s="26">
        <v>0</v>
      </c>
      <c r="G28" s="26">
        <v>0</v>
      </c>
      <c r="H28" s="26">
        <v>0</v>
      </c>
    </row>
    <row r="29" spans="2:8" ht="14" x14ac:dyDescent="0.3">
      <c r="B29" s="4" t="s">
        <v>121</v>
      </c>
      <c r="D29" s="26">
        <v>0</v>
      </c>
      <c r="E29" s="26">
        <v>0</v>
      </c>
      <c r="F29" s="26">
        <v>0</v>
      </c>
      <c r="G29" s="26">
        <v>0</v>
      </c>
      <c r="H29" s="26">
        <v>0</v>
      </c>
    </row>
  </sheetData>
  <phoneticPr fontId="8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6600"/>
  </sheetPr>
  <dimension ref="B2:Q28"/>
  <sheetViews>
    <sheetView workbookViewId="0"/>
  </sheetViews>
  <sheetFormatPr defaultRowHeight="13" x14ac:dyDescent="0.2"/>
  <cols>
    <col min="1" max="1" width="3" customWidth="1"/>
    <col min="2" max="2" width="16" customWidth="1"/>
    <col min="3" max="3" width="10" customWidth="1"/>
    <col min="4" max="16" width="12" customWidth="1"/>
    <col min="17" max="17" width="26" customWidth="1"/>
  </cols>
  <sheetData>
    <row r="2" spans="2:17" ht="18" x14ac:dyDescent="0.4">
      <c r="B2" s="2" t="s">
        <v>184</v>
      </c>
    </row>
    <row r="3" spans="2:17" ht="14" x14ac:dyDescent="0.3">
      <c r="B3" s="1" t="s">
        <v>185</v>
      </c>
    </row>
    <row r="4" spans="2:17" ht="28" x14ac:dyDescent="0.3">
      <c r="B4" s="10" t="s">
        <v>3</v>
      </c>
      <c r="C4" s="10" t="s">
        <v>5</v>
      </c>
      <c r="D4" s="10" t="s">
        <v>186</v>
      </c>
      <c r="E4" s="10" t="s">
        <v>187</v>
      </c>
      <c r="F4" s="10" t="s">
        <v>188</v>
      </c>
      <c r="G4" s="10" t="s">
        <v>189</v>
      </c>
      <c r="H4" s="10" t="s">
        <v>190</v>
      </c>
      <c r="I4" s="10" t="s">
        <v>191</v>
      </c>
      <c r="J4" s="10" t="s">
        <v>192</v>
      </c>
      <c r="K4" s="10" t="s">
        <v>193</v>
      </c>
      <c r="L4" s="10" t="s">
        <v>194</v>
      </c>
      <c r="M4" s="10" t="s">
        <v>195</v>
      </c>
      <c r="N4" s="10" t="s">
        <v>196</v>
      </c>
      <c r="O4" s="10" t="s">
        <v>197</v>
      </c>
      <c r="P4" s="10" t="s">
        <v>198</v>
      </c>
      <c r="Q4" s="10" t="s">
        <v>199</v>
      </c>
    </row>
    <row r="5" spans="2:17" ht="14" x14ac:dyDescent="0.3">
      <c r="B5" s="4" t="s">
        <v>200</v>
      </c>
      <c r="C5" t="s">
        <v>201</v>
      </c>
      <c r="D5" s="38">
        <f>'Executive Summary'!C9*C23/1000000</f>
        <v>11017664.892168</v>
      </c>
      <c r="E5" s="38">
        <f>D5+C24</f>
        <v>14593773.892168</v>
      </c>
      <c r="F5" s="38">
        <v>5733007</v>
      </c>
      <c r="G5" s="38">
        <v>1735409</v>
      </c>
      <c r="H5" s="38">
        <v>1055926</v>
      </c>
      <c r="I5" s="38">
        <v>665647</v>
      </c>
      <c r="J5" s="39">
        <f>IFERROR(E5/G5,"")</f>
        <v>8.4094146637294145</v>
      </c>
      <c r="K5" s="39">
        <f>IFERROR(E5/F5,"")</f>
        <v>2.5455705691913511</v>
      </c>
      <c r="L5" s="39">
        <f>IFERROR(D5/I5,"")</f>
        <v>16.551813336750559</v>
      </c>
      <c r="M5" s="39">
        <f>IFERROR(D5/P5,"")</f>
        <v>2.3359054712199763</v>
      </c>
      <c r="N5" s="40">
        <f>IFERROR(H5/F5,"")</f>
        <v>0.18418362300970503</v>
      </c>
      <c r="O5" s="40">
        <f>IFERROR(I5/P5,"")</f>
        <v>0.14112686167342675</v>
      </c>
      <c r="P5" s="38">
        <v>4716657</v>
      </c>
    </row>
    <row r="6" spans="2:17" ht="14" x14ac:dyDescent="0.3">
      <c r="B6" s="4" t="s">
        <v>202</v>
      </c>
      <c r="C6" t="s">
        <v>203</v>
      </c>
      <c r="D6" s="38">
        <v>13985423</v>
      </c>
      <c r="E6" s="38">
        <v>28983081</v>
      </c>
      <c r="F6" s="38">
        <v>14409121</v>
      </c>
      <c r="G6" s="38">
        <v>3577393</v>
      </c>
      <c r="H6" s="38">
        <v>1786410</v>
      </c>
      <c r="I6" s="38">
        <v>1037032</v>
      </c>
      <c r="J6" s="39">
        <f>IFERROR(E6/G6,"")</f>
        <v>8.1017324627179619</v>
      </c>
      <c r="K6" s="39">
        <f>IFERROR(E6/F6,"")</f>
        <v>2.0114399067090907</v>
      </c>
      <c r="L6" s="39">
        <f>IFERROR(D6/I6,"")</f>
        <v>13.486009110615679</v>
      </c>
      <c r="M6" s="39">
        <f>IFERROR(D6/P6,"")</f>
        <v>1.4377019956468295</v>
      </c>
      <c r="N6" s="40">
        <f>IFERROR(H6/F6,"")</f>
        <v>0.12397772216639724</v>
      </c>
      <c r="O6" s="40">
        <f>IFERROR(I6/P6,"")</f>
        <v>0.10660692750942342</v>
      </c>
      <c r="P6" s="38">
        <v>9727623</v>
      </c>
    </row>
    <row r="7" spans="2:17" ht="14" x14ac:dyDescent="0.3">
      <c r="B7" s="4" t="s">
        <v>204</v>
      </c>
      <c r="C7" t="s">
        <v>205</v>
      </c>
      <c r="D7" s="38">
        <v>11441825</v>
      </c>
      <c r="E7" s="38">
        <v>16487608</v>
      </c>
      <c r="F7" s="38">
        <v>7038680</v>
      </c>
      <c r="G7" s="38">
        <v>1790590</v>
      </c>
      <c r="H7" s="38">
        <v>1042576</v>
      </c>
      <c r="I7" s="38">
        <v>550759</v>
      </c>
      <c r="J7" s="39">
        <f>IFERROR(E7/G7,"")</f>
        <v>9.2079191774778142</v>
      </c>
      <c r="K7" s="39">
        <f>IFERROR(E7/F7,"")</f>
        <v>2.3424289781606777</v>
      </c>
      <c r="L7" s="39">
        <f>IFERROR(D7/I7,"")</f>
        <v>20.774649165969144</v>
      </c>
      <c r="M7" s="39">
        <f>IFERROR(D7/P7,"")</f>
        <v>3.8682793872189309</v>
      </c>
      <c r="N7" s="40">
        <f>IFERROR(H7/F7,"")</f>
        <v>0.14812095449715004</v>
      </c>
      <c r="O7" s="40">
        <f>IFERROR(I7/P7,"")</f>
        <v>0.18620191158537308</v>
      </c>
      <c r="P7" s="38">
        <v>2957859</v>
      </c>
    </row>
    <row r="8" spans="2:17" ht="14" x14ac:dyDescent="0.3">
      <c r="B8" s="4" t="s">
        <v>206</v>
      </c>
      <c r="C8" t="s">
        <v>207</v>
      </c>
      <c r="D8" s="38">
        <v>382283</v>
      </c>
      <c r="E8" s="38">
        <v>378881</v>
      </c>
      <c r="F8" s="38">
        <v>86348</v>
      </c>
      <c r="G8" s="38">
        <v>25048</v>
      </c>
      <c r="H8" s="38">
        <v>18697</v>
      </c>
      <c r="I8" s="38">
        <v>13217</v>
      </c>
      <c r="J8" s="39">
        <f>IFERROR(E8/G8,"")</f>
        <v>15.126197700415203</v>
      </c>
      <c r="K8" s="39">
        <f>IFERROR(E8/F8,"")</f>
        <v>4.3878375874368833</v>
      </c>
      <c r="L8" s="39">
        <f>IFERROR(D8/I8,"")</f>
        <v>28.923583263978209</v>
      </c>
      <c r="M8" s="39">
        <f>IFERROR(D8/P8,"")</f>
        <v>3.8628100843732631</v>
      </c>
      <c r="N8" s="40">
        <f>IFERROR(H8/F8,"")</f>
        <v>0.21653078241534257</v>
      </c>
      <c r="O8" s="40">
        <f>IFERROR(I8/P8,"")</f>
        <v>0.13355226595260949</v>
      </c>
      <c r="P8" s="38">
        <v>98965</v>
      </c>
    </row>
    <row r="14" spans="2:17" ht="14" x14ac:dyDescent="0.3">
      <c r="B14" s="3" t="s">
        <v>208</v>
      </c>
    </row>
    <row r="15" spans="2:17" ht="14" x14ac:dyDescent="0.3">
      <c r="B15" s="4" t="s">
        <v>209</v>
      </c>
      <c r="D15" s="39">
        <f t="shared" ref="D15:I15" si="0">PERCENTILE(J6:J8,0.25)</f>
        <v>8.6548258200978871</v>
      </c>
      <c r="E15" s="39">
        <f t="shared" si="0"/>
        <v>2.1769344424348844</v>
      </c>
      <c r="F15" s="39">
        <f t="shared" si="0"/>
        <v>17.13032913829241</v>
      </c>
      <c r="G15" s="39">
        <f t="shared" si="0"/>
        <v>2.6502560400100466</v>
      </c>
      <c r="H15" s="40">
        <f t="shared" si="0"/>
        <v>0.13604933833177363</v>
      </c>
      <c r="I15" s="40">
        <f t="shared" si="0"/>
        <v>0.12007959673101645</v>
      </c>
    </row>
    <row r="16" spans="2:17" ht="14" x14ac:dyDescent="0.3">
      <c r="B16" s="4" t="s">
        <v>210</v>
      </c>
      <c r="D16" s="39">
        <f t="shared" ref="D16:I16" si="1">MEDIAN(J6:J8)</f>
        <v>9.2079191774778142</v>
      </c>
      <c r="E16" s="39">
        <f t="shared" si="1"/>
        <v>2.3424289781606777</v>
      </c>
      <c r="F16" s="39">
        <f t="shared" si="1"/>
        <v>20.774649165969144</v>
      </c>
      <c r="G16" s="39">
        <f t="shared" si="1"/>
        <v>3.8628100843732631</v>
      </c>
      <c r="H16" s="40">
        <f t="shared" si="1"/>
        <v>0.14812095449715004</v>
      </c>
      <c r="I16" s="40">
        <f t="shared" si="1"/>
        <v>0.13355226595260949</v>
      </c>
    </row>
    <row r="17" spans="2:9" ht="14" x14ac:dyDescent="0.3">
      <c r="B17" s="4" t="s">
        <v>211</v>
      </c>
      <c r="D17" s="39">
        <f t="shared" ref="D17:I17" si="2">PERCENTILE(J6:J8,0.75)</f>
        <v>12.167058438946508</v>
      </c>
      <c r="E17" s="39">
        <f t="shared" si="2"/>
        <v>3.3651332827987805</v>
      </c>
      <c r="F17" s="39">
        <f t="shared" si="2"/>
        <v>24.849116214973677</v>
      </c>
      <c r="G17" s="39">
        <f t="shared" si="2"/>
        <v>3.8655447357960968</v>
      </c>
      <c r="H17" s="40">
        <f t="shared" si="2"/>
        <v>0.18232586845624632</v>
      </c>
      <c r="I17" s="40">
        <f t="shared" si="2"/>
        <v>0.15987708876899129</v>
      </c>
    </row>
    <row r="19" spans="2:9" ht="14" x14ac:dyDescent="0.3">
      <c r="B19" s="22" t="s">
        <v>212</v>
      </c>
      <c r="C19" s="23"/>
      <c r="D19" s="23"/>
      <c r="E19" s="23"/>
      <c r="F19" s="23"/>
      <c r="G19" s="23"/>
      <c r="H19" s="23"/>
      <c r="I19" s="23"/>
    </row>
    <row r="20" spans="2:9" ht="14" x14ac:dyDescent="0.3">
      <c r="B20" s="3" t="s">
        <v>213</v>
      </c>
    </row>
    <row r="21" spans="2:9" ht="14" x14ac:dyDescent="0.3">
      <c r="B21" s="4" t="s">
        <v>214</v>
      </c>
      <c r="C21" s="5">
        <v>1735409</v>
      </c>
    </row>
    <row r="22" spans="2:9" ht="14" x14ac:dyDescent="0.3">
      <c r="B22" s="4" t="s">
        <v>215</v>
      </c>
      <c r="C22" s="5">
        <v>707112</v>
      </c>
    </row>
    <row r="23" spans="2:9" ht="14" x14ac:dyDescent="0.3">
      <c r="B23" s="4" t="s">
        <v>216</v>
      </c>
      <c r="C23" s="15">
        <v>3695962728</v>
      </c>
    </row>
    <row r="24" spans="2:9" ht="14" x14ac:dyDescent="0.3">
      <c r="B24" s="4" t="s">
        <v>70</v>
      </c>
      <c r="C24" s="5">
        <v>3576109</v>
      </c>
    </row>
    <row r="26" spans="2:9" ht="14" x14ac:dyDescent="0.3">
      <c r="B26" s="3" t="s">
        <v>217</v>
      </c>
    </row>
    <row r="27" spans="2:9" ht="14" x14ac:dyDescent="0.3">
      <c r="B27" s="4" t="s">
        <v>218</v>
      </c>
      <c r="C27" s="24">
        <f>ROUND((C21*D16-C24)*1000000/C23,0)</f>
        <v>3356</v>
      </c>
    </row>
    <row r="28" spans="2:9" ht="14" x14ac:dyDescent="0.3">
      <c r="B28" s="4" t="s">
        <v>219</v>
      </c>
      <c r="C28" s="24">
        <f>ROUND(C22*F16*1000000/C23,0)</f>
        <v>3975</v>
      </c>
    </row>
  </sheetData>
  <phoneticPr fontId="8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96600"/>
  </sheetPr>
  <dimension ref="B2:I26"/>
  <sheetViews>
    <sheetView workbookViewId="0"/>
  </sheetViews>
  <sheetFormatPr defaultRowHeight="13" x14ac:dyDescent="0.2"/>
  <cols>
    <col min="1" max="1" width="3" customWidth="1"/>
    <col min="2" max="2" width="24" customWidth="1"/>
    <col min="3" max="9" width="14" customWidth="1"/>
  </cols>
  <sheetData>
    <row r="2" spans="2:9" ht="18" x14ac:dyDescent="0.4">
      <c r="B2" s="2" t="s">
        <v>220</v>
      </c>
    </row>
    <row r="3" spans="2:9" ht="14" x14ac:dyDescent="0.3">
      <c r="B3" s="4" t="s">
        <v>221</v>
      </c>
      <c r="C3" s="16">
        <f>'DCF Model'!C26</f>
        <v>5.6079193718858514E-2</v>
      </c>
      <c r="E3" s="4" t="s">
        <v>222</v>
      </c>
      <c r="F3" s="16">
        <f>'DCF Model'!C13</f>
        <v>0.01</v>
      </c>
      <c r="H3" s="4" t="s">
        <v>223</v>
      </c>
      <c r="I3" s="14">
        <f>'DCF Model'!C14</f>
        <v>8.1</v>
      </c>
    </row>
    <row r="5" spans="2:9" ht="14" x14ac:dyDescent="0.3">
      <c r="B5" s="3" t="s">
        <v>224</v>
      </c>
    </row>
    <row r="6" spans="2:9" ht="14" x14ac:dyDescent="0.3">
      <c r="B6" s="41" t="s">
        <v>225</v>
      </c>
      <c r="C6" s="42">
        <f>$F$3-0.0075</f>
        <v>2.5000000000000005E-3</v>
      </c>
      <c r="D6" s="42">
        <f>$F$3-0.005</f>
        <v>5.0000000000000001E-3</v>
      </c>
      <c r="E6" s="42">
        <f>$F$3-0.0025</f>
        <v>7.4999999999999997E-3</v>
      </c>
      <c r="F6" s="42">
        <f>$F$3</f>
        <v>0.01</v>
      </c>
      <c r="G6" s="42">
        <f>$F$3+0.0025</f>
        <v>1.2500000000000001E-2</v>
      </c>
      <c r="H6" s="42">
        <f>$F$3+0.005</f>
        <v>1.4999999999999999E-2</v>
      </c>
      <c r="I6" s="42">
        <f>$F$3+0.0075</f>
        <v>1.7500000000000002E-2</v>
      </c>
    </row>
    <row r="7" spans="2:9" ht="13.5" x14ac:dyDescent="0.25">
      <c r="B7" s="40">
        <f>$C$3-0.015</f>
        <v>4.1079193718858514E-2</v>
      </c>
      <c r="C7" s="38">
        <f>IFERROR(ROUND(('DCF Model'!C45/(1+$B7)^('DCF Model'!C19+0)+'DCF Model'!D45/(1+$B7)^('DCF Model'!C19+1)+'DCF Model'!E45/(1+$B7)^('DCF Model'!C19+2)+'DCF Model'!F45/(1+$B7)^('DCF Model'!C19+3)+'DCF Model'!G45/(1+$B7)^('DCF Model'!C19+4)+'DCF Model'!G45*(1+C$6)/($B7-C$6)/(1+$B7)^('DCF Model'!C19+4)-'DCF Model'!C16)*1000000/'DCF Model'!C15,0),"")</f>
        <v>5772</v>
      </c>
      <c r="D7" s="38">
        <f>IFERROR(ROUND(('DCF Model'!C45/(1+$B7)^('DCF Model'!C19+0)+'DCF Model'!D45/(1+$B7)^('DCF Model'!C19+1)+'DCF Model'!E45/(1+$B7)^('DCF Model'!C19+2)+'DCF Model'!F45/(1+$B7)^('DCF Model'!C19+3)+'DCF Model'!G45/(1+$B7)^('DCF Model'!C19+4)+'DCF Model'!G45*(1+D$6)/($B7-D$6)/(1+$B7)^('DCF Model'!C19+4)-'DCF Model'!C16)*1000000/'DCF Model'!C15,0),"")</f>
        <v>6138</v>
      </c>
      <c r="E7" s="38">
        <f>IFERROR(ROUND(('DCF Model'!C45/(1+$B7)^('DCF Model'!C19+0)+'DCF Model'!D45/(1+$B7)^('DCF Model'!C19+1)+'DCF Model'!E45/(1+$B7)^('DCF Model'!C19+2)+'DCF Model'!F45/(1+$B7)^('DCF Model'!C19+3)+'DCF Model'!G45/(1+$B7)^('DCF Model'!C19+4)+'DCF Model'!G45*(1+E$6)/($B7-E$6)/(1+$B7)^('DCF Model'!C19+4)-'DCF Model'!C16)*1000000/'DCF Model'!C15,0),"")</f>
        <v>6559</v>
      </c>
      <c r="F7" s="38">
        <f>IFERROR(ROUND(('DCF Model'!C45/(1+$B7)^('DCF Model'!C19+0)+'DCF Model'!D45/(1+$B7)^('DCF Model'!C19+1)+'DCF Model'!E45/(1+$B7)^('DCF Model'!C19+2)+'DCF Model'!F45/(1+$B7)^('DCF Model'!C19+3)+'DCF Model'!G45/(1+$B7)^('DCF Model'!C19+4)+'DCF Model'!G45*(1+F$6)/($B7-F$6)/(1+$B7)^('DCF Model'!C19+4)-'DCF Model'!C16)*1000000/'DCF Model'!C15,0),"")</f>
        <v>7047</v>
      </c>
      <c r="G7" s="38">
        <f>IFERROR(ROUND(('DCF Model'!C45/(1+$B7)^('DCF Model'!C19+0)+'DCF Model'!D45/(1+$B7)^('DCF Model'!C19+1)+'DCF Model'!E45/(1+$B7)^('DCF Model'!C19+2)+'DCF Model'!F45/(1+$B7)^('DCF Model'!C19+3)+'DCF Model'!G45/(1+$B7)^('DCF Model'!C19+4)+'DCF Model'!G45*(1+G$6)/($B7-G$6)/(1+$B7)^('DCF Model'!C19+4)-'DCF Model'!C16)*1000000/'DCF Model'!C15,0),"")</f>
        <v>7621</v>
      </c>
      <c r="H7" s="38">
        <f>IFERROR(ROUND(('DCF Model'!C45/(1+$B7)^('DCF Model'!C19+0)+'DCF Model'!D45/(1+$B7)^('DCF Model'!C19+1)+'DCF Model'!E45/(1+$B7)^('DCF Model'!C19+2)+'DCF Model'!F45/(1+$B7)^('DCF Model'!C19+3)+'DCF Model'!G45/(1+$B7)^('DCF Model'!C19+4)+'DCF Model'!G45*(1+H$6)/($B7-H$6)/(1+$B7)^('DCF Model'!C19+4)-'DCF Model'!C16)*1000000/'DCF Model'!C15,0),"")</f>
        <v>8305</v>
      </c>
      <c r="I7" s="38">
        <f>IFERROR(ROUND(('DCF Model'!C45/(1+$B7)^('DCF Model'!C19+0)+'DCF Model'!D45/(1+$B7)^('DCF Model'!C19+1)+'DCF Model'!E45/(1+$B7)^('DCF Model'!C19+2)+'DCF Model'!F45/(1+$B7)^('DCF Model'!C19+3)+'DCF Model'!G45/(1+$B7)^('DCF Model'!C19+4)+'DCF Model'!G45*(1+I$6)/($B7-I$6)/(1+$B7)^('DCF Model'!C19+4)-'DCF Model'!C16)*1000000/'DCF Model'!C15,0),"")</f>
        <v>9134</v>
      </c>
    </row>
    <row r="8" spans="2:9" ht="13.5" x14ac:dyDescent="0.25">
      <c r="B8" s="40">
        <f>$C$3-0.01</f>
        <v>4.6079193718858512E-2</v>
      </c>
      <c r="C8" s="38">
        <f>IFERROR(ROUND(('DCF Model'!C45/(1+$B8)^('DCF Model'!C19+0)+'DCF Model'!D45/(1+$B8)^('DCF Model'!C19+1)+'DCF Model'!E45/(1+$B8)^('DCF Model'!C19+2)+'DCF Model'!F45/(1+$B8)^('DCF Model'!C19+3)+'DCF Model'!G45/(1+$B8)^('DCF Model'!C19+4)+'DCF Model'!G45*(1+C$6)/($B8-C$6)/(1+$B8)^('DCF Model'!C19+4)-'DCF Model'!C16)*1000000/'DCF Model'!C15,0),"")</f>
        <v>5064</v>
      </c>
      <c r="D8" s="38">
        <f>IFERROR(ROUND(('DCF Model'!C45/(1+$B8)^('DCF Model'!C19+0)+'DCF Model'!D45/(1+$B8)^('DCF Model'!C19+1)+'DCF Model'!E45/(1+$B8)^('DCF Model'!C19+2)+'DCF Model'!F45/(1+$B8)^('DCF Model'!C19+3)+'DCF Model'!G45/(1+$B8)^('DCF Model'!C19+4)+'DCF Model'!G45*(1+D$6)/($B8-D$6)/(1+$B8)^('DCF Model'!C19+4)-'DCF Model'!C16)*1000000/'DCF Model'!C15,0),"")</f>
        <v>5343</v>
      </c>
      <c r="E8" s="38">
        <f>IFERROR(ROUND(('DCF Model'!C45/(1+$B8)^('DCF Model'!C19+0)+'DCF Model'!D45/(1+$B8)^('DCF Model'!C19+1)+'DCF Model'!E45/(1+$B8)^('DCF Model'!C19+2)+'DCF Model'!F45/(1+$B8)^('DCF Model'!C19+3)+'DCF Model'!G45/(1+$B8)^('DCF Model'!C19+4)+'DCF Model'!G45*(1+E$6)/($B8-E$6)/(1+$B8)^('DCF Model'!C19+4)-'DCF Model'!C16)*1000000/'DCF Model'!C15,0),"")</f>
        <v>5659</v>
      </c>
      <c r="F8" s="38">
        <f>IFERROR(ROUND(('DCF Model'!C45/(1+$B8)^('DCF Model'!C19+0)+'DCF Model'!D45/(1+$B8)^('DCF Model'!C19+1)+'DCF Model'!E45/(1+$B8)^('DCF Model'!C19+2)+'DCF Model'!F45/(1+$B8)^('DCF Model'!C19+3)+'DCF Model'!G45/(1+$B8)^('DCF Model'!C19+4)+'DCF Model'!G45*(1+F$6)/($B8-F$6)/(1+$B8)^('DCF Model'!C19+4)-'DCF Model'!C16)*1000000/'DCF Model'!C15,0),"")</f>
        <v>6018</v>
      </c>
      <c r="G8" s="38">
        <f>IFERROR(ROUND(('DCF Model'!C45/(1+$B8)^('DCF Model'!C19+0)+'DCF Model'!D45/(1+$B8)^('DCF Model'!C19+1)+'DCF Model'!E45/(1+$B8)^('DCF Model'!C19+2)+'DCF Model'!F45/(1+$B8)^('DCF Model'!C19+3)+'DCF Model'!G45/(1+$B8)^('DCF Model'!C19+4)+'DCF Model'!G45*(1+G$6)/($B8-G$6)/(1+$B8)^('DCF Model'!C19+4)-'DCF Model'!C16)*1000000/'DCF Model'!C15,0),"")</f>
        <v>6431</v>
      </c>
      <c r="H8" s="38">
        <f>IFERROR(ROUND(('DCF Model'!C45/(1+$B8)^('DCF Model'!C19+0)+'DCF Model'!D45/(1+$B8)^('DCF Model'!C19+1)+'DCF Model'!E45/(1+$B8)^('DCF Model'!C19+2)+'DCF Model'!F45/(1+$B8)^('DCF Model'!C19+3)+'DCF Model'!G45/(1+$B8)^('DCF Model'!C19+4)+'DCF Model'!G45*(1+H$6)/($B8-H$6)/(1+$B8)^('DCF Model'!C19+4)-'DCF Model'!C16)*1000000/'DCF Model'!C15,0),"")</f>
        <v>6910</v>
      </c>
      <c r="I8" s="38">
        <f>IFERROR(ROUND(('DCF Model'!C45/(1+$B8)^('DCF Model'!C19+0)+'DCF Model'!D45/(1+$B8)^('DCF Model'!C19+1)+'DCF Model'!E45/(1+$B8)^('DCF Model'!C19+2)+'DCF Model'!F45/(1+$B8)^('DCF Model'!C19+3)+'DCF Model'!G45/(1+$B8)^('DCF Model'!C19+4)+'DCF Model'!G45*(1+I$6)/($B8-I$6)/(1+$B8)^('DCF Model'!C19+4)-'DCF Model'!C16)*1000000/'DCF Model'!C15,0),"")</f>
        <v>7473</v>
      </c>
    </row>
    <row r="9" spans="2:9" ht="13.5" x14ac:dyDescent="0.25">
      <c r="B9" s="40">
        <f>$C$3-0.005</f>
        <v>5.1079193718858516E-2</v>
      </c>
      <c r="C9" s="38">
        <f>IFERROR(ROUND(('DCF Model'!C45/(1+$B9)^('DCF Model'!C19+0)+'DCF Model'!D45/(1+$B9)^('DCF Model'!C19+1)+'DCF Model'!E45/(1+$B9)^('DCF Model'!C19+2)+'DCF Model'!F45/(1+$B9)^('DCF Model'!C19+3)+'DCF Model'!G45/(1+$B9)^('DCF Model'!C19+4)+'DCF Model'!G45*(1+C$6)/($B9-C$6)/(1+$B9)^('DCF Model'!C19+4)-'DCF Model'!C16)*1000000/'DCF Model'!C15,0),"")</f>
        <v>4501</v>
      </c>
      <c r="D9" s="38">
        <f>IFERROR(ROUND(('DCF Model'!C45/(1+$B9)^('DCF Model'!C19+0)+'DCF Model'!D45/(1+$B9)^('DCF Model'!C19+1)+'DCF Model'!E45/(1+$B9)^('DCF Model'!C19+2)+'DCF Model'!F45/(1+$B9)^('DCF Model'!C19+3)+'DCF Model'!G45/(1+$B9)^('DCF Model'!C19+4)+'DCF Model'!G45*(1+D$6)/($B9-D$6)/(1+$B9)^('DCF Model'!C19+4)-'DCF Model'!C16)*1000000/'DCF Model'!C15,0),"")</f>
        <v>4720</v>
      </c>
      <c r="E9" s="38">
        <f>IFERROR(ROUND(('DCF Model'!C45/(1+$B9)^('DCF Model'!C19+0)+'DCF Model'!D45/(1+$B9)^('DCF Model'!C19+1)+'DCF Model'!E45/(1+$B9)^('DCF Model'!C19+2)+'DCF Model'!F45/(1+$B9)^('DCF Model'!C19+3)+'DCF Model'!G45/(1+$B9)^('DCF Model'!C19+4)+'DCF Model'!G45*(1+E$6)/($B9-E$6)/(1+$B9)^('DCF Model'!C19+4)-'DCF Model'!C16)*1000000/'DCF Model'!C15,0),"")</f>
        <v>4964</v>
      </c>
      <c r="F9" s="38">
        <f>IFERROR(ROUND(('DCF Model'!C45/(1+$B9)^('DCF Model'!C19+0)+'DCF Model'!D45/(1+$B9)^('DCF Model'!C19+1)+'DCF Model'!E45/(1+$B9)^('DCF Model'!C19+2)+'DCF Model'!F45/(1+$B9)^('DCF Model'!C19+3)+'DCF Model'!G45/(1+$B9)^('DCF Model'!C19+4)+'DCF Model'!G45*(1+F$6)/($B9-F$6)/(1+$B9)^('DCF Model'!C19+4)-'DCF Model'!C16)*1000000/'DCF Model'!C15,0),"")</f>
        <v>5238</v>
      </c>
      <c r="G9" s="38">
        <f>IFERROR(ROUND(('DCF Model'!C45/(1+$B9)^('DCF Model'!C19+0)+'DCF Model'!D45/(1+$B9)^('DCF Model'!C19+1)+'DCF Model'!E45/(1+$B9)^('DCF Model'!C19+2)+'DCF Model'!F45/(1+$B9)^('DCF Model'!C19+3)+'DCF Model'!G45/(1+$B9)^('DCF Model'!C19+4)+'DCF Model'!G45*(1+G$6)/($B9-G$6)/(1+$B9)^('DCF Model'!C19+4)-'DCF Model'!C16)*1000000/'DCF Model'!C15,0),"")</f>
        <v>5548</v>
      </c>
      <c r="H9" s="38">
        <f>IFERROR(ROUND(('DCF Model'!C45/(1+$B9)^('DCF Model'!C19+0)+'DCF Model'!D45/(1+$B9)^('DCF Model'!C19+1)+'DCF Model'!E45/(1+$B9)^('DCF Model'!C19+2)+'DCF Model'!F45/(1+$B9)^('DCF Model'!C19+3)+'DCF Model'!G45/(1+$B9)^('DCF Model'!C19+4)+'DCF Model'!G45*(1+H$6)/($B9-H$6)/(1+$B9)^('DCF Model'!C19+4)-'DCF Model'!C16)*1000000/'DCF Model'!C15,0),"")</f>
        <v>5901</v>
      </c>
      <c r="I9" s="38">
        <f>IFERROR(ROUND(('DCF Model'!C45/(1+$B9)^('DCF Model'!C19+0)+'DCF Model'!D45/(1+$B9)^('DCF Model'!C19+1)+'DCF Model'!E45/(1+$B9)^('DCF Model'!C19+2)+'DCF Model'!F45/(1+$B9)^('DCF Model'!C19+3)+'DCF Model'!G45/(1+$B9)^('DCF Model'!C19+4)+'DCF Model'!G45*(1+I$6)/($B9-I$6)/(1+$B9)^('DCF Model'!C19+4)-'DCF Model'!C16)*1000000/'DCF Model'!C15,0),"")</f>
        <v>6306</v>
      </c>
    </row>
    <row r="10" spans="2:9" ht="13.5" x14ac:dyDescent="0.25">
      <c r="B10" s="40">
        <f>$C$3</f>
        <v>5.6079193718858514E-2</v>
      </c>
      <c r="C10" s="38">
        <f>IFERROR(ROUND(('DCF Model'!C45/(1+$B10)^('DCF Model'!C19+0)+'DCF Model'!D45/(1+$B10)^('DCF Model'!C19+1)+'DCF Model'!E45/(1+$B10)^('DCF Model'!C19+2)+'DCF Model'!F45/(1+$B10)^('DCF Model'!C19+3)+'DCF Model'!G45/(1+$B10)^('DCF Model'!C19+4)+'DCF Model'!G45*(1+C$6)/($B10-C$6)/(1+$B10)^('DCF Model'!C19+4)-'DCF Model'!C16)*1000000/'DCF Model'!C15,0),"")</f>
        <v>4043</v>
      </c>
      <c r="D10" s="38">
        <f>IFERROR(ROUND(('DCF Model'!C45/(1+$B10)^('DCF Model'!C19+0)+'DCF Model'!D45/(1+$B10)^('DCF Model'!C19+1)+'DCF Model'!E45/(1+$B10)^('DCF Model'!C19+2)+'DCF Model'!F45/(1+$B10)^('DCF Model'!C19+3)+'DCF Model'!G45/(1+$B10)^('DCF Model'!C19+4)+'DCF Model'!G45*(1+D$6)/($B10-D$6)/(1+$B10)^('DCF Model'!C19+4)-'DCF Model'!C16)*1000000/'DCF Model'!C15,0),"")</f>
        <v>4219</v>
      </c>
      <c r="E10" s="38">
        <f>IFERROR(ROUND(('DCF Model'!C45/(1+$B10)^('DCF Model'!C19+0)+'DCF Model'!D45/(1+$B10)^('DCF Model'!C19+1)+'DCF Model'!E45/(1+$B10)^('DCF Model'!C19+2)+'DCF Model'!F45/(1+$B10)^('DCF Model'!C19+3)+'DCF Model'!G45/(1+$B10)^('DCF Model'!C19+4)+'DCF Model'!G45*(1+E$6)/($B10-E$6)/(1+$B10)^('DCF Model'!C19+4)-'DCF Model'!C16)*1000000/'DCF Model'!C15,0),"")</f>
        <v>4413</v>
      </c>
      <c r="F10" s="38">
        <f>IFERROR(ROUND(('DCF Model'!C45/(1+$B10)^('DCF Model'!C19+0)+'DCF Model'!D45/(1+$B10)^('DCF Model'!C19+1)+'DCF Model'!E45/(1+$B10)^('DCF Model'!C19+2)+'DCF Model'!F45/(1+$B10)^('DCF Model'!C19+3)+'DCF Model'!G45/(1+$B10)^('DCF Model'!C19+4)+'DCF Model'!G45*(1+F$6)/($B10-F$6)/(1+$B10)^('DCF Model'!C19+4)-'DCF Model'!C16)*1000000/'DCF Model'!C15,0),"")</f>
        <v>4628</v>
      </c>
      <c r="G10" s="38">
        <f>IFERROR(ROUND(('DCF Model'!C45/(1+$B10)^('DCF Model'!C19+0)+'DCF Model'!D45/(1+$B10)^('DCF Model'!C19+1)+'DCF Model'!E45/(1+$B10)^('DCF Model'!C19+2)+'DCF Model'!F45/(1+$B10)^('DCF Model'!C19+3)+'DCF Model'!G45/(1+$B10)^('DCF Model'!C19+4)+'DCF Model'!G45*(1+G$6)/($B10-G$6)/(1+$B10)^('DCF Model'!C19+4)-'DCF Model'!C16)*1000000/'DCF Model'!C15,0),"")</f>
        <v>4867</v>
      </c>
      <c r="H10" s="38">
        <f>IFERROR(ROUND(('DCF Model'!C45/(1+$B10)^('DCF Model'!C19+0)+'DCF Model'!D45/(1+$B10)^('DCF Model'!C19+1)+'DCF Model'!E45/(1+$B10)^('DCF Model'!C19+2)+'DCF Model'!F45/(1+$B10)^('DCF Model'!C19+3)+'DCF Model'!G45/(1+$B10)^('DCF Model'!C19+4)+'DCF Model'!G45*(1+H$6)/($B10-H$6)/(1+$B10)^('DCF Model'!C19+4)-'DCF Model'!C16)*1000000/'DCF Model'!C15,0),"")</f>
        <v>5136</v>
      </c>
      <c r="I10" s="38">
        <f>IFERROR(ROUND(('DCF Model'!C45/(1+$B10)^('DCF Model'!C19+0)+'DCF Model'!D45/(1+$B10)^('DCF Model'!C19+1)+'DCF Model'!E45/(1+$B10)^('DCF Model'!C19+2)+'DCF Model'!F45/(1+$B10)^('DCF Model'!C19+3)+'DCF Model'!G45/(1+$B10)^('DCF Model'!C19+4)+'DCF Model'!G45*(1+I$6)/($B10-I$6)/(1+$B10)^('DCF Model'!C19+4)-'DCF Model'!C16)*1000000/'DCF Model'!C15,0),"")</f>
        <v>5440</v>
      </c>
    </row>
    <row r="11" spans="2:9" ht="13.5" x14ac:dyDescent="0.25">
      <c r="B11" s="40">
        <f>$C$3+0.005</f>
        <v>6.1079193718858511E-2</v>
      </c>
      <c r="C11" s="38">
        <f>IFERROR(ROUND(('DCF Model'!C45/(1+$B11)^('DCF Model'!C19+0)+'DCF Model'!D45/(1+$B11)^('DCF Model'!C19+1)+'DCF Model'!E45/(1+$B11)^('DCF Model'!C19+2)+'DCF Model'!F45/(1+$B11)^('DCF Model'!C19+3)+'DCF Model'!G45/(1+$B11)^('DCF Model'!C19+4)+'DCF Model'!G45*(1+C$6)/($B11-C$6)/(1+$B11)^('DCF Model'!C19+4)-'DCF Model'!C16)*1000000/'DCF Model'!C15,0),"")</f>
        <v>3662</v>
      </c>
      <c r="D11" s="38">
        <f>IFERROR(ROUND(('DCF Model'!C45/(1+$B11)^('DCF Model'!C19+0)+'DCF Model'!D45/(1+$B11)^('DCF Model'!C19+1)+'DCF Model'!E45/(1+$B11)^('DCF Model'!C19+2)+'DCF Model'!F45/(1+$B11)^('DCF Model'!C19+3)+'DCF Model'!G45/(1+$B11)^('DCF Model'!C19+4)+'DCF Model'!G45*(1+D$6)/($B11-D$6)/(1+$B11)^('DCF Model'!C19+4)-'DCF Model'!C16)*1000000/'DCF Model'!C15,0),"")</f>
        <v>3806</v>
      </c>
      <c r="E11" s="38">
        <f>IFERROR(ROUND(('DCF Model'!C45/(1+$B11)^('DCF Model'!C19+0)+'DCF Model'!D45/(1+$B11)^('DCF Model'!C19+1)+'DCF Model'!E45/(1+$B11)^('DCF Model'!C19+2)+'DCF Model'!F45/(1+$B11)^('DCF Model'!C19+3)+'DCF Model'!G45/(1+$B11)^('DCF Model'!C19+4)+'DCF Model'!G45*(1+E$6)/($B11-E$6)/(1+$B11)^('DCF Model'!C19+4)-'DCF Model'!C16)*1000000/'DCF Model'!C15,0),"")</f>
        <v>3963</v>
      </c>
      <c r="F11" s="38">
        <f>IFERROR(ROUND(('DCF Model'!C45/(1+$B11)^('DCF Model'!C19+0)+'DCF Model'!D45/(1+$B11)^('DCF Model'!C19+1)+'DCF Model'!E45/(1+$B11)^('DCF Model'!C19+2)+'DCF Model'!F45/(1+$B11)^('DCF Model'!C19+3)+'DCF Model'!G45/(1+$B11)^('DCF Model'!C19+4)+'DCF Model'!G45*(1+F$6)/($B11-F$6)/(1+$B11)^('DCF Model'!C19+4)-'DCF Model'!C16)*1000000/'DCF Model'!C15,0),"")</f>
        <v>4136</v>
      </c>
      <c r="G11" s="38">
        <f>IFERROR(ROUND(('DCF Model'!C45/(1+$B11)^('DCF Model'!C19+0)+'DCF Model'!D45/(1+$B11)^('DCF Model'!C19+1)+'DCF Model'!E45/(1+$B11)^('DCF Model'!C19+2)+'DCF Model'!F45/(1+$B11)^('DCF Model'!C19+3)+'DCF Model'!G45/(1+$B11)^('DCF Model'!C19+4)+'DCF Model'!G45*(1+G$6)/($B11-G$6)/(1+$B11)^('DCF Model'!C19+4)-'DCF Model'!C16)*1000000/'DCF Model'!C15,0),"")</f>
        <v>4326</v>
      </c>
      <c r="H11" s="38">
        <f>IFERROR(ROUND(('DCF Model'!C45/(1+$B11)^('DCF Model'!C19+0)+'DCF Model'!D45/(1+$B11)^('DCF Model'!C19+1)+'DCF Model'!E45/(1+$B11)^('DCF Model'!C19+2)+'DCF Model'!F45/(1+$B11)^('DCF Model'!C19+3)+'DCF Model'!G45/(1+$B11)^('DCF Model'!C19+4)+'DCF Model'!G45*(1+H$6)/($B11-H$6)/(1+$B11)^('DCF Model'!C19+4)-'DCF Model'!C16)*1000000/'DCF Model'!C15,0),"")</f>
        <v>4537</v>
      </c>
      <c r="I11" s="38">
        <f>IFERROR(ROUND(('DCF Model'!C45/(1+$B11)^('DCF Model'!C19+0)+'DCF Model'!D45/(1+$B11)^('DCF Model'!C19+1)+'DCF Model'!E45/(1+$B11)^('DCF Model'!C19+2)+'DCF Model'!F45/(1+$B11)^('DCF Model'!C19+3)+'DCF Model'!G45/(1+$B11)^('DCF Model'!C19+4)+'DCF Model'!G45*(1+I$6)/($B11-I$6)/(1+$B11)^('DCF Model'!C19+4)-'DCF Model'!C16)*1000000/'DCF Model'!C15,0),"")</f>
        <v>4773</v>
      </c>
    </row>
    <row r="12" spans="2:9" ht="13.5" x14ac:dyDescent="0.25">
      <c r="B12" s="40">
        <f>$C$3+0.01</f>
        <v>6.6079193718858509E-2</v>
      </c>
      <c r="C12" s="38">
        <f>IFERROR(ROUND(('DCF Model'!C45/(1+$B12)^('DCF Model'!C19+0)+'DCF Model'!D45/(1+$B12)^('DCF Model'!C19+1)+'DCF Model'!E45/(1+$B12)^('DCF Model'!C19+2)+'DCF Model'!F45/(1+$B12)^('DCF Model'!C19+3)+'DCF Model'!G45/(1+$B12)^('DCF Model'!C19+4)+'DCF Model'!G45*(1+C$6)/($B12-C$6)/(1+$B12)^('DCF Model'!C19+4)-'DCF Model'!C16)*1000000/'DCF Model'!C15,0),"")</f>
        <v>3341</v>
      </c>
      <c r="D12" s="38">
        <f>IFERROR(ROUND(('DCF Model'!C45/(1+$B12)^('DCF Model'!C19+0)+'DCF Model'!D45/(1+$B12)^('DCF Model'!C19+1)+'DCF Model'!E45/(1+$B12)^('DCF Model'!C19+2)+'DCF Model'!F45/(1+$B12)^('DCF Model'!C19+3)+'DCF Model'!G45/(1+$B12)^('DCF Model'!C19+4)+'DCF Model'!G45*(1+D$6)/($B12-D$6)/(1+$B12)^('DCF Model'!C19+4)-'DCF Model'!C16)*1000000/'DCF Model'!C15,0),"")</f>
        <v>3461</v>
      </c>
      <c r="E12" s="38">
        <f>IFERROR(ROUND(('DCF Model'!C45/(1+$B12)^('DCF Model'!C19+0)+'DCF Model'!D45/(1+$B12)^('DCF Model'!C19+1)+'DCF Model'!E45/(1+$B12)^('DCF Model'!C19+2)+'DCF Model'!F45/(1+$B12)^('DCF Model'!C19+3)+'DCF Model'!G45/(1+$B12)^('DCF Model'!C19+4)+'DCF Model'!G45*(1+E$6)/($B12-E$6)/(1+$B12)^('DCF Model'!C19+4)-'DCF Model'!C16)*1000000/'DCF Model'!C15,0),"")</f>
        <v>3590</v>
      </c>
      <c r="F12" s="38">
        <f>IFERROR(ROUND(('DCF Model'!C45/(1+$B12)^('DCF Model'!C19+0)+'DCF Model'!D45/(1+$B12)^('DCF Model'!C19+1)+'DCF Model'!E45/(1+$B12)^('DCF Model'!C19+2)+'DCF Model'!F45/(1+$B12)^('DCF Model'!C19+3)+'DCF Model'!G45/(1+$B12)^('DCF Model'!C19+4)+'DCF Model'!G45*(1+F$6)/($B12-F$6)/(1+$B12)^('DCF Model'!C19+4)-'DCF Model'!C16)*1000000/'DCF Model'!C15,0),"")</f>
        <v>3731</v>
      </c>
      <c r="G12" s="38">
        <f>IFERROR(ROUND(('DCF Model'!C45/(1+$B12)^('DCF Model'!C19+0)+'DCF Model'!D45/(1+$B12)^('DCF Model'!C19+1)+'DCF Model'!E45/(1+$B12)^('DCF Model'!C19+2)+'DCF Model'!F45/(1+$B12)^('DCF Model'!C19+3)+'DCF Model'!G45/(1+$B12)^('DCF Model'!C19+4)+'DCF Model'!G45*(1+G$6)/($B12-G$6)/(1+$B12)^('DCF Model'!C19+4)-'DCF Model'!C16)*1000000/'DCF Model'!C15,0),"")</f>
        <v>3886</v>
      </c>
      <c r="H12" s="38">
        <f>IFERROR(ROUND(('DCF Model'!C45/(1+$B12)^('DCF Model'!C19+0)+'DCF Model'!D45/(1+$B12)^('DCF Model'!C19+1)+'DCF Model'!E45/(1+$B12)^('DCF Model'!C19+2)+'DCF Model'!F45/(1+$B12)^('DCF Model'!C19+3)+'DCF Model'!G45/(1+$B12)^('DCF Model'!C19+4)+'DCF Model'!G45*(1+H$6)/($B12-H$6)/(1+$B12)^('DCF Model'!C19+4)-'DCF Model'!C16)*1000000/'DCF Model'!C15,0),"")</f>
        <v>4055</v>
      </c>
      <c r="I12" s="38">
        <f>IFERROR(ROUND(('DCF Model'!C45/(1+$B12)^('DCF Model'!C19+0)+'DCF Model'!D45/(1+$B12)^('DCF Model'!C19+1)+'DCF Model'!E45/(1+$B12)^('DCF Model'!C19+2)+'DCF Model'!F45/(1+$B12)^('DCF Model'!C19+3)+'DCF Model'!G45/(1+$B12)^('DCF Model'!C19+4)+'DCF Model'!G45*(1+I$6)/($B12-I$6)/(1+$B12)^('DCF Model'!C19+4)-'DCF Model'!C16)*1000000/'DCF Model'!C15,0),"")</f>
        <v>4242</v>
      </c>
    </row>
    <row r="13" spans="2:9" ht="13.5" x14ac:dyDescent="0.25">
      <c r="B13" s="40">
        <f>$C$3+0.015</f>
        <v>7.1079193718858513E-2</v>
      </c>
      <c r="C13" s="38">
        <f>IFERROR(ROUND(('DCF Model'!C45/(1+$B13)^('DCF Model'!C19+0)+'DCF Model'!D45/(1+$B13)^('DCF Model'!C19+1)+'DCF Model'!E45/(1+$B13)^('DCF Model'!C19+2)+'DCF Model'!F45/(1+$B13)^('DCF Model'!C19+3)+'DCF Model'!G45/(1+$B13)^('DCF Model'!C19+4)+'DCF Model'!G45*(1+C$6)/($B13-C$6)/(1+$B13)^('DCF Model'!C19+4)-'DCF Model'!C16)*1000000/'DCF Model'!C15,0),"")</f>
        <v>3067</v>
      </c>
      <c r="D13" s="38">
        <f>IFERROR(ROUND(('DCF Model'!C45/(1+$B13)^('DCF Model'!C19+0)+'DCF Model'!D45/(1+$B13)^('DCF Model'!C19+1)+'DCF Model'!E45/(1+$B13)^('DCF Model'!C19+2)+'DCF Model'!F45/(1+$B13)^('DCF Model'!C19+3)+'DCF Model'!G45/(1+$B13)^('DCF Model'!C19+4)+'DCF Model'!G45*(1+D$6)/($B13-D$6)/(1+$B13)^('DCF Model'!C19+4)-'DCF Model'!C16)*1000000/'DCF Model'!C15,0),"")</f>
        <v>3167</v>
      </c>
      <c r="E13" s="38">
        <f>IFERROR(ROUND(('DCF Model'!C45/(1+$B13)^('DCF Model'!C19+0)+'DCF Model'!D45/(1+$B13)^('DCF Model'!C19+1)+'DCF Model'!E45/(1+$B13)^('DCF Model'!C19+2)+'DCF Model'!F45/(1+$B13)^('DCF Model'!C19+3)+'DCF Model'!G45/(1+$B13)^('DCF Model'!C19+4)+'DCF Model'!G45*(1+E$6)/($B13-E$6)/(1+$B13)^('DCF Model'!C19+4)-'DCF Model'!C16)*1000000/'DCF Model'!C15,0),"")</f>
        <v>3276</v>
      </c>
      <c r="F13" s="38">
        <f>IFERROR(ROUND(('DCF Model'!C45/(1+$B13)^('DCF Model'!C19+0)+'DCF Model'!D45/(1+$B13)^('DCF Model'!C19+1)+'DCF Model'!E45/(1+$B13)^('DCF Model'!C19+2)+'DCF Model'!F45/(1+$B13)^('DCF Model'!C19+3)+'DCF Model'!G45/(1+$B13)^('DCF Model'!C19+4)+'DCF Model'!G45*(1+F$6)/($B13-F$6)/(1+$B13)^('DCF Model'!C19+4)-'DCF Model'!C16)*1000000/'DCF Model'!C15,0),"")</f>
        <v>3393</v>
      </c>
      <c r="G13" s="38">
        <f>IFERROR(ROUND(('DCF Model'!C45/(1+$B13)^('DCF Model'!C19+0)+'DCF Model'!D45/(1+$B13)^('DCF Model'!C19+1)+'DCF Model'!E45/(1+$B13)^('DCF Model'!C19+2)+'DCF Model'!F45/(1+$B13)^('DCF Model'!C19+3)+'DCF Model'!G45/(1+$B13)^('DCF Model'!C19+4)+'DCF Model'!G45*(1+G$6)/($B13-G$6)/(1+$B13)^('DCF Model'!C19+4)-'DCF Model'!C16)*1000000/'DCF Model'!C15,0),"")</f>
        <v>3520</v>
      </c>
      <c r="H13" s="38">
        <f>IFERROR(ROUND(('DCF Model'!C45/(1+$B13)^('DCF Model'!C19+0)+'DCF Model'!D45/(1+$B13)^('DCF Model'!C19+1)+'DCF Model'!E45/(1+$B13)^('DCF Model'!C19+2)+'DCF Model'!F45/(1+$B13)^('DCF Model'!C19+3)+'DCF Model'!G45/(1+$B13)^('DCF Model'!C19+4)+'DCF Model'!G45*(1+H$6)/($B13-H$6)/(1+$B13)^('DCF Model'!C19+4)-'DCF Model'!C16)*1000000/'DCF Model'!C15,0),"")</f>
        <v>3658</v>
      </c>
      <c r="I13" s="38">
        <f>IFERROR(ROUND(('DCF Model'!C45/(1+$B13)^('DCF Model'!C19+0)+'DCF Model'!D45/(1+$B13)^('DCF Model'!C19+1)+'DCF Model'!E45/(1+$B13)^('DCF Model'!C19+2)+'DCF Model'!F45/(1+$B13)^('DCF Model'!C19+3)+'DCF Model'!G45/(1+$B13)^('DCF Model'!C19+4)+'DCF Model'!G45*(1+I$6)/($B13-I$6)/(1+$B13)^('DCF Model'!C19+4)-'DCF Model'!C16)*1000000/'DCF Model'!C15,0),"")</f>
        <v>3810</v>
      </c>
    </row>
    <row r="16" spans="2:9" ht="14" x14ac:dyDescent="0.3">
      <c r="B16" s="3" t="s">
        <v>226</v>
      </c>
    </row>
    <row r="17" spans="2:9" ht="14" x14ac:dyDescent="0.3">
      <c r="B17" s="41" t="s">
        <v>227</v>
      </c>
      <c r="C17" s="43">
        <f>$I$3-3</f>
        <v>5.0999999999999996</v>
      </c>
      <c r="D17" s="43">
        <f>$I$3-2</f>
        <v>6.1</v>
      </c>
      <c r="E17" s="43">
        <f>$I$3-1</f>
        <v>7.1</v>
      </c>
      <c r="F17" s="43">
        <f>$I$3</f>
        <v>8.1</v>
      </c>
      <c r="G17" s="43">
        <f>$I$3+1</f>
        <v>9.1</v>
      </c>
      <c r="H17" s="43">
        <f>$I$3+2</f>
        <v>10.1</v>
      </c>
      <c r="I17" s="43">
        <f>$I$3+3</f>
        <v>11.1</v>
      </c>
    </row>
    <row r="18" spans="2:9" ht="13.5" x14ac:dyDescent="0.25">
      <c r="B18" s="40">
        <f>$C$3-0.015</f>
        <v>4.1079193718858514E-2</v>
      </c>
      <c r="C18" s="38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Model'!G42)*C$17/(1+$B18)^('DCF Model'!C19+4)-'DCF Model'!C16)*1000000/'DCF Model'!C15,0),"")</f>
        <v>2834</v>
      </c>
      <c r="D18" s="38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Model'!G42)*D$17/(1+$B18)^('DCF Model'!C19+4)-'DCF Model'!C16)*1000000/'DCF Model'!C15,0),"")</f>
        <v>3255</v>
      </c>
      <c r="E18" s="38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Model'!G42)*E$17/(1+$B18)^('DCF Model'!C19+4)-'DCF Model'!C16)*1000000/'DCF Model'!C15,0),"")</f>
        <v>3677</v>
      </c>
      <c r="F18" s="38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Model'!G42)*F$17/(1+$B18)^('DCF Model'!C19+4)-'DCF Model'!C16)*1000000/'DCF Model'!C15,0),"")</f>
        <v>4099</v>
      </c>
      <c r="G18" s="38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Model'!G42)*G$17/(1+$B18)^('DCF Model'!C19+4)-'DCF Model'!C16)*1000000/'DCF Model'!C15,0),"")</f>
        <v>4521</v>
      </c>
      <c r="H18" s="38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Model'!G42)*H$17/(1+$B18)^('DCF Model'!C19+4)-'DCF Model'!C16)*1000000/'DCF Model'!C15,0),"")</f>
        <v>4943</v>
      </c>
      <c r="I18" s="38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Model'!G42)*I$17/(1+$B18)^('DCF Model'!C19+4)-'DCF Model'!C16)*1000000/'DCF Model'!C15,0),"")</f>
        <v>5364</v>
      </c>
    </row>
    <row r="19" spans="2:9" ht="13.5" x14ac:dyDescent="0.25">
      <c r="B19" s="40">
        <f>$C$3-0.01</f>
        <v>4.6079193718858512E-2</v>
      </c>
      <c r="C19" s="38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Model'!G42)*C$17/(1+$B19)^('DCF Model'!C19+4)-'DCF Model'!C16)*1000000/'DCF Model'!C15,0),"")</f>
        <v>2765</v>
      </c>
      <c r="D19" s="38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Model'!G42)*D$17/(1+$B19)^('DCF Model'!C19+4)-'DCF Model'!C16)*1000000/'DCF Model'!C15,0),"")</f>
        <v>3177</v>
      </c>
      <c r="E19" s="38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Model'!G42)*E$17/(1+$B19)^('DCF Model'!C19+4)-'DCF Model'!C16)*1000000/'DCF Model'!C15,0),"")</f>
        <v>3589</v>
      </c>
      <c r="F19" s="38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Model'!G42)*F$17/(1+$B19)^('DCF Model'!C19+4)-'DCF Model'!C16)*1000000/'DCF Model'!C15,0),"")</f>
        <v>4001</v>
      </c>
      <c r="G19" s="38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Model'!G42)*G$17/(1+$B19)^('DCF Model'!C19+4)-'DCF Model'!C16)*1000000/'DCF Model'!C15,0),"")</f>
        <v>4413</v>
      </c>
      <c r="H19" s="38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Model'!G42)*H$17/(1+$B19)^('DCF Model'!C19+4)-'DCF Model'!C16)*1000000/'DCF Model'!C15,0),"")</f>
        <v>4824</v>
      </c>
      <c r="I19" s="38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Model'!G42)*I$17/(1+$B19)^('DCF Model'!C19+4)-'DCF Model'!C16)*1000000/'DCF Model'!C15,0),"")</f>
        <v>5236</v>
      </c>
    </row>
    <row r="20" spans="2:9" ht="13.5" x14ac:dyDescent="0.25">
      <c r="B20" s="40">
        <f>$C$3-0.005</f>
        <v>5.1079193718858516E-2</v>
      </c>
      <c r="C20" s="38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Model'!G42)*C$17/(1+$B20)^('DCF Model'!C19+4)-'DCF Model'!C16)*1000000/'DCF Model'!C15,0),"")</f>
        <v>2699</v>
      </c>
      <c r="D20" s="38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Model'!G42)*D$17/(1+$B20)^('DCF Model'!C19+4)-'DCF Model'!C16)*1000000/'DCF Model'!C15,0),"")</f>
        <v>3101</v>
      </c>
      <c r="E20" s="38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Model'!G42)*E$17/(1+$B20)^('DCF Model'!C19+4)-'DCF Model'!C16)*1000000/'DCF Model'!C15,0),"")</f>
        <v>3503</v>
      </c>
      <c r="F20" s="38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Model'!G42)*F$17/(1+$B20)^('DCF Model'!C19+4)-'DCF Model'!C16)*1000000/'DCF Model'!C15,0),"")</f>
        <v>3905</v>
      </c>
      <c r="G20" s="38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Model'!G42)*G$17/(1+$B20)^('DCF Model'!C19+4)-'DCF Model'!C16)*1000000/'DCF Model'!C15,0),"")</f>
        <v>4307</v>
      </c>
      <c r="H20" s="38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Model'!G42)*H$17/(1+$B20)^('DCF Model'!C19+4)-'DCF Model'!C16)*1000000/'DCF Model'!C15,0),"")</f>
        <v>4709</v>
      </c>
      <c r="I20" s="38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Model'!G42)*I$17/(1+$B20)^('DCF Model'!C19+4)-'DCF Model'!C16)*1000000/'DCF Model'!C15,0),"")</f>
        <v>5111</v>
      </c>
    </row>
    <row r="21" spans="2:9" ht="13.5" x14ac:dyDescent="0.25">
      <c r="B21" s="40">
        <f>$C$3</f>
        <v>5.6079193718858514E-2</v>
      </c>
      <c r="C21" s="38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Model'!G42)*C$17/(1+$B21)^('DCF Model'!C19+4)-'DCF Model'!C16)*1000000/'DCF Model'!C15,0),"")</f>
        <v>2634</v>
      </c>
      <c r="D21" s="38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Model'!G42)*D$17/(1+$B21)^('DCF Model'!C19+4)-'DCF Model'!C16)*1000000/'DCF Model'!C15,0),"")</f>
        <v>3027</v>
      </c>
      <c r="E21" s="38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Model'!G42)*E$17/(1+$B21)^('DCF Model'!C19+4)-'DCF Model'!C16)*1000000/'DCF Model'!C15,0),"")</f>
        <v>3419</v>
      </c>
      <c r="F21" s="38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Model'!G42)*F$17/(1+$B21)^('DCF Model'!C19+4)-'DCF Model'!C16)*1000000/'DCF Model'!C15,0),"")</f>
        <v>3812</v>
      </c>
      <c r="G21" s="38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Model'!G42)*G$17/(1+$B21)^('DCF Model'!C19+4)-'DCF Model'!C16)*1000000/'DCF Model'!C15,0),"")</f>
        <v>4205</v>
      </c>
      <c r="H21" s="38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Model'!G42)*H$17/(1+$B21)^('DCF Model'!C19+4)-'DCF Model'!C16)*1000000/'DCF Model'!C15,0),"")</f>
        <v>4597</v>
      </c>
      <c r="I21" s="38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Model'!G42)*I$17/(1+$B21)^('DCF Model'!C19+4)-'DCF Model'!C16)*1000000/'DCF Model'!C15,0),"")</f>
        <v>4990</v>
      </c>
    </row>
    <row r="22" spans="2:9" ht="13.5" x14ac:dyDescent="0.25">
      <c r="B22" s="40">
        <f>$C$3+0.005</f>
        <v>6.1079193718858511E-2</v>
      </c>
      <c r="C22" s="38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Model'!G42)*C$17/(1+$B22)^('DCF Model'!C19+4)-'DCF Model'!C16)*1000000/'DCF Model'!C15,0),"")</f>
        <v>2571</v>
      </c>
      <c r="D22" s="38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Model'!G42)*D$17/(1+$B22)^('DCF Model'!C19+4)-'DCF Model'!C16)*1000000/'DCF Model'!C15,0),"")</f>
        <v>2954</v>
      </c>
      <c r="E22" s="38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Model'!G42)*E$17/(1+$B22)^('DCF Model'!C19+4)-'DCF Model'!C16)*1000000/'DCF Model'!C15,0),"")</f>
        <v>3338</v>
      </c>
      <c r="F22" s="38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Model'!G42)*F$17/(1+$B22)^('DCF Model'!C19+4)-'DCF Model'!C16)*1000000/'DCF Model'!C15,0),"")</f>
        <v>3721</v>
      </c>
      <c r="G22" s="38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Model'!G42)*G$17/(1+$B22)^('DCF Model'!C19+4)-'DCF Model'!C16)*1000000/'DCF Model'!C15,0),"")</f>
        <v>4105</v>
      </c>
      <c r="H22" s="38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Model'!G42)*H$17/(1+$B22)^('DCF Model'!C19+4)-'DCF Model'!C16)*1000000/'DCF Model'!C15,0),"")</f>
        <v>4488</v>
      </c>
      <c r="I22" s="38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Model'!G42)*I$17/(1+$B22)^('DCF Model'!C19+4)-'DCF Model'!C16)*1000000/'DCF Model'!C15,0),"")</f>
        <v>4872</v>
      </c>
    </row>
    <row r="23" spans="2:9" ht="13.5" x14ac:dyDescent="0.25">
      <c r="B23" s="40">
        <f>$C$3+0.01</f>
        <v>6.6079193718858509E-2</v>
      </c>
      <c r="C23" s="38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Model'!G42)*C$17/(1+$B23)^('DCF Model'!C19+4)-'DCF Model'!C16)*1000000/'DCF Model'!C15,0),"")</f>
        <v>2509</v>
      </c>
      <c r="D23" s="38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Model'!G42)*D$17/(1+$B23)^('DCF Model'!C19+4)-'DCF Model'!C16)*1000000/'DCF Model'!C15,0),"")</f>
        <v>2884</v>
      </c>
      <c r="E23" s="38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Model'!G42)*E$17/(1+$B23)^('DCF Model'!C19+4)-'DCF Model'!C16)*1000000/'DCF Model'!C15,0),"")</f>
        <v>3258</v>
      </c>
      <c r="F23" s="38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Model'!G42)*F$17/(1+$B23)^('DCF Model'!C19+4)-'DCF Model'!C16)*1000000/'DCF Model'!C15,0),"")</f>
        <v>3633</v>
      </c>
      <c r="G23" s="38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Model'!G42)*G$17/(1+$B23)^('DCF Model'!C19+4)-'DCF Model'!C16)*1000000/'DCF Model'!C15,0),"")</f>
        <v>4008</v>
      </c>
      <c r="H23" s="38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Model'!G42)*H$17/(1+$B23)^('DCF Model'!C19+4)-'DCF Model'!C16)*1000000/'DCF Model'!C15,0),"")</f>
        <v>4382</v>
      </c>
      <c r="I23" s="38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Model'!G42)*I$17/(1+$B23)^('DCF Model'!C19+4)-'DCF Model'!C16)*1000000/'DCF Model'!C15,0),"")</f>
        <v>4757</v>
      </c>
    </row>
    <row r="24" spans="2:9" ht="13.5" x14ac:dyDescent="0.25">
      <c r="B24" s="40">
        <f>$C$3+0.015</f>
        <v>7.1079193718858513E-2</v>
      </c>
      <c r="C24" s="38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Model'!G42)*C$17/(1+$B24)^('DCF Model'!C19+4)-'DCF Model'!C16)*1000000/'DCF Model'!C15,0),"")</f>
        <v>2449</v>
      </c>
      <c r="D24" s="38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Model'!G42)*D$17/(1+$B24)^('DCF Model'!C19+4)-'DCF Model'!C16)*1000000/'DCF Model'!C15,0),"")</f>
        <v>2815</v>
      </c>
      <c r="E24" s="38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Model'!G42)*E$17/(1+$B24)^('DCF Model'!C19+4)-'DCF Model'!C16)*1000000/'DCF Model'!C15,0),"")</f>
        <v>3181</v>
      </c>
      <c r="F24" s="38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Model'!G42)*F$17/(1+$B24)^('DCF Model'!C19+4)-'DCF Model'!C16)*1000000/'DCF Model'!C15,0),"")</f>
        <v>3547</v>
      </c>
      <c r="G24" s="38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Model'!G42)*G$17/(1+$B24)^('DCF Model'!C19+4)-'DCF Model'!C16)*1000000/'DCF Model'!C15,0),"")</f>
        <v>3913</v>
      </c>
      <c r="H24" s="38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Model'!G42)*H$17/(1+$B24)^('DCF Model'!C19+4)-'DCF Model'!C16)*1000000/'DCF Model'!C15,0),"")</f>
        <v>4279</v>
      </c>
      <c r="I24" s="38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Model'!G42)*I$17/(1+$B24)^('DCF Model'!C19+4)-'DCF Model'!C16)*1000000/'DCF Model'!C15,0),"")</f>
        <v>4645</v>
      </c>
    </row>
    <row r="26" spans="2:9" ht="14" x14ac:dyDescent="0.3">
      <c r="B26" s="46" t="s">
        <v>228</v>
      </c>
      <c r="C26" s="45"/>
      <c r="D26" s="45"/>
      <c r="E26" s="45"/>
      <c r="F26" s="45"/>
      <c r="G26" s="45"/>
      <c r="H26" s="45"/>
      <c r="I26" s="45"/>
    </row>
  </sheetData>
  <mergeCells count="1">
    <mergeCell ref="B26:I26"/>
  </mergeCells>
  <phoneticPr fontId="8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808080"/>
  </sheetPr>
  <dimension ref="B2:G62"/>
  <sheetViews>
    <sheetView workbookViewId="0"/>
  </sheetViews>
  <sheetFormatPr defaultRowHeight="13" x14ac:dyDescent="0.2"/>
  <cols>
    <col min="1" max="1" width="3" customWidth="1"/>
    <col min="2" max="2" width="14" customWidth="1"/>
    <col min="3" max="3" width="16" customWidth="1"/>
    <col min="4" max="5" width="46" customWidth="1"/>
    <col min="6" max="6" width="20" customWidth="1"/>
    <col min="7" max="7" width="12" customWidth="1"/>
  </cols>
  <sheetData>
    <row r="2" spans="2:7" ht="18" x14ac:dyDescent="0.4">
      <c r="B2" s="2" t="s">
        <v>229</v>
      </c>
    </row>
    <row r="4" spans="2:7" ht="14" x14ac:dyDescent="0.3">
      <c r="B4" s="10" t="s">
        <v>230</v>
      </c>
      <c r="C4" s="10" t="s">
        <v>231</v>
      </c>
      <c r="D4" s="10" t="s">
        <v>232</v>
      </c>
      <c r="E4" s="10" t="s">
        <v>233</v>
      </c>
      <c r="F4" s="10" t="s">
        <v>234</v>
      </c>
      <c r="G4" s="10" t="s">
        <v>235</v>
      </c>
    </row>
    <row r="5" spans="2:7" x14ac:dyDescent="0.2">
      <c r="B5" t="s">
        <v>236</v>
      </c>
      <c r="C5" t="s">
        <v>237</v>
      </c>
      <c r="D5" t="s">
        <v>238</v>
      </c>
      <c r="E5" t="s">
        <v>239</v>
      </c>
      <c r="F5" t="s">
        <v>237</v>
      </c>
      <c r="G5" t="s">
        <v>240</v>
      </c>
    </row>
    <row r="6" spans="2:7" ht="30" customHeight="1" x14ac:dyDescent="0.3">
      <c r="B6" t="s">
        <v>236</v>
      </c>
      <c r="C6" s="4" t="s">
        <v>241</v>
      </c>
      <c r="D6" t="s">
        <v>242</v>
      </c>
      <c r="E6" t="s">
        <v>243</v>
      </c>
      <c r="F6" t="s">
        <v>244</v>
      </c>
      <c r="G6" t="s">
        <v>245</v>
      </c>
    </row>
    <row r="12" spans="2:7" ht="14" x14ac:dyDescent="0.3">
      <c r="B12" s="8" t="s">
        <v>246</v>
      </c>
    </row>
    <row r="13" spans="2:7" ht="14" x14ac:dyDescent="0.3">
      <c r="B13" s="10" t="s">
        <v>247</v>
      </c>
      <c r="C13" s="10" t="s">
        <v>248</v>
      </c>
    </row>
    <row r="14" spans="2:7" ht="14" x14ac:dyDescent="0.3">
      <c r="B14" s="4" t="s">
        <v>249</v>
      </c>
      <c r="C14" t="s">
        <v>250</v>
      </c>
    </row>
    <row r="15" spans="2:7" ht="14" x14ac:dyDescent="0.3">
      <c r="B15" s="4" t="s">
        <v>251</v>
      </c>
      <c r="C15" t="s">
        <v>252</v>
      </c>
    </row>
    <row r="16" spans="2:7" ht="14" x14ac:dyDescent="0.3">
      <c r="B16" s="4" t="s">
        <v>253</v>
      </c>
      <c r="C16" t="s">
        <v>254</v>
      </c>
    </row>
    <row r="17" spans="2:3" ht="14" x14ac:dyDescent="0.3">
      <c r="B17" s="4" t="s">
        <v>255</v>
      </c>
      <c r="C17" t="s">
        <v>256</v>
      </c>
    </row>
    <row r="18" spans="2:3" ht="14" x14ac:dyDescent="0.3">
      <c r="B18" s="4" t="s">
        <v>257</v>
      </c>
      <c r="C18" t="s">
        <v>254</v>
      </c>
    </row>
    <row r="19" spans="2:3" ht="14" x14ac:dyDescent="0.3">
      <c r="B19" s="4" t="s">
        <v>258</v>
      </c>
      <c r="C19" t="s">
        <v>259</v>
      </c>
    </row>
    <row r="20" spans="2:3" ht="14" x14ac:dyDescent="0.3">
      <c r="B20" s="4" t="s">
        <v>260</v>
      </c>
      <c r="C20" t="s">
        <v>261</v>
      </c>
    </row>
    <row r="21" spans="2:3" ht="14" x14ac:dyDescent="0.3">
      <c r="B21" s="4" t="s">
        <v>262</v>
      </c>
      <c r="C21" t="s">
        <v>263</v>
      </c>
    </row>
    <row r="22" spans="2:3" ht="14" x14ac:dyDescent="0.3">
      <c r="B22" s="4" t="s">
        <v>264</v>
      </c>
      <c r="C22" t="s">
        <v>265</v>
      </c>
    </row>
    <row r="23" spans="2:3" ht="14" x14ac:dyDescent="0.3">
      <c r="B23" s="4" t="s">
        <v>266</v>
      </c>
      <c r="C23" t="s">
        <v>45</v>
      </c>
    </row>
    <row r="24" spans="2:3" ht="14" x14ac:dyDescent="0.3">
      <c r="B24" s="4" t="s">
        <v>267</v>
      </c>
      <c r="C24" t="s">
        <v>4</v>
      </c>
    </row>
    <row r="25" spans="2:3" ht="14" x14ac:dyDescent="0.3">
      <c r="B25" s="4" t="s">
        <v>268</v>
      </c>
      <c r="C25" t="s">
        <v>236</v>
      </c>
    </row>
    <row r="26" spans="2:3" ht="14" x14ac:dyDescent="0.3">
      <c r="B26" s="4" t="s">
        <v>269</v>
      </c>
      <c r="C26" t="s">
        <v>270</v>
      </c>
    </row>
    <row r="27" spans="2:3" ht="14" x14ac:dyDescent="0.3">
      <c r="B27" s="4" t="s">
        <v>271</v>
      </c>
      <c r="C27" t="s">
        <v>259</v>
      </c>
    </row>
    <row r="28" spans="2:3" ht="14" x14ac:dyDescent="0.3">
      <c r="B28" s="4" t="s">
        <v>272</v>
      </c>
      <c r="C28" t="s">
        <v>259</v>
      </c>
    </row>
    <row r="29" spans="2:3" ht="14" x14ac:dyDescent="0.3">
      <c r="B29" s="4" t="s">
        <v>273</v>
      </c>
      <c r="C29" t="s">
        <v>274</v>
      </c>
    </row>
    <row r="30" spans="2:3" ht="14" x14ac:dyDescent="0.3">
      <c r="B30" s="4" t="s">
        <v>275</v>
      </c>
      <c r="C30" t="s">
        <v>276</v>
      </c>
    </row>
    <row r="31" spans="2:3" ht="14" x14ac:dyDescent="0.3">
      <c r="B31" s="4" t="s">
        <v>277</v>
      </c>
      <c r="C31" t="s">
        <v>278</v>
      </c>
    </row>
    <row r="32" spans="2:3" ht="14" x14ac:dyDescent="0.3">
      <c r="B32" s="4" t="s">
        <v>279</v>
      </c>
      <c r="C32" t="s">
        <v>274</v>
      </c>
    </row>
    <row r="33" spans="2:3" ht="14" x14ac:dyDescent="0.3">
      <c r="B33" s="4" t="s">
        <v>280</v>
      </c>
      <c r="C33" t="s">
        <v>259</v>
      </c>
    </row>
    <row r="34" spans="2:3" ht="14" x14ac:dyDescent="0.3">
      <c r="B34" s="4" t="s">
        <v>281</v>
      </c>
      <c r="C34" t="s">
        <v>270</v>
      </c>
    </row>
    <row r="35" spans="2:3" ht="14" x14ac:dyDescent="0.3">
      <c r="B35" s="4" t="s">
        <v>282</v>
      </c>
      <c r="C35" t="s">
        <v>283</v>
      </c>
    </row>
    <row r="36" spans="2:3" ht="14" x14ac:dyDescent="0.3">
      <c r="B36" s="4" t="s">
        <v>284</v>
      </c>
      <c r="C36" t="s">
        <v>285</v>
      </c>
    </row>
    <row r="37" spans="2:3" ht="14" x14ac:dyDescent="0.3">
      <c r="B37" s="4" t="s">
        <v>286</v>
      </c>
      <c r="C37" t="s">
        <v>287</v>
      </c>
    </row>
    <row r="38" spans="2:3" ht="14" x14ac:dyDescent="0.3">
      <c r="B38" s="4" t="s">
        <v>288</v>
      </c>
      <c r="C38" t="s">
        <v>289</v>
      </c>
    </row>
    <row r="39" spans="2:3" ht="14" x14ac:dyDescent="0.3">
      <c r="B39" s="4" t="s">
        <v>290</v>
      </c>
      <c r="C39" t="s">
        <v>291</v>
      </c>
    </row>
    <row r="40" spans="2:3" ht="14" x14ac:dyDescent="0.3">
      <c r="B40" s="4" t="s">
        <v>292</v>
      </c>
      <c r="C40" t="s">
        <v>293</v>
      </c>
    </row>
    <row r="41" spans="2:3" ht="14" x14ac:dyDescent="0.3">
      <c r="B41" s="4" t="s">
        <v>294</v>
      </c>
      <c r="C41" t="s">
        <v>263</v>
      </c>
    </row>
    <row r="42" spans="2:3" ht="14" x14ac:dyDescent="0.3">
      <c r="B42" s="4" t="s">
        <v>295</v>
      </c>
      <c r="C42" t="s">
        <v>296</v>
      </c>
    </row>
    <row r="43" spans="2:3" ht="14" x14ac:dyDescent="0.3">
      <c r="B43" s="4" t="s">
        <v>297</v>
      </c>
      <c r="C43" t="s">
        <v>298</v>
      </c>
    </row>
    <row r="44" spans="2:3" ht="14" x14ac:dyDescent="0.3">
      <c r="B44" s="4" t="s">
        <v>299</v>
      </c>
      <c r="C44" t="s">
        <v>300</v>
      </c>
    </row>
    <row r="45" spans="2:3" ht="14" x14ac:dyDescent="0.3">
      <c r="B45" s="4" t="s">
        <v>301</v>
      </c>
      <c r="C45" t="s">
        <v>302</v>
      </c>
    </row>
    <row r="46" spans="2:3" ht="14" x14ac:dyDescent="0.3">
      <c r="B46" s="4" t="s">
        <v>303</v>
      </c>
      <c r="C46" t="s">
        <v>304</v>
      </c>
    </row>
    <row r="47" spans="2:3" ht="14" x14ac:dyDescent="0.3">
      <c r="B47" s="4" t="s">
        <v>305</v>
      </c>
      <c r="C47" t="s">
        <v>306</v>
      </c>
    </row>
    <row r="48" spans="2:3" ht="14" x14ac:dyDescent="0.3">
      <c r="B48" s="4" t="s">
        <v>307</v>
      </c>
      <c r="C48" t="s">
        <v>308</v>
      </c>
    </row>
    <row r="49" spans="2:3" ht="14" x14ac:dyDescent="0.3">
      <c r="B49" s="4" t="s">
        <v>309</v>
      </c>
      <c r="C49" t="s">
        <v>310</v>
      </c>
    </row>
    <row r="50" spans="2:3" ht="14" x14ac:dyDescent="0.3">
      <c r="B50" s="4" t="s">
        <v>311</v>
      </c>
      <c r="C50" t="s">
        <v>312</v>
      </c>
    </row>
    <row r="51" spans="2:3" ht="14" x14ac:dyDescent="0.3">
      <c r="B51" s="4" t="s">
        <v>313</v>
      </c>
      <c r="C51" t="s">
        <v>314</v>
      </c>
    </row>
    <row r="52" spans="2:3" ht="14" x14ac:dyDescent="0.3">
      <c r="B52" s="4" t="s">
        <v>315</v>
      </c>
      <c r="C52" t="s">
        <v>316</v>
      </c>
    </row>
    <row r="53" spans="2:3" ht="14" x14ac:dyDescent="0.3">
      <c r="B53" s="4" t="s">
        <v>317</v>
      </c>
      <c r="C53" t="s">
        <v>318</v>
      </c>
    </row>
    <row r="54" spans="2:3" ht="14" x14ac:dyDescent="0.3">
      <c r="B54" s="4" t="s">
        <v>319</v>
      </c>
      <c r="C54" t="s">
        <v>320</v>
      </c>
    </row>
    <row r="55" spans="2:3" ht="14" x14ac:dyDescent="0.3">
      <c r="B55" s="4" t="s">
        <v>321</v>
      </c>
      <c r="C55" t="s">
        <v>322</v>
      </c>
    </row>
    <row r="56" spans="2:3" ht="14" x14ac:dyDescent="0.3">
      <c r="B56" s="4" t="s">
        <v>323</v>
      </c>
      <c r="C56" t="s">
        <v>270</v>
      </c>
    </row>
    <row r="57" spans="2:3" ht="14" x14ac:dyDescent="0.3">
      <c r="B57" s="4" t="s">
        <v>324</v>
      </c>
      <c r="C57" t="s">
        <v>325</v>
      </c>
    </row>
    <row r="58" spans="2:3" ht="14" x14ac:dyDescent="0.3">
      <c r="B58" s="4" t="s">
        <v>326</v>
      </c>
      <c r="C58" t="s">
        <v>327</v>
      </c>
    </row>
    <row r="59" spans="2:3" ht="14" x14ac:dyDescent="0.3">
      <c r="B59" s="4" t="s">
        <v>328</v>
      </c>
      <c r="C59" t="s">
        <v>329</v>
      </c>
    </row>
    <row r="60" spans="2:3" ht="14" x14ac:dyDescent="0.3">
      <c r="B60" s="4" t="s">
        <v>330</v>
      </c>
      <c r="C60" t="s">
        <v>331</v>
      </c>
    </row>
    <row r="61" spans="2:3" ht="14" x14ac:dyDescent="0.3">
      <c r="B61" s="4" t="s">
        <v>332</v>
      </c>
      <c r="C61" t="s">
        <v>333</v>
      </c>
    </row>
    <row r="62" spans="2:3" ht="14" x14ac:dyDescent="0.3">
      <c r="B62" s="4" t="s">
        <v>334</v>
      </c>
      <c r="C62" t="s">
        <v>201</v>
      </c>
    </row>
  </sheetData>
  <phoneticPr fontId="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Executive Summary</vt:lpstr>
      <vt:lpstr>Financial Statements</vt:lpstr>
      <vt:lpstr>DCF Model</vt:lpstr>
      <vt:lpstr>Reverse DCF</vt:lpstr>
      <vt:lpstr>NWC Schedule</vt:lpstr>
      <vt:lpstr>Comps Analysis</vt:lpstr>
      <vt:lpstr>Sensitivity Analysis</vt:lpstr>
      <vt:lpstr>Adjustments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良亮 佐藤</cp:lastModifiedBy>
  <dcterms:created xsi:type="dcterms:W3CDTF">2026-09-06T17:30:17Z</dcterms:created>
  <dcterms:modified xsi:type="dcterms:W3CDTF">2026-09-06T17:30:19Z</dcterms:modified>
</cp:coreProperties>
</file>