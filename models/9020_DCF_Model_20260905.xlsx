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DA52F61-ADAC-4DD5-BE94-214EE63CCB0E}"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H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F16" i="6" l="1"/>
  <c r="C28" i="6" s="1"/>
  <c r="C19" i="1" s="1"/>
  <c r="D19" i="1" s="1"/>
  <c r="G15" i="6"/>
  <c r="H15" i="6"/>
  <c r="I16" i="6"/>
  <c r="F15" i="6"/>
  <c r="E15" i="6"/>
  <c r="C3" i="7"/>
  <c r="G36" i="4"/>
  <c r="C11" i="4"/>
  <c r="C24" i="4" s="1"/>
  <c r="C25" i="4" s="1"/>
  <c r="G46" i="3"/>
  <c r="F36" i="4"/>
  <c r="F46" i="3"/>
  <c r="D36" i="4"/>
  <c r="D46" i="3"/>
  <c r="C46" i="3"/>
  <c r="E36" i="4"/>
  <c r="H36" i="4"/>
  <c r="E46" i="3"/>
  <c r="C70" i="4"/>
  <c r="C71" i="4"/>
  <c r="J5" i="6"/>
  <c r="K5" i="6"/>
  <c r="G6" i="5"/>
  <c r="C30" i="3"/>
  <c r="C33" i="3" s="1"/>
  <c r="F31" i="3"/>
  <c r="H5" i="5"/>
  <c r="D7" i="5"/>
  <c r="I15" i="6"/>
  <c r="E17" i="6"/>
  <c r="I6" i="7"/>
  <c r="F32" i="3"/>
  <c r="D30" i="3"/>
  <c r="G31" i="3"/>
  <c r="E7" i="5"/>
  <c r="L5" i="6"/>
  <c r="D16" i="6"/>
  <c r="F17" i="6"/>
  <c r="C17" i="7"/>
  <c r="C31" i="3"/>
  <c r="E5" i="5"/>
  <c r="E30" i="3"/>
  <c r="C32" i="3"/>
  <c r="D6" i="5"/>
  <c r="F7" i="5"/>
  <c r="M5" i="6"/>
  <c r="E16" i="6"/>
  <c r="G17" i="6"/>
  <c r="C6" i="7"/>
  <c r="D17" i="7"/>
  <c r="F30" i="3"/>
  <c r="D32" i="3"/>
  <c r="E6" i="5"/>
  <c r="G7" i="5"/>
  <c r="D15" i="6"/>
  <c r="H17" i="6"/>
  <c r="D6" i="7"/>
  <c r="E17" i="7"/>
  <c r="G30" i="3"/>
  <c r="E32" i="3"/>
  <c r="D5" i="5"/>
  <c r="F6" i="5"/>
  <c r="H7" i="5"/>
  <c r="G16" i="6"/>
  <c r="I17" i="6"/>
  <c r="E6" i="7"/>
  <c r="F17" i="7"/>
  <c r="F6" i="7"/>
  <c r="G17" i="7"/>
  <c r="D31" i="3"/>
  <c r="G32" i="3"/>
  <c r="F5" i="5"/>
  <c r="H6" i="5"/>
  <c r="G6" i="7"/>
  <c r="H17" i="7"/>
  <c r="E31" i="3"/>
  <c r="C29" i="4" l="1"/>
  <c r="C27" i="4"/>
  <c r="C26" i="4"/>
  <c r="C42" i="3"/>
  <c r="C34" i="3"/>
  <c r="D10" i="5" s="1"/>
  <c r="C37" i="3"/>
  <c r="D9" i="5"/>
  <c r="D12" i="5" s="1"/>
  <c r="D33" i="3"/>
  <c r="E39" i="4"/>
  <c r="E43" i="4"/>
  <c r="E40" i="4"/>
  <c r="E44" i="4"/>
  <c r="E46" i="4"/>
  <c r="E38" i="4"/>
  <c r="E41" i="4"/>
  <c r="E51" i="4" s="1"/>
  <c r="E56" i="4" s="1"/>
  <c r="E45" i="4"/>
  <c r="G46" i="4"/>
  <c r="G40" i="4"/>
  <c r="G38" i="4"/>
  <c r="G41" i="4"/>
  <c r="G51" i="4" s="1"/>
  <c r="G56" i="4" s="1"/>
  <c r="G45" i="4"/>
  <c r="G39" i="4"/>
  <c r="G43" i="4"/>
  <c r="G44" i="4"/>
  <c r="B13" i="7"/>
  <c r="B12" i="7"/>
  <c r="B11" i="7"/>
  <c r="B10" i="7"/>
  <c r="B9" i="7"/>
  <c r="B8" i="7"/>
  <c r="B7" i="7"/>
  <c r="B24" i="7"/>
  <c r="B23" i="7"/>
  <c r="B22" i="7"/>
  <c r="B21" i="7"/>
  <c r="B20" i="7"/>
  <c r="B19" i="7"/>
  <c r="B18" i="7"/>
  <c r="H40" i="4"/>
  <c r="H44" i="4"/>
  <c r="H41" i="4"/>
  <c r="H45" i="4"/>
  <c r="H39" i="4"/>
  <c r="H43" i="4"/>
  <c r="H46" i="4"/>
  <c r="H38" i="4"/>
  <c r="H48" i="4" s="1"/>
  <c r="H53" i="4" s="1"/>
  <c r="C27" i="6"/>
  <c r="C18" i="1" s="1"/>
  <c r="D18" i="1" s="1"/>
  <c r="C74" i="4"/>
  <c r="D45" i="4"/>
  <c r="D39" i="4"/>
  <c r="D46" i="4"/>
  <c r="D40" i="4"/>
  <c r="D50" i="4" s="1"/>
  <c r="D55" i="4" s="1"/>
  <c r="D44" i="4"/>
  <c r="D43" i="4"/>
  <c r="D38" i="4"/>
  <c r="D48" i="4" s="1"/>
  <c r="D53" i="4" s="1"/>
  <c r="D41" i="4"/>
  <c r="F43" i="4"/>
  <c r="F46" i="4"/>
  <c r="F44" i="4"/>
  <c r="F38" i="4"/>
  <c r="F48" i="4" s="1"/>
  <c r="F53" i="4" s="1"/>
  <c r="F40" i="4"/>
  <c r="F41" i="4"/>
  <c r="F51" i="4" s="1"/>
  <c r="F56" i="4" s="1"/>
  <c r="F45" i="4"/>
  <c r="F39" i="4"/>
  <c r="H49" i="4" l="1"/>
  <c r="H54" i="4" s="1"/>
  <c r="D49" i="4"/>
  <c r="D54" i="4" s="1"/>
  <c r="E50" i="4"/>
  <c r="E55" i="4" s="1"/>
  <c r="H51" i="4"/>
  <c r="H56" i="4" s="1"/>
  <c r="G48" i="4"/>
  <c r="G53" i="4" s="1"/>
  <c r="D15" i="5"/>
  <c r="D16" i="5" s="1"/>
  <c r="D13" i="5"/>
  <c r="G50" i="4"/>
  <c r="G55" i="4" s="1"/>
  <c r="F49" i="4"/>
  <c r="D51" i="4"/>
  <c r="D56" i="4" s="1"/>
  <c r="E49" i="4"/>
  <c r="E54" i="4" s="1"/>
  <c r="H50" i="4"/>
  <c r="H55" i="4" s="1"/>
  <c r="E9" i="5"/>
  <c r="E12" i="5" s="1"/>
  <c r="D37" i="3"/>
  <c r="D42" i="3"/>
  <c r="E33" i="3"/>
  <c r="D34" i="3"/>
  <c r="E10" i="5" s="1"/>
  <c r="C35" i="3"/>
  <c r="F50" i="4"/>
  <c r="F55" i="4" s="1"/>
  <c r="G49" i="4"/>
  <c r="G54" i="4" s="1"/>
  <c r="E48" i="4"/>
  <c r="E53" i="4" s="1"/>
  <c r="D14" i="5"/>
  <c r="D18" i="5" s="1"/>
  <c r="D19" i="5" s="1"/>
  <c r="C44" i="3" s="1"/>
  <c r="F54" i="4" l="1"/>
  <c r="C60" i="4"/>
  <c r="B78" i="4"/>
  <c r="D35" i="3"/>
  <c r="C36" i="3"/>
  <c r="C39" i="3"/>
  <c r="C38" i="3"/>
  <c r="E15" i="5"/>
  <c r="E16" i="5" s="1"/>
  <c r="E13" i="5"/>
  <c r="E14" i="5" s="1"/>
  <c r="F9" i="5"/>
  <c r="F12" i="5" s="1"/>
  <c r="E42" i="3"/>
  <c r="E34" i="3"/>
  <c r="F10" i="5" s="1"/>
  <c r="E35" i="3"/>
  <c r="F33" i="3"/>
  <c r="E37" i="3"/>
  <c r="C40" i="3" l="1"/>
  <c r="C41" i="3" s="1"/>
  <c r="C45" i="3" s="1"/>
  <c r="E18" i="5"/>
  <c r="E19" i="5" s="1"/>
  <c r="D44" i="3" s="1"/>
  <c r="F13" i="5"/>
  <c r="F14" i="5" s="1"/>
  <c r="F15" i="5"/>
  <c r="F16" i="5" s="1"/>
  <c r="D36" i="3"/>
  <c r="D39" i="3"/>
  <c r="D38" i="3"/>
  <c r="C65" i="4"/>
  <c r="D65" i="4" s="1"/>
  <c r="C64" i="4"/>
  <c r="D64" i="4" s="1"/>
  <c r="C67" i="4"/>
  <c r="D67" i="4" s="1"/>
  <c r="C63" i="4"/>
  <c r="D63" i="4" s="1"/>
  <c r="C66" i="4"/>
  <c r="D66" i="4" s="1"/>
  <c r="F42" i="3"/>
  <c r="F34" i="3"/>
  <c r="G10" i="5" s="1"/>
  <c r="F37" i="3"/>
  <c r="F35" i="3"/>
  <c r="G33" i="3"/>
  <c r="G9" i="5"/>
  <c r="G12" i="5" s="1"/>
  <c r="E39" i="3"/>
  <c r="E38" i="3"/>
  <c r="E36" i="3"/>
  <c r="F18" i="5" l="1"/>
  <c r="F19" i="5" s="1"/>
  <c r="E44" i="3" s="1"/>
  <c r="C47" i="3"/>
  <c r="G37" i="3"/>
  <c r="C16" i="4"/>
  <c r="C28" i="4" s="1"/>
  <c r="H9" i="5"/>
  <c r="H12" i="5" s="1"/>
  <c r="G42" i="3"/>
  <c r="G34" i="3"/>
  <c r="H10" i="5" s="1"/>
  <c r="F38" i="3"/>
  <c r="F36" i="3"/>
  <c r="F39" i="3"/>
  <c r="G13" i="5"/>
  <c r="G15" i="5"/>
  <c r="G16" i="5" s="1"/>
  <c r="E40" i="3"/>
  <c r="E41" i="3" s="1"/>
  <c r="E45" i="3" s="1"/>
  <c r="E47" i="3" s="1"/>
  <c r="G14" i="5"/>
  <c r="G18" i="5" s="1"/>
  <c r="G19" i="5" s="1"/>
  <c r="F44" i="3" s="1"/>
  <c r="D40" i="3"/>
  <c r="D41" i="3" s="1"/>
  <c r="D45" i="3" s="1"/>
  <c r="D47" i="3" l="1"/>
  <c r="C72" i="4"/>
  <c r="C73" i="4"/>
  <c r="G35" i="3"/>
  <c r="F40" i="3"/>
  <c r="F41" i="3" s="1"/>
  <c r="F45" i="3" s="1"/>
  <c r="F47" i="3" s="1"/>
  <c r="H15" i="5"/>
  <c r="H16" i="5" s="1"/>
  <c r="H13" i="5"/>
  <c r="H14" i="5" s="1"/>
  <c r="H18" i="5" s="1"/>
  <c r="H19" i="5" s="1"/>
  <c r="G44" i="3" s="1"/>
  <c r="G38" i="3" l="1"/>
  <c r="G36" i="3"/>
  <c r="G39" i="3"/>
  <c r="G40" i="3" l="1"/>
  <c r="G41" i="3" s="1"/>
  <c r="G45" i="3" s="1"/>
  <c r="C59" i="3"/>
  <c r="C60" i="3" s="1"/>
  <c r="C61" i="3" s="1"/>
  <c r="C51" i="3" l="1"/>
  <c r="C52" i="3" s="1"/>
  <c r="G47" i="3"/>
  <c r="C50" i="3" s="1"/>
  <c r="F22" i="7"/>
  <c r="H9" i="7"/>
  <c r="C18" i="7"/>
  <c r="F11" i="7"/>
  <c r="H20" i="7"/>
  <c r="I8" i="7"/>
  <c r="C9" i="7"/>
  <c r="E24" i="7"/>
  <c r="D21" i="7"/>
  <c r="D7" i="7"/>
  <c r="I13" i="7"/>
  <c r="H18" i="7"/>
  <c r="C23" i="7"/>
  <c r="H11" i="7"/>
  <c r="G21" i="7"/>
  <c r="C19" i="7"/>
  <c r="C13" i="7"/>
  <c r="F10" i="7"/>
  <c r="D18" i="7"/>
  <c r="G18" i="7"/>
  <c r="I7" i="7"/>
  <c r="I18" i="7"/>
  <c r="G9" i="7"/>
  <c r="G13" i="7"/>
  <c r="C21" i="7"/>
  <c r="H7" i="7"/>
  <c r="I9" i="7"/>
  <c r="I20" i="7"/>
  <c r="H12" i="7"/>
  <c r="E20" i="7"/>
  <c r="E22" i="7"/>
  <c r="E19" i="7"/>
  <c r="C12" i="7"/>
  <c r="E13" i="7"/>
  <c r="E10" i="7"/>
  <c r="G19" i="7"/>
  <c r="G23" i="7"/>
  <c r="G11" i="7"/>
  <c r="G24" i="7"/>
  <c r="H23" i="7"/>
  <c r="H8" i="7"/>
  <c r="I11" i="7"/>
  <c r="F13" i="7"/>
  <c r="F9" i="7"/>
  <c r="E12" i="7"/>
  <c r="G20" i="7"/>
  <c r="D9" i="7"/>
  <c r="E7" i="7"/>
  <c r="E18" i="7"/>
  <c r="E9" i="7"/>
  <c r="G12" i="7"/>
  <c r="F7" i="7"/>
  <c r="F12" i="7"/>
  <c r="H24" i="7"/>
  <c r="E11" i="7"/>
  <c r="D8" i="7"/>
  <c r="F23" i="7"/>
  <c r="F18" i="7"/>
  <c r="C24" i="7"/>
  <c r="F20" i="7"/>
  <c r="I10" i="7"/>
  <c r="I12" i="7"/>
  <c r="D13" i="7"/>
  <c r="E8" i="7"/>
  <c r="G7" i="7"/>
  <c r="G10" i="7"/>
  <c r="F21" i="7"/>
  <c r="G22" i="7"/>
  <c r="E21" i="7"/>
  <c r="D23" i="7"/>
  <c r="F8" i="7"/>
  <c r="C20" i="7"/>
  <c r="I24" i="7"/>
  <c r="F19" i="7"/>
  <c r="E23" i="7"/>
  <c r="C10" i="7"/>
  <c r="D10" i="7"/>
  <c r="C7" i="7"/>
  <c r="D20" i="7"/>
  <c r="D12" i="7"/>
  <c r="H19" i="7"/>
  <c r="D19" i="7"/>
  <c r="I21" i="7"/>
  <c r="C11" i="7"/>
  <c r="C8" i="7"/>
  <c r="C22" i="7"/>
  <c r="H10" i="7"/>
  <c r="D24" i="7"/>
  <c r="I22" i="7"/>
  <c r="H22" i="7"/>
  <c r="D11" i="7"/>
  <c r="D22" i="7"/>
  <c r="I23" i="7"/>
  <c r="F24" i="7"/>
  <c r="G8" i="7"/>
  <c r="H13" i="7"/>
  <c r="H21" i="7"/>
  <c r="I19" i="7"/>
  <c r="C58" i="3" l="1"/>
  <c r="C62" i="3" s="1"/>
  <c r="C53" i="3"/>
  <c r="C16" i="1" l="1"/>
  <c r="C17" i="4"/>
  <c r="C54" i="3"/>
  <c r="C55" i="3" s="1"/>
  <c r="C17" i="1"/>
  <c r="D17" i="1" s="1"/>
  <c r="C63" i="3"/>
  <c r="C64" i="3" s="1"/>
  <c r="C19" i="4" l="1"/>
  <c r="C20" i="4" s="1"/>
  <c r="B79" i="4"/>
  <c r="C21" i="1"/>
  <c r="D16" i="1"/>
  <c r="C10" i="1"/>
  <c r="C12" i="1" s="1"/>
  <c r="C11" i="1" s="1"/>
</calcChain>
</file>

<file path=xl/sharedStrings.xml><?xml version="1.0" encoding="utf-8"?>
<sst xmlns="http://schemas.openxmlformats.org/spreadsheetml/2006/main" count="513" uniqueCount="399">
  <si>
    <t>DISCLAIMER: This is a sample analysis for demonstration purposes only. It does not constitute investment advice.</t>
  </si>
  <si>
    <t>東日本旅客鉄道 (9020.T)</t>
  </si>
  <si>
    <t>Equity Research Report</t>
  </si>
  <si>
    <t>Company</t>
  </si>
  <si>
    <t>東日本旅客鉄道</t>
  </si>
  <si>
    <t>Ticker</t>
  </si>
  <si>
    <t>9020.T (TSE Prime)</t>
  </si>
  <si>
    <t>Sector</t>
  </si>
  <si>
    <t>陸運業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</si>
  <si>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</si>
  <si>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</si>
  <si>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</si>
  <si>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</si>
  <si>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</si>
  <si>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</si>
  <si>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</si>
  <si>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</si>
  <si>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</si>
  <si>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</si>
  <si>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</si>
  <si>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</si>
  <si>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</si>
  <si>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</si>
  <si>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</si>
  <si>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</si>
  <si>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</si>
  <si>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</si>
  <si>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</si>
  <si>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</si>
  <si>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</si>
  <si>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</si>
  <si>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東日本旅客鉄道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</si>
  <si>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</si>
  <si>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</si>
  <si>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</si>
  <si>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</si>
  <si>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</si>
  <si>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</si>
  <si>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</si>
  <si>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</si>
  <si>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</si>
  <si>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</si>
  <si>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</si>
  <si>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</si>
  <si>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</si>
  <si>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</si>
  <si>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</si>
  <si>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</si>
  <si>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</si>
  <si>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</si>
  <si>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</si>
  <si>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</si>
  <si>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</si>
  <si>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</si>
  <si>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</si>
  <si>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</si>
  <si>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</si>
  <si>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</si>
  <si>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</si>
  <si>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</si>
  <si>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東日本旅客鉄道</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</si>
  <si>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</si>
  <si>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</si>
  <si>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</si>
  <si>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</si>
  <si>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</si>
  <si>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</si>
  <si>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</si>
  <si>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</si>
  <si>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</si>
  <si>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</si>
  <si>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</si>
  <si>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</si>
  <si>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</si>
  <si>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</si>
  <si>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</si>
  <si>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</si>
  <si>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</si>
  <si>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</si>
  <si>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</si>
  <si>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</si>
  <si>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</si>
  <si>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</si>
  <si>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</si>
  <si>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</si>
  <si>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</si>
  <si>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</si>
  <si>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</si>
  <si>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</si>
  <si>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</si>
  <si>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</si>
  <si>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</si>
  <si>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</si>
  <si>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</si>
  <si>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</si>
  <si>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</si>
  <si>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</si>
  <si>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</si>
  <si>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</si>
  <si>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</si>
  <si>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</si>
  <si>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</si>
  <si>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</si>
  <si>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</si>
  <si>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</si>
  <si>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</si>
  <si>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</si>
  <si>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</si>
  <si>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</si>
  <si>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</si>
  <si>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</si>
  <si>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</si>
  <si>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</si>
  <si>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</si>
  <si>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</si>
  <si>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</si>
  <si>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</si>
  <si>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</si>
  <si>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</si>
  <si>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</si>
  <si>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</si>
  <si>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</si>
  <si>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</si>
  <si>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</si>
  <si>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</si>
  <si>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東日本旅客鉄道 (9020.T)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</si>
  <si>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</si>
  <si>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</si>
  <si>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</si>
  <si>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</si>
  <si>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</si>
  <si>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</si>
  <si>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</si>
  <si>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</si>
  <si>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</si>
  <si>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</si>
  <si>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</si>
  <si>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</si>
  <si>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</si>
  <si>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</si>
  <si>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</si>
  <si>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</si>
  <si>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</si>
  <si>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</si>
  <si>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</si>
  <si>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</si>
  <si>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</si>
  <si>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</si>
  <si>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</si>
  <si>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</si>
  <si>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</si>
  <si>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</si>
  <si>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</si>
  <si>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</si>
  <si>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</si>
  <si>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</si>
  <si>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</si>
  <si>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</si>
  <si>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</si>
  <si>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</si>
  <si>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</si>
  <si>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</si>
  <si>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</si>
  <si>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</si>
  <si>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</si>
  <si>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</si>
  <si>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</si>
  <si>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</si>
  <si>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</si>
  <si>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</si>
  <si>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</si>
  <si>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</si>
  <si>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</si>
  <si>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</si>
  <si>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</si>
  <si>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</si>
  <si>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</si>
  <si>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東日本旅客鉄道</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</si>
  <si>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</si>
  <si>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</si>
  <si>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</si>
  <si>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</si>
  <si>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</si>
  <si>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</si>
  <si>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</si>
  <si>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</si>
  <si>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</si>
  <si>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</si>
  <si>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</si>
  <si>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</si>
  <si>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</si>
  <si>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</si>
  <si>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</si>
  <si>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</si>
  <si>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</si>
  <si>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</si>
  <si>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</si>
  <si>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</si>
  <si>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</si>
  <si>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</si>
  <si>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</si>
  <si>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</si>
  <si>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</si>
  <si>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</si>
  <si>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</si>
  <si>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</si>
  <si>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</si>
  <si>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</si>
  <si>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</si>
  <si>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</si>
  <si>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</si>
  <si>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</si>
  <si>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East Japan Railway Company</t>
  </si>
  <si>
    <t>9020.T</t>
  </si>
  <si>
    <t>West Japan Railway Company</t>
  </si>
  <si>
    <t>9021.T</t>
  </si>
  <si>
    <t>Central Japan Railway Company</t>
  </si>
  <si>
    <t>9022.T</t>
  </si>
  <si>
    <t>Hankyu Hanshin Holdings, Inc.</t>
  </si>
  <si>
    <t>9042.T</t>
  </si>
  <si>
    <t>Tokyu Corporation</t>
  </si>
  <si>
    <t>9005.T</t>
  </si>
  <si>
    <t>Yamato Holdings Co., Ltd.</t>
  </si>
  <si>
    <t>9064.T</t>
  </si>
  <si>
    <t>Statistics</t>
  </si>
  <si>
    <t>25th Percentile</t>
  </si>
  <si>
    <t>Median (50th)</t>
  </si>
  <si>
    <t>75th Percentile</t>
  </si>
  <si>
    <t>Implied Valuation for 東日本旅客鉄道</t>
  </si>
  <si>
    <t>東日本旅客鉄道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</si>
  <si>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</si>
  <si>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</si>
  <si>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</si>
  <si>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</si>
  <si>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</si>
  <si>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</si>
  <si>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</si>
  <si>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</si>
  <si>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</si>
  <si>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</si>
  <si>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</si>
  <si>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</si>
  <si>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</si>
  <si>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</si>
  <si>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</si>
  <si>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東日本旅客鉄道</t>
  </si>
  <si>
    <t>日付</t>
  </si>
  <si>
    <t>セル</t>
  </si>
  <si>
    <t>変更内容</t>
  </si>
  <si>
    <t>理由</t>
  </si>
  <si>
    <t>元の値</t>
  </si>
  <si>
    <t>状態</t>
  </si>
  <si>
    <t>2026-09-06</t>
  </si>
  <si>
    <t>-</t>
  </si>
  <si>
    <t>Generated by pipeline on 2026-09-06 11:23,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</si>
  <si>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</si>
  <si>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</si>
  <si>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</si>
  <si>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</si>
  <si>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</si>
  <si>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</si>
  <si>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</si>
  <si>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</si>
  <si>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</si>
  <si>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</si>
  <si>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</si>
  <si>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</si>
  <si>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</si>
  <si>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</si>
  <si>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</si>
  <si>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3,974,321百万円。■テンプレートの自動規則(&gt;=1兆円 -&gt; 0.0%、&gt;=1,000億円 -&gt; 1.5%)とは異なる値であり、明示指定で上書きしている。</t>
  </si>
  <si>
    <t>テンプレ自動値</t>
  </si>
  <si>
    <t>DCF Model!C8</t>
  </si>
  <si>
    <t>Beta = 0.60</t>
  </si>
  <si>
    <t>yfinance実測 **0.045** はクランプ下限 0.60 を下回るため、追補1 §A により **0.60 を明示指定**。テンプレの無言の 1.0 置換は回避済み。実測ベースより WACC は保守的に出る。</t>
  </si>
  <si>
    <t>yfinance実測 0.045</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</si>
  <si>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</si>
  <si>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</si>
  <si>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</si>
  <si>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</si>
  <si>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</si>
  <si>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</si>
  <si>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</si>
  <si>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1.31%(実績ベース)</t>
  </si>
  <si>
    <t>支払利息 83,271百万円 ÷ 平均有利子負債 ((4,648,645 + 4,860,080)/2)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</si>
  <si>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</si>
  <si>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</si>
  <si>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</si>
  <si>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</si>
  <si>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</si>
  <si>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</si>
  <si>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</si>
  <si>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7.4x</t>
  </si>
  <si>
    <t>Peer 5社の実測EV/EBITDA中央値。 自社の現在倍率 10.17x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</si>
  <si>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</si>
  <si>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</si>
  <si>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</si>
  <si>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</si>
  <si>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</si>
  <si>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**追補8 §AE の rework wave により Base を再設計**</t>
  </si>
  <si>
    <t>【追補8 §AE の rework wave（第8セッション）】追補7 §Y の単調性判定と、追補8 §AE-2 が確定した方向別の定義に従って **Base を再設計**した。■実績OPM: 0.06% → 0.13% → 0.13% → 0.13%。**判定: 単調増加**。■**適用ルール: 単調増加 → 直近水準の維持** により Base 到達OPM = **13.43%**（旧: 13.14%、差 +0.29pt）。■**平均回帰（§4-4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</si>
  <si>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</si>
  <si>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</si>
  <si>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</si>
  <si>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</si>
  <si>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</si>
  <si>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</si>
  <si>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</si>
  <si>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87 / DIH 34 / DPO 11 日</t>
  </si>
  <si>
    <t>実績4期の平均。Downside では運転資本の悪化を織り込み DSO/DIH を延ばし DPO を縮めた。</t>
  </si>
  <si>
    <t>Comps Analysis</t>
  </si>
  <si>
    <t>Peer 5社 = 9021 JR西日本 / 9022 JR東海 / 9042 阪急阪神HD / 9005 東急 / 9064 ヤマトHD</t>
  </si>
  <si>
    <t>鉄道・陸運で事業比較可能性を優先。JR2社に大手私鉄2社を加え、陸運として 9064 ヤマトHD を1社入れて n=5 とした。</t>
  </si>
  <si>
    <t>Executive Summary!C10 / Target</t>
  </si>
  <si>
    <t>Target Price = 2,074円 = PGM 2,852円 と Exit 1,295円 の2本平均。Comps 2本(EV/EBITDA 2,795円 / PER 2,148円)は [参考・Target不算入]</t>
  </si>
  <si>
    <t>メモ§2 の規約どおり。validate チェック14 PASS(C10 が C16:C17 のみを平均)。 ■**追補8 §AE の rework 後の値に更新**: Target 2,199円 / SELL / -37.5%（rework 前 2,074円）。</t>
  </si>
  <si>
    <t>全体(納品状態)</t>
  </si>
  <si>
    <t>本ファイルは DRAFT。_FINAL は付けない</t>
  </si>
  <si>
    <t>バッチモードでの機械生成物であり人間の検証を経ていない。FINAL化は手順書v2 §6 に従い検証後に行う。</t>
  </si>
  <si>
    <t>DRAFT</t>
  </si>
  <si>
    <t>全体(未解決)</t>
  </si>
  <si>
    <t>**§Y の単調増加判定を『コロナ後の正常化』に適用してよいか**</t>
  </si>
  <si>
    <t>OPM 5.85 → 12.64 → 13.05 → 13.43% は単調増加だが、FY2023 の 5.85% はコロナ影響の残る期であり、**これは成長トレンドではなく正常化の途中**である。§Y の機械判定はこの区別をしない。トレンド整合ルール（13.14%）と中央値収束（12.85%）の差は 0.29pt と小さく実害は限定的だが、**ルールの適用可否としては論点が残る**。</t>
  </si>
  <si>
    <t>未解決</t>
  </si>
  <si>
    <t>**PGM 2,852円 と Exit 1,295円 が株価ベースで 2.20倍開いている**</t>
  </si>
  <si>
    <t>倍率乖離は 1.0倍以下のため §X の裁定対象外。Exit 倍率 7.4x（Peer中央値）に対し自社は 10.17x で、**市場は当社を鉄道 Peer より高く評価している**。目視レビューでは両端を併せて見ること。</t>
  </si>
  <si>
    <t>capex/D&amp;A 2.07倍の逓減が本モデルの仮定</t>
  </si>
  <si>
    <t>888,061 / 428,730。鉄道インフラの更新投資が続く前提では PGM は本モデルより下振れる。</t>
  </si>
  <si>
    <t>Pipeline Metadata (do not edit — read by scripts/validate_output.py)</t>
  </si>
  <si>
    <t>key</t>
  </si>
  <si>
    <t>value</t>
  </si>
  <si>
    <t>auto_log_entries</t>
  </si>
  <si>
    <t>1</t>
  </si>
  <si>
    <t>capex_pct_basis</t>
  </si>
  <si>
    <t>hist_3yr_avg</t>
  </si>
  <si>
    <t>capex_pct_c5</t>
  </si>
  <si>
    <t>0.2921</t>
  </si>
  <si>
    <t>capex_pct_hist3yr</t>
  </si>
  <si>
    <t>0.292114</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</si>
  <si>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</si>
  <si>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</si>
  <si>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</si>
  <si>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</si>
  <si>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</si>
  <si>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</si>
  <si>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</si>
  <si>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</si>
  <si>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</si>
  <si>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</si>
  <si>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</si>
  <si>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</si>
  <si>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</si>
  <si>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</si>
  <si>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</si>
  <si>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</si>
  <si>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</si>
  <si>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</si>
  <si>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</si>
  <si>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83,271 (expense 83,271 + fees 0) / avg debt 4,754,362 (debt_beginning/debt_ending) = 0.017515 pre-tax -&gt; 0.013100 after-tax</t>
  </si>
  <si>
    <t>cost_of_debt_at_c11</t>
  </si>
  <si>
    <t>0.0131</t>
  </si>
  <si>
    <t>cost_of_debt_avg_debt</t>
  </si>
  <si>
    <t>4754362.5</t>
  </si>
  <si>
    <t>cost_of_debt_basis</t>
  </si>
  <si>
    <t>actual</t>
  </si>
  <si>
    <t>cost_of_debt_interest</t>
  </si>
  <si>
    <t>83271.0</t>
  </si>
  <si>
    <t>cost_of_debt_pretax</t>
  </si>
  <si>
    <t>0.017514651017880946</t>
  </si>
  <si>
    <t>da_pct_basis</t>
  </si>
  <si>
    <t>assumption</t>
  </si>
  <si>
    <t>da_pct_c18</t>
  </si>
  <si>
    <t>0.139</t>
  </si>
  <si>
    <t>da_pct_hist3yr</t>
  </si>
  <si>
    <t>0.141102</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</si>
  <si>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</si>
  <si>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</si>
  <si>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</si>
  <si>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</si>
  <si>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</si>
  <si>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</si>
  <si>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</si>
  <si>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</si>
  <si>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</si>
  <si>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11:23:17</t>
  </si>
  <si>
    <t>ltm_revenue_c20</t>
  </si>
  <si>
    <t>3084679.0</t>
  </si>
  <si>
    <t>ltm_revenue_source</t>
  </si>
  <si>
    <t>latest FY (no LTM)</t>
  </si>
  <si>
    <t>narrative_tokens_used</t>
  </si>
  <si>
    <t>reverse_dcf_sheet</t>
  </si>
  <si>
    <t>op0=414,259(FY2026) peak=414,259(FY2026) peak_opm=0.1343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</si>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</sst>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3520</v>
      </c>
    </row>
    <row r="10" spans="2:5" ht="14" customHeight="1" x14ac:dyDescent="0.3">
      <c r="B10" s="4" t="s">
        <v>10</v>
      </c>
      <c r="C10" s="5">
        <f>IF(COUNT(C16:C17)=0,"N/A",ROUND(AVERAGE(C16:C17),0))</f>
        <v>2199</v>
      </c>
    </row>
    <row r="11" spans="2:5" ht="14" customHeight="1" x14ac:dyDescent="0.3">
      <c r="B11" s="4" t="s">
        <v>11</v>
      </c>
      <c r="C11" s="6" t="str">
        <f>IF(NOT(ISNUMBER(C12)),"N/A",IF(C12&gt;0.15,"BUY",IF(C12&gt;0.05,"HOLD","SELL")))</f>
        <v>SELL</v>
      </c>
    </row>
    <row r="12" spans="2:5" ht="14" customHeight="1" x14ac:dyDescent="0.3">
      <c r="B12" s="4" t="s">
        <v>12</v>
      </c>
      <c r="C12" s="7">
        <f>IF(ISNUMBER(C10),(C10-C9)/C9,"N/A")</f>
        <v>-0.37528409090909093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3031</v>
      </c>
      <c r="D16" s="7">
        <f>IF(ISNUMBER(C16),(C16-C9)/C9,"N/A")</f>
        <v>-0.13892045454545454</v>
      </c>
    </row>
    <row r="17" spans="2:5" ht="13.5" customHeight="1" x14ac:dyDescent="0.25">
      <c r="B17" t="s">
        <v>18</v>
      </c>
      <c r="C17" s="11">
        <f>IF('DCF Model'!C62&lt;'DCF Model'!C16,"INVALID (EV &lt; net debt)",'DCF Model'!C64)</f>
        <v>1366</v>
      </c>
      <c r="D17" s="7">
        <f>IF(ISNUMBER(C17),(C17-C9)/C9,"N/A")</f>
        <v>-0.61193181818181819</v>
      </c>
    </row>
    <row r="18" spans="2:5" ht="13.5" customHeight="1" x14ac:dyDescent="0.25">
      <c r="B18" t="s">
        <v>19</v>
      </c>
      <c r="C18" s="11">
        <f>'Comps Analysis'!C27</f>
        <v>1422</v>
      </c>
      <c r="D18" s="7">
        <f>IF(ISNUMBER(C18),(C18-C9)/C9,"N/A")</f>
        <v>-0.59602272727272732</v>
      </c>
    </row>
    <row r="19" spans="2:5" ht="13.5" customHeight="1" x14ac:dyDescent="0.25">
      <c r="B19" t="s">
        <v>20</v>
      </c>
      <c r="C19" s="11">
        <f>'Comps Analysis'!C28</f>
        <v>2366</v>
      </c>
      <c r="D19" s="7">
        <f>IF(ISNUMBER(C19),(C19-C9)/C9,"N/A")</f>
        <v>-0.32784090909090907</v>
      </c>
    </row>
    <row r="20" spans="2:5" ht="14" customHeight="1" x14ac:dyDescent="0.3">
      <c r="B20" s="46" t="s">
        <v>21</v>
      </c>
      <c r="C20" s="45"/>
      <c r="D20" s="45"/>
      <c r="E20" s="45"/>
    </row>
    <row r="21" spans="2:5" ht="14" customHeight="1" x14ac:dyDescent="0.3">
      <c r="B21" s="4" t="s">
        <v>22</v>
      </c>
      <c r="C21" s="6" t="str">
        <f>IF(COUNT(C16:C17)=0,"N/A",MIN(C16:C17)&amp;" - "&amp;MAX(C16:C17))</f>
        <v>1366 - 3031</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2405538</v>
      </c>
      <c r="D6" s="5">
        <v>2730118</v>
      </c>
      <c r="E6" s="5">
        <v>2887553</v>
      </c>
      <c r="F6" s="5">
        <v>3084679</v>
      </c>
    </row>
    <row r="7" spans="2:6" ht="14" customHeight="1" x14ac:dyDescent="0.3">
      <c r="B7" s="4" t="s">
        <v>38</v>
      </c>
      <c r="C7" s="5">
        <v>1687833</v>
      </c>
      <c r="D7" s="5">
        <v>1763499</v>
      </c>
      <c r="E7" s="5">
        <v>1855517</v>
      </c>
      <c r="F7" s="5">
        <v>1952891</v>
      </c>
    </row>
    <row r="8" spans="2:6" ht="14" customHeight="1" x14ac:dyDescent="0.3">
      <c r="B8" s="4" t="s">
        <v>39</v>
      </c>
      <c r="C8" s="5">
        <f>C6-C7</f>
        <v>717705</v>
      </c>
      <c r="D8" s="5">
        <f>D6-D7</f>
        <v>966619</v>
      </c>
      <c r="E8" s="5">
        <f>E6-E7</f>
        <v>1032036</v>
      </c>
      <c r="F8" s="5">
        <f>F6-F7</f>
        <v>1131788</v>
      </c>
    </row>
    <row r="9" spans="2:6" ht="13.5" customHeight="1" x14ac:dyDescent="0.25">
      <c r="B9" t="s">
        <v>40</v>
      </c>
      <c r="C9" s="7">
        <f>C8/C6</f>
        <v>0.29835529515642656</v>
      </c>
      <c r="D9" s="7">
        <f>D8/D6</f>
        <v>0.35405759018474658</v>
      </c>
      <c r="E9" s="7">
        <f>E8/E6</f>
        <v>0.35740850470969709</v>
      </c>
      <c r="F9" s="7">
        <f>F8/F6</f>
        <v>0.3669062485918308</v>
      </c>
    </row>
    <row r="10" spans="2:6" ht="14" customHeight="1" x14ac:dyDescent="0.3">
      <c r="B10" s="4" t="s">
        <v>41</v>
      </c>
      <c r="C10" s="5">
        <v>577075</v>
      </c>
      <c r="D10" s="5">
        <v>621456</v>
      </c>
      <c r="E10" s="5">
        <v>655249</v>
      </c>
      <c r="F10" s="5">
        <v>717529</v>
      </c>
    </row>
    <row r="11" spans="2:6" ht="14" customHeight="1" x14ac:dyDescent="0.3">
      <c r="B11" s="4" t="s">
        <v>42</v>
      </c>
      <c r="C11" s="5">
        <v>140630</v>
      </c>
      <c r="D11" s="5">
        <v>345163</v>
      </c>
      <c r="E11" s="5">
        <v>376787</v>
      </c>
      <c r="F11" s="5">
        <v>414259</v>
      </c>
    </row>
    <row r="12" spans="2:6" ht="14" customHeight="1" x14ac:dyDescent="0.3">
      <c r="B12" s="4" t="s">
        <v>43</v>
      </c>
      <c r="C12" s="5">
        <v>99232</v>
      </c>
      <c r="D12" s="5">
        <v>196449</v>
      </c>
      <c r="E12" s="5">
        <v>224285</v>
      </c>
      <c r="F12" s="5">
        <v>247846</v>
      </c>
    </row>
    <row r="13" spans="2:6" ht="13.5" customHeight="1" x14ac:dyDescent="0.25">
      <c r="B13" t="s">
        <v>44</v>
      </c>
      <c r="C13" s="7">
        <f>C11/C6</f>
        <v>5.8460934726452043E-2</v>
      </c>
      <c r="D13" s="7">
        <f>D11/D6</f>
        <v>0.12642786868552935</v>
      </c>
      <c r="E13" s="7">
        <f>E11/E6</f>
        <v>0.13048660925011593</v>
      </c>
      <c r="F13" s="7">
        <f>F11/F6</f>
        <v>0.13429565928902165</v>
      </c>
    </row>
    <row r="14" spans="2:6" ht="13.5" customHeight="1" x14ac:dyDescent="0.25">
      <c r="B14" t="s">
        <v>45</v>
      </c>
      <c r="C14" s="7">
        <f>C12/C6</f>
        <v>4.1251478879153022E-2</v>
      </c>
      <c r="D14" s="7">
        <f>D12/D6</f>
        <v>7.1956230463298659E-2</v>
      </c>
      <c r="E14" s="7">
        <f>E12/E6</f>
        <v>7.7673033187615953E-2</v>
      </c>
      <c r="F14" s="7">
        <f>F12/F6</f>
        <v>8.0347420266419944E-2</v>
      </c>
    </row>
    <row r="15" spans="2:6" ht="13.5" customHeight="1" x14ac:dyDescent="0.25">
      <c r="B15" t="s">
        <v>46</v>
      </c>
      <c r="C15" t="s">
        <v>47</v>
      </c>
      <c r="D15" s="7">
        <f>(D6-C6)/C6</f>
        <v>0.1349303149648852</v>
      </c>
      <c r="E15" s="7">
        <f>(E6-D6)/D6</f>
        <v>5.7666005645177244E-2</v>
      </c>
      <c r="F15" s="7">
        <f>(F6-E6)/E6</f>
        <v>6.8267491540415018E-2</v>
      </c>
    </row>
    <row r="16" spans="2:6" ht="13.5" customHeight="1" x14ac:dyDescent="0.25">
      <c r="B16" t="s">
        <v>48</v>
      </c>
      <c r="C16" t="s">
        <v>47</v>
      </c>
      <c r="D16" s="7">
        <f>(D11-C11)/C11</f>
        <v>1.4544051767048283</v>
      </c>
      <c r="E16" s="7">
        <f>(E11-D11)/D11</f>
        <v>9.1620480758366332E-2</v>
      </c>
      <c r="F16" s="7">
        <f>(F11-E11)/E11</f>
        <v>9.9451414194226442E-2</v>
      </c>
    </row>
    <row r="18" spans="2:6" ht="14" customHeight="1" x14ac:dyDescent="0.3">
      <c r="B18" s="3" t="s">
        <v>49</v>
      </c>
    </row>
    <row r="19" spans="2:6" ht="14" customHeight="1" x14ac:dyDescent="0.3">
      <c r="B19" s="4" t="s">
        <v>50</v>
      </c>
      <c r="C19" s="5">
        <v>581755</v>
      </c>
      <c r="D19" s="5">
        <v>688103</v>
      </c>
      <c r="E19" s="5">
        <v>732251</v>
      </c>
      <c r="F19" s="5">
        <v>765072</v>
      </c>
    </row>
    <row r="20" spans="2:6" ht="14" customHeight="1" x14ac:dyDescent="0.3">
      <c r="B20" s="4" t="s">
        <v>51</v>
      </c>
      <c r="C20" s="5">
        <v>578178</v>
      </c>
      <c r="D20" s="5">
        <v>734326</v>
      </c>
      <c r="E20" s="5">
        <v>846817</v>
      </c>
      <c r="F20" s="5">
        <v>968913</v>
      </c>
    </row>
    <row r="21" spans="2:6" ht="14" customHeight="1" x14ac:dyDescent="0.3">
      <c r="B21" s="4" t="s">
        <v>52</v>
      </c>
      <c r="C21" s="5">
        <f>C19-C20</f>
        <v>3577</v>
      </c>
      <c r="D21" s="5">
        <f>D19-D20</f>
        <v>-46223</v>
      </c>
      <c r="E21" s="5">
        <f>E19-E20</f>
        <v>-114566</v>
      </c>
      <c r="F21" s="5">
        <f>F19-F20</f>
        <v>-203841</v>
      </c>
    </row>
    <row r="22" spans="2:6" ht="13.5" customHeight="1" x14ac:dyDescent="0.25">
      <c r="B22" t="s">
        <v>53</v>
      </c>
      <c r="C22" s="7">
        <f>C21/C6</f>
        <v>1.4869854477459928E-3</v>
      </c>
      <c r="D22" s="7">
        <f>D21/D6</f>
        <v>-1.6930770025324914E-2</v>
      </c>
      <c r="E22" s="7">
        <f>E21/E6</f>
        <v>-3.9675808547929681E-2</v>
      </c>
      <c r="F22" s="7">
        <f>F21/F6</f>
        <v>-6.6081754373793836E-2</v>
      </c>
    </row>
    <row r="23" spans="2:6" ht="13.5" customHeight="1" x14ac:dyDescent="0.25">
      <c r="B23" t="s">
        <v>54</v>
      </c>
      <c r="C23" s="7">
        <f>C20/C6</f>
        <v>0.24035288571620986</v>
      </c>
      <c r="D23" s="7">
        <f>D20/D6</f>
        <v>0.26897225687680898</v>
      </c>
      <c r="E23" s="7">
        <f>E20/E6</f>
        <v>0.2932645738450515</v>
      </c>
      <c r="F23" s="7">
        <f>F20/F6</f>
        <v>0.31410496845863056</v>
      </c>
    </row>
    <row r="25" spans="2:6" ht="14" customHeight="1" x14ac:dyDescent="0.3">
      <c r="B25" s="3" t="s">
        <v>55</v>
      </c>
    </row>
    <row r="26" spans="2:6" ht="14" customHeight="1" x14ac:dyDescent="0.3">
      <c r="B26" s="4" t="s">
        <v>56</v>
      </c>
      <c r="C26" s="5">
        <v>215000</v>
      </c>
      <c r="D26" s="5">
        <v>280810</v>
      </c>
      <c r="E26" s="5">
        <v>233663</v>
      </c>
      <c r="F26" s="5">
        <v>262247</v>
      </c>
    </row>
    <row r="27" spans="2:6" ht="14" customHeight="1" x14ac:dyDescent="0.3">
      <c r="B27" s="4" t="s">
        <v>57</v>
      </c>
      <c r="C27" s="5">
        <v>4244820</v>
      </c>
      <c r="D27" s="5">
        <v>4412264</v>
      </c>
      <c r="E27" s="5">
        <v>4441100</v>
      </c>
      <c r="F27" s="5">
        <v>4770081</v>
      </c>
    </row>
    <row r="28" spans="2:6" ht="14" customHeight="1" x14ac:dyDescent="0.3">
      <c r="B28" s="4" t="s">
        <v>58</v>
      </c>
      <c r="C28" s="5">
        <f>C27-C26</f>
        <v>4029820</v>
      </c>
      <c r="D28" s="5">
        <f>D27-D26</f>
        <v>4131454</v>
      </c>
      <c r="E28" s="5">
        <f>E27-E26</f>
        <v>4207437</v>
      </c>
      <c r="F28" s="5">
        <f>F27-F26</f>
        <v>4507834</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0.29210000000000003</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1.3100000000000001E-2</v>
      </c>
    </row>
    <row r="12" spans="2:7" ht="14" customHeight="1" x14ac:dyDescent="0.3">
      <c r="B12" s="4" t="s">
        <v>69</v>
      </c>
      <c r="C12" s="13">
        <v>1.1569</v>
      </c>
    </row>
    <row r="13" spans="2:7" ht="14" customHeight="1" x14ac:dyDescent="0.3">
      <c r="B13" s="4" t="s">
        <v>70</v>
      </c>
      <c r="C13" s="7">
        <v>0.01</v>
      </c>
    </row>
    <row r="14" spans="2:7" ht="14" customHeight="1" x14ac:dyDescent="0.3">
      <c r="B14" s="4" t="s">
        <v>71</v>
      </c>
      <c r="C14" s="14">
        <v>7.4</v>
      </c>
    </row>
    <row r="15" spans="2:7" ht="14" customHeight="1" x14ac:dyDescent="0.3">
      <c r="B15" s="4" t="s">
        <v>72</v>
      </c>
      <c r="C15" s="15">
        <v>1129068483</v>
      </c>
    </row>
    <row r="16" spans="2:7" ht="14" customHeight="1" x14ac:dyDescent="0.3">
      <c r="B16" s="4" t="s">
        <v>73</v>
      </c>
      <c r="C16" s="5">
        <v>4597833</v>
      </c>
    </row>
    <row r="17" spans="2:7" ht="14" customHeight="1" x14ac:dyDescent="0.3">
      <c r="B17" s="4" t="s">
        <v>74</v>
      </c>
      <c r="C17" s="5">
        <v>3084679</v>
      </c>
    </row>
    <row r="18" spans="2:7" ht="14" customHeight="1" x14ac:dyDescent="0.3">
      <c r="B18" s="4" t="s">
        <v>75</v>
      </c>
      <c r="C18" s="7">
        <v>0.13900000000000001</v>
      </c>
    </row>
    <row r="19" spans="2:7" ht="14" customHeight="1" x14ac:dyDescent="0.3">
      <c r="B19" s="4" t="s">
        <v>76</v>
      </c>
      <c r="C19" s="12">
        <v>1</v>
      </c>
    </row>
    <row r="20" spans="2:7" ht="14" customHeight="1" x14ac:dyDescent="0.3">
      <c r="B20" s="4" t="s">
        <v>77</v>
      </c>
      <c r="C20" s="5">
        <v>3084679</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0.46362835551022297</v>
      </c>
    </row>
    <row r="25" spans="2:7" ht="14" customHeight="1" x14ac:dyDescent="0.3">
      <c r="B25" s="4" t="s">
        <v>81</v>
      </c>
      <c r="C25" s="16">
        <f>C12/(1+C12)</f>
        <v>0.53637164448977692</v>
      </c>
    </row>
    <row r="26" spans="2:7" ht="14" customHeight="1" x14ac:dyDescent="0.3">
      <c r="B26" s="4" t="s">
        <v>82</v>
      </c>
      <c r="C26" s="16">
        <f>C23*C24+C11*C25</f>
        <v>4.3514020121470619E-2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2.5000000000000001E-2</v>
      </c>
      <c r="D30" s="18">
        <f>CHOOSE($D$27,D69,D70,D71,D72,D73)</f>
        <v>2.5000000000000001E-2</v>
      </c>
      <c r="E30" s="18">
        <f>CHOOSE($D$27,E69,E70,E71,E72,E73)</f>
        <v>0.02</v>
      </c>
      <c r="F30" s="18">
        <f>CHOOSE($D$27,F69,F70,F71,F72,F73)</f>
        <v>0.02</v>
      </c>
      <c r="G30" s="18">
        <f>CHOOSE($D$27,G69,G70,G71,G72,G73)</f>
        <v>1.4999999999999999E-2</v>
      </c>
    </row>
    <row r="31" spans="2:7" ht="14" customHeight="1" x14ac:dyDescent="0.3">
      <c r="B31" s="4" t="s">
        <v>91</v>
      </c>
      <c r="C31" s="18">
        <f>CHOOSE($D$27,C76,C77,C78,C79,C80)</f>
        <v>0.63300000000000001</v>
      </c>
      <c r="D31" s="18">
        <f>CHOOSE($D$27,D76,D77,D78,D79,D80)</f>
        <v>0.63300000000000001</v>
      </c>
      <c r="E31" s="18">
        <f>CHOOSE($D$27,E76,E77,E78,E79,E80)</f>
        <v>0.63300000000000001</v>
      </c>
      <c r="F31" s="18">
        <f>CHOOSE($D$27,F76,F77,F78,F79,F80)</f>
        <v>0.63300000000000001</v>
      </c>
      <c r="G31" s="18">
        <f>CHOOSE($D$27,G76,G77,G78,G79,G80)</f>
        <v>0.63300000000000001</v>
      </c>
    </row>
    <row r="32" spans="2:7" ht="14" customHeight="1" x14ac:dyDescent="0.3">
      <c r="B32" s="4" t="s">
        <v>92</v>
      </c>
      <c r="C32" s="18">
        <f>CHOOSE($D$27,C83,C84,C85,C86,C87)</f>
        <v>0.23270399999999999</v>
      </c>
      <c r="D32" s="18">
        <f>CHOOSE($D$27,D83,D84,D85,D86,D87)</f>
        <v>0.23270399999999999</v>
      </c>
      <c r="E32" s="18">
        <f>CHOOSE($D$27,E83,E84,E85,E86,E87)</f>
        <v>0.23270399999999999</v>
      </c>
      <c r="F32" s="18">
        <f>CHOOSE($D$27,F83,F84,F85,F86,F87)</f>
        <v>0.23270399999999999</v>
      </c>
      <c r="G32" s="18">
        <f>CHOOSE($D$27,G83,G84,G85,G86,G87)</f>
        <v>0.23270399999999999</v>
      </c>
    </row>
    <row r="33" spans="2:7" ht="14" customHeight="1" x14ac:dyDescent="0.3">
      <c r="B33" s="4" t="s">
        <v>37</v>
      </c>
      <c r="C33" s="5">
        <f>C17*(1+C30)</f>
        <v>3161795.9749999996</v>
      </c>
      <c r="D33" s="5">
        <f>C33*(1+D30)</f>
        <v>3240840.8743749992</v>
      </c>
      <c r="E33" s="5">
        <f>D33*(1+E30)</f>
        <v>3305657.6918624993</v>
      </c>
      <c r="F33" s="5">
        <f>E33*(1+F30)</f>
        <v>3371770.8456997494</v>
      </c>
      <c r="G33" s="5">
        <f>F33*(1+G30)</f>
        <v>3422347.4083852451</v>
      </c>
    </row>
    <row r="34" spans="2:7" ht="14" customHeight="1" x14ac:dyDescent="0.3">
      <c r="B34" s="4" t="s">
        <v>38</v>
      </c>
      <c r="C34" s="5">
        <f>C33*C31</f>
        <v>2001416.8521749999</v>
      </c>
      <c r="D34" s="5">
        <f>D33*D31</f>
        <v>2051452.2734793746</v>
      </c>
      <c r="E34" s="5">
        <f>E33*E31</f>
        <v>2092481.318948962</v>
      </c>
      <c r="F34" s="5">
        <f>F33*F31</f>
        <v>2134330.9453279413</v>
      </c>
      <c r="G34" s="5">
        <f>G33*G31</f>
        <v>2166345.90950786</v>
      </c>
    </row>
    <row r="35" spans="2:7" ht="14" customHeight="1" x14ac:dyDescent="0.3">
      <c r="B35" s="4" t="s">
        <v>39</v>
      </c>
      <c r="C35" s="19">
        <f>C33-C34</f>
        <v>1160379.1228249997</v>
      </c>
      <c r="D35" s="19">
        <f>D33-D34</f>
        <v>1189388.6008956246</v>
      </c>
      <c r="E35" s="19">
        <f>E33-E34</f>
        <v>1213176.3729135373</v>
      </c>
      <c r="F35" s="19">
        <f>F33-F34</f>
        <v>1237439.9003718081</v>
      </c>
      <c r="G35" s="19">
        <f>G33-G34</f>
        <v>1256001.4988773852</v>
      </c>
    </row>
    <row r="36" spans="2:7" ht="14" customHeight="1" x14ac:dyDescent="0.3">
      <c r="B36" s="4" t="s">
        <v>40</v>
      </c>
      <c r="C36" s="7">
        <f>C35/C33</f>
        <v>0.36699999999999994</v>
      </c>
      <c r="D36" s="7">
        <f>D35/D33</f>
        <v>0.36699999999999999</v>
      </c>
      <c r="E36" s="7">
        <f>E35/E33</f>
        <v>0.36699999999999999</v>
      </c>
      <c r="F36" s="7">
        <f>F35/F33</f>
        <v>0.36699999999999999</v>
      </c>
      <c r="G36" s="7">
        <f>G35/G33</f>
        <v>0.36700000000000005</v>
      </c>
    </row>
    <row r="37" spans="2:7" ht="14" customHeight="1" x14ac:dyDescent="0.3">
      <c r="B37" s="4" t="s">
        <v>93</v>
      </c>
      <c r="C37" s="5">
        <f>C33*C32</f>
        <v>735762.57056639984</v>
      </c>
      <c r="D37" s="5">
        <f>D33*D32</f>
        <v>754156.63483055984</v>
      </c>
      <c r="E37" s="5">
        <f>E33*E32</f>
        <v>769239.76752717106</v>
      </c>
      <c r="F37" s="5">
        <f>F33*F32</f>
        <v>784624.56287771452</v>
      </c>
      <c r="G37" s="5">
        <f>G33*G32</f>
        <v>796393.93132088007</v>
      </c>
    </row>
    <row r="38" spans="2:7" ht="14" customHeight="1" x14ac:dyDescent="0.3">
      <c r="B38" s="4" t="s">
        <v>94</v>
      </c>
      <c r="C38" s="7">
        <f>(C35-C37)/C33</f>
        <v>0.13429599999999997</v>
      </c>
      <c r="D38" s="7">
        <f>(D35-D37)/D33</f>
        <v>0.13429599999999997</v>
      </c>
      <c r="E38" s="7">
        <f>(E35-E37)/E33</f>
        <v>0.134296</v>
      </c>
      <c r="F38" s="7">
        <f>(F35-F37)/F33</f>
        <v>0.134296</v>
      </c>
      <c r="G38" s="7">
        <f>(G35-G37)/G33</f>
        <v>0.13429600000000005</v>
      </c>
    </row>
    <row r="39" spans="2:7" ht="14" customHeight="1" x14ac:dyDescent="0.3">
      <c r="B39" s="4" t="s">
        <v>95</v>
      </c>
      <c r="C39" s="19">
        <f>C35-C37</f>
        <v>424616.5522585999</v>
      </c>
      <c r="D39" s="19">
        <f>D35-D37</f>
        <v>435231.96606506477</v>
      </c>
      <c r="E39" s="19">
        <f>E35-E37</f>
        <v>443936.60538636625</v>
      </c>
      <c r="F39" s="19">
        <f>F35-F37</f>
        <v>452815.33749409358</v>
      </c>
      <c r="G39" s="19">
        <f>G35-G37</f>
        <v>459607.56755650509</v>
      </c>
    </row>
    <row r="40" spans="2:7" ht="14" customHeight="1" x14ac:dyDescent="0.3">
      <c r="B40" s="4" t="s">
        <v>96</v>
      </c>
      <c r="C40" s="5">
        <f>MAX(0,C39*C6)</f>
        <v>106154.13806464997</v>
      </c>
      <c r="D40" s="5">
        <f>MAX(0,D39*C6)</f>
        <v>108807.99151626619</v>
      </c>
      <c r="E40" s="5">
        <f>MAX(0,E39*C6)</f>
        <v>110984.15134659156</v>
      </c>
      <c r="F40" s="5">
        <f>MAX(0,F39*C6)</f>
        <v>113203.83437352339</v>
      </c>
      <c r="G40" s="5">
        <f>MAX(0,G39*C6)</f>
        <v>114901.89188912627</v>
      </c>
    </row>
    <row r="41" spans="2:7" ht="14" customHeight="1" x14ac:dyDescent="0.3">
      <c r="B41" s="4" t="s">
        <v>97</v>
      </c>
      <c r="C41" s="19">
        <f>C39-C40</f>
        <v>318462.41419394989</v>
      </c>
      <c r="D41" s="19">
        <f>D39-D40</f>
        <v>326423.97454879858</v>
      </c>
      <c r="E41" s="19">
        <f>E39-E40</f>
        <v>332952.45403977472</v>
      </c>
      <c r="F41" s="19">
        <f>F39-F40</f>
        <v>339611.50312057021</v>
      </c>
      <c r="G41" s="19">
        <f>G39-G40</f>
        <v>344705.67566737882</v>
      </c>
    </row>
    <row r="42" spans="2:7" ht="14" customHeight="1" x14ac:dyDescent="0.3">
      <c r="B42" s="4" t="s">
        <v>98</v>
      </c>
      <c r="C42" s="5">
        <f>C33*C18</f>
        <v>439489.640525</v>
      </c>
      <c r="D42" s="5">
        <f>D33*C18</f>
        <v>450476.88153812493</v>
      </c>
      <c r="E42" s="5">
        <f>E33*C18</f>
        <v>459486.41916888743</v>
      </c>
      <c r="F42" s="5">
        <f>F33*C18</f>
        <v>468676.1475522652</v>
      </c>
      <c r="G42" s="5">
        <f>G33*C18</f>
        <v>475706.28976554913</v>
      </c>
    </row>
    <row r="43" spans="2:7" ht="14" customHeight="1" x14ac:dyDescent="0.3">
      <c r="B43" s="4" t="s">
        <v>99</v>
      </c>
      <c r="C43" s="5">
        <v>810300</v>
      </c>
      <c r="D43" s="5">
        <v>732600</v>
      </c>
      <c r="E43" s="5">
        <v>654900</v>
      </c>
      <c r="F43" s="5">
        <v>577200</v>
      </c>
      <c r="G43" s="5">
        <v>499500</v>
      </c>
    </row>
    <row r="44" spans="2:7" ht="14" customHeight="1" x14ac:dyDescent="0.3">
      <c r="B44" s="4" t="s">
        <v>100</v>
      </c>
      <c r="C44" s="5">
        <f>'NWC Schedule'!D19</f>
        <v>-45342.76047938352</v>
      </c>
      <c r="D44" s="5">
        <f>'NWC Schedule'!E19</f>
        <v>21993.755988015211</v>
      </c>
      <c r="E44" s="5">
        <f>'NWC Schedule'!F19</f>
        <v>18034.879910172662</v>
      </c>
      <c r="F44" s="5">
        <f>'NWC Schedule'!G19</f>
        <v>18395.57750837598</v>
      </c>
      <c r="G44" s="5">
        <f>'NWC Schedule'!H19</f>
        <v>14072.616793907597</v>
      </c>
    </row>
    <row r="45" spans="2:7" ht="14" customHeight="1" x14ac:dyDescent="0.3">
      <c r="B45" s="4" t="s">
        <v>101</v>
      </c>
      <c r="C45" s="20">
        <f>C41+C42-C43-C44</f>
        <v>-7005.1848016666481</v>
      </c>
      <c r="D45" s="20">
        <f>D41+D42-D43-D44</f>
        <v>22307.100098908297</v>
      </c>
      <c r="E45" s="20">
        <f>E41+E42-E43-E44</f>
        <v>119503.99329848948</v>
      </c>
      <c r="F45" s="20">
        <f>F41+F42-F43-F44</f>
        <v>212692.07316445943</v>
      </c>
      <c r="G45" s="20">
        <f>G41+G42-G43-G44</f>
        <v>306839.34863902035</v>
      </c>
    </row>
    <row r="46" spans="2:7" ht="14" customHeight="1" x14ac:dyDescent="0.3">
      <c r="B46" s="4" t="s">
        <v>102</v>
      </c>
      <c r="C46" s="21">
        <f>1/(1+C26)^(C19+0)</f>
        <v>0.95830049306246479</v>
      </c>
      <c r="D46" s="21">
        <f>1/(1+C26)^(C19+1)</f>
        <v>0.91833983500376304</v>
      </c>
      <c r="E46" s="21">
        <f>1/(1+C26)^(C19+2)</f>
        <v>0.88004551668300868</v>
      </c>
      <c r="F46" s="21">
        <f>1/(1+C26)^(C19+3)</f>
        <v>0.84334805255473877</v>
      </c>
      <c r="G46" s="21">
        <f>1/(1+C26)^(C19+4)</f>
        <v>0.80818085458647559</v>
      </c>
    </row>
    <row r="47" spans="2:7" ht="14" customHeight="1" x14ac:dyDescent="0.3">
      <c r="B47" s="4" t="s">
        <v>103</v>
      </c>
      <c r="C47" s="19">
        <f>C45*C46</f>
        <v>-6713.0720494308334</v>
      </c>
      <c r="D47" s="19">
        <f>D45*D46</f>
        <v>20485.498624243872</v>
      </c>
      <c r="E47" s="19">
        <f>E45*E46</f>
        <v>105168.95352805198</v>
      </c>
      <c r="F47" s="19">
        <f>F45*F46</f>
        <v>179373.44569707688</v>
      </c>
      <c r="G47" s="19">
        <f>G45*G46</f>
        <v>247981.68700384098</v>
      </c>
    </row>
    <row r="49" spans="2:7" ht="14" customHeight="1" x14ac:dyDescent="0.3">
      <c r="B49" s="22" t="s">
        <v>104</v>
      </c>
      <c r="C49" s="23"/>
      <c r="D49" s="23"/>
      <c r="E49" s="23"/>
      <c r="F49" s="23"/>
      <c r="G49" s="23"/>
    </row>
    <row r="50" spans="2:7" ht="14" customHeight="1" x14ac:dyDescent="0.3">
      <c r="B50" s="4" t="s">
        <v>105</v>
      </c>
      <c r="C50" s="5">
        <f>SUM(C47:G47)</f>
        <v>546296.51280378294</v>
      </c>
    </row>
    <row r="51" spans="2:7" ht="14" customHeight="1" x14ac:dyDescent="0.3">
      <c r="B51" s="4" t="s">
        <v>106</v>
      </c>
      <c r="C51" s="5">
        <f>G45*(1+C13)/(C26-C13)</f>
        <v>9247107.359909635</v>
      </c>
    </row>
    <row r="52" spans="2:7" ht="14" customHeight="1" x14ac:dyDescent="0.3">
      <c r="B52" s="4" t="s">
        <v>107</v>
      </c>
      <c r="C52" s="5">
        <f>C51*G46</f>
        <v>7473335.1285846569</v>
      </c>
    </row>
    <row r="53" spans="2:7" ht="14" customHeight="1" x14ac:dyDescent="0.3">
      <c r="B53" s="4" t="s">
        <v>108</v>
      </c>
      <c r="C53" s="5">
        <f>C50+C52</f>
        <v>8019631.6413884396</v>
      </c>
    </row>
    <row r="54" spans="2:7" ht="14" customHeight="1" x14ac:dyDescent="0.3">
      <c r="B54" s="4" t="s">
        <v>109</v>
      </c>
      <c r="C54" s="5">
        <f>C53-C16</f>
        <v>3421798.6413884396</v>
      </c>
    </row>
    <row r="55" spans="2:7" ht="14" customHeight="1" x14ac:dyDescent="0.3">
      <c r="B55" s="4" t="s">
        <v>110</v>
      </c>
      <c r="C55" s="24">
        <f>ROUND(C54*1000000/C15,0)</f>
        <v>3031</v>
      </c>
    </row>
    <row r="57" spans="2:7" ht="14" customHeight="1" x14ac:dyDescent="0.3">
      <c r="B57" s="22" t="s">
        <v>111</v>
      </c>
      <c r="C57" s="23"/>
      <c r="D57" s="23"/>
      <c r="E57" s="23"/>
      <c r="F57" s="23"/>
      <c r="G57" s="23"/>
    </row>
    <row r="58" spans="2:7" ht="14" customHeight="1" x14ac:dyDescent="0.3">
      <c r="B58" s="4" t="s">
        <v>105</v>
      </c>
      <c r="C58" s="5">
        <f>C50</f>
        <v>546296.51280378294</v>
      </c>
    </row>
    <row r="59" spans="2:7" ht="14" customHeight="1" x14ac:dyDescent="0.3">
      <c r="B59" s="4" t="s">
        <v>112</v>
      </c>
      <c r="C59" s="5">
        <f>G39+G42</f>
        <v>935313.85732205422</v>
      </c>
    </row>
    <row r="60" spans="2:7" ht="14" customHeight="1" x14ac:dyDescent="0.3">
      <c r="B60" s="4" t="s">
        <v>113</v>
      </c>
      <c r="C60" s="5">
        <f>C59*C14</f>
        <v>6921322.5441832012</v>
      </c>
    </row>
    <row r="61" spans="2:7" ht="14" customHeight="1" x14ac:dyDescent="0.3">
      <c r="B61" s="4" t="s">
        <v>107</v>
      </c>
      <c r="C61" s="5">
        <f>C60*G46</f>
        <v>5593680.3686266188</v>
      </c>
    </row>
    <row r="62" spans="2:7" ht="14" customHeight="1" x14ac:dyDescent="0.3">
      <c r="B62" s="4" t="s">
        <v>108</v>
      </c>
      <c r="C62" s="5">
        <f>C58+C61</f>
        <v>6139976.8814304015</v>
      </c>
    </row>
    <row r="63" spans="2:7" ht="14" customHeight="1" x14ac:dyDescent="0.3">
      <c r="B63" s="4" t="s">
        <v>109</v>
      </c>
      <c r="C63" s="5">
        <f>C62-C16</f>
        <v>1542143.8814304015</v>
      </c>
    </row>
    <row r="64" spans="2:7" ht="14" customHeight="1" x14ac:dyDescent="0.3">
      <c r="B64" s="4" t="s">
        <v>114</v>
      </c>
      <c r="C64" s="24">
        <f>ROUND(C63*1000000/C15,0)</f>
        <v>1366</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2.5000000000000001E-2</v>
      </c>
      <c r="D69" s="26">
        <v>2.5000000000000001E-2</v>
      </c>
      <c r="E69" s="26">
        <v>0.02</v>
      </c>
      <c r="F69" s="26">
        <v>0.02</v>
      </c>
      <c r="G69" s="26">
        <v>1.4999999999999999E-2</v>
      </c>
    </row>
    <row r="70" spans="2:7" ht="14" customHeight="1" x14ac:dyDescent="0.3">
      <c r="B70" s="4" t="s">
        <v>121</v>
      </c>
      <c r="C70" s="26">
        <v>0.04</v>
      </c>
      <c r="D70" s="26">
        <v>3.5000000000000003E-2</v>
      </c>
      <c r="E70" s="26">
        <v>0.03</v>
      </c>
      <c r="F70" s="26">
        <v>0.03</v>
      </c>
      <c r="G70" s="26">
        <v>2.5000000000000001E-2</v>
      </c>
    </row>
    <row r="71" spans="2:7" ht="14" customHeight="1" x14ac:dyDescent="0.3">
      <c r="B71" s="4" t="s">
        <v>122</v>
      </c>
      <c r="C71" s="26">
        <v>2.5000000000000001E-2</v>
      </c>
      <c r="D71" s="26">
        <v>2.5000000000000001E-2</v>
      </c>
      <c r="E71" s="26">
        <v>0.02</v>
      </c>
      <c r="F71" s="26">
        <v>0.02</v>
      </c>
      <c r="G71" s="26">
        <v>1.4999999999999999E-2</v>
      </c>
    </row>
    <row r="72" spans="2:7" ht="14" customHeight="1" x14ac:dyDescent="0.3">
      <c r="B72" s="4" t="s">
        <v>123</v>
      </c>
      <c r="C72" s="26">
        <v>0.01</v>
      </c>
      <c r="D72" s="26">
        <v>1.4999999999999999E-2</v>
      </c>
      <c r="E72" s="26">
        <v>1.4999999999999999E-2</v>
      </c>
      <c r="F72" s="26">
        <v>1.4999999999999999E-2</v>
      </c>
      <c r="G72" s="26">
        <v>1.4999999999999999E-2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0.63300000000000001</v>
      </c>
      <c r="D76" s="26">
        <v>0.63300000000000001</v>
      </c>
      <c r="E76" s="26">
        <v>0.63300000000000001</v>
      </c>
      <c r="F76" s="26">
        <v>0.63300000000000001</v>
      </c>
      <c r="G76" s="26">
        <v>0.63300000000000001</v>
      </c>
    </row>
    <row r="77" spans="2:7" ht="14" customHeight="1" x14ac:dyDescent="0.3">
      <c r="B77" s="4" t="s">
        <v>121</v>
      </c>
      <c r="C77" s="26">
        <v>0.623</v>
      </c>
      <c r="D77" s="26">
        <v>0.623</v>
      </c>
      <c r="E77" s="26">
        <v>0.623</v>
      </c>
      <c r="F77" s="26">
        <v>0.623</v>
      </c>
      <c r="G77" s="26">
        <v>0.623</v>
      </c>
    </row>
    <row r="78" spans="2:7" ht="14" customHeight="1" x14ac:dyDescent="0.3">
      <c r="B78" s="4" t="s">
        <v>122</v>
      </c>
      <c r="C78" s="26">
        <v>0.63300000000000001</v>
      </c>
      <c r="D78" s="26">
        <v>0.63300000000000001</v>
      </c>
      <c r="E78" s="26">
        <v>0.63300000000000001</v>
      </c>
      <c r="F78" s="26">
        <v>0.63300000000000001</v>
      </c>
      <c r="G78" s="26">
        <v>0.63300000000000001</v>
      </c>
    </row>
    <row r="79" spans="2:7" ht="14" customHeight="1" x14ac:dyDescent="0.3">
      <c r="B79" s="4" t="s">
        <v>123</v>
      </c>
      <c r="C79" s="26">
        <v>0.64300000000000002</v>
      </c>
      <c r="D79" s="26">
        <v>0.64300000000000002</v>
      </c>
      <c r="E79" s="26">
        <v>0.64300000000000002</v>
      </c>
      <c r="F79" s="26">
        <v>0.64300000000000002</v>
      </c>
      <c r="G79" s="26">
        <v>0.64300000000000002</v>
      </c>
    </row>
    <row r="80" spans="2:7" ht="14" customHeight="1" x14ac:dyDescent="0.3">
      <c r="B80" s="4" t="s">
        <v>124</v>
      </c>
      <c r="C80" s="26">
        <v>0.66</v>
      </c>
      <c r="D80" s="26">
        <v>0.66</v>
      </c>
      <c r="E80" s="26">
        <v>0.66</v>
      </c>
      <c r="F80" s="26">
        <v>0.66</v>
      </c>
      <c r="G80" s="26">
        <v>0.66</v>
      </c>
    </row>
    <row r="82" spans="2:7" ht="14" customHeight="1" x14ac:dyDescent="0.3">
      <c r="B82" s="3" t="s">
        <v>92</v>
      </c>
    </row>
    <row r="83" spans="2:7" ht="14" customHeight="1" x14ac:dyDescent="0.3">
      <c r="B83" s="4" t="s">
        <v>84</v>
      </c>
      <c r="C83" s="26">
        <v>0.23270399999999999</v>
      </c>
      <c r="D83" s="26">
        <v>0.23270399999999999</v>
      </c>
      <c r="E83" s="26">
        <v>0.23270399999999999</v>
      </c>
      <c r="F83" s="26">
        <v>0.23270399999999999</v>
      </c>
      <c r="G83" s="26">
        <v>0.23270399999999999</v>
      </c>
    </row>
    <row r="84" spans="2:7" ht="14" customHeight="1" x14ac:dyDescent="0.3">
      <c r="B84" s="4" t="s">
        <v>121</v>
      </c>
      <c r="C84" s="26">
        <v>0.23899999999999999</v>
      </c>
      <c r="D84" s="26">
        <v>0.23599999999999999</v>
      </c>
      <c r="E84" s="26">
        <v>0.23350000000000001</v>
      </c>
      <c r="F84" s="26">
        <v>0.23150000000000001</v>
      </c>
      <c r="G84" s="26">
        <v>0.23</v>
      </c>
    </row>
    <row r="85" spans="2:7" ht="14" customHeight="1" x14ac:dyDescent="0.3">
      <c r="B85" s="4" t="s">
        <v>122</v>
      </c>
      <c r="C85" s="26">
        <v>0.23270399999999999</v>
      </c>
      <c r="D85" s="26">
        <v>0.23270399999999999</v>
      </c>
      <c r="E85" s="26">
        <v>0.23270399999999999</v>
      </c>
      <c r="F85" s="26">
        <v>0.23270399999999999</v>
      </c>
      <c r="G85" s="26">
        <v>0.23270399999999999</v>
      </c>
    </row>
    <row r="86" spans="2:7" ht="14" customHeight="1" x14ac:dyDescent="0.3">
      <c r="B86" s="4" t="s">
        <v>123</v>
      </c>
      <c r="C86" s="26">
        <v>0.22900000000000001</v>
      </c>
      <c r="D86" s="26">
        <v>0.23400000000000001</v>
      </c>
      <c r="E86" s="26">
        <v>0.23799999999999999</v>
      </c>
      <c r="F86" s="26">
        <v>0.24099999999999999</v>
      </c>
      <c r="G86" s="26">
        <v>0.24299999999999999</v>
      </c>
    </row>
    <row r="87" spans="2:7" ht="14" customHeight="1" x14ac:dyDescent="0.3">
      <c r="B87" s="4" t="s">
        <v>124</v>
      </c>
      <c r="C87" s="26">
        <v>0.23499999999999999</v>
      </c>
      <c r="D87" s="26">
        <v>0.245</v>
      </c>
      <c r="E87" s="26">
        <v>0.25</v>
      </c>
      <c r="F87" s="26">
        <v>0.25</v>
      </c>
      <c r="G87" s="26">
        <v>0.248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3520</v>
      </c>
    </row>
    <row r="7" spans="2:9" ht="14" customHeight="1" x14ac:dyDescent="0.3">
      <c r="B7" s="4" t="s">
        <v>72</v>
      </c>
      <c r="C7" s="15">
        <f>'DCF Model'!C15</f>
        <v>1129068483</v>
      </c>
    </row>
    <row r="8" spans="2:9" ht="14" customHeight="1" x14ac:dyDescent="0.3">
      <c r="B8" s="4" t="s">
        <v>129</v>
      </c>
      <c r="C8" s="5">
        <f>C6*C7/1000000</f>
        <v>3974321.0601599999</v>
      </c>
    </row>
    <row r="9" spans="2:9" ht="14" customHeight="1" x14ac:dyDescent="0.3">
      <c r="B9" s="4" t="s">
        <v>73</v>
      </c>
      <c r="C9" s="5">
        <f>'DCF Model'!C16</f>
        <v>4597833</v>
      </c>
    </row>
    <row r="10" spans="2:9" ht="14" customHeight="1" x14ac:dyDescent="0.3">
      <c r="B10" s="4" t="s">
        <v>130</v>
      </c>
      <c r="C10" s="5">
        <f>C8+C9</f>
        <v>8572154.0601599999</v>
      </c>
    </row>
    <row r="11" spans="2:9" ht="14" customHeight="1" x14ac:dyDescent="0.3">
      <c r="B11" s="4" t="s">
        <v>131</v>
      </c>
      <c r="C11" s="16">
        <f>'DCF Model'!C26</f>
        <v>4.3514020121470619E-2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414259</v>
      </c>
    </row>
    <row r="15" spans="2:9" ht="14" customHeight="1" x14ac:dyDescent="0.3">
      <c r="B15" s="4" t="s">
        <v>135</v>
      </c>
      <c r="C15" s="27">
        <v>414259</v>
      </c>
    </row>
    <row r="16" spans="2:9" ht="14" customHeight="1" x14ac:dyDescent="0.3">
      <c r="B16" s="4" t="s">
        <v>136</v>
      </c>
      <c r="C16" s="5">
        <f>'DCF Model'!G33</f>
        <v>3422347.4083852451</v>
      </c>
    </row>
    <row r="17" spans="2:9" ht="14" customHeight="1" x14ac:dyDescent="0.3">
      <c r="B17" s="4" t="s">
        <v>137</v>
      </c>
      <c r="C17" s="5">
        <f>'DCF Model'!C53</f>
        <v>8019631.6413884396</v>
      </c>
    </row>
    <row r="18" spans="2:9" ht="14" customHeight="1" x14ac:dyDescent="0.3">
      <c r="B18" s="4" t="s">
        <v>138</v>
      </c>
      <c r="C18" s="26">
        <v>0.13429565928902171</v>
      </c>
    </row>
    <row r="19" spans="2:9" ht="14" customHeight="1" x14ac:dyDescent="0.3">
      <c r="B19" s="4" t="s">
        <v>139</v>
      </c>
      <c r="C19" s="5">
        <f>C10-C17</f>
        <v>552522.4187715603</v>
      </c>
    </row>
    <row r="20" spans="2:9" ht="14" customHeight="1" x14ac:dyDescent="0.3">
      <c r="B20" s="4" t="s">
        <v>140</v>
      </c>
      <c r="C20" s="15">
        <f>IFERROR(ROUND(C19*1000000/C7,0),"N/A")</f>
        <v>489</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287287.3436565483</v>
      </c>
    </row>
    <row r="25" spans="2:9" ht="14" customHeight="1" x14ac:dyDescent="0.3">
      <c r="B25" s="4" t="s">
        <v>144</v>
      </c>
      <c r="C25" s="5">
        <f>IFERROR(C24/(1-C13),"N/A")</f>
        <v>383049.7915420644</v>
      </c>
    </row>
    <row r="26" spans="2:9" ht="13.5" customHeight="1" x14ac:dyDescent="0.25">
      <c r="B26" s="6" t="s">
        <v>145</v>
      </c>
      <c r="C26" s="14">
        <f>IFERROR(C25/C15,"N/A")</f>
        <v>0.92466256989483486</v>
      </c>
    </row>
    <row r="27" spans="2:9" ht="13.5" customHeight="1" x14ac:dyDescent="0.25">
      <c r="B27" s="6" t="s">
        <v>146</v>
      </c>
      <c r="C27" s="14">
        <f>IFERROR(C25/C14,"N/A")</f>
        <v>0.92466256989483486</v>
      </c>
    </row>
    <row r="28" spans="2:9" ht="13.5" customHeight="1" x14ac:dyDescent="0.25">
      <c r="B28" s="6" t="s">
        <v>147</v>
      </c>
      <c r="C28" s="7">
        <f>IFERROR(C25/C16,"N/A")</f>
        <v>0.11192603959596185</v>
      </c>
    </row>
    <row r="29" spans="2:9" ht="13.5" customHeight="1" x14ac:dyDescent="0.25">
      <c r="B29" s="6" t="s">
        <v>148</v>
      </c>
      <c r="C29" s="5">
        <f>IFERROR(C25/C18,"N/A")</f>
        <v>2852287.2114406279</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2.3514020121470618E-2</v>
      </c>
      <c r="E36" s="29">
        <f>'DCF Model'!C26-0.01</f>
        <v>3.3514020121470617E-2</v>
      </c>
      <c r="F36" s="29">
        <f>'DCF Model'!C26</f>
        <v>4.3514020121470619E-2</v>
      </c>
      <c r="G36" s="29">
        <f>'DCF Model'!C26+0.01</f>
        <v>5.3514020121470621E-2</v>
      </c>
      <c r="H36" s="29">
        <f>'DCF Model'!C26+0.02</f>
        <v>6.3514020121470616E-2</v>
      </c>
    </row>
    <row r="37" spans="2:9" ht="14" customHeight="1" x14ac:dyDescent="0.3">
      <c r="B37" s="3" t="s">
        <v>154</v>
      </c>
    </row>
    <row r="38" spans="2:9" ht="14" customHeight="1" x14ac:dyDescent="0.3">
      <c r="B38" s="4" t="s">
        <v>155</v>
      </c>
      <c r="C38" s="30">
        <v>3</v>
      </c>
      <c r="D38" s="13">
        <f t="shared" ref="D38:H41" si="0">IFERROR((1-(1+D$36)^(-$C38))/D$36-(1+D$36)/(D$36^2*$C38)*(1-($C38+1)/(1+D$36)^$C38+$C38/(1+D$36)^($C38+1)),"N/A")</f>
        <v>0.96954418081996274</v>
      </c>
      <c r="E38" s="13">
        <f t="shared" si="0"/>
        <v>0.95711417219861561</v>
      </c>
      <c r="F38" s="13">
        <f t="shared" si="0"/>
        <v>0.94498027370960647</v>
      </c>
      <c r="G38" s="13">
        <f t="shared" si="0"/>
        <v>0.93313242082953218</v>
      </c>
      <c r="H38" s="13">
        <f t="shared" si="0"/>
        <v>0.92156098839396861</v>
      </c>
    </row>
    <row r="39" spans="2:9" ht="14" customHeight="1" x14ac:dyDescent="0.3">
      <c r="B39" s="4" t="s">
        <v>156</v>
      </c>
      <c r="C39" s="30">
        <v>5</v>
      </c>
      <c r="D39" s="13">
        <f t="shared" si="0"/>
        <v>1.9096736397917966</v>
      </c>
      <c r="E39" s="13">
        <f t="shared" si="0"/>
        <v>1.873404873403731</v>
      </c>
      <c r="F39" s="13">
        <f t="shared" si="0"/>
        <v>1.8383321126364485</v>
      </c>
      <c r="G39" s="13">
        <f t="shared" si="0"/>
        <v>1.8044017313847296</v>
      </c>
      <c r="H39" s="13">
        <f t="shared" si="0"/>
        <v>1.7715630826263404</v>
      </c>
    </row>
    <row r="40" spans="2:9" ht="14" customHeight="1" x14ac:dyDescent="0.3">
      <c r="B40" s="4" t="s">
        <v>157</v>
      </c>
      <c r="C40" s="30">
        <v>7</v>
      </c>
      <c r="D40" s="13">
        <f t="shared" si="0"/>
        <v>2.8213915568093193</v>
      </c>
      <c r="E40" s="13">
        <f t="shared" si="0"/>
        <v>2.7508288438889759</v>
      </c>
      <c r="F40" s="13">
        <f t="shared" si="0"/>
        <v>2.6832243111996186</v>
      </c>
      <c r="G40" s="13">
        <f t="shared" si="0"/>
        <v>2.6184139172178629</v>
      </c>
      <c r="H40" s="13">
        <f t="shared" si="0"/>
        <v>2.5562446448556373</v>
      </c>
    </row>
    <row r="41" spans="2:9" ht="14" customHeight="1" x14ac:dyDescent="0.3">
      <c r="B41" s="4" t="s">
        <v>158</v>
      </c>
      <c r="C41" s="30">
        <v>10</v>
      </c>
      <c r="D41" s="13">
        <f t="shared" si="0"/>
        <v>4.1378018136004666</v>
      </c>
      <c r="E41" s="13">
        <f t="shared" si="0"/>
        <v>3.9981253008565441</v>
      </c>
      <c r="F41" s="13">
        <f t="shared" si="0"/>
        <v>3.8661258411654673</v>
      </c>
      <c r="G41" s="13">
        <f t="shared" si="0"/>
        <v>3.7412587393685852</v>
      </c>
      <c r="H41" s="13">
        <f t="shared" si="0"/>
        <v>3.6230251811443575</v>
      </c>
    </row>
    <row r="42" spans="2:9" ht="14" customHeight="1" x14ac:dyDescent="0.3">
      <c r="B42" s="3" t="s">
        <v>159</v>
      </c>
    </row>
    <row r="43" spans="2:9" ht="14" customHeight="1" x14ac:dyDescent="0.3">
      <c r="B43" s="4" t="s">
        <v>155</v>
      </c>
      <c r="C43" s="30">
        <v>3</v>
      </c>
      <c r="D43" s="13">
        <f t="shared" ref="D43:H46" si="1">IFERROR((1+D$36)/(D$36^2*$C43)*(1-($C43+1)/(1+D$36)^$C43+$C43/(1+D$36)^($C43+1))+(1+$C$12)/((D$36-$C$12)*(1+D$36)^$C43),"N/A")</f>
        <v>71.598346618988487</v>
      </c>
      <c r="E43" s="13">
        <f t="shared" si="1"/>
        <v>40.761073412962674</v>
      </c>
      <c r="F43" s="13">
        <f t="shared" si="1"/>
        <v>28.333321558266515</v>
      </c>
      <c r="G43" s="13">
        <f t="shared" si="1"/>
        <v>21.622771797499368</v>
      </c>
      <c r="H43" s="13">
        <f t="shared" si="1"/>
        <v>17.424210064992195</v>
      </c>
    </row>
    <row r="44" spans="2:9" ht="14" customHeight="1" x14ac:dyDescent="0.3">
      <c r="B44" s="4" t="s">
        <v>156</v>
      </c>
      <c r="C44" s="30">
        <v>5</v>
      </c>
      <c r="D44" s="13">
        <f t="shared" si="1"/>
        <v>69.293802200146672</v>
      </c>
      <c r="E44" s="13">
        <f t="shared" si="1"/>
        <v>39.086807861623427</v>
      </c>
      <c r="F44" s="13">
        <f t="shared" si="1"/>
        <v>26.925739088997105</v>
      </c>
      <c r="G44" s="13">
        <f t="shared" si="1"/>
        <v>20.368406867652599</v>
      </c>
      <c r="H44" s="13">
        <f t="shared" si="1"/>
        <v>16.272791508412798</v>
      </c>
    </row>
    <row r="45" spans="2:9" ht="14" customHeight="1" x14ac:dyDescent="0.3">
      <c r="B45" s="4" t="s">
        <v>157</v>
      </c>
      <c r="C45" s="30">
        <v>7</v>
      </c>
      <c r="D45" s="13">
        <f t="shared" si="1"/>
        <v>67.079640819766567</v>
      </c>
      <c r="E45" s="13">
        <f t="shared" si="1"/>
        <v>37.499770093956286</v>
      </c>
      <c r="F45" s="13">
        <f t="shared" si="1"/>
        <v>25.608608418211251</v>
      </c>
      <c r="G45" s="13">
        <f t="shared" si="1"/>
        <v>19.209229844545497</v>
      </c>
      <c r="H45" s="13">
        <f t="shared" si="1"/>
        <v>15.221620183970996</v>
      </c>
    </row>
    <row r="46" spans="2:9" ht="14" customHeight="1" x14ac:dyDescent="0.3">
      <c r="B46" s="4" t="s">
        <v>158</v>
      </c>
      <c r="C46" s="30">
        <v>10</v>
      </c>
      <c r="D46" s="13">
        <f t="shared" si="1"/>
        <v>63.919639809498086</v>
      </c>
      <c r="E46" s="13">
        <f t="shared" si="1"/>
        <v>35.272034391443484</v>
      </c>
      <c r="F46" s="13">
        <f t="shared" si="1"/>
        <v>23.788660555847411</v>
      </c>
      <c r="G46" s="13">
        <f t="shared" si="1"/>
        <v>17.631645371757898</v>
      </c>
      <c r="H46" s="13">
        <f t="shared" si="1"/>
        <v>13.811869213030338</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154024.4553797142</v>
      </c>
      <c r="E48" s="5">
        <f t="shared" si="2"/>
        <v>270676.0313998622</v>
      </c>
      <c r="F48" s="5">
        <f t="shared" si="2"/>
        <v>389579.17944685416</v>
      </c>
      <c r="G48" s="5">
        <f t="shared" si="2"/>
        <v>510710.66867739306</v>
      </c>
      <c r="H48" s="5">
        <f t="shared" si="2"/>
        <v>634047.32680453092</v>
      </c>
    </row>
    <row r="49" spans="2:9" ht="14" customHeight="1" x14ac:dyDescent="0.3">
      <c r="B49" s="4" t="s">
        <v>156</v>
      </c>
      <c r="C49" s="30">
        <v>5</v>
      </c>
      <c r="D49" s="5">
        <f t="shared" si="2"/>
        <v>153526.56250274245</v>
      </c>
      <c r="E49" s="5">
        <f t="shared" si="2"/>
        <v>272559.06788664946</v>
      </c>
      <c r="F49" s="5">
        <f t="shared" si="2"/>
        <v>396200.56812444906</v>
      </c>
      <c r="G49" s="5">
        <f t="shared" si="2"/>
        <v>524442.05182304326</v>
      </c>
      <c r="H49" s="5">
        <f t="shared" si="2"/>
        <v>657272.1582713573</v>
      </c>
    </row>
    <row r="50" spans="2:9" ht="14" customHeight="1" x14ac:dyDescent="0.3">
      <c r="B50" s="4" t="s">
        <v>157</v>
      </c>
      <c r="C50" s="30">
        <v>7</v>
      </c>
      <c r="D50" s="5">
        <f t="shared" si="2"/>
        <v>152963.72754166808</v>
      </c>
      <c r="E50" s="5">
        <f t="shared" si="2"/>
        <v>274401.23272909882</v>
      </c>
      <c r="F50" s="5">
        <f t="shared" si="2"/>
        <v>402910.95706743852</v>
      </c>
      <c r="G50" s="5">
        <f t="shared" si="2"/>
        <v>538534.72001037491</v>
      </c>
      <c r="H50" s="5">
        <f t="shared" si="2"/>
        <v>681306.67243079795</v>
      </c>
    </row>
    <row r="51" spans="2:9" ht="14" customHeight="1" x14ac:dyDescent="0.3">
      <c r="B51" s="4" t="s">
        <v>158</v>
      </c>
      <c r="C51" s="30">
        <v>10</v>
      </c>
      <c r="D51" s="5">
        <f t="shared" si="2"/>
        <v>151994.24049220051</v>
      </c>
      <c r="E51" s="5">
        <f t="shared" si="2"/>
        <v>277082.95045899972</v>
      </c>
      <c r="F51" s="5">
        <f t="shared" si="2"/>
        <v>413136.38903594582</v>
      </c>
      <c r="G51" s="5">
        <f t="shared" si="2"/>
        <v>560338.43889538781</v>
      </c>
      <c r="H51" s="5">
        <f t="shared" si="2"/>
        <v>718850.41808804963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0.37180714330820624</v>
      </c>
      <c r="E53" s="14">
        <f t="shared" si="3"/>
        <v>0.65339807077181711</v>
      </c>
      <c r="F53" s="14">
        <f t="shared" si="3"/>
        <v>0.9404241777411092</v>
      </c>
      <c r="G53" s="14">
        <f t="shared" si="3"/>
        <v>1.2328293861506765</v>
      </c>
      <c r="H53" s="14">
        <f t="shared" si="3"/>
        <v>1.5305577592871391</v>
      </c>
    </row>
    <row r="54" spans="2:9" ht="14" customHeight="1" x14ac:dyDescent="0.3">
      <c r="B54" s="4" t="s">
        <v>156</v>
      </c>
      <c r="C54" s="30">
        <v>5</v>
      </c>
      <c r="D54" s="14">
        <f t="shared" si="3"/>
        <v>0.37060525541446887</v>
      </c>
      <c r="E54" s="14">
        <f t="shared" si="3"/>
        <v>0.65794362436700093</v>
      </c>
      <c r="F54" s="14">
        <f t="shared" si="3"/>
        <v>0.95640787073895572</v>
      </c>
      <c r="G54" s="14">
        <f t="shared" si="3"/>
        <v>1.2659762414891247</v>
      </c>
      <c r="H54" s="14">
        <f t="shared" si="3"/>
        <v>1.5866213124430786</v>
      </c>
    </row>
    <row r="55" spans="2:9" ht="14" customHeight="1" x14ac:dyDescent="0.3">
      <c r="B55" s="4" t="s">
        <v>157</v>
      </c>
      <c r="C55" s="30">
        <v>7</v>
      </c>
      <c r="D55" s="14">
        <f t="shared" si="3"/>
        <v>0.36924660065724119</v>
      </c>
      <c r="E55" s="14">
        <f t="shared" si="3"/>
        <v>0.66239051590695386</v>
      </c>
      <c r="F55" s="14">
        <f t="shared" si="3"/>
        <v>0.97260640581722668</v>
      </c>
      <c r="G55" s="14">
        <f t="shared" si="3"/>
        <v>1.2999952204064966</v>
      </c>
      <c r="H55" s="14">
        <f t="shared" si="3"/>
        <v>1.6446393981320815</v>
      </c>
    </row>
    <row r="56" spans="2:9" ht="14" customHeight="1" x14ac:dyDescent="0.3">
      <c r="B56" s="4" t="s">
        <v>158</v>
      </c>
      <c r="C56" s="30">
        <v>10</v>
      </c>
      <c r="D56" s="14">
        <f t="shared" si="3"/>
        <v>0.36690630859486578</v>
      </c>
      <c r="E56" s="14">
        <f t="shared" si="3"/>
        <v>0.66886404509980402</v>
      </c>
      <c r="F56" s="14">
        <f t="shared" si="3"/>
        <v>0.99729007465364861</v>
      </c>
      <c r="G56" s="14">
        <f t="shared" si="3"/>
        <v>1.352628280605582</v>
      </c>
      <c r="H56" s="14">
        <f t="shared" si="3"/>
        <v>1.7352680764643609</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396200.56812444906</v>
      </c>
    </row>
    <row r="62" spans="2:9" ht="14" customHeight="1" x14ac:dyDescent="0.3">
      <c r="B62" s="28" t="s">
        <v>165</v>
      </c>
      <c r="C62" s="28" t="s">
        <v>166</v>
      </c>
      <c r="D62" s="28" t="s">
        <v>167</v>
      </c>
    </row>
    <row r="63" spans="2:9" ht="14" customHeight="1" x14ac:dyDescent="0.3">
      <c r="B63" s="31">
        <v>6.7100000000000007E-2</v>
      </c>
      <c r="C63" s="5">
        <f>IFERROR($C$60/B63,"N/A")</f>
        <v>5904628.4370260658</v>
      </c>
      <c r="D63" s="14">
        <f>IFERROR(C63/'DCF Model'!C17,"N/A")</f>
        <v>1.9141792183323016</v>
      </c>
    </row>
    <row r="64" spans="2:9" ht="14" customHeight="1" x14ac:dyDescent="0.3">
      <c r="B64" s="31">
        <v>0.1007</v>
      </c>
      <c r="C64" s="5">
        <f>IFERROR($C$60/B64,"N/A")</f>
        <v>3934464.4302328606</v>
      </c>
      <c r="D64" s="14">
        <f>IFERROR(C64/'DCF Model'!C17,"N/A")</f>
        <v>1.2754858545193393</v>
      </c>
    </row>
    <row r="65" spans="2:9" ht="14" customHeight="1" x14ac:dyDescent="0.3">
      <c r="B65" s="4" t="s">
        <v>168</v>
      </c>
      <c r="C65" s="5">
        <f>IFERROR($C$60/$C$18,"N/A")</f>
        <v>2950211.2743031699</v>
      </c>
      <c r="D65" s="14">
        <f>IFERROR(C65/'DCF Model'!C17,"N/A")</f>
        <v>0.95640787073895528</v>
      </c>
    </row>
    <row r="66" spans="2:9" ht="14" customHeight="1" x14ac:dyDescent="0.3">
      <c r="B66" s="31">
        <v>0.16789999999999999</v>
      </c>
      <c r="C66" s="5">
        <f>IFERROR($C$60/B66,"N/A")</f>
        <v>2359741.322956814</v>
      </c>
      <c r="D66" s="14">
        <f>IFERROR(C66/'DCF Model'!C17,"N/A")</f>
        <v>0.7649876447295858</v>
      </c>
    </row>
    <row r="67" spans="2:9" ht="14" customHeight="1" x14ac:dyDescent="0.3">
      <c r="B67" s="31">
        <v>0.2014</v>
      </c>
      <c r="C67" s="5">
        <f>IFERROR($C$60/B67,"N/A")</f>
        <v>1967232.2151164303</v>
      </c>
      <c r="D67" s="14">
        <f>IFERROR(C67/'DCF Model'!C17,"N/A")</f>
        <v>0.63774292725966963</v>
      </c>
    </row>
    <row r="69" spans="2:9" ht="14" customHeight="1" x14ac:dyDescent="0.3">
      <c r="B69" s="8" t="s">
        <v>169</v>
      </c>
      <c r="C69" s="9"/>
      <c r="D69" s="9"/>
      <c r="E69" s="9"/>
      <c r="F69" s="9"/>
      <c r="G69" s="9"/>
      <c r="H69" s="9"/>
      <c r="I69" s="9"/>
    </row>
    <row r="70" spans="2:9" ht="13.5" customHeight="1" x14ac:dyDescent="0.25">
      <c r="B70" s="6" t="s">
        <v>170</v>
      </c>
      <c r="C70" s="14">
        <f>IFERROR(C10/'Comps Analysis'!G5,"N/A")</f>
        <v>10.168761466828155</v>
      </c>
    </row>
    <row r="71" spans="2:9" ht="13.5" customHeight="1" x14ac:dyDescent="0.25">
      <c r="B71" s="6" t="s">
        <v>171</v>
      </c>
      <c r="C71" s="14">
        <f>IFERROR(C10/'Comps Analysis'!F5,"N/A")</f>
        <v>2.7789452517295965</v>
      </c>
    </row>
    <row r="72" spans="2:9" ht="14" customHeight="1" x14ac:dyDescent="0.3">
      <c r="B72" s="4" t="s">
        <v>172</v>
      </c>
      <c r="C72" s="14">
        <f>IFERROR(C10/(C25+'DCF Model'!G42),"N/A")</f>
        <v>9.9820592211787584</v>
      </c>
    </row>
    <row r="73" spans="2:9" ht="14" customHeight="1" x14ac:dyDescent="0.3">
      <c r="B73" s="4" t="s">
        <v>173</v>
      </c>
      <c r="C73" s="14">
        <f>IFERROR(C10/(C60+'DCF Model'!G42),"N/A")</f>
        <v>9.8315020493180736</v>
      </c>
    </row>
    <row r="74" spans="2:9" ht="14" customHeight="1" x14ac:dyDescent="0.3">
      <c r="B74" s="4" t="s">
        <v>174</v>
      </c>
      <c r="C74" s="14">
        <f>IFERROR('Comps Analysis'!D16,"N/A")</f>
        <v>7.358486559733926</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3,520 yen the market is paying for a steady-state operating profit of 396,201 mn JPY - 0.96x the FY2026 cycle peak of 414,259 mn - reached in 5 years and sustained for ever, against 414,259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383,050 mn, or 0.92x the peak. The base case supports an EV of only 8,019,632 mn, leaving 489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91.348832406872816</v>
      </c>
      <c r="D5" s="34">
        <f>CHOOSE('DCF Model'!$D$27,D25,D26,D27,D28,D29)</f>
        <v>87</v>
      </c>
      <c r="E5" s="34">
        <f>CHOOSE('DCF Model'!$D$27,E25,E26,E27,E28,E29)</f>
        <v>87</v>
      </c>
      <c r="F5" s="34">
        <f>CHOOSE('DCF Model'!$D$27,F25,F26,F27,F28,F29)</f>
        <v>87</v>
      </c>
      <c r="G5" s="34">
        <f>CHOOSE('DCF Model'!$D$27,G25,G26,G27,G28,G29)</f>
        <v>87</v>
      </c>
      <c r="H5" s="34">
        <f>CHOOSE('DCF Model'!$D$27,H25,H26,H27,H28,H29)</f>
        <v>87</v>
      </c>
    </row>
    <row r="6" spans="2:8" ht="14" customHeight="1" x14ac:dyDescent="0.3">
      <c r="B6" s="33" t="s">
        <v>181</v>
      </c>
      <c r="C6" s="34">
        <f>C13/C10*365</f>
        <v>40.643607349309306</v>
      </c>
      <c r="D6" s="34">
        <f>CHOOSE('DCF Model'!$D$27,D32,D33,D34,D35,D36)</f>
        <v>34</v>
      </c>
      <c r="E6" s="34">
        <f>CHOOSE('DCF Model'!$D$27,E32,E33,E34,E35,E36)</f>
        <v>34</v>
      </c>
      <c r="F6" s="34">
        <f>CHOOSE('DCF Model'!$D$27,F32,F33,F34,F35,F36)</f>
        <v>34</v>
      </c>
      <c r="G6" s="34">
        <f>CHOOSE('DCF Model'!$D$27,G32,G33,G34,G35,G36)</f>
        <v>34</v>
      </c>
      <c r="H6" s="34">
        <f>CHOOSE('DCF Model'!$D$27,H32,H33,H34,H35,H36)</f>
        <v>34</v>
      </c>
    </row>
    <row r="7" spans="2:8" ht="14" customHeight="1" x14ac:dyDescent="0.3">
      <c r="B7" s="33" t="s">
        <v>182</v>
      </c>
      <c r="C7" s="34">
        <f>C15/C10*365</f>
        <v>12.031093901298128</v>
      </c>
      <c r="D7" s="34">
        <f>CHOOSE('DCF Model'!$D$27,D39,D40,D41,D42,D43)</f>
        <v>11</v>
      </c>
      <c r="E7" s="34">
        <f>CHOOSE('DCF Model'!$D$27,E39,E40,E41,E42,E43)</f>
        <v>11</v>
      </c>
      <c r="F7" s="34">
        <f>CHOOSE('DCF Model'!$D$27,F39,F40,F41,F42,F43)</f>
        <v>11</v>
      </c>
      <c r="G7" s="34">
        <f>CHOOSE('DCF Model'!$D$27,G39,G40,G41,G42,G43)</f>
        <v>11</v>
      </c>
      <c r="H7" s="34">
        <f>CHOOSE('DCF Model'!$D$27,H39,H40,H41,H42,H43)</f>
        <v>11</v>
      </c>
    </row>
    <row r="8" spans="2:8" ht="14" customHeight="1" x14ac:dyDescent="0.3">
      <c r="B8" s="8" t="s">
        <v>183</v>
      </c>
      <c r="C8" s="9"/>
      <c r="D8" s="9"/>
      <c r="E8" s="9"/>
      <c r="F8" s="9"/>
      <c r="G8" s="9"/>
      <c r="H8" s="9"/>
    </row>
    <row r="9" spans="2:8" ht="14" customHeight="1" x14ac:dyDescent="0.3">
      <c r="B9" s="33" t="s">
        <v>37</v>
      </c>
      <c r="C9" s="35">
        <v>3084679</v>
      </c>
      <c r="D9" s="35">
        <f>'DCF Model'!C33</f>
        <v>3161795.9749999996</v>
      </c>
      <c r="E9" s="35">
        <f>'DCF Model'!D33</f>
        <v>3240840.8743749992</v>
      </c>
      <c r="F9" s="35">
        <f>'DCF Model'!E33</f>
        <v>3305657.6918624993</v>
      </c>
      <c r="G9" s="35">
        <f>'DCF Model'!F33</f>
        <v>3371770.8456997494</v>
      </c>
      <c r="H9" s="35">
        <f>'DCF Model'!G33</f>
        <v>3422347.4083852451</v>
      </c>
    </row>
    <row r="10" spans="2:8" ht="14" customHeight="1" x14ac:dyDescent="0.3">
      <c r="B10" s="33" t="s">
        <v>38</v>
      </c>
      <c r="C10" s="35">
        <v>1952891</v>
      </c>
      <c r="D10" s="35">
        <f>'DCF Model'!C34</f>
        <v>2001416.8521749999</v>
      </c>
      <c r="E10" s="35">
        <f>'DCF Model'!D34</f>
        <v>2051452.2734793746</v>
      </c>
      <c r="F10" s="35">
        <f>'DCF Model'!E34</f>
        <v>2092481.318948962</v>
      </c>
      <c r="G10" s="35">
        <f>'DCF Model'!F34</f>
        <v>2134330.9453279413</v>
      </c>
      <c r="H10" s="35">
        <f>'DCF Model'!G34</f>
        <v>2166345.90950786</v>
      </c>
    </row>
    <row r="11" spans="2:8" ht="14" customHeight="1" x14ac:dyDescent="0.3">
      <c r="B11" s="8" t="s">
        <v>184</v>
      </c>
      <c r="C11" s="9"/>
      <c r="D11" s="9"/>
      <c r="E11" s="9"/>
      <c r="F11" s="9"/>
      <c r="G11" s="9"/>
      <c r="H11" s="9"/>
    </row>
    <row r="12" spans="2:8" ht="14" customHeight="1" x14ac:dyDescent="0.3">
      <c r="B12" s="33" t="s">
        <v>185</v>
      </c>
      <c r="C12" s="35">
        <v>772005</v>
      </c>
      <c r="D12" s="35">
        <f t="shared" ref="D12:H13" si="0">D9*D5/365</f>
        <v>753633.56116438354</v>
      </c>
      <c r="E12" s="35">
        <f t="shared" si="0"/>
        <v>772474.400193493</v>
      </c>
      <c r="F12" s="35">
        <f t="shared" si="0"/>
        <v>787923.88819736289</v>
      </c>
      <c r="G12" s="35">
        <f t="shared" si="0"/>
        <v>803682.3659613101</v>
      </c>
      <c r="H12" s="35">
        <f t="shared" si="0"/>
        <v>815737.60145072965</v>
      </c>
    </row>
    <row r="13" spans="2:8" ht="14" customHeight="1" x14ac:dyDescent="0.3">
      <c r="B13" s="33" t="s">
        <v>186</v>
      </c>
      <c r="C13" s="35">
        <v>217459</v>
      </c>
      <c r="D13" s="35">
        <f t="shared" si="0"/>
        <v>186433.35061356163</v>
      </c>
      <c r="E13" s="35">
        <f t="shared" si="0"/>
        <v>191094.18437890062</v>
      </c>
      <c r="F13" s="35">
        <f t="shared" si="0"/>
        <v>194916.06806647868</v>
      </c>
      <c r="G13" s="35">
        <f t="shared" si="0"/>
        <v>198814.3894278082</v>
      </c>
      <c r="H13" s="35">
        <f t="shared" si="0"/>
        <v>201796.60526922534</v>
      </c>
    </row>
    <row r="14" spans="2:8" ht="14" customHeight="1" x14ac:dyDescent="0.3">
      <c r="B14" s="33" t="s">
        <v>187</v>
      </c>
      <c r="C14" s="35">
        <f t="shared" ref="C14:H14" si="1">C12+C13</f>
        <v>989464</v>
      </c>
      <c r="D14" s="35">
        <f t="shared" si="1"/>
        <v>940066.91177794524</v>
      </c>
      <c r="E14" s="35">
        <f t="shared" si="1"/>
        <v>963568.58457239368</v>
      </c>
      <c r="F14" s="35">
        <f t="shared" si="1"/>
        <v>982839.9562638416</v>
      </c>
      <c r="G14" s="35">
        <f t="shared" si="1"/>
        <v>1002496.7553891183</v>
      </c>
      <c r="H14" s="35">
        <f t="shared" si="1"/>
        <v>1017534.206719955</v>
      </c>
    </row>
    <row r="15" spans="2:8" ht="14" customHeight="1" x14ac:dyDescent="0.3">
      <c r="B15" s="33" t="s">
        <v>188</v>
      </c>
      <c r="C15" s="35">
        <v>64371</v>
      </c>
      <c r="D15" s="35">
        <f>D10*D7/365</f>
        <v>60316.67225732877</v>
      </c>
      <c r="E15" s="35">
        <f>E10*E7/365</f>
        <v>61824.589063761974</v>
      </c>
      <c r="F15" s="35">
        <f>F10*F7/365</f>
        <v>63061.080845037213</v>
      </c>
      <c r="G15" s="35">
        <f>G10*G7/365</f>
        <v>64322.302461937958</v>
      </c>
      <c r="H15" s="35">
        <f>H10*H7/365</f>
        <v>65287.136998867012</v>
      </c>
    </row>
    <row r="16" spans="2:8" ht="14" customHeight="1" x14ac:dyDescent="0.3">
      <c r="B16" s="33" t="s">
        <v>189</v>
      </c>
      <c r="C16" s="35">
        <f t="shared" ref="C16:H16" si="2">C15</f>
        <v>64371</v>
      </c>
      <c r="D16" s="35">
        <f t="shared" si="2"/>
        <v>60316.67225732877</v>
      </c>
      <c r="E16" s="35">
        <f t="shared" si="2"/>
        <v>61824.589063761974</v>
      </c>
      <c r="F16" s="35">
        <f t="shared" si="2"/>
        <v>63061.080845037213</v>
      </c>
      <c r="G16" s="35">
        <f t="shared" si="2"/>
        <v>64322.302461937958</v>
      </c>
      <c r="H16" s="35">
        <f t="shared" si="2"/>
        <v>65287.136998867012</v>
      </c>
    </row>
    <row r="17" spans="2:8" ht="14" customHeight="1" x14ac:dyDescent="0.3">
      <c r="B17" s="22" t="s">
        <v>190</v>
      </c>
      <c r="C17" s="23"/>
      <c r="D17" s="23"/>
      <c r="E17" s="23"/>
      <c r="F17" s="23"/>
      <c r="G17" s="23"/>
      <c r="H17" s="23"/>
    </row>
    <row r="18" spans="2:8" ht="14" customHeight="1" x14ac:dyDescent="0.3">
      <c r="B18" s="33" t="s">
        <v>191</v>
      </c>
      <c r="C18" s="20">
        <f t="shared" ref="C18:H18" si="3">C14-C16</f>
        <v>925093</v>
      </c>
      <c r="D18" s="20">
        <f t="shared" si="3"/>
        <v>879750.23952061648</v>
      </c>
      <c r="E18" s="20">
        <f t="shared" si="3"/>
        <v>901743.99550863169</v>
      </c>
      <c r="F18" s="20">
        <f t="shared" si="3"/>
        <v>919778.87541880435</v>
      </c>
      <c r="G18" s="20">
        <f t="shared" si="3"/>
        <v>938174.45292718033</v>
      </c>
      <c r="H18" s="20">
        <f t="shared" si="3"/>
        <v>952247.06972108793</v>
      </c>
    </row>
    <row r="19" spans="2:8" ht="14" customHeight="1" x14ac:dyDescent="0.3">
      <c r="B19" s="33" t="s">
        <v>100</v>
      </c>
      <c r="C19" s="36" t="s">
        <v>47</v>
      </c>
      <c r="D19" s="24">
        <f>D18-C18</f>
        <v>-45342.76047938352</v>
      </c>
      <c r="E19" s="24">
        <f>E18-D18</f>
        <v>21993.755988015211</v>
      </c>
      <c r="F19" s="24">
        <f>F18-E18</f>
        <v>18034.879910172662</v>
      </c>
      <c r="G19" s="24">
        <f>G18-F18</f>
        <v>18395.57750837598</v>
      </c>
      <c r="H19" s="24">
        <f>H18-G18</f>
        <v>14072.616793907597</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87</v>
      </c>
      <c r="E25" s="30">
        <v>87</v>
      </c>
      <c r="F25" s="30">
        <v>87</v>
      </c>
      <c r="G25" s="30">
        <v>87</v>
      </c>
      <c r="H25" s="30">
        <v>87</v>
      </c>
    </row>
    <row r="26" spans="2:8" ht="14" customHeight="1" x14ac:dyDescent="0.3">
      <c r="B26" s="4" t="s">
        <v>121</v>
      </c>
      <c r="D26" s="30">
        <v>84</v>
      </c>
      <c r="E26" s="30">
        <v>84</v>
      </c>
      <c r="F26" s="30">
        <v>84</v>
      </c>
      <c r="G26" s="30">
        <v>84</v>
      </c>
      <c r="H26" s="30">
        <v>84</v>
      </c>
    </row>
    <row r="27" spans="2:8" ht="14" customHeight="1" x14ac:dyDescent="0.3">
      <c r="B27" s="4" t="s">
        <v>122</v>
      </c>
      <c r="D27" s="30">
        <v>87</v>
      </c>
      <c r="E27" s="30">
        <v>87</v>
      </c>
      <c r="F27" s="30">
        <v>87</v>
      </c>
      <c r="G27" s="30">
        <v>87</v>
      </c>
      <c r="H27" s="30">
        <v>87</v>
      </c>
    </row>
    <row r="28" spans="2:8" ht="14" customHeight="1" x14ac:dyDescent="0.3">
      <c r="B28" s="4" t="s">
        <v>123</v>
      </c>
      <c r="D28" s="30">
        <v>91</v>
      </c>
      <c r="E28" s="30">
        <v>91</v>
      </c>
      <c r="F28" s="30">
        <v>91</v>
      </c>
      <c r="G28" s="30">
        <v>91</v>
      </c>
      <c r="H28" s="30">
        <v>91</v>
      </c>
    </row>
    <row r="29" spans="2:8" ht="14" customHeight="1" x14ac:dyDescent="0.3">
      <c r="B29" s="4" t="s">
        <v>124</v>
      </c>
      <c r="D29" s="30">
        <v>95</v>
      </c>
      <c r="E29" s="30">
        <v>95</v>
      </c>
      <c r="F29" s="30">
        <v>95</v>
      </c>
      <c r="G29" s="30">
        <v>95</v>
      </c>
      <c r="H29" s="30">
        <v>95</v>
      </c>
    </row>
    <row r="31" spans="2:8" ht="14" customHeight="1" x14ac:dyDescent="0.3">
      <c r="B31" s="3" t="s">
        <v>194</v>
      </c>
    </row>
    <row r="32" spans="2:8" ht="14" customHeight="1" x14ac:dyDescent="0.3">
      <c r="B32" s="4" t="s">
        <v>84</v>
      </c>
      <c r="D32" s="30">
        <v>34</v>
      </c>
      <c r="E32" s="30">
        <v>34</v>
      </c>
      <c r="F32" s="30">
        <v>34</v>
      </c>
      <c r="G32" s="30">
        <v>34</v>
      </c>
      <c r="H32" s="30">
        <v>34</v>
      </c>
    </row>
    <row r="33" spans="2:8" ht="14" customHeight="1" x14ac:dyDescent="0.3">
      <c r="B33" s="4" t="s">
        <v>121</v>
      </c>
      <c r="D33" s="30">
        <v>28</v>
      </c>
      <c r="E33" s="30">
        <v>28</v>
      </c>
      <c r="F33" s="30">
        <v>28</v>
      </c>
      <c r="G33" s="30">
        <v>28</v>
      </c>
      <c r="H33" s="30">
        <v>28</v>
      </c>
    </row>
    <row r="34" spans="2:8" ht="14" customHeight="1" x14ac:dyDescent="0.3">
      <c r="B34" s="4" t="s">
        <v>122</v>
      </c>
      <c r="D34" s="30">
        <v>34</v>
      </c>
      <c r="E34" s="30">
        <v>34</v>
      </c>
      <c r="F34" s="30">
        <v>34</v>
      </c>
      <c r="G34" s="30">
        <v>34</v>
      </c>
      <c r="H34" s="30">
        <v>34</v>
      </c>
    </row>
    <row r="35" spans="2:8" ht="14" customHeight="1" x14ac:dyDescent="0.3">
      <c r="B35" s="4" t="s">
        <v>123</v>
      </c>
      <c r="D35" s="30">
        <v>41</v>
      </c>
      <c r="E35" s="30">
        <v>41</v>
      </c>
      <c r="F35" s="30">
        <v>41</v>
      </c>
      <c r="G35" s="30">
        <v>41</v>
      </c>
      <c r="H35" s="30">
        <v>41</v>
      </c>
    </row>
    <row r="36" spans="2:8" ht="14" customHeight="1" x14ac:dyDescent="0.3">
      <c r="B36" s="4" t="s">
        <v>124</v>
      </c>
      <c r="D36" s="30">
        <v>48</v>
      </c>
      <c r="E36" s="30">
        <v>48</v>
      </c>
      <c r="F36" s="30">
        <v>48</v>
      </c>
      <c r="G36" s="30">
        <v>48</v>
      </c>
      <c r="H36" s="30">
        <v>48</v>
      </c>
    </row>
    <row r="38" spans="2:8" ht="14" customHeight="1" x14ac:dyDescent="0.3">
      <c r="B38" s="3" t="s">
        <v>195</v>
      </c>
    </row>
    <row r="39" spans="2:8" ht="14" customHeight="1" x14ac:dyDescent="0.3">
      <c r="B39" s="4" t="s">
        <v>84</v>
      </c>
      <c r="D39" s="30">
        <v>11</v>
      </c>
      <c r="E39" s="30">
        <v>11</v>
      </c>
      <c r="F39" s="30">
        <v>11</v>
      </c>
      <c r="G39" s="30">
        <v>11</v>
      </c>
      <c r="H39" s="30">
        <v>11</v>
      </c>
    </row>
    <row r="40" spans="2:8" ht="14" customHeight="1" x14ac:dyDescent="0.3">
      <c r="B40" s="4" t="s">
        <v>121</v>
      </c>
      <c r="D40" s="30">
        <v>13</v>
      </c>
      <c r="E40" s="30">
        <v>13</v>
      </c>
      <c r="F40" s="30">
        <v>13</v>
      </c>
      <c r="G40" s="30">
        <v>13</v>
      </c>
      <c r="H40" s="30">
        <v>13</v>
      </c>
    </row>
    <row r="41" spans="2:8" ht="14" customHeight="1" x14ac:dyDescent="0.3">
      <c r="B41" s="4" t="s">
        <v>122</v>
      </c>
      <c r="D41" s="30">
        <v>11</v>
      </c>
      <c r="E41" s="30">
        <v>11</v>
      </c>
      <c r="F41" s="30">
        <v>11</v>
      </c>
      <c r="G41" s="30">
        <v>11</v>
      </c>
      <c r="H41" s="30">
        <v>11</v>
      </c>
    </row>
    <row r="42" spans="2:8" ht="14" customHeight="1" x14ac:dyDescent="0.3">
      <c r="B42" s="4" t="s">
        <v>123</v>
      </c>
      <c r="D42" s="30">
        <v>8</v>
      </c>
      <c r="E42" s="30">
        <v>8</v>
      </c>
      <c r="F42" s="30">
        <v>8</v>
      </c>
      <c r="G42" s="30">
        <v>8</v>
      </c>
      <c r="H42" s="30">
        <v>8</v>
      </c>
    </row>
    <row r="43" spans="2:8" ht="14" customHeight="1" x14ac:dyDescent="0.3">
      <c r="B43" s="4" t="s">
        <v>124</v>
      </c>
      <c r="D43" s="30">
        <v>5</v>
      </c>
      <c r="E43" s="30">
        <v>5</v>
      </c>
      <c r="F43" s="30">
        <v>5</v>
      </c>
      <c r="G43" s="30">
        <v>5</v>
      </c>
      <c r="H43" s="30">
        <v>5</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3974321.0601599999</v>
      </c>
      <c r="E5" s="37">
        <f>D5+C24</f>
        <v>8572154.0601599999</v>
      </c>
      <c r="F5" s="37">
        <v>3084679</v>
      </c>
      <c r="G5" s="37">
        <v>842989</v>
      </c>
      <c r="H5" s="37">
        <v>414259</v>
      </c>
      <c r="I5" s="37">
        <v>247846</v>
      </c>
      <c r="J5" s="38">
        <f t="shared" ref="J5:J10" si="0">IFERROR(E5/G5,"")</f>
        <v>10.168761466828155</v>
      </c>
      <c r="K5" s="38">
        <f t="shared" ref="K5:K10" si="1">IFERROR(E5/F5,"")</f>
        <v>2.7789452517295965</v>
      </c>
      <c r="L5" s="38">
        <f t="shared" ref="L5:L10" si="2">IFERROR(D5/I5,"")</f>
        <v>16.035445640276624</v>
      </c>
      <c r="M5" s="38">
        <f t="shared" ref="M5:M10" si="3">IFERROR(D5/P5,"")</f>
        <v>1.3042928114658225</v>
      </c>
      <c r="N5" s="39">
        <f t="shared" ref="N5:N10" si="4">IFERROR(H5/F5,"")</f>
        <v>0.13429565928902165</v>
      </c>
      <c r="O5" s="39">
        <f t="shared" ref="O5:O10" si="5">IFERROR(I5/P5,"")</f>
        <v>8.1338108134007728E-2</v>
      </c>
      <c r="P5" s="37">
        <v>3047108</v>
      </c>
    </row>
    <row r="6" spans="2:17" ht="14" customHeight="1" x14ac:dyDescent="0.3">
      <c r="B6" s="4" t="s">
        <v>214</v>
      </c>
      <c r="C6" t="s">
        <v>215</v>
      </c>
      <c r="D6" s="37">
        <v>1374353</v>
      </c>
      <c r="E6" s="37">
        <v>2734845</v>
      </c>
      <c r="F6" s="37">
        <v>1845840</v>
      </c>
      <c r="G6" s="37">
        <v>375928</v>
      </c>
      <c r="H6" s="37">
        <v>198081</v>
      </c>
      <c r="I6" s="37">
        <v>127499</v>
      </c>
      <c r="J6" s="38">
        <f t="shared" si="0"/>
        <v>7.27491700538401</v>
      </c>
      <c r="K6" s="38">
        <f t="shared" si="1"/>
        <v>1.4816262514627487</v>
      </c>
      <c r="L6" s="38">
        <f t="shared" si="2"/>
        <v>10.779323759402034</v>
      </c>
      <c r="M6" s="38">
        <f t="shared" si="3"/>
        <v>1.1379873396235007</v>
      </c>
      <c r="N6" s="39">
        <f t="shared" si="4"/>
        <v>0.10731211806007021</v>
      </c>
      <c r="O6" s="39">
        <f t="shared" si="5"/>
        <v>0.10557131087475832</v>
      </c>
      <c r="P6" s="37">
        <v>1207705</v>
      </c>
    </row>
    <row r="7" spans="2:17" ht="14" customHeight="1" x14ac:dyDescent="0.3">
      <c r="B7" s="4" t="s">
        <v>216</v>
      </c>
      <c r="C7" t="s">
        <v>217</v>
      </c>
      <c r="D7" s="37">
        <v>3661759</v>
      </c>
      <c r="E7" s="37">
        <v>7624150</v>
      </c>
      <c r="F7" s="37">
        <v>2006218</v>
      </c>
      <c r="G7" s="37">
        <v>1036103</v>
      </c>
      <c r="H7" s="37">
        <v>830168</v>
      </c>
      <c r="I7" s="37">
        <v>552871</v>
      </c>
      <c r="J7" s="38">
        <f t="shared" si="0"/>
        <v>7.358486559733926</v>
      </c>
      <c r="K7" s="38">
        <f t="shared" si="1"/>
        <v>3.8002599916858486</v>
      </c>
      <c r="L7" s="38">
        <f t="shared" si="2"/>
        <v>6.6231706853859222</v>
      </c>
      <c r="M7" s="38">
        <f t="shared" si="3"/>
        <v>0.72250278651478772</v>
      </c>
      <c r="N7" s="39">
        <f t="shared" si="4"/>
        <v>0.41379750356142753</v>
      </c>
      <c r="O7" s="39">
        <f t="shared" si="5"/>
        <v>0.10908714584526649</v>
      </c>
      <c r="P7" s="37">
        <v>5068159</v>
      </c>
    </row>
    <row r="8" spans="2:17" ht="14" customHeight="1" x14ac:dyDescent="0.3">
      <c r="B8" s="4" t="s">
        <v>218</v>
      </c>
      <c r="C8" t="s">
        <v>219</v>
      </c>
      <c r="D8" s="37">
        <v>1101176</v>
      </c>
      <c r="E8" s="37">
        <v>2463457</v>
      </c>
      <c r="F8" s="37">
        <v>1203506</v>
      </c>
      <c r="G8" s="37">
        <v>198526</v>
      </c>
      <c r="H8" s="37">
        <v>127137</v>
      </c>
      <c r="I8" s="37">
        <v>78538</v>
      </c>
      <c r="J8" s="38">
        <f t="shared" si="0"/>
        <v>12.408737394598189</v>
      </c>
      <c r="K8" s="38">
        <f t="shared" si="1"/>
        <v>2.0469004724529833</v>
      </c>
      <c r="L8" s="38">
        <f t="shared" si="2"/>
        <v>14.020932542208866</v>
      </c>
      <c r="M8" s="38">
        <f t="shared" si="3"/>
        <v>0.99748991572965007</v>
      </c>
      <c r="N8" s="39">
        <f t="shared" si="4"/>
        <v>0.10563885846850785</v>
      </c>
      <c r="O8" s="39">
        <f t="shared" si="5"/>
        <v>7.1142908128741689E-2</v>
      </c>
      <c r="P8" s="37">
        <v>1103947</v>
      </c>
    </row>
    <row r="9" spans="2:17" ht="14" customHeight="1" x14ac:dyDescent="0.3">
      <c r="B9" s="4" t="s">
        <v>220</v>
      </c>
      <c r="C9" t="s">
        <v>221</v>
      </c>
      <c r="D9" s="37">
        <v>917799</v>
      </c>
      <c r="E9" s="37">
        <v>2219002</v>
      </c>
      <c r="F9" s="37">
        <v>1086179</v>
      </c>
      <c r="G9" s="37">
        <v>191777</v>
      </c>
      <c r="H9" s="37">
        <v>103194</v>
      </c>
      <c r="I9" s="37">
        <v>87071</v>
      </c>
      <c r="J9" s="38">
        <f t="shared" si="0"/>
        <v>11.570741016910265</v>
      </c>
      <c r="K9" s="38">
        <f t="shared" si="1"/>
        <v>2.0429431981284853</v>
      </c>
      <c r="L9" s="38">
        <f t="shared" si="2"/>
        <v>10.540811521631772</v>
      </c>
      <c r="M9" s="38">
        <f t="shared" si="3"/>
        <v>1.0054038599312496</v>
      </c>
      <c r="N9" s="39">
        <f t="shared" si="4"/>
        <v>9.5006440006665568E-2</v>
      </c>
      <c r="O9" s="39">
        <f t="shared" si="5"/>
        <v>9.5382016637710246E-2</v>
      </c>
      <c r="P9" s="37">
        <v>912866</v>
      </c>
    </row>
    <row r="10" spans="2:17" ht="14" customHeight="1" x14ac:dyDescent="0.3">
      <c r="B10" s="4" t="s">
        <v>222</v>
      </c>
      <c r="C10" t="s">
        <v>223</v>
      </c>
      <c r="D10" s="37">
        <v>622269</v>
      </c>
      <c r="E10" s="37">
        <v>579371</v>
      </c>
      <c r="F10" s="37">
        <v>1865675</v>
      </c>
      <c r="G10" s="37">
        <v>96500</v>
      </c>
      <c r="H10" s="37">
        <v>28307</v>
      </c>
      <c r="I10" s="37">
        <v>13662</v>
      </c>
      <c r="J10" s="38">
        <f t="shared" si="0"/>
        <v>6.0038445595854926</v>
      </c>
      <c r="K10" s="38">
        <f t="shared" si="1"/>
        <v>0.31054229702386538</v>
      </c>
      <c r="L10" s="38">
        <f t="shared" si="2"/>
        <v>45.547430830039524</v>
      </c>
      <c r="M10" s="38">
        <f t="shared" si="3"/>
        <v>1.0897270205522633</v>
      </c>
      <c r="N10" s="39">
        <f t="shared" si="4"/>
        <v>1.5172524689455558E-2</v>
      </c>
      <c r="O10" s="39">
        <f t="shared" si="5"/>
        <v>2.3925104022191401E-2</v>
      </c>
      <c r="P10" s="37">
        <v>571032</v>
      </c>
    </row>
    <row r="14" spans="2:17" ht="14" customHeight="1" x14ac:dyDescent="0.3">
      <c r="B14" s="3" t="s">
        <v>224</v>
      </c>
    </row>
    <row r="15" spans="2:17" ht="14" customHeight="1" x14ac:dyDescent="0.3">
      <c r="B15" s="4" t="s">
        <v>225</v>
      </c>
      <c r="D15" s="38">
        <f t="shared" ref="D15:I15" si="6">PERCENTILE(J6:J10,0.25)</f>
        <v>7.27491700538401</v>
      </c>
      <c r="E15" s="38">
        <f t="shared" si="6"/>
        <v>1.4816262514627487</v>
      </c>
      <c r="F15" s="38">
        <f t="shared" si="6"/>
        <v>10.540811521631772</v>
      </c>
      <c r="G15" s="38">
        <f t="shared" si="6"/>
        <v>0.99748991572965007</v>
      </c>
      <c r="H15" s="39">
        <f t="shared" si="6"/>
        <v>9.5006440006665568E-2</v>
      </c>
      <c r="I15" s="39">
        <f t="shared" si="6"/>
        <v>7.1142908128741689E-2</v>
      </c>
    </row>
    <row r="16" spans="2:17" ht="14" customHeight="1" x14ac:dyDescent="0.3">
      <c r="B16" s="4" t="s">
        <v>226</v>
      </c>
      <c r="D16" s="38">
        <f t="shared" ref="D16:I16" si="7">MEDIAN(J6:J10)</f>
        <v>7.358486559733926</v>
      </c>
      <c r="E16" s="38">
        <f t="shared" si="7"/>
        <v>2.0429431981284853</v>
      </c>
      <c r="F16" s="38">
        <f t="shared" si="7"/>
        <v>10.779323759402034</v>
      </c>
      <c r="G16" s="38">
        <f t="shared" si="7"/>
        <v>1.0054038599312496</v>
      </c>
      <c r="H16" s="39">
        <f t="shared" si="7"/>
        <v>0.10563885846850785</v>
      </c>
      <c r="I16" s="39">
        <f t="shared" si="7"/>
        <v>9.5382016637710246E-2</v>
      </c>
    </row>
    <row r="17" spans="2:9" ht="14" customHeight="1" x14ac:dyDescent="0.3">
      <c r="B17" s="4" t="s">
        <v>227</v>
      </c>
      <c r="D17" s="38">
        <f t="shared" ref="D17:I17" si="8">PERCENTILE(J6:J10,0.75)</f>
        <v>11.570741016910265</v>
      </c>
      <c r="E17" s="38">
        <f t="shared" si="8"/>
        <v>2.0469004724529833</v>
      </c>
      <c r="F17" s="38">
        <f t="shared" si="8"/>
        <v>14.020932542208866</v>
      </c>
      <c r="G17" s="38">
        <f t="shared" si="8"/>
        <v>1.0897270205522633</v>
      </c>
      <c r="H17" s="39">
        <f t="shared" si="8"/>
        <v>0.10731211806007021</v>
      </c>
      <c r="I17" s="39">
        <f t="shared" si="8"/>
        <v>0.10557131087475832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842989</v>
      </c>
    </row>
    <row r="22" spans="2:9" ht="14" customHeight="1" x14ac:dyDescent="0.3">
      <c r="B22" s="4" t="s">
        <v>231</v>
      </c>
      <c r="C22" s="5">
        <v>247846</v>
      </c>
    </row>
    <row r="23" spans="2:9" ht="14" customHeight="1" x14ac:dyDescent="0.3">
      <c r="B23" s="4" t="s">
        <v>232</v>
      </c>
      <c r="C23" s="15">
        <v>1129068483</v>
      </c>
    </row>
    <row r="24" spans="2:9" ht="14" customHeight="1" x14ac:dyDescent="0.3">
      <c r="B24" s="4" t="s">
        <v>73</v>
      </c>
      <c r="C24" s="5">
        <v>4597833</v>
      </c>
    </row>
    <row r="26" spans="2:9" ht="14" customHeight="1" x14ac:dyDescent="0.3">
      <c r="B26" s="3" t="s">
        <v>233</v>
      </c>
    </row>
    <row r="27" spans="2:9" ht="14" customHeight="1" x14ac:dyDescent="0.3">
      <c r="B27" s="4" t="s">
        <v>234</v>
      </c>
      <c r="C27" s="24">
        <f>ROUND((C21*D16-C24)*1000000/C23,0)</f>
        <v>1422</v>
      </c>
    </row>
    <row r="28" spans="2:9" ht="14" customHeight="1" x14ac:dyDescent="0.3">
      <c r="B28" s="4" t="s">
        <v>235</v>
      </c>
      <c r="C28" s="24">
        <f>ROUND(C22*F16*1000000/C23,0)</f>
        <v>2366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4.3514020121470619E-2</v>
      </c>
      <c r="E3" s="4" t="s">
        <v>238</v>
      </c>
      <c r="F3" s="16">
        <f>'DCF Model'!C13</f>
        <v>0.01</v>
      </c>
      <c r="H3" s="4" t="s">
        <v>239</v>
      </c>
      <c r="I3" s="14">
        <f>'DCF Model'!C14</f>
        <v>7.4</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2.8514020121470619E-2</v>
      </c>
      <c r="C7" s="37">
        <f>IFERROR(ROUND(('DCF Model'!C45/(1+$B7)^('DCF Model'!C19+0)+'DCF Model'!D45/(1+$B7)^('DCF Model'!C19+1)+'DCF Model'!E45/(1+$B7)^('DCF Model'!C19+2)+'DCF Model'!F45/(1+$B7)^('DCF Model'!C19+3)+'DCF Model'!G45/(1+$B7)^('DCF Model'!C19+4)+'DCF Model'!G45*(1+C$6)/($B7-C$6)/(1+$B7)^('DCF Model'!C19+4)-'DCF Model'!C16)*1000000/'DCF Model'!C15,0),"")</f>
        <v>5542</v>
      </c>
      <c r="D7" s="37">
        <f>IFERROR(ROUND(('DCF Model'!C45/(1+$B7)^('DCF Model'!C19+0)+'DCF Model'!D45/(1+$B7)^('DCF Model'!C19+1)+'DCF Model'!E45/(1+$B7)^('DCF Model'!C19+2)+'DCF Model'!F45/(1+$B7)^('DCF Model'!C19+3)+'DCF Model'!G45/(1+$B7)^('DCF Model'!C19+4)+'DCF Model'!G45*(1+D$6)/($B7-D$6)/(1+$B7)^('DCF Model'!C19+4)-'DCF Model'!C16)*1000000/'DCF Model'!C15,0),"")</f>
        <v>6534</v>
      </c>
      <c r="E7" s="37">
        <f>IFERROR(ROUND(('DCF Model'!C45/(1+$B7)^('DCF Model'!C19+0)+'DCF Model'!D45/(1+$B7)^('DCF Model'!C19+1)+'DCF Model'!E45/(1+$B7)^('DCF Model'!C19+2)+'DCF Model'!F45/(1+$B7)^('DCF Model'!C19+3)+'DCF Model'!G45/(1+$B7)^('DCF Model'!C19+4)+'DCF Model'!G45*(1+E$6)/($B7-E$6)/(1+$B7)^('DCF Model'!C19+4)-'DCF Model'!C16)*1000000/'DCF Model'!C15,0),"")</f>
        <v>7763</v>
      </c>
      <c r="F7" s="37">
        <f>IFERROR(ROUND(('DCF Model'!C45/(1+$B7)^('DCF Model'!C19+0)+'DCF Model'!D45/(1+$B7)^('DCF Model'!C19+1)+'DCF Model'!E45/(1+$B7)^('DCF Model'!C19+2)+'DCF Model'!F45/(1+$B7)^('DCF Model'!C19+3)+'DCF Model'!G45/(1+$B7)^('DCF Model'!C19+4)+'DCF Model'!G45*(1+F$6)/($B7-F$6)/(1+$B7)^('DCF Model'!C19+4)-'DCF Model'!C16)*1000000/'DCF Model'!C15,0),"")</f>
        <v>9323</v>
      </c>
      <c r="G7" s="37">
        <f>IFERROR(ROUND(('DCF Model'!C45/(1+$B7)^('DCF Model'!C19+0)+'DCF Model'!D45/(1+$B7)^('DCF Model'!C19+1)+'DCF Model'!E45/(1+$B7)^('DCF Model'!C19+2)+'DCF Model'!F45/(1+$B7)^('DCF Model'!C19+3)+'DCF Model'!G45/(1+$B7)^('DCF Model'!C19+4)+'DCF Model'!G45*(1+G$6)/($B7-G$6)/(1+$B7)^('DCF Model'!C19+4)-'DCF Model'!C16)*1000000/'DCF Model'!C15,0),"")</f>
        <v>11371</v>
      </c>
      <c r="H7" s="37">
        <f>IFERROR(ROUND(('DCF Model'!C45/(1+$B7)^('DCF Model'!C19+0)+'DCF Model'!D45/(1+$B7)^('DCF Model'!C19+1)+'DCF Model'!E45/(1+$B7)^('DCF Model'!C19+2)+'DCF Model'!F45/(1+$B7)^('DCF Model'!C19+3)+'DCF Model'!G45/(1+$B7)^('DCF Model'!C19+4)+'DCF Model'!G45*(1+H$6)/($B7-H$6)/(1+$B7)^('DCF Model'!C19+4)-'DCF Model'!C16)*1000000/'DCF Model'!C15,0),"")</f>
        <v>14177</v>
      </c>
      <c r="I7" s="37">
        <f>IFERROR(ROUND(('DCF Model'!C45/(1+$B7)^('DCF Model'!C19+0)+'DCF Model'!D45/(1+$B7)^('DCF Model'!C19+1)+'DCF Model'!E45/(1+$B7)^('DCF Model'!C19+2)+'DCF Model'!F45/(1+$B7)^('DCF Model'!C19+3)+'DCF Model'!G45/(1+$B7)^('DCF Model'!C19+4)+'DCF Model'!G45*(1+I$6)/($B7-I$6)/(1+$B7)^('DCF Model'!C19+4)-'DCF Model'!C16)*1000000/'DCF Model'!C15,0),"")</f>
        <v>18256</v>
      </c>
    </row>
    <row r="8" spans="2:9" ht="13.5" customHeight="1" x14ac:dyDescent="0.25">
      <c r="B8" s="39">
        <f>$C$3-0.01</f>
        <v>3.3514020121470617E-2</v>
      </c>
      <c r="C8" s="37">
        <f>IFERROR(ROUND(('DCF Model'!C45/(1+$B8)^('DCF Model'!C19+0)+'DCF Model'!D45/(1+$B8)^('DCF Model'!C19+1)+'DCF Model'!E45/(1+$B8)^('DCF Model'!C19+2)+'DCF Model'!F45/(1+$B8)^('DCF Model'!C19+3)+'DCF Model'!G45/(1+$B8)^('DCF Model'!C19+4)+'DCF Model'!G45*(1+C$6)/($B8-C$6)/(1+$B8)^('DCF Model'!C19+4)-'DCF Model'!C16)*1000000/'DCF Model'!C15,0),"")</f>
        <v>3881</v>
      </c>
      <c r="D8" s="37">
        <f>IFERROR(ROUND(('DCF Model'!C45/(1+$B8)^('DCF Model'!C19+0)+'DCF Model'!D45/(1+$B8)^('DCF Model'!C19+1)+'DCF Model'!E45/(1+$B8)^('DCF Model'!C19+2)+'DCF Model'!F45/(1+$B8)^('DCF Model'!C19+3)+'DCF Model'!G45/(1+$B8)^('DCF Model'!C19+4)+'DCF Model'!G45*(1+D$6)/($B8-D$6)/(1+$B8)^('DCF Model'!C19+4)-'DCF Model'!C16)*1000000/'DCF Model'!C15,0),"")</f>
        <v>4555</v>
      </c>
      <c r="E8" s="37">
        <f>IFERROR(ROUND(('DCF Model'!C45/(1+$B8)^('DCF Model'!C19+0)+'DCF Model'!D45/(1+$B8)^('DCF Model'!C19+1)+'DCF Model'!E45/(1+$B8)^('DCF Model'!C19+2)+'DCF Model'!F45/(1+$B8)^('DCF Model'!C19+3)+'DCF Model'!G45/(1+$B8)^('DCF Model'!C19+4)+'DCF Model'!G45*(1+E$6)/($B8-E$6)/(1+$B8)^('DCF Model'!C19+4)-'DCF Model'!C16)*1000000/'DCF Model'!C15,0),"")</f>
        <v>5357</v>
      </c>
      <c r="F8" s="37">
        <f>IFERROR(ROUND(('DCF Model'!C45/(1+$B8)^('DCF Model'!C19+0)+'DCF Model'!D45/(1+$B8)^('DCF Model'!C19+1)+'DCF Model'!E45/(1+$B8)^('DCF Model'!C19+2)+'DCF Model'!F45/(1+$B8)^('DCF Model'!C19+3)+'DCF Model'!G45/(1+$B8)^('DCF Model'!C19+4)+'DCF Model'!G45*(1+F$6)/($B8-F$6)/(1+$B8)^('DCF Model'!C19+4)-'DCF Model'!C16)*1000000/'DCF Model'!C15,0),"")</f>
        <v>6331</v>
      </c>
      <c r="G8" s="37">
        <f>IFERROR(ROUND(('DCF Model'!C45/(1+$B8)^('DCF Model'!C19+0)+'DCF Model'!D45/(1+$B8)^('DCF Model'!C19+1)+'DCF Model'!E45/(1+$B8)^('DCF Model'!C19+2)+'DCF Model'!F45/(1+$B8)^('DCF Model'!C19+3)+'DCF Model'!G45/(1+$B8)^('DCF Model'!C19+4)+'DCF Model'!G45*(1+G$6)/($B8-G$6)/(1+$B8)^('DCF Model'!C19+4)-'DCF Model'!C16)*1000000/'DCF Model'!C15,0),"")</f>
        <v>7536</v>
      </c>
      <c r="H8" s="37">
        <f>IFERROR(ROUND(('DCF Model'!C45/(1+$B8)^('DCF Model'!C19+0)+'DCF Model'!D45/(1+$B8)^('DCF Model'!C19+1)+'DCF Model'!E45/(1+$B8)^('DCF Model'!C19+2)+'DCF Model'!F45/(1+$B8)^('DCF Model'!C19+3)+'DCF Model'!G45/(1+$B8)^('DCF Model'!C19+4)+'DCF Model'!G45*(1+H$6)/($B8-H$6)/(1+$B8)^('DCF Model'!C19+4)-'DCF Model'!C16)*1000000/'DCF Model'!C15,0),"")</f>
        <v>9067</v>
      </c>
      <c r="I8" s="37">
        <f>IFERROR(ROUND(('DCF Model'!C45/(1+$B8)^('DCF Model'!C19+0)+'DCF Model'!D45/(1+$B8)^('DCF Model'!C19+1)+'DCF Model'!E45/(1+$B8)^('DCF Model'!C19+2)+'DCF Model'!F45/(1+$B8)^('DCF Model'!C19+3)+'DCF Model'!G45/(1+$B8)^('DCF Model'!C19+4)+'DCF Model'!G45*(1+I$6)/($B8-I$6)/(1+$B8)^('DCF Model'!C19+4)-'DCF Model'!C16)*1000000/'DCF Model'!C15,0),"")</f>
        <v>11075</v>
      </c>
    </row>
    <row r="9" spans="2:9" ht="13.5" customHeight="1" x14ac:dyDescent="0.25">
      <c r="B9" s="39">
        <f>$C$3-0.005</f>
        <v>3.8514020121470621E-2</v>
      </c>
      <c r="C9" s="37">
        <f>IFERROR(ROUND(('DCF Model'!C45/(1+$B9)^('DCF Model'!C19+0)+'DCF Model'!D45/(1+$B9)^('DCF Model'!C19+1)+'DCF Model'!E45/(1+$B9)^('DCF Model'!C19+2)+'DCF Model'!F45/(1+$B9)^('DCF Model'!C19+3)+'DCF Model'!G45/(1+$B9)^('DCF Model'!C19+4)+'DCF Model'!G45*(1+C$6)/($B9-C$6)/(1+$B9)^('DCF Model'!C19+4)-'DCF Model'!C16)*1000000/'DCF Model'!C15,0),"")</f>
        <v>2684</v>
      </c>
      <c r="D9" s="37">
        <f>IFERROR(ROUND(('DCF Model'!C45/(1+$B9)^('DCF Model'!C19+0)+'DCF Model'!D45/(1+$B9)^('DCF Model'!C19+1)+'DCF Model'!E45/(1+$B9)^('DCF Model'!C19+2)+'DCF Model'!F45/(1+$B9)^('DCF Model'!C19+3)+'DCF Model'!G45/(1+$B9)^('DCF Model'!C19+4)+'DCF Model'!G45*(1+D$6)/($B9-D$6)/(1+$B9)^('DCF Model'!C19+4)-'DCF Model'!C16)*1000000/'DCF Model'!C15,0),"")</f>
        <v>3168</v>
      </c>
      <c r="E9" s="37">
        <f>IFERROR(ROUND(('DCF Model'!C45/(1+$B9)^('DCF Model'!C19+0)+'DCF Model'!D45/(1+$B9)^('DCF Model'!C19+1)+'DCF Model'!E45/(1+$B9)^('DCF Model'!C19+2)+'DCF Model'!F45/(1+$B9)^('DCF Model'!C19+3)+'DCF Model'!G45/(1+$B9)^('DCF Model'!C19+4)+'DCF Model'!G45*(1+E$6)/($B9-E$6)/(1+$B9)^('DCF Model'!C19+4)-'DCF Model'!C16)*1000000/'DCF Model'!C15,0),"")</f>
        <v>3730</v>
      </c>
      <c r="F9" s="37">
        <f>IFERROR(ROUND(('DCF Model'!C45/(1+$B9)^('DCF Model'!C19+0)+'DCF Model'!D45/(1+$B9)^('DCF Model'!C19+1)+'DCF Model'!E45/(1+$B9)^('DCF Model'!C19+2)+'DCF Model'!F45/(1+$B9)^('DCF Model'!C19+3)+'DCF Model'!G45/(1+$B9)^('DCF Model'!C19+4)+'DCF Model'!G45*(1+F$6)/($B9-F$6)/(1+$B9)^('DCF Model'!C19+4)-'DCF Model'!C16)*1000000/'DCF Model'!C15,0),"")</f>
        <v>4390</v>
      </c>
      <c r="G9" s="37">
        <f>IFERROR(ROUND(('DCF Model'!C45/(1+$B9)^('DCF Model'!C19+0)+'DCF Model'!D45/(1+$B9)^('DCF Model'!C19+1)+'DCF Model'!E45/(1+$B9)^('DCF Model'!C19+2)+'DCF Model'!F45/(1+$B9)^('DCF Model'!C19+3)+'DCF Model'!G45/(1+$B9)^('DCF Model'!C19+4)+'DCF Model'!G45*(1+G$6)/($B9-G$6)/(1+$B9)^('DCF Model'!C19+4)-'DCF Model'!C16)*1000000/'DCF Model'!C15,0),"")</f>
        <v>5178</v>
      </c>
      <c r="H9" s="37">
        <f>IFERROR(ROUND(('DCF Model'!C45/(1+$B9)^('DCF Model'!C19+0)+'DCF Model'!D45/(1+$B9)^('DCF Model'!C19+1)+'DCF Model'!E45/(1+$B9)^('DCF Model'!C19+2)+'DCF Model'!F45/(1+$B9)^('DCF Model'!C19+3)+'DCF Model'!G45/(1+$B9)^('DCF Model'!C19+4)+'DCF Model'!G45*(1+H$6)/($B9-H$6)/(1+$B9)^('DCF Model'!C19+4)-'DCF Model'!C16)*1000000/'DCF Model'!C15,0),"")</f>
        <v>6133</v>
      </c>
      <c r="I9" s="37">
        <f>IFERROR(ROUND(('DCF Model'!C45/(1+$B9)^('DCF Model'!C19+0)+'DCF Model'!D45/(1+$B9)^('DCF Model'!C19+1)+'DCF Model'!E45/(1+$B9)^('DCF Model'!C19+2)+'DCF Model'!F45/(1+$B9)^('DCF Model'!C19+3)+'DCF Model'!G45/(1+$B9)^('DCF Model'!C19+4)+'DCF Model'!G45*(1+I$6)/($B9-I$6)/(1+$B9)^('DCF Model'!C19+4)-'DCF Model'!C16)*1000000/'DCF Model'!C15,0),"")</f>
        <v>7315</v>
      </c>
    </row>
    <row r="10" spans="2:9" ht="13.5" customHeight="1" x14ac:dyDescent="0.25">
      <c r="B10" s="39">
        <f>$C$3</f>
        <v>4.3514020121470619E-2</v>
      </c>
      <c r="C10" s="37">
        <f>IFERROR(ROUND(('DCF Model'!C45/(1+$B10)^('DCF Model'!C19+0)+'DCF Model'!D45/(1+$B10)^('DCF Model'!C19+1)+'DCF Model'!E45/(1+$B10)^('DCF Model'!C19+2)+'DCF Model'!F45/(1+$B10)^('DCF Model'!C19+3)+'DCF Model'!G45/(1+$B10)^('DCF Model'!C19+4)+'DCF Model'!G45*(1+C$6)/($B10-C$6)/(1+$B10)^('DCF Model'!C19+4)-'DCF Model'!C16)*1000000/'DCF Model'!C15,0),"")</f>
        <v>1780</v>
      </c>
      <c r="D10" s="37">
        <f>IFERROR(ROUND(('DCF Model'!C45/(1+$B10)^('DCF Model'!C19+0)+'DCF Model'!D45/(1+$B10)^('DCF Model'!C19+1)+'DCF Model'!E45/(1+$B10)^('DCF Model'!C19+2)+'DCF Model'!F45/(1+$B10)^('DCF Model'!C19+3)+'DCF Model'!G45/(1+$B10)^('DCF Model'!C19+4)+'DCF Model'!G45*(1+D$6)/($B10-D$6)/(1+$B10)^('DCF Model'!C19+4)-'DCF Model'!C16)*1000000/'DCF Model'!C15,0),"")</f>
        <v>2143</v>
      </c>
      <c r="E10" s="37">
        <f>IFERROR(ROUND(('DCF Model'!C45/(1+$B10)^('DCF Model'!C19+0)+'DCF Model'!D45/(1+$B10)^('DCF Model'!C19+1)+'DCF Model'!E45/(1+$B10)^('DCF Model'!C19+2)+'DCF Model'!F45/(1+$B10)^('DCF Model'!C19+3)+'DCF Model'!G45/(1+$B10)^('DCF Model'!C19+4)+'DCF Model'!G45*(1+E$6)/($B10-E$6)/(1+$B10)^('DCF Model'!C19+4)-'DCF Model'!C16)*1000000/'DCF Model'!C15,0),"")</f>
        <v>2556</v>
      </c>
      <c r="F10" s="37">
        <f>IFERROR(ROUND(('DCF Model'!C45/(1+$B10)^('DCF Model'!C19+0)+'DCF Model'!D45/(1+$B10)^('DCF Model'!C19+1)+'DCF Model'!E45/(1+$B10)^('DCF Model'!C19+2)+'DCF Model'!F45/(1+$B10)^('DCF Model'!C19+3)+'DCF Model'!G45/(1+$B10)^('DCF Model'!C19+4)+'DCF Model'!G45*(1+F$6)/($B10-F$6)/(1+$B10)^('DCF Model'!C19+4)-'DCF Model'!C16)*1000000/'DCF Model'!C15,0),"")</f>
        <v>3031</v>
      </c>
      <c r="G10" s="37">
        <f>IFERROR(ROUND(('DCF Model'!C45/(1+$B10)^('DCF Model'!C19+0)+'DCF Model'!D45/(1+$B10)^('DCF Model'!C19+1)+'DCF Model'!E45/(1+$B10)^('DCF Model'!C19+2)+'DCF Model'!F45/(1+$B10)^('DCF Model'!C19+3)+'DCF Model'!G45/(1+$B10)^('DCF Model'!C19+4)+'DCF Model'!G45*(1+G$6)/($B10-G$6)/(1+$B10)^('DCF Model'!C19+4)-'DCF Model'!C16)*1000000/'DCF Model'!C15,0),"")</f>
        <v>3582</v>
      </c>
      <c r="H10" s="37">
        <f>IFERROR(ROUND(('DCF Model'!C45/(1+$B10)^('DCF Model'!C19+0)+'DCF Model'!D45/(1+$B10)^('DCF Model'!C19+1)+'DCF Model'!E45/(1+$B10)^('DCF Model'!C19+2)+'DCF Model'!F45/(1+$B10)^('DCF Model'!C19+3)+'DCF Model'!G45/(1+$B10)^('DCF Model'!C19+4)+'DCF Model'!G45*(1+H$6)/($B10-H$6)/(1+$B10)^('DCF Model'!C19+4)-'DCF Model'!C16)*1000000/'DCF Model'!C15,0),"")</f>
        <v>4230</v>
      </c>
      <c r="I10" s="37">
        <f>IFERROR(ROUND(('DCF Model'!C45/(1+$B10)^('DCF Model'!C19+0)+'DCF Model'!D45/(1+$B10)^('DCF Model'!C19+1)+'DCF Model'!E45/(1+$B10)^('DCF Model'!C19+2)+'DCF Model'!F45/(1+$B10)^('DCF Model'!C19+3)+'DCF Model'!G45/(1+$B10)^('DCF Model'!C19+4)+'DCF Model'!G45*(1+I$6)/($B10-I$6)/(1+$B10)^('DCF Model'!C19+4)-'DCF Model'!C16)*1000000/'DCF Model'!C15,0),"")</f>
        <v>5002</v>
      </c>
    </row>
    <row r="11" spans="2:9" ht="13.5" customHeight="1" x14ac:dyDescent="0.25">
      <c r="B11" s="39">
        <f>$C$3+0.005</f>
        <v>4.8514020121470616E-2</v>
      </c>
      <c r="C11" s="37">
        <f>IFERROR(ROUND(('DCF Model'!C45/(1+$B11)^('DCF Model'!C19+0)+'DCF Model'!D45/(1+$B11)^('DCF Model'!C19+1)+'DCF Model'!E45/(1+$B11)^('DCF Model'!C19+2)+'DCF Model'!F45/(1+$B11)^('DCF Model'!C19+3)+'DCF Model'!G45/(1+$B11)^('DCF Model'!C19+4)+'DCF Model'!G45*(1+C$6)/($B11-C$6)/(1+$B11)^('DCF Model'!C19+4)-'DCF Model'!C16)*1000000/'DCF Model'!C15,0),"")</f>
        <v>1074</v>
      </c>
      <c r="D11" s="37">
        <f>IFERROR(ROUND(('DCF Model'!C45/(1+$B11)^('DCF Model'!C19+0)+'DCF Model'!D45/(1+$B11)^('DCF Model'!C19+1)+'DCF Model'!E45/(1+$B11)^('DCF Model'!C19+2)+'DCF Model'!F45/(1+$B11)^('DCF Model'!C19+3)+'DCF Model'!G45/(1+$B11)^('DCF Model'!C19+4)+'DCF Model'!G45*(1+D$6)/($B11-D$6)/(1+$B11)^('DCF Model'!C19+4)-'DCF Model'!C16)*1000000/'DCF Model'!C15,0),"")</f>
        <v>1355</v>
      </c>
      <c r="E11" s="37">
        <f>IFERROR(ROUND(('DCF Model'!C45/(1+$B11)^('DCF Model'!C19+0)+'DCF Model'!D45/(1+$B11)^('DCF Model'!C19+1)+'DCF Model'!E45/(1+$B11)^('DCF Model'!C19+2)+'DCF Model'!F45/(1+$B11)^('DCF Model'!C19+3)+'DCF Model'!G45/(1+$B11)^('DCF Model'!C19+4)+'DCF Model'!G45*(1+E$6)/($B11-E$6)/(1+$B11)^('DCF Model'!C19+4)-'DCF Model'!C16)*1000000/'DCF Model'!C15,0),"")</f>
        <v>1670</v>
      </c>
      <c r="F11" s="37">
        <f>IFERROR(ROUND(('DCF Model'!C45/(1+$B11)^('DCF Model'!C19+0)+'DCF Model'!D45/(1+$B11)^('DCF Model'!C19+1)+'DCF Model'!E45/(1+$B11)^('DCF Model'!C19+2)+'DCF Model'!F45/(1+$B11)^('DCF Model'!C19+3)+'DCF Model'!G45/(1+$B11)^('DCF Model'!C19+4)+'DCF Model'!G45*(1+F$6)/($B11-F$6)/(1+$B11)^('DCF Model'!C19+4)-'DCF Model'!C16)*1000000/'DCF Model'!C15,0),"")</f>
        <v>2026</v>
      </c>
      <c r="G11" s="37">
        <f>IFERROR(ROUND(('DCF Model'!C45/(1+$B11)^('DCF Model'!C19+0)+'DCF Model'!D45/(1+$B11)^('DCF Model'!C19+1)+'DCF Model'!E45/(1+$B11)^('DCF Model'!C19+2)+'DCF Model'!F45/(1+$B11)^('DCF Model'!C19+3)+'DCF Model'!G45/(1+$B11)^('DCF Model'!C19+4)+'DCF Model'!G45*(1+G$6)/($B11-G$6)/(1+$B11)^('DCF Model'!C19+4)-'DCF Model'!C16)*1000000/'DCF Model'!C15,0),"")</f>
        <v>2431</v>
      </c>
      <c r="H11" s="37">
        <f>IFERROR(ROUND(('DCF Model'!C45/(1+$B11)^('DCF Model'!C19+0)+'DCF Model'!D45/(1+$B11)^('DCF Model'!C19+1)+'DCF Model'!E45/(1+$B11)^('DCF Model'!C19+2)+'DCF Model'!F45/(1+$B11)^('DCF Model'!C19+3)+'DCF Model'!G45/(1+$B11)^('DCF Model'!C19+4)+'DCF Model'!G45*(1+H$6)/($B11-H$6)/(1+$B11)^('DCF Model'!C19+4)-'DCF Model'!C16)*1000000/'DCF Model'!C15,0),"")</f>
        <v>2897</v>
      </c>
      <c r="I11" s="37">
        <f>IFERROR(ROUND(('DCF Model'!C45/(1+$B11)^('DCF Model'!C19+0)+'DCF Model'!D45/(1+$B11)^('DCF Model'!C19+1)+'DCF Model'!E45/(1+$B11)^('DCF Model'!C19+2)+'DCF Model'!F45/(1+$B11)^('DCF Model'!C19+3)+'DCF Model'!G45/(1+$B11)^('DCF Model'!C19+4)+'DCF Model'!G45*(1+I$6)/($B11-I$6)/(1+$B11)^('DCF Model'!C19+4)-'DCF Model'!C16)*1000000/'DCF Model'!C15,0),"")</f>
        <v>3437</v>
      </c>
    </row>
    <row r="12" spans="2:9" ht="13.5" customHeight="1" x14ac:dyDescent="0.25">
      <c r="B12" s="39">
        <f>$C$3+0.01</f>
        <v>5.3514020121470621E-2</v>
      </c>
      <c r="C12" s="37">
        <f>IFERROR(ROUND(('DCF Model'!C45/(1+$B12)^('DCF Model'!C19+0)+'DCF Model'!D45/(1+$B12)^('DCF Model'!C19+1)+'DCF Model'!E45/(1+$B12)^('DCF Model'!C19+2)+'DCF Model'!F45/(1+$B12)^('DCF Model'!C19+3)+'DCF Model'!G45/(1+$B12)^('DCF Model'!C19+4)+'DCF Model'!G45*(1+C$6)/($B12-C$6)/(1+$B12)^('DCF Model'!C19+4)-'DCF Model'!C16)*1000000/'DCF Model'!C15,0),"")</f>
        <v>508</v>
      </c>
      <c r="D12" s="37">
        <f>IFERROR(ROUND(('DCF Model'!C45/(1+$B12)^('DCF Model'!C19+0)+'DCF Model'!D45/(1+$B12)^('DCF Model'!C19+1)+'DCF Model'!E45/(1+$B12)^('DCF Model'!C19+2)+'DCF Model'!F45/(1+$B12)^('DCF Model'!C19+3)+'DCF Model'!G45/(1+$B12)^('DCF Model'!C19+4)+'DCF Model'!G45*(1+D$6)/($B12-D$6)/(1+$B12)^('DCF Model'!C19+4)-'DCF Model'!C16)*1000000/'DCF Model'!C15,0),"")</f>
        <v>731</v>
      </c>
      <c r="E12" s="37">
        <f>IFERROR(ROUND(('DCF Model'!C45/(1+$B12)^('DCF Model'!C19+0)+'DCF Model'!D45/(1+$B12)^('DCF Model'!C19+1)+'DCF Model'!E45/(1+$B12)^('DCF Model'!C19+2)+'DCF Model'!F45/(1+$B12)^('DCF Model'!C19+3)+'DCF Model'!G45/(1+$B12)^('DCF Model'!C19+4)+'DCF Model'!G45*(1+E$6)/($B12-E$6)/(1+$B12)^('DCF Model'!C19+4)-'DCF Model'!C16)*1000000/'DCF Model'!C15,0),"")</f>
        <v>978</v>
      </c>
      <c r="F12" s="37">
        <f>IFERROR(ROUND(('DCF Model'!C45/(1+$B12)^('DCF Model'!C19+0)+'DCF Model'!D45/(1+$B12)^('DCF Model'!C19+1)+'DCF Model'!E45/(1+$B12)^('DCF Model'!C19+2)+'DCF Model'!F45/(1+$B12)^('DCF Model'!C19+3)+'DCF Model'!G45/(1+$B12)^('DCF Model'!C19+4)+'DCF Model'!G45*(1+F$6)/($B12-F$6)/(1+$B12)^('DCF Model'!C19+4)-'DCF Model'!C16)*1000000/'DCF Model'!C15,0),"")</f>
        <v>1253</v>
      </c>
      <c r="G12" s="37">
        <f>IFERROR(ROUND(('DCF Model'!C45/(1+$B12)^('DCF Model'!C19+0)+'DCF Model'!D45/(1+$B12)^('DCF Model'!C19+1)+'DCF Model'!E45/(1+$B12)^('DCF Model'!C19+2)+'DCF Model'!F45/(1+$B12)^('DCF Model'!C19+3)+'DCF Model'!G45/(1+$B12)^('DCF Model'!C19+4)+'DCF Model'!G45*(1+G$6)/($B12-G$6)/(1+$B12)^('DCF Model'!C19+4)-'DCF Model'!C16)*1000000/'DCF Model'!C15,0),"")</f>
        <v>1562</v>
      </c>
      <c r="H12" s="37">
        <f>IFERROR(ROUND(('DCF Model'!C45/(1+$B12)^('DCF Model'!C19+0)+'DCF Model'!D45/(1+$B12)^('DCF Model'!C19+1)+'DCF Model'!E45/(1+$B12)^('DCF Model'!C19+2)+'DCF Model'!F45/(1+$B12)^('DCF Model'!C19+3)+'DCF Model'!G45/(1+$B12)^('DCF Model'!C19+4)+'DCF Model'!G45*(1+H$6)/($B12-H$6)/(1+$B12)^('DCF Model'!C19+4)-'DCF Model'!C16)*1000000/'DCF Model'!C15,0),"")</f>
        <v>1911</v>
      </c>
      <c r="I12" s="37">
        <f>IFERROR(ROUND(('DCF Model'!C45/(1+$B12)^('DCF Model'!C19+0)+'DCF Model'!D45/(1+$B12)^('DCF Model'!C19+1)+'DCF Model'!E45/(1+$B12)^('DCF Model'!C19+2)+'DCF Model'!F45/(1+$B12)^('DCF Model'!C19+3)+'DCF Model'!G45/(1+$B12)^('DCF Model'!C19+4)+'DCF Model'!G45*(1+I$6)/($B12-I$6)/(1+$B12)^('DCF Model'!C19+4)-'DCF Model'!C16)*1000000/'DCF Model'!C15,0),"")</f>
        <v>2309</v>
      </c>
    </row>
    <row r="13" spans="2:9" ht="13.5" customHeight="1" x14ac:dyDescent="0.25">
      <c r="B13" s="39">
        <f>$C$3+0.015</f>
        <v>5.8514020121470618E-2</v>
      </c>
      <c r="C13" s="37">
        <f>IFERROR(ROUND(('DCF Model'!C45/(1+$B13)^('DCF Model'!C19+0)+'DCF Model'!D45/(1+$B13)^('DCF Model'!C19+1)+'DCF Model'!E45/(1+$B13)^('DCF Model'!C19+2)+'DCF Model'!F45/(1+$B13)^('DCF Model'!C19+3)+'DCF Model'!G45/(1+$B13)^('DCF Model'!C19+4)+'DCF Model'!G45*(1+C$6)/($B13-C$6)/(1+$B13)^('DCF Model'!C19+4)-'DCF Model'!C16)*1000000/'DCF Model'!C15,0),"")</f>
        <v>43</v>
      </c>
      <c r="D13" s="37">
        <f>IFERROR(ROUND(('DCF Model'!C45/(1+$B13)^('DCF Model'!C19+0)+'DCF Model'!D45/(1+$B13)^('DCF Model'!C19+1)+'DCF Model'!E45/(1+$B13)^('DCF Model'!C19+2)+'DCF Model'!F45/(1+$B13)^('DCF Model'!C19+3)+'DCF Model'!G45/(1+$B13)^('DCF Model'!C19+4)+'DCF Model'!G45*(1+D$6)/($B13-D$6)/(1+$B13)^('DCF Model'!C19+4)-'DCF Model'!C16)*1000000/'DCF Model'!C15,0),"")</f>
        <v>224</v>
      </c>
      <c r="E13" s="37">
        <f>IFERROR(ROUND(('DCF Model'!C45/(1+$B13)^('DCF Model'!C19+0)+'DCF Model'!D45/(1+$B13)^('DCF Model'!C19+1)+'DCF Model'!E45/(1+$B13)^('DCF Model'!C19+2)+'DCF Model'!F45/(1+$B13)^('DCF Model'!C19+3)+'DCF Model'!G45/(1+$B13)^('DCF Model'!C19+4)+'DCF Model'!G45*(1+E$6)/($B13-E$6)/(1+$B13)^('DCF Model'!C19+4)-'DCF Model'!C16)*1000000/'DCF Model'!C15,0),"")</f>
        <v>422</v>
      </c>
      <c r="F13" s="37">
        <f>IFERROR(ROUND(('DCF Model'!C45/(1+$B13)^('DCF Model'!C19+0)+'DCF Model'!D45/(1+$B13)^('DCF Model'!C19+1)+'DCF Model'!E45/(1+$B13)^('DCF Model'!C19+2)+'DCF Model'!F45/(1+$B13)^('DCF Model'!C19+3)+'DCF Model'!G45/(1+$B13)^('DCF Model'!C19+4)+'DCF Model'!G45*(1+F$6)/($B13-F$6)/(1+$B13)^('DCF Model'!C19+4)-'DCF Model'!C16)*1000000/'DCF Model'!C15,0),"")</f>
        <v>641</v>
      </c>
      <c r="G13" s="37">
        <f>IFERROR(ROUND(('DCF Model'!C45/(1+$B13)^('DCF Model'!C19+0)+'DCF Model'!D45/(1+$B13)^('DCF Model'!C19+1)+'DCF Model'!E45/(1+$B13)^('DCF Model'!C19+2)+'DCF Model'!F45/(1+$B13)^('DCF Model'!C19+3)+'DCF Model'!G45/(1+$B13)^('DCF Model'!C19+4)+'DCF Model'!G45*(1+G$6)/($B13-G$6)/(1+$B13)^('DCF Model'!C19+4)-'DCF Model'!C16)*1000000/'DCF Model'!C15,0),"")</f>
        <v>883</v>
      </c>
      <c r="H13" s="37">
        <f>IFERROR(ROUND(('DCF Model'!C45/(1+$B13)^('DCF Model'!C19+0)+'DCF Model'!D45/(1+$B13)^('DCF Model'!C19+1)+'DCF Model'!E45/(1+$B13)^('DCF Model'!C19+2)+'DCF Model'!F45/(1+$B13)^('DCF Model'!C19+3)+'DCF Model'!G45/(1+$B13)^('DCF Model'!C19+4)+'DCF Model'!G45*(1+H$6)/($B13-H$6)/(1+$B13)^('DCF Model'!C19+4)-'DCF Model'!C16)*1000000/'DCF Model'!C15,0),"")</f>
        <v>1154</v>
      </c>
      <c r="I13" s="37">
        <f>IFERROR(ROUND(('DCF Model'!C45/(1+$B13)^('DCF Model'!C19+0)+'DCF Model'!D45/(1+$B13)^('DCF Model'!C19+1)+'DCF Model'!E45/(1+$B13)^('DCF Model'!C19+2)+'DCF Model'!F45/(1+$B13)^('DCF Model'!C19+3)+'DCF Model'!G45/(1+$B13)^('DCF Model'!C19+4)+'DCF Model'!G45*(1+I$6)/($B13-I$6)/(1+$B13)^('DCF Model'!C19+4)-'DCF Model'!C16)*1000000/'DCF Model'!C15,0),"")</f>
        <v>1457</v>
      </c>
    </row>
    <row r="16" spans="2:9" ht="14" customHeight="1" x14ac:dyDescent="0.3">
      <c r="B16" s="3" t="s">
        <v>242</v>
      </c>
    </row>
    <row r="17" spans="2:9" ht="14" customHeight="1" x14ac:dyDescent="0.3">
      <c r="B17" s="40" t="s">
        <v>243</v>
      </c>
      <c r="C17" s="42">
        <f>$I$3-3</f>
        <v>4.4000000000000004</v>
      </c>
      <c r="D17" s="42">
        <f>$I$3-2</f>
        <v>5.4</v>
      </c>
      <c r="E17" s="42">
        <f>$I$3-1</f>
        <v>6.4</v>
      </c>
      <c r="F17" s="42">
        <f>$I$3</f>
        <v>7.4</v>
      </c>
      <c r="G17" s="42">
        <f>$I$3+1</f>
        <v>8.4</v>
      </c>
      <c r="H17" s="42">
        <f>$I$3+2</f>
        <v>9.4</v>
      </c>
      <c r="I17" s="42">
        <f>$I$3+3</f>
        <v>10.4</v>
      </c>
    </row>
    <row r="18" spans="2:9" ht="13.5" customHeight="1" x14ac:dyDescent="0.25">
      <c r="B18" s="39">
        <f>$C$3-0.015</f>
        <v>2.8514020121470619E-2</v>
      </c>
      <c r="C18" s="37">
        <f>IFERROR(ROUND(('DCF Model'!C45/(1+$B18)^('DCF Model'!C19+0)+'DCF Model'!D45/(1+$B18)^('DCF Model'!C19+1)+'DCF Model'!E45/(1+$B18)^('DCF Model'!C19+2)+'DCF Model'!F45/(1+$B18)^('DCF Model'!C19+3)+'DCF Model'!G45/(1+$B18)^('DCF Model'!C19+4)+('DCF Model'!G39+'DCF Model'!G42)*C$17/(1+$B18)^('DCF Model'!C19+4)-'DCF Model'!C16)*1000000/'DCF Model'!C15,0),"")</f>
        <v>-391</v>
      </c>
      <c r="D18" s="37">
        <f>IFERROR(ROUND(('DCF Model'!C45/(1+$B18)^('DCF Model'!C19+0)+'DCF Model'!D45/(1+$B18)^('DCF Model'!C19+1)+'DCF Model'!E45/(1+$B18)^('DCF Model'!C19+2)+'DCF Model'!F45/(1+$B18)^('DCF Model'!C19+3)+'DCF Model'!G45/(1+$B18)^('DCF Model'!C19+4)+('DCF Model'!G39+'DCF Model'!G42)*D$17/(1+$B18)^('DCF Model'!C19+4)-'DCF Model'!C16)*1000000/'DCF Model'!C15,0),"")</f>
        <v>329</v>
      </c>
      <c r="E18" s="37">
        <f>IFERROR(ROUND(('DCF Model'!C45/(1+$B18)^('DCF Model'!C19+0)+'DCF Model'!D45/(1+$B18)^('DCF Model'!C19+1)+'DCF Model'!E45/(1+$B18)^('DCF Model'!C19+2)+'DCF Model'!F45/(1+$B18)^('DCF Model'!C19+3)+'DCF Model'!G45/(1+$B18)^('DCF Model'!C19+4)+('DCF Model'!G39+'DCF Model'!G42)*E$17/(1+$B18)^('DCF Model'!C19+4)-'DCF Model'!C16)*1000000/'DCF Model'!C15,0),"")</f>
        <v>1049</v>
      </c>
      <c r="F18" s="37">
        <f>IFERROR(ROUND(('DCF Model'!C45/(1+$B18)^('DCF Model'!C19+0)+'DCF Model'!D45/(1+$B18)^('DCF Model'!C19+1)+'DCF Model'!E45/(1+$B18)^('DCF Model'!C19+2)+'DCF Model'!F45/(1+$B18)^('DCF Model'!C19+3)+'DCF Model'!G45/(1+$B18)^('DCF Model'!C19+4)+('DCF Model'!G39+'DCF Model'!G42)*F$17/(1+$B18)^('DCF Model'!C19+4)-'DCF Model'!C16)*1000000/'DCF Model'!C15,0),"")</f>
        <v>1768</v>
      </c>
      <c r="G18" s="37">
        <f>IFERROR(ROUND(('DCF Model'!C45/(1+$B18)^('DCF Model'!C19+0)+'DCF Model'!D45/(1+$B18)^('DCF Model'!C19+1)+'DCF Model'!E45/(1+$B18)^('DCF Model'!C19+2)+'DCF Model'!F45/(1+$B18)^('DCF Model'!C19+3)+'DCF Model'!G45/(1+$B18)^('DCF Model'!C19+4)+('DCF Model'!G39+'DCF Model'!G42)*G$17/(1+$B18)^('DCF Model'!C19+4)-'DCF Model'!C16)*1000000/'DCF Model'!C15,0),"")</f>
        <v>2488</v>
      </c>
      <c r="H18" s="37">
        <f>IFERROR(ROUND(('DCF Model'!C45/(1+$B18)^('DCF Model'!C19+0)+'DCF Model'!D45/(1+$B18)^('DCF Model'!C19+1)+'DCF Model'!E45/(1+$B18)^('DCF Model'!C19+2)+'DCF Model'!F45/(1+$B18)^('DCF Model'!C19+3)+'DCF Model'!G45/(1+$B18)^('DCF Model'!C19+4)+('DCF Model'!G39+'DCF Model'!G42)*H$17/(1+$B18)^('DCF Model'!C19+4)-'DCF Model'!C16)*1000000/'DCF Model'!C15,0),"")</f>
        <v>3208</v>
      </c>
      <c r="I18" s="37">
        <f>IFERROR(ROUND(('DCF Model'!C45/(1+$B18)^('DCF Model'!C19+0)+'DCF Model'!D45/(1+$B18)^('DCF Model'!C19+1)+'DCF Model'!E45/(1+$B18)^('DCF Model'!C19+2)+'DCF Model'!F45/(1+$B18)^('DCF Model'!C19+3)+'DCF Model'!G45/(1+$B18)^('DCF Model'!C19+4)+('DCF Model'!G39+'DCF Model'!G42)*I$17/(1+$B18)^('DCF Model'!C19+4)-'DCF Model'!C16)*1000000/'DCF Model'!C15,0),"")</f>
        <v>3928</v>
      </c>
    </row>
    <row r="19" spans="2:9" ht="13.5" customHeight="1" x14ac:dyDescent="0.25">
      <c r="B19" s="39">
        <f>$C$3-0.01</f>
        <v>3.3514020121470617E-2</v>
      </c>
      <c r="C19" s="37">
        <f>IFERROR(ROUND(('DCF Model'!C45/(1+$B19)^('DCF Model'!C19+0)+'DCF Model'!D45/(1+$B19)^('DCF Model'!C19+1)+'DCF Model'!E45/(1+$B19)^('DCF Model'!C19+2)+'DCF Model'!F45/(1+$B19)^('DCF Model'!C19+3)+'DCF Model'!G45/(1+$B19)^('DCF Model'!C19+4)+('DCF Model'!G39+'DCF Model'!G42)*C$17/(1+$B19)^('DCF Model'!C19+4)-'DCF Model'!C16)*1000000/'DCF Model'!C15,0),"")</f>
        <v>-477</v>
      </c>
      <c r="D19" s="37">
        <f>IFERROR(ROUND(('DCF Model'!C45/(1+$B19)^('DCF Model'!C19+0)+'DCF Model'!D45/(1+$B19)^('DCF Model'!C19+1)+'DCF Model'!E45/(1+$B19)^('DCF Model'!C19+2)+'DCF Model'!F45/(1+$B19)^('DCF Model'!C19+3)+'DCF Model'!G45/(1+$B19)^('DCF Model'!C19+4)+('DCF Model'!G39+'DCF Model'!G42)*D$17/(1+$B19)^('DCF Model'!C19+4)-'DCF Model'!C16)*1000000/'DCF Model'!C15,0),"")</f>
        <v>225</v>
      </c>
      <c r="E19" s="37">
        <f>IFERROR(ROUND(('DCF Model'!C45/(1+$B19)^('DCF Model'!C19+0)+'DCF Model'!D45/(1+$B19)^('DCF Model'!C19+1)+'DCF Model'!E45/(1+$B19)^('DCF Model'!C19+2)+'DCF Model'!F45/(1+$B19)^('DCF Model'!C19+3)+'DCF Model'!G45/(1+$B19)^('DCF Model'!C19+4)+('DCF Model'!G39+'DCF Model'!G42)*E$17/(1+$B19)^('DCF Model'!C19+4)-'DCF Model'!C16)*1000000/'DCF Model'!C15,0),"")</f>
        <v>928</v>
      </c>
      <c r="F19" s="37">
        <f>IFERROR(ROUND(('DCF Model'!C45/(1+$B19)^('DCF Model'!C19+0)+'DCF Model'!D45/(1+$B19)^('DCF Model'!C19+1)+'DCF Model'!E45/(1+$B19)^('DCF Model'!C19+2)+'DCF Model'!F45/(1+$B19)^('DCF Model'!C19+3)+'DCF Model'!G45/(1+$B19)^('DCF Model'!C19+4)+('DCF Model'!G39+'DCF Model'!G42)*F$17/(1+$B19)^('DCF Model'!C19+4)-'DCF Model'!C16)*1000000/'DCF Model'!C15,0),"")</f>
        <v>1630</v>
      </c>
      <c r="G19" s="37">
        <f>IFERROR(ROUND(('DCF Model'!C45/(1+$B19)^('DCF Model'!C19+0)+'DCF Model'!D45/(1+$B19)^('DCF Model'!C19+1)+'DCF Model'!E45/(1+$B19)^('DCF Model'!C19+2)+'DCF Model'!F45/(1+$B19)^('DCF Model'!C19+3)+'DCF Model'!G45/(1+$B19)^('DCF Model'!C19+4)+('DCF Model'!G39+'DCF Model'!G42)*G$17/(1+$B19)^('DCF Model'!C19+4)-'DCF Model'!C16)*1000000/'DCF Model'!C15,0),"")</f>
        <v>2333</v>
      </c>
      <c r="H19" s="37">
        <f>IFERROR(ROUND(('DCF Model'!C45/(1+$B19)^('DCF Model'!C19+0)+'DCF Model'!D45/(1+$B19)^('DCF Model'!C19+1)+'DCF Model'!E45/(1+$B19)^('DCF Model'!C19+2)+'DCF Model'!F45/(1+$B19)^('DCF Model'!C19+3)+'DCF Model'!G45/(1+$B19)^('DCF Model'!C19+4)+('DCF Model'!G39+'DCF Model'!G42)*H$17/(1+$B19)^('DCF Model'!C19+4)-'DCF Model'!C16)*1000000/'DCF Model'!C15,0),"")</f>
        <v>3035</v>
      </c>
      <c r="I19" s="37">
        <f>IFERROR(ROUND(('DCF Model'!C45/(1+$B19)^('DCF Model'!C19+0)+'DCF Model'!D45/(1+$B19)^('DCF Model'!C19+1)+'DCF Model'!E45/(1+$B19)^('DCF Model'!C19+2)+'DCF Model'!F45/(1+$B19)^('DCF Model'!C19+3)+'DCF Model'!G45/(1+$B19)^('DCF Model'!C19+4)+('DCF Model'!G39+'DCF Model'!G42)*I$17/(1+$B19)^('DCF Model'!C19+4)-'DCF Model'!C16)*1000000/'DCF Model'!C15,0),"")</f>
        <v>3738</v>
      </c>
    </row>
    <row r="20" spans="2:9" ht="13.5" customHeight="1" x14ac:dyDescent="0.25">
      <c r="B20" s="39">
        <f>$C$3-0.005</f>
        <v>3.8514020121470621E-2</v>
      </c>
      <c r="C20" s="37">
        <f>IFERROR(ROUND(('DCF Model'!C45/(1+$B20)^('DCF Model'!C19+0)+'DCF Model'!D45/(1+$B20)^('DCF Model'!C19+1)+'DCF Model'!E45/(1+$B20)^('DCF Model'!C19+2)+'DCF Model'!F45/(1+$B20)^('DCF Model'!C19+3)+'DCF Model'!G45/(1+$B20)^('DCF Model'!C19+4)+('DCF Model'!G39+'DCF Model'!G42)*C$17/(1+$B20)^('DCF Model'!C19+4)-'DCF Model'!C16)*1000000/'DCF Model'!C15,0),"")</f>
        <v>-561</v>
      </c>
      <c r="D20" s="37">
        <f>IFERROR(ROUND(('DCF Model'!C45/(1+$B20)^('DCF Model'!C19+0)+'DCF Model'!D45/(1+$B20)^('DCF Model'!C19+1)+'DCF Model'!E45/(1+$B20)^('DCF Model'!C19+2)+'DCF Model'!F45/(1+$B20)^('DCF Model'!C19+3)+'DCF Model'!G45/(1+$B20)^('DCF Model'!C19+4)+('DCF Model'!G39+'DCF Model'!G42)*D$17/(1+$B20)^('DCF Model'!C19+4)-'DCF Model'!C16)*1000000/'DCF Model'!C15,0),"")</f>
        <v>125</v>
      </c>
      <c r="E20" s="37">
        <f>IFERROR(ROUND(('DCF Model'!C45/(1+$B20)^('DCF Model'!C19+0)+'DCF Model'!D45/(1+$B20)^('DCF Model'!C19+1)+'DCF Model'!E45/(1+$B20)^('DCF Model'!C19+2)+'DCF Model'!F45/(1+$B20)^('DCF Model'!C19+3)+'DCF Model'!G45/(1+$B20)^('DCF Model'!C19+4)+('DCF Model'!G39+'DCF Model'!G42)*E$17/(1+$B20)^('DCF Model'!C19+4)-'DCF Model'!C16)*1000000/'DCF Model'!C15,0),"")</f>
        <v>810</v>
      </c>
      <c r="F20" s="37">
        <f>IFERROR(ROUND(('DCF Model'!C45/(1+$B20)^('DCF Model'!C19+0)+'DCF Model'!D45/(1+$B20)^('DCF Model'!C19+1)+'DCF Model'!E45/(1+$B20)^('DCF Model'!C19+2)+'DCF Model'!F45/(1+$B20)^('DCF Model'!C19+3)+'DCF Model'!G45/(1+$B20)^('DCF Model'!C19+4)+('DCF Model'!G39+'DCF Model'!G42)*F$17/(1+$B20)^('DCF Model'!C19+4)-'DCF Model'!C16)*1000000/'DCF Model'!C15,0),"")</f>
        <v>1496</v>
      </c>
      <c r="G20" s="37">
        <f>IFERROR(ROUND(('DCF Model'!C45/(1+$B20)^('DCF Model'!C19+0)+'DCF Model'!D45/(1+$B20)^('DCF Model'!C19+1)+'DCF Model'!E45/(1+$B20)^('DCF Model'!C19+2)+'DCF Model'!F45/(1+$B20)^('DCF Model'!C19+3)+'DCF Model'!G45/(1+$B20)^('DCF Model'!C19+4)+('DCF Model'!G39+'DCF Model'!G42)*G$17/(1+$B20)^('DCF Model'!C19+4)-'DCF Model'!C16)*1000000/'DCF Model'!C15,0),"")</f>
        <v>2182</v>
      </c>
      <c r="H20" s="37">
        <f>IFERROR(ROUND(('DCF Model'!C45/(1+$B20)^('DCF Model'!C19+0)+'DCF Model'!D45/(1+$B20)^('DCF Model'!C19+1)+'DCF Model'!E45/(1+$B20)^('DCF Model'!C19+2)+'DCF Model'!F45/(1+$B20)^('DCF Model'!C19+3)+'DCF Model'!G45/(1+$B20)^('DCF Model'!C19+4)+('DCF Model'!G39+'DCF Model'!G42)*H$17/(1+$B20)^('DCF Model'!C19+4)-'DCF Model'!C16)*1000000/'DCF Model'!C15,0),"")</f>
        <v>2868</v>
      </c>
      <c r="I20" s="37">
        <f>IFERROR(ROUND(('DCF Model'!C45/(1+$B20)^('DCF Model'!C19+0)+'DCF Model'!D45/(1+$B20)^('DCF Model'!C19+1)+'DCF Model'!E45/(1+$B20)^('DCF Model'!C19+2)+'DCF Model'!F45/(1+$B20)^('DCF Model'!C19+3)+'DCF Model'!G45/(1+$B20)^('DCF Model'!C19+4)+('DCF Model'!G39+'DCF Model'!G42)*I$17/(1+$B20)^('DCF Model'!C19+4)-'DCF Model'!C16)*1000000/'DCF Model'!C15,0),"")</f>
        <v>3553</v>
      </c>
    </row>
    <row r="21" spans="2:9" ht="13.5" customHeight="1" x14ac:dyDescent="0.25">
      <c r="B21" s="39">
        <f>$C$3</f>
        <v>4.3514020121470619E-2</v>
      </c>
      <c r="C21" s="37">
        <f>IFERROR(ROUND(('DCF Model'!C45/(1+$B21)^('DCF Model'!C19+0)+'DCF Model'!D45/(1+$B21)^('DCF Model'!C19+1)+'DCF Model'!E45/(1+$B21)^('DCF Model'!C19+2)+'DCF Model'!F45/(1+$B21)^('DCF Model'!C19+3)+'DCF Model'!G45/(1+$B21)^('DCF Model'!C19+4)+('DCF Model'!G39+'DCF Model'!G42)*C$17/(1+$B21)^('DCF Model'!C19+4)-'DCF Model'!C16)*1000000/'DCF Model'!C15,0),"")</f>
        <v>-643</v>
      </c>
      <c r="D21" s="37">
        <f>IFERROR(ROUND(('DCF Model'!C45/(1+$B21)^('DCF Model'!C19+0)+'DCF Model'!D45/(1+$B21)^('DCF Model'!C19+1)+'DCF Model'!E45/(1+$B21)^('DCF Model'!C19+2)+'DCF Model'!F45/(1+$B21)^('DCF Model'!C19+3)+'DCF Model'!G45/(1+$B21)^('DCF Model'!C19+4)+('DCF Model'!G39+'DCF Model'!G42)*D$17/(1+$B21)^('DCF Model'!C19+4)-'DCF Model'!C16)*1000000/'DCF Model'!C15,0),"")</f>
        <v>27</v>
      </c>
      <c r="E21" s="37">
        <f>IFERROR(ROUND(('DCF Model'!C45/(1+$B21)^('DCF Model'!C19+0)+'DCF Model'!D45/(1+$B21)^('DCF Model'!C19+1)+'DCF Model'!E45/(1+$B21)^('DCF Model'!C19+2)+'DCF Model'!F45/(1+$B21)^('DCF Model'!C19+3)+'DCF Model'!G45/(1+$B21)^('DCF Model'!C19+4)+('DCF Model'!G39+'DCF Model'!G42)*E$17/(1+$B21)^('DCF Model'!C19+4)-'DCF Model'!C16)*1000000/'DCF Model'!C15,0),"")</f>
        <v>696</v>
      </c>
      <c r="F21" s="37">
        <f>IFERROR(ROUND(('DCF Model'!C45/(1+$B21)^('DCF Model'!C19+0)+'DCF Model'!D45/(1+$B21)^('DCF Model'!C19+1)+'DCF Model'!E45/(1+$B21)^('DCF Model'!C19+2)+'DCF Model'!F45/(1+$B21)^('DCF Model'!C19+3)+'DCF Model'!G45/(1+$B21)^('DCF Model'!C19+4)+('DCF Model'!G39+'DCF Model'!G42)*F$17/(1+$B21)^('DCF Model'!C19+4)-'DCF Model'!C16)*1000000/'DCF Model'!C15,0),"")</f>
        <v>1366</v>
      </c>
      <c r="G21" s="37">
        <f>IFERROR(ROUND(('DCF Model'!C45/(1+$B21)^('DCF Model'!C19+0)+'DCF Model'!D45/(1+$B21)^('DCF Model'!C19+1)+'DCF Model'!E45/(1+$B21)^('DCF Model'!C19+2)+'DCF Model'!F45/(1+$B21)^('DCF Model'!C19+3)+'DCF Model'!G45/(1+$B21)^('DCF Model'!C19+4)+('DCF Model'!G39+'DCF Model'!G42)*G$17/(1+$B21)^('DCF Model'!C19+4)-'DCF Model'!C16)*1000000/'DCF Model'!C15,0),"")</f>
        <v>2035</v>
      </c>
      <c r="H21" s="37">
        <f>IFERROR(ROUND(('DCF Model'!C45/(1+$B21)^('DCF Model'!C19+0)+'DCF Model'!D45/(1+$B21)^('DCF Model'!C19+1)+'DCF Model'!E45/(1+$B21)^('DCF Model'!C19+2)+'DCF Model'!F45/(1+$B21)^('DCF Model'!C19+3)+'DCF Model'!G45/(1+$B21)^('DCF Model'!C19+4)+('DCF Model'!G39+'DCF Model'!G42)*H$17/(1+$B21)^('DCF Model'!C19+4)-'DCF Model'!C16)*1000000/'DCF Model'!C15,0),"")</f>
        <v>2705</v>
      </c>
      <c r="I21" s="37">
        <f>IFERROR(ROUND(('DCF Model'!C45/(1+$B21)^('DCF Model'!C19+0)+'DCF Model'!D45/(1+$B21)^('DCF Model'!C19+1)+'DCF Model'!E45/(1+$B21)^('DCF Model'!C19+2)+'DCF Model'!F45/(1+$B21)^('DCF Model'!C19+3)+'DCF Model'!G45/(1+$B21)^('DCF Model'!C19+4)+('DCF Model'!G39+'DCF Model'!G42)*I$17/(1+$B21)^('DCF Model'!C19+4)-'DCF Model'!C16)*1000000/'DCF Model'!C15,0),"")</f>
        <v>3374</v>
      </c>
    </row>
    <row r="22" spans="2:9" ht="13.5" customHeight="1" x14ac:dyDescent="0.25">
      <c r="B22" s="39">
        <f>$C$3+0.005</f>
        <v>4.8514020121470616E-2</v>
      </c>
      <c r="C22" s="37">
        <f>IFERROR(ROUND(('DCF Model'!C45/(1+$B22)^('DCF Model'!C19+0)+'DCF Model'!D45/(1+$B22)^('DCF Model'!C19+1)+'DCF Model'!E45/(1+$B22)^('DCF Model'!C19+2)+'DCF Model'!F45/(1+$B22)^('DCF Model'!C19+3)+'DCF Model'!G45/(1+$B22)^('DCF Model'!C19+4)+('DCF Model'!G39+'DCF Model'!G42)*C$17/(1+$B22)^('DCF Model'!C19+4)-'DCF Model'!C16)*1000000/'DCF Model'!C15,0),"")</f>
        <v>-722</v>
      </c>
      <c r="D22" s="37">
        <f>IFERROR(ROUND(('DCF Model'!C45/(1+$B22)^('DCF Model'!C19+0)+'DCF Model'!D45/(1+$B22)^('DCF Model'!C19+1)+'DCF Model'!E45/(1+$B22)^('DCF Model'!C19+2)+'DCF Model'!F45/(1+$B22)^('DCF Model'!C19+3)+'DCF Model'!G45/(1+$B22)^('DCF Model'!C19+4)+('DCF Model'!G39+'DCF Model'!G42)*D$17/(1+$B22)^('DCF Model'!C19+4)-'DCF Model'!C16)*1000000/'DCF Model'!C15,0),"")</f>
        <v>-68</v>
      </c>
      <c r="E22" s="37">
        <f>IFERROR(ROUND(('DCF Model'!C45/(1+$B22)^('DCF Model'!C19+0)+'DCF Model'!D45/(1+$B22)^('DCF Model'!C19+1)+'DCF Model'!E45/(1+$B22)^('DCF Model'!C19+2)+'DCF Model'!F45/(1+$B22)^('DCF Model'!C19+3)+'DCF Model'!G45/(1+$B22)^('DCF Model'!C19+4)+('DCF Model'!G39+'DCF Model'!G42)*E$17/(1+$B22)^('DCF Model'!C19+4)-'DCF Model'!C16)*1000000/'DCF Model'!C15,0),"")</f>
        <v>586</v>
      </c>
      <c r="F22" s="37">
        <f>IFERROR(ROUND(('DCF Model'!C45/(1+$B22)^('DCF Model'!C19+0)+'DCF Model'!D45/(1+$B22)^('DCF Model'!C19+1)+'DCF Model'!E45/(1+$B22)^('DCF Model'!C19+2)+'DCF Model'!F45/(1+$B22)^('DCF Model'!C19+3)+'DCF Model'!G45/(1+$B22)^('DCF Model'!C19+4)+('DCF Model'!G39+'DCF Model'!G42)*F$17/(1+$B22)^('DCF Model'!C19+4)-'DCF Model'!C16)*1000000/'DCF Model'!C15,0),"")</f>
        <v>1239</v>
      </c>
      <c r="G22" s="37">
        <f>IFERROR(ROUND(('DCF Model'!C45/(1+$B22)^('DCF Model'!C19+0)+'DCF Model'!D45/(1+$B22)^('DCF Model'!C19+1)+'DCF Model'!E45/(1+$B22)^('DCF Model'!C19+2)+'DCF Model'!F45/(1+$B22)^('DCF Model'!C19+3)+'DCF Model'!G45/(1+$B22)^('DCF Model'!C19+4)+('DCF Model'!G39+'DCF Model'!G42)*G$17/(1+$B22)^('DCF Model'!C19+4)-'DCF Model'!C16)*1000000/'DCF Model'!C15,0),"")</f>
        <v>1893</v>
      </c>
      <c r="H22" s="37">
        <f>IFERROR(ROUND(('DCF Model'!C45/(1+$B22)^('DCF Model'!C19+0)+'DCF Model'!D45/(1+$B22)^('DCF Model'!C19+1)+'DCF Model'!E45/(1+$B22)^('DCF Model'!C19+2)+'DCF Model'!F45/(1+$B22)^('DCF Model'!C19+3)+'DCF Model'!G45/(1+$B22)^('DCF Model'!C19+4)+('DCF Model'!G39+'DCF Model'!G42)*H$17/(1+$B22)^('DCF Model'!C19+4)-'DCF Model'!C16)*1000000/'DCF Model'!C15,0),"")</f>
        <v>2547</v>
      </c>
      <c r="I22" s="37">
        <f>IFERROR(ROUND(('DCF Model'!C45/(1+$B22)^('DCF Model'!C19+0)+'DCF Model'!D45/(1+$B22)^('DCF Model'!C19+1)+'DCF Model'!E45/(1+$B22)^('DCF Model'!C19+2)+'DCF Model'!F45/(1+$B22)^('DCF Model'!C19+3)+'DCF Model'!G45/(1+$B22)^('DCF Model'!C19+4)+('DCF Model'!G39+'DCF Model'!G42)*I$17/(1+$B22)^('DCF Model'!C19+4)-'DCF Model'!C16)*1000000/'DCF Model'!C15,0),"")</f>
        <v>3200</v>
      </c>
    </row>
    <row r="23" spans="2:9" ht="13.5" customHeight="1" x14ac:dyDescent="0.25">
      <c r="B23" s="39">
        <f>$C$3+0.01</f>
        <v>5.3514020121470621E-2</v>
      </c>
      <c r="C23" s="37">
        <f>IFERROR(ROUND(('DCF Model'!C45/(1+$B23)^('DCF Model'!C19+0)+'DCF Model'!D45/(1+$B23)^('DCF Model'!C19+1)+'DCF Model'!E45/(1+$B23)^('DCF Model'!C19+2)+'DCF Model'!F45/(1+$B23)^('DCF Model'!C19+3)+'DCF Model'!G45/(1+$B23)^('DCF Model'!C19+4)+('DCF Model'!G39+'DCF Model'!G42)*C$17/(1+$B23)^('DCF Model'!C19+4)-'DCF Model'!C16)*1000000/'DCF Model'!C15,0),"")</f>
        <v>-799</v>
      </c>
      <c r="D23" s="37">
        <f>IFERROR(ROUND(('DCF Model'!C45/(1+$B23)^('DCF Model'!C19+0)+'DCF Model'!D45/(1+$B23)^('DCF Model'!C19+1)+'DCF Model'!E45/(1+$B23)^('DCF Model'!C19+2)+'DCF Model'!F45/(1+$B23)^('DCF Model'!C19+3)+'DCF Model'!G45/(1+$B23)^('DCF Model'!C19+4)+('DCF Model'!G39+'DCF Model'!G42)*D$17/(1+$B23)^('DCF Model'!C19+4)-'DCF Model'!C16)*1000000/'DCF Model'!C15,0),"")</f>
        <v>-161</v>
      </c>
      <c r="E23" s="37">
        <f>IFERROR(ROUND(('DCF Model'!C45/(1+$B23)^('DCF Model'!C19+0)+'DCF Model'!D45/(1+$B23)^('DCF Model'!C19+1)+'DCF Model'!E45/(1+$B23)^('DCF Model'!C19+2)+'DCF Model'!F45/(1+$B23)^('DCF Model'!C19+3)+'DCF Model'!G45/(1+$B23)^('DCF Model'!C19+4)+('DCF Model'!G39+'DCF Model'!G42)*E$17/(1+$B23)^('DCF Model'!C19+4)-'DCF Model'!C16)*1000000/'DCF Model'!C15,0),"")</f>
        <v>478</v>
      </c>
      <c r="F23" s="37">
        <f>IFERROR(ROUND(('DCF Model'!C45/(1+$B23)^('DCF Model'!C19+0)+'DCF Model'!D45/(1+$B23)^('DCF Model'!C19+1)+'DCF Model'!E45/(1+$B23)^('DCF Model'!C19+2)+'DCF Model'!F45/(1+$B23)^('DCF Model'!C19+3)+'DCF Model'!G45/(1+$B23)^('DCF Model'!C19+4)+('DCF Model'!G39+'DCF Model'!G42)*F$17/(1+$B23)^('DCF Model'!C19+4)-'DCF Model'!C16)*1000000/'DCF Model'!C15,0),"")</f>
        <v>1116</v>
      </c>
      <c r="G23" s="37">
        <f>IFERROR(ROUND(('DCF Model'!C45/(1+$B23)^('DCF Model'!C19+0)+'DCF Model'!D45/(1+$B23)^('DCF Model'!C19+1)+'DCF Model'!E45/(1+$B23)^('DCF Model'!C19+2)+'DCF Model'!F45/(1+$B23)^('DCF Model'!C19+3)+'DCF Model'!G45/(1+$B23)^('DCF Model'!C19+4)+('DCF Model'!G39+'DCF Model'!G42)*G$17/(1+$B23)^('DCF Model'!C19+4)-'DCF Model'!C16)*1000000/'DCF Model'!C15,0),"")</f>
        <v>1754</v>
      </c>
      <c r="H23" s="37">
        <f>IFERROR(ROUND(('DCF Model'!C45/(1+$B23)^('DCF Model'!C19+0)+'DCF Model'!D45/(1+$B23)^('DCF Model'!C19+1)+'DCF Model'!E45/(1+$B23)^('DCF Model'!C19+2)+'DCF Model'!F45/(1+$B23)^('DCF Model'!C19+3)+'DCF Model'!G45/(1+$B23)^('DCF Model'!C19+4)+('DCF Model'!G39+'DCF Model'!G42)*H$17/(1+$B23)^('DCF Model'!C19+4)-'DCF Model'!C16)*1000000/'DCF Model'!C15,0),"")</f>
        <v>2393</v>
      </c>
      <c r="I23" s="37">
        <f>IFERROR(ROUND(('DCF Model'!C45/(1+$B23)^('DCF Model'!C19+0)+'DCF Model'!D45/(1+$B23)^('DCF Model'!C19+1)+'DCF Model'!E45/(1+$B23)^('DCF Model'!C19+2)+'DCF Model'!F45/(1+$B23)^('DCF Model'!C19+3)+'DCF Model'!G45/(1+$B23)^('DCF Model'!C19+4)+('DCF Model'!G39+'DCF Model'!G42)*I$17/(1+$B23)^('DCF Model'!C19+4)-'DCF Model'!C16)*1000000/'DCF Model'!C15,0),"")</f>
        <v>3031</v>
      </c>
    </row>
    <row r="24" spans="2:9" ht="13.5" customHeight="1" x14ac:dyDescent="0.25">
      <c r="B24" s="39">
        <f>$C$3+0.015</f>
        <v>5.8514020121470618E-2</v>
      </c>
      <c r="C24" s="37">
        <f>IFERROR(ROUND(('DCF Model'!C45/(1+$B24)^('DCF Model'!C19+0)+'DCF Model'!D45/(1+$B24)^('DCF Model'!C19+1)+'DCF Model'!E45/(1+$B24)^('DCF Model'!C19+2)+'DCF Model'!F45/(1+$B24)^('DCF Model'!C19+3)+'DCF Model'!G45/(1+$B24)^('DCF Model'!C19+4)+('DCF Model'!G39+'DCF Model'!G42)*C$17/(1+$B24)^('DCF Model'!C19+4)-'DCF Model'!C16)*1000000/'DCF Model'!C15,0),"")</f>
        <v>-874</v>
      </c>
      <c r="D24" s="37">
        <f>IFERROR(ROUND(('DCF Model'!C45/(1+$B24)^('DCF Model'!C19+0)+'DCF Model'!D45/(1+$B24)^('DCF Model'!C19+1)+'DCF Model'!E45/(1+$B24)^('DCF Model'!C19+2)+'DCF Model'!F45/(1+$B24)^('DCF Model'!C19+3)+'DCF Model'!G45/(1+$B24)^('DCF Model'!C19+4)+('DCF Model'!G39+'DCF Model'!G42)*D$17/(1+$B24)^('DCF Model'!C19+4)-'DCF Model'!C16)*1000000/'DCF Model'!C15,0),"")</f>
        <v>-250</v>
      </c>
      <c r="E24" s="37">
        <f>IFERROR(ROUND(('DCF Model'!C45/(1+$B24)^('DCF Model'!C19+0)+'DCF Model'!D45/(1+$B24)^('DCF Model'!C19+1)+'DCF Model'!E45/(1+$B24)^('DCF Model'!C19+2)+'DCF Model'!F45/(1+$B24)^('DCF Model'!C19+3)+'DCF Model'!G45/(1+$B24)^('DCF Model'!C19+4)+('DCF Model'!G39+'DCF Model'!G42)*E$17/(1+$B24)^('DCF Model'!C19+4)-'DCF Model'!C16)*1000000/'DCF Model'!C15,0),"")</f>
        <v>373</v>
      </c>
      <c r="F24" s="37">
        <f>IFERROR(ROUND(('DCF Model'!C45/(1+$B24)^('DCF Model'!C19+0)+'DCF Model'!D45/(1+$B24)^('DCF Model'!C19+1)+'DCF Model'!E45/(1+$B24)^('DCF Model'!C19+2)+'DCF Model'!F45/(1+$B24)^('DCF Model'!C19+3)+'DCF Model'!G45/(1+$B24)^('DCF Model'!C19+4)+('DCF Model'!G39+'DCF Model'!G42)*F$17/(1+$B24)^('DCF Model'!C19+4)-'DCF Model'!C16)*1000000/'DCF Model'!C15,0),"")</f>
        <v>996</v>
      </c>
      <c r="G24" s="37">
        <f>IFERROR(ROUND(('DCF Model'!C45/(1+$B24)^('DCF Model'!C19+0)+'DCF Model'!D45/(1+$B24)^('DCF Model'!C19+1)+'DCF Model'!E45/(1+$B24)^('DCF Model'!C19+2)+'DCF Model'!F45/(1+$B24)^('DCF Model'!C19+3)+'DCF Model'!G45/(1+$B24)^('DCF Model'!C19+4)+('DCF Model'!G39+'DCF Model'!G42)*G$17/(1+$B24)^('DCF Model'!C19+4)-'DCF Model'!C16)*1000000/'DCF Model'!C15,0),"")</f>
        <v>1620</v>
      </c>
      <c r="H24" s="37">
        <f>IFERROR(ROUND(('DCF Model'!C45/(1+$B24)^('DCF Model'!C19+0)+'DCF Model'!D45/(1+$B24)^('DCF Model'!C19+1)+'DCF Model'!E45/(1+$B24)^('DCF Model'!C19+2)+'DCF Model'!F45/(1+$B24)^('DCF Model'!C19+3)+'DCF Model'!G45/(1+$B24)^('DCF Model'!C19+4)+('DCF Model'!G39+'DCF Model'!G42)*H$17/(1+$B24)^('DCF Model'!C19+4)-'DCF Model'!C16)*1000000/'DCF Model'!C15,0),"")</f>
        <v>2243</v>
      </c>
      <c r="I24" s="37">
        <f>IFERROR(ROUND(('DCF Model'!C45/(1+$B24)^('DCF Model'!C19+0)+'DCF Model'!D45/(1+$B24)^('DCF Model'!C19+1)+'DCF Model'!E45/(1+$B24)^('DCF Model'!C19+2)+'DCF Model'!F45/(1+$B24)^('DCF Model'!C19+3)+'DCF Model'!G45/(1+$B24)^('DCF Model'!C19+4)+('DCF Model'!G39+'DCF Model'!G42)*I$17/(1+$B24)^('DCF Model'!C19+4)-'DCF Model'!C16)*1000000/'DCF Model'!C15,0),"")</f>
        <v>2867</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276</v>
      </c>
    </row>
    <row r="10" spans="2:7" ht="30" customHeight="1" x14ac:dyDescent="0.3">
      <c r="B10" s="43" t="s">
        <v>257</v>
      </c>
      <c r="C10" s="4" t="s">
        <v>277</v>
      </c>
      <c r="D10" s="43" t="s">
        <v>278</v>
      </c>
      <c r="E10" s="43" t="s">
        <v>279</v>
      </c>
      <c r="F10" s="43" t="s">
        <v>280</v>
      </c>
      <c r="G10" s="43" t="s">
        <v>281</v>
      </c>
    </row>
    <row r="11" spans="2:7" ht="30" customHeight="1" x14ac:dyDescent="0.3">
      <c r="B11" s="43" t="s">
        <v>257</v>
      </c>
      <c r="C11" s="4" t="s">
        <v>282</v>
      </c>
      <c r="D11" s="43" t="s">
        <v>283</v>
      </c>
      <c r="E11" s="43" t="s">
        <v>284</v>
      </c>
      <c r="F11" s="43" t="s">
        <v>285</v>
      </c>
      <c r="G11" s="43" t="s">
        <v>286</v>
      </c>
    </row>
    <row r="12" spans="2:7" ht="30" customHeight="1" x14ac:dyDescent="0.3">
      <c r="B12" s="43" t="s">
        <v>257</v>
      </c>
      <c r="C12" s="4" t="s">
        <v>287</v>
      </c>
      <c r="D12" s="43" t="s">
        <v>288</v>
      </c>
      <c r="E12" s="43" t="s">
        <v>289</v>
      </c>
      <c r="F12" s="43" t="s">
        <v>290</v>
      </c>
      <c r="G12" s="43" t="s">
        <v>267</v>
      </c>
    </row>
    <row r="13" spans="2:7" ht="30" customHeight="1" x14ac:dyDescent="0.3">
      <c r="B13" s="43" t="s">
        <v>257</v>
      </c>
      <c r="C13" s="4" t="s">
        <v>291</v>
      </c>
      <c r="D13" s="43" t="s">
        <v>292</v>
      </c>
      <c r="E13" s="43" t="s">
        <v>293</v>
      </c>
      <c r="F13" s="43" t="s">
        <v>294</v>
      </c>
      <c r="G13" s="43" t="s">
        <v>267</v>
      </c>
    </row>
    <row r="14" spans="2:7" ht="30" customHeight="1" x14ac:dyDescent="0.3">
      <c r="B14" s="43" t="s">
        <v>257</v>
      </c>
      <c r="C14" s="4" t="s">
        <v>295</v>
      </c>
      <c r="D14" s="43" t="s">
        <v>296</v>
      </c>
      <c r="E14" s="43" t="s">
        <v>297</v>
      </c>
      <c r="F14" s="43" t="s">
        <v>253</v>
      </c>
      <c r="G14" s="43" t="s">
        <v>267</v>
      </c>
    </row>
    <row r="15" spans="2:7" ht="30" customHeight="1" x14ac:dyDescent="0.3">
      <c r="B15" s="43" t="s">
        <v>257</v>
      </c>
      <c r="C15" s="4" t="s">
        <v>298</v>
      </c>
      <c r="D15" s="43" t="s">
        <v>299</v>
      </c>
      <c r="E15" s="43" t="s">
        <v>300</v>
      </c>
      <c r="F15" s="43" t="s">
        <v>301</v>
      </c>
      <c r="G15" s="43" t="s">
        <v>302</v>
      </c>
    </row>
    <row r="16" spans="2:7" ht="30" customHeight="1" x14ac:dyDescent="0.3">
      <c r="B16" s="43" t="s">
        <v>257</v>
      </c>
      <c r="C16" s="4" t="s">
        <v>303</v>
      </c>
      <c r="D16" s="43" t="s">
        <v>304</v>
      </c>
      <c r="E16" s="43" t="s">
        <v>305</v>
      </c>
      <c r="F16" s="43" t="s">
        <v>253</v>
      </c>
      <c r="G16" s="43" t="s">
        <v>306</v>
      </c>
    </row>
    <row r="17" spans="2:7" ht="30" customHeight="1" x14ac:dyDescent="0.3">
      <c r="B17" s="43" t="s">
        <v>257</v>
      </c>
      <c r="C17" s="4" t="s">
        <v>307</v>
      </c>
      <c r="D17" s="43" t="s">
        <v>308</v>
      </c>
      <c r="E17" s="43" t="s">
        <v>309</v>
      </c>
      <c r="F17" s="43" t="s">
        <v>271</v>
      </c>
      <c r="G17" s="43" t="s">
        <v>267</v>
      </c>
    </row>
    <row r="18" spans="2:7" ht="30" customHeight="1" x14ac:dyDescent="0.3">
      <c r="B18" s="43" t="s">
        <v>257</v>
      </c>
      <c r="C18" s="4" t="s">
        <v>310</v>
      </c>
      <c r="D18" s="43" t="s">
        <v>311</v>
      </c>
      <c r="E18" s="43" t="s">
        <v>312</v>
      </c>
      <c r="F18" s="43" t="s">
        <v>253</v>
      </c>
      <c r="G18" s="43" t="s">
        <v>267</v>
      </c>
    </row>
    <row r="19" spans="2:7" ht="30" customHeight="1" x14ac:dyDescent="0.3">
      <c r="B19" s="43" t="s">
        <v>257</v>
      </c>
      <c r="C19" s="4" t="s">
        <v>313</v>
      </c>
      <c r="D19" s="43" t="s">
        <v>314</v>
      </c>
      <c r="E19" s="43" t="s">
        <v>315</v>
      </c>
      <c r="F19" s="43" t="s">
        <v>253</v>
      </c>
      <c r="G19" s="43" t="s">
        <v>262</v>
      </c>
    </row>
    <row r="20" spans="2:7" ht="30" customHeight="1" x14ac:dyDescent="0.3">
      <c r="B20" s="43" t="s">
        <v>257</v>
      </c>
      <c r="C20" s="4" t="s">
        <v>316</v>
      </c>
      <c r="D20" s="43" t="s">
        <v>317</v>
      </c>
      <c r="E20" s="43" t="s">
        <v>318</v>
      </c>
      <c r="F20" s="43" t="s">
        <v>253</v>
      </c>
      <c r="G20" s="43" t="s">
        <v>319</v>
      </c>
    </row>
    <row r="21" spans="2:7" ht="30" customHeight="1" x14ac:dyDescent="0.3">
      <c r="B21" s="43" t="s">
        <v>257</v>
      </c>
      <c r="C21" s="4" t="s">
        <v>320</v>
      </c>
      <c r="D21" s="43" t="s">
        <v>321</v>
      </c>
      <c r="E21" s="43" t="s">
        <v>322</v>
      </c>
      <c r="F21" s="43" t="s">
        <v>253</v>
      </c>
      <c r="G21" s="43" t="s">
        <v>323</v>
      </c>
    </row>
    <row r="22" spans="2:7" ht="30" customHeight="1" x14ac:dyDescent="0.3">
      <c r="B22" s="43" t="s">
        <v>257</v>
      </c>
      <c r="C22" s="4" t="s">
        <v>320</v>
      </c>
      <c r="D22" s="43" t="s">
        <v>324</v>
      </c>
      <c r="E22" s="43" t="s">
        <v>325</v>
      </c>
      <c r="F22" s="43" t="s">
        <v>253</v>
      </c>
      <c r="G22" s="43" t="s">
        <v>323</v>
      </c>
    </row>
    <row r="23" spans="2:7" ht="30" customHeight="1" x14ac:dyDescent="0.3">
      <c r="B23" s="43" t="s">
        <v>257</v>
      </c>
      <c r="C23" s="4" t="s">
        <v>320</v>
      </c>
      <c r="D23" s="43" t="s">
        <v>326</v>
      </c>
      <c r="E23" s="43" t="s">
        <v>327</v>
      </c>
      <c r="F23" s="43" t="s">
        <v>253</v>
      </c>
      <c r="G23" s="43" t="s">
        <v>323</v>
      </c>
    </row>
    <row r="24" spans="2:7" ht="14" customHeight="1" x14ac:dyDescent="0.2"/>
    <row r="25" spans="2:7" ht="14" customHeight="1" x14ac:dyDescent="0.3">
      <c r="B25" s="8" t="s">
        <v>328</v>
      </c>
    </row>
    <row r="26" spans="2:7" ht="14" customHeight="1" x14ac:dyDescent="0.3">
      <c r="B26" s="10" t="s">
        <v>329</v>
      </c>
      <c r="C26" s="10" t="s">
        <v>330</v>
      </c>
    </row>
    <row r="27" spans="2:7" ht="14" customHeight="1" x14ac:dyDescent="0.3">
      <c r="B27" s="4" t="s">
        <v>331</v>
      </c>
      <c r="C27" t="s">
        <v>332</v>
      </c>
    </row>
    <row r="28" spans="2:7" ht="14" customHeight="1" x14ac:dyDescent="0.3">
      <c r="B28" s="4" t="s">
        <v>333</v>
      </c>
      <c r="C28" t="s">
        <v>334</v>
      </c>
    </row>
    <row r="29" spans="2:7" ht="14" customHeight="1" x14ac:dyDescent="0.3">
      <c r="B29" s="4" t="s">
        <v>335</v>
      </c>
      <c r="C29" t="s">
        <v>336</v>
      </c>
    </row>
    <row r="30" spans="2:7" ht="14" customHeight="1" x14ac:dyDescent="0.3">
      <c r="B30" s="4" t="s">
        <v>337</v>
      </c>
      <c r="C30" t="s">
        <v>338</v>
      </c>
    </row>
    <row r="31" spans="2:7" ht="14" customHeight="1" x14ac:dyDescent="0.3">
      <c r="B31" s="4" t="s">
        <v>339</v>
      </c>
      <c r="C31" t="s">
        <v>4</v>
      </c>
    </row>
    <row r="32" spans="2:7" ht="14" customHeight="1" x14ac:dyDescent="0.3">
      <c r="B32" s="4" t="s">
        <v>340</v>
      </c>
      <c r="C32" t="s">
        <v>252</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348</v>
      </c>
    </row>
    <row r="37" spans="2:3" ht="14" customHeight="1" x14ac:dyDescent="0.3">
      <c r="B37" s="4" t="s">
        <v>349</v>
      </c>
      <c r="C37" t="s">
        <v>350</v>
      </c>
    </row>
    <row r="38" spans="2:3" ht="14" customHeight="1" x14ac:dyDescent="0.3">
      <c r="B38" s="4" t="s">
        <v>351</v>
      </c>
      <c r="C38" t="s">
        <v>346</v>
      </c>
    </row>
    <row r="39" spans="2:3" ht="14" customHeight="1" x14ac:dyDescent="0.3">
      <c r="B39" s="4" t="s">
        <v>352</v>
      </c>
      <c r="C39" t="s">
        <v>342</v>
      </c>
    </row>
    <row r="40" spans="2:3" ht="14" customHeight="1" x14ac:dyDescent="0.3">
      <c r="B40" s="4" t="s">
        <v>353</v>
      </c>
      <c r="C40" t="s">
        <v>354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360</v>
      </c>
    </row>
    <row r="44" spans="2:3" ht="14" customHeight="1" x14ac:dyDescent="0.3">
      <c r="B44" s="4" t="s">
        <v>361</v>
      </c>
      <c r="C44" t="s">
        <v>362</v>
      </c>
    </row>
    <row r="45" spans="2:3" ht="14" customHeight="1" x14ac:dyDescent="0.3">
      <c r="B45" s="4" t="s">
        <v>363</v>
      </c>
      <c r="C45" t="s">
        <v>364</v>
      </c>
    </row>
    <row r="46" spans="2:3" ht="14" customHeight="1" x14ac:dyDescent="0.3">
      <c r="B46" s="4" t="s">
        <v>365</v>
      </c>
      <c r="C46" t="s">
        <v>366</v>
      </c>
    </row>
    <row r="47" spans="2:3" ht="14" customHeight="1" x14ac:dyDescent="0.3">
      <c r="B47" s="4" t="s">
        <v>367</v>
      </c>
      <c r="C47" t="s">
        <v>368</v>
      </c>
    </row>
    <row r="48" spans="2:3" ht="14" customHeight="1" x14ac:dyDescent="0.3">
      <c r="B48" s="4" t="s">
        <v>369</v>
      </c>
      <c r="C48" t="s">
        <v>370</v>
      </c>
    </row>
    <row r="49" spans="2:3" ht="14" customHeight="1" x14ac:dyDescent="0.3">
      <c r="B49" s="4" t="s">
        <v>371</v>
      </c>
      <c r="C49" t="s">
        <v>372</v>
      </c>
    </row>
    <row r="50" spans="2:3" ht="14" customHeight="1" x14ac:dyDescent="0.3">
      <c r="B50" s="4" t="s">
        <v>373</v>
      </c>
      <c r="C50" t="s">
        <v>374</v>
      </c>
    </row>
    <row r="51" spans="2:3" ht="14" x14ac:dyDescent="0.3">
      <c r="B51" s="4" t="s">
        <v>375</v>
      </c>
      <c r="C51" t="s">
        <v>376</v>
      </c>
    </row>
    <row r="52" spans="2:3" ht="14" x14ac:dyDescent="0.3">
      <c r="B52" s="4" t="s">
        <v>377</v>
      </c>
      <c r="C52" t="s">
        <v>378</v>
      </c>
    </row>
    <row r="53" spans="2:3" ht="14" x14ac:dyDescent="0.3">
      <c r="B53" s="4" t="s">
        <v>379</v>
      </c>
      <c r="C53" t="s">
        <v>380</v>
      </c>
    </row>
    <row r="54" spans="2:3" ht="14" x14ac:dyDescent="0.3">
      <c r="B54" s="4" t="s">
        <v>381</v>
      </c>
      <c r="C54" t="s">
        <v>382</v>
      </c>
    </row>
    <row r="55" spans="2:3" ht="14" x14ac:dyDescent="0.3">
      <c r="B55" s="4" t="s">
        <v>383</v>
      </c>
      <c r="C55" t="s">
        <v>384</v>
      </c>
    </row>
    <row r="56" spans="2:3" ht="14" x14ac:dyDescent="0.3">
      <c r="B56" s="4" t="s">
        <v>385</v>
      </c>
      <c r="C56" t="s">
        <v>386</v>
      </c>
    </row>
    <row r="57" spans="2:3" ht="14" x14ac:dyDescent="0.3">
      <c r="B57" s="4" t="s">
        <v>387</v>
      </c>
      <c r="C57" t="s">
        <v>388</v>
      </c>
    </row>
    <row r="58" spans="2:3" ht="14" x14ac:dyDescent="0.3">
      <c r="B58" s="4" t="s">
        <v>389</v>
      </c>
      <c r="C58" t="s">
        <v>342</v>
      </c>
    </row>
    <row r="59" spans="2:3" ht="14" x14ac:dyDescent="0.3">
      <c r="B59" s="4" t="s">
        <v>390</v>
      </c>
      <c r="C59" t="s">
        <v>391</v>
      </c>
    </row>
    <row r="60" spans="2:3" ht="14" x14ac:dyDescent="0.3">
      <c r="B60" s="4" t="s">
        <v>392</v>
      </c>
      <c r="C60" t="s">
        <v>393</v>
      </c>
    </row>
    <row r="61" spans="2:3" ht="14" x14ac:dyDescent="0.3">
      <c r="B61" s="4" t="s">
        <v>394</v>
      </c>
      <c r="C61" t="s">
        <v>395</v>
      </c>
    </row>
    <row r="62" spans="2:3" ht="14" x14ac:dyDescent="0.3">
      <c r="B62" s="4" t="s">
        <v>396</v>
      </c>
      <c r="C62" t="s">
        <v>397</v>
      </c>
    </row>
    <row r="63" spans="2:3" ht="14" x14ac:dyDescent="0.3">
      <c r="B63" s="4" t="s">
        <v>398</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2026-09-06T02:23:17Z</dcterms:created>
  <dcterms:modified xsi:type="dcterms:W3CDTF">2026-09-06T02:33:56Z</dcterms:modified>
</cp:coreProperties>
</file>