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0FA8BB6-E4BA-4436-9B56-52E8581B2CC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6" i="7" l="1"/>
  <c r="G6" i="7"/>
  <c r="I3" i="7"/>
  <c r="I17" i="7" s="1"/>
  <c r="F3" i="7"/>
  <c r="E6" i="7" s="1"/>
  <c r="O10" i="6"/>
  <c r="N10" i="6"/>
  <c r="M10" i="6"/>
  <c r="L10" i="6"/>
  <c r="K10" i="6"/>
  <c r="J10" i="6"/>
  <c r="O9" i="6"/>
  <c r="N9" i="6"/>
  <c r="M9" i="6"/>
  <c r="L9" i="6"/>
  <c r="K9" i="6"/>
  <c r="J9" i="6"/>
  <c r="O8" i="6"/>
  <c r="N8" i="6"/>
  <c r="M8" i="6"/>
  <c r="L8" i="6"/>
  <c r="K8" i="6"/>
  <c r="J8" i="6"/>
  <c r="O7" i="6"/>
  <c r="N7" i="6"/>
  <c r="M7" i="6"/>
  <c r="L7" i="6"/>
  <c r="F15" i="6" s="1"/>
  <c r="K7" i="6"/>
  <c r="J7" i="6"/>
  <c r="O6" i="6"/>
  <c r="N6" i="6"/>
  <c r="H15" i="6" s="1"/>
  <c r="M6" i="6"/>
  <c r="L6" i="6"/>
  <c r="K6" i="6"/>
  <c r="J6" i="6"/>
  <c r="D17" i="6" s="1"/>
  <c r="O5" i="6"/>
  <c r="N5" i="6"/>
  <c r="M5" i="6"/>
  <c r="D5" i="6"/>
  <c r="L5" i="6" s="1"/>
  <c r="C16" i="5"/>
  <c r="C14" i="5"/>
  <c r="C18" i="5" s="1"/>
  <c r="C7" i="5"/>
  <c r="C6" i="5"/>
  <c r="C5" i="5"/>
  <c r="C13" i="4"/>
  <c r="C12" i="4"/>
  <c r="C9" i="4"/>
  <c r="C7" i="4"/>
  <c r="C6" i="4"/>
  <c r="D27" i="3"/>
  <c r="G5" i="5" s="1"/>
  <c r="C25" i="3"/>
  <c r="C24" i="3"/>
  <c r="C23" i="3"/>
  <c r="E28" i="2"/>
  <c r="D28" i="2"/>
  <c r="C28" i="2"/>
  <c r="F16" i="2"/>
  <c r="E16" i="2"/>
  <c r="D16" i="2"/>
  <c r="F15" i="2"/>
  <c r="E15" i="2"/>
  <c r="D15" i="2"/>
  <c r="F14" i="2"/>
  <c r="E14" i="2"/>
  <c r="D14" i="2"/>
  <c r="C14" i="2"/>
  <c r="F13" i="2"/>
  <c r="E13" i="2"/>
  <c r="D13" i="2"/>
  <c r="C13" i="2"/>
  <c r="F8" i="2"/>
  <c r="F9" i="2" s="1"/>
  <c r="E8" i="2"/>
  <c r="E9" i="2" s="1"/>
  <c r="D8" i="2"/>
  <c r="D9" i="2" s="1"/>
  <c r="C8" i="2"/>
  <c r="C9" i="2" s="1"/>
  <c r="C26" i="3" l="1"/>
  <c r="G31" i="3"/>
  <c r="I16" i="6"/>
  <c r="C32" i="3"/>
  <c r="C6" i="7"/>
  <c r="E15" i="6"/>
  <c r="G16" i="6"/>
  <c r="D6" i="7"/>
  <c r="F32" i="3"/>
  <c r="D30" i="3"/>
  <c r="E30" i="3"/>
  <c r="F6" i="7"/>
  <c r="F30" i="3"/>
  <c r="D32" i="3"/>
  <c r="C31" i="3"/>
  <c r="C3" i="7"/>
  <c r="G36" i="4"/>
  <c r="C11" i="4"/>
  <c r="G46" i="3"/>
  <c r="F36" i="4"/>
  <c r="F46" i="3"/>
  <c r="D36" i="4"/>
  <c r="D46" i="3"/>
  <c r="H36" i="4"/>
  <c r="E46" i="3"/>
  <c r="C46" i="3"/>
  <c r="E36" i="4"/>
  <c r="C8" i="4"/>
  <c r="C10" i="4" s="1"/>
  <c r="D31" i="3"/>
  <c r="F5" i="5"/>
  <c r="E5" i="6"/>
  <c r="G15" i="6"/>
  <c r="C30" i="3"/>
  <c r="C33" i="3" s="1"/>
  <c r="F31" i="3"/>
  <c r="H5" i="5"/>
  <c r="D7" i="5"/>
  <c r="I15" i="6"/>
  <c r="E17" i="6"/>
  <c r="I6" i="7"/>
  <c r="E7" i="5"/>
  <c r="D16" i="6"/>
  <c r="F17" i="6"/>
  <c r="C17" i="7"/>
  <c r="D6" i="5"/>
  <c r="F7" i="5"/>
  <c r="E16" i="6"/>
  <c r="G17" i="6"/>
  <c r="D17" i="7"/>
  <c r="E6" i="5"/>
  <c r="G7" i="5"/>
  <c r="D15" i="6"/>
  <c r="F16" i="6"/>
  <c r="C28" i="6" s="1"/>
  <c r="C19" i="1" s="1"/>
  <c r="D19" i="1" s="1"/>
  <c r="H17" i="6"/>
  <c r="E17" i="7"/>
  <c r="G30" i="3"/>
  <c r="E32" i="3"/>
  <c r="D5" i="5"/>
  <c r="F6" i="5"/>
  <c r="H7" i="5"/>
  <c r="I17" i="6"/>
  <c r="F17" i="7"/>
  <c r="E5" i="5"/>
  <c r="G6" i="5"/>
  <c r="H16" i="6"/>
  <c r="G17" i="7"/>
  <c r="G32" i="3"/>
  <c r="H6" i="5"/>
  <c r="H17" i="7"/>
  <c r="E31" i="3"/>
  <c r="J5" i="6" l="1"/>
  <c r="K5" i="6"/>
  <c r="H40" i="4"/>
  <c r="H41" i="4"/>
  <c r="H46" i="4"/>
  <c r="H51" i="4" s="1"/>
  <c r="H56" i="4" s="1"/>
  <c r="H44" i="4"/>
  <c r="H38" i="4"/>
  <c r="H48" i="4" s="1"/>
  <c r="H53" i="4" s="1"/>
  <c r="H45" i="4"/>
  <c r="H43" i="4"/>
  <c r="H39" i="4"/>
  <c r="B13" i="7"/>
  <c r="B12" i="7"/>
  <c r="B11" i="7"/>
  <c r="B10" i="7"/>
  <c r="B9" i="7"/>
  <c r="B8" i="7"/>
  <c r="B7" i="7"/>
  <c r="B24" i="7"/>
  <c r="B23" i="7"/>
  <c r="B22" i="7"/>
  <c r="B21" i="7"/>
  <c r="B20" i="7"/>
  <c r="B19" i="7"/>
  <c r="B18" i="7"/>
  <c r="D45" i="4"/>
  <c r="D46" i="4"/>
  <c r="D41" i="4"/>
  <c r="D51" i="4" s="1"/>
  <c r="D56" i="4" s="1"/>
  <c r="D39" i="4"/>
  <c r="D43" i="4"/>
  <c r="D48" i="4" s="1"/>
  <c r="D53" i="4" s="1"/>
  <c r="D38" i="4"/>
  <c r="D44" i="4"/>
  <c r="D49" i="4" s="1"/>
  <c r="D54" i="4" s="1"/>
  <c r="D40" i="4"/>
  <c r="D50" i="4" s="1"/>
  <c r="D55" i="4" s="1"/>
  <c r="F43" i="4"/>
  <c r="F46" i="4"/>
  <c r="F44" i="4"/>
  <c r="F49" i="4" s="1"/>
  <c r="F39" i="4"/>
  <c r="F38" i="4"/>
  <c r="F48" i="4" s="1"/>
  <c r="F53" i="4" s="1"/>
  <c r="F41" i="4"/>
  <c r="F45" i="4"/>
  <c r="F40" i="4"/>
  <c r="F50" i="4" s="1"/>
  <c r="F55" i="4" s="1"/>
  <c r="E39" i="4"/>
  <c r="E40" i="4"/>
  <c r="E45" i="4"/>
  <c r="E50" i="4" s="1"/>
  <c r="E55" i="4" s="1"/>
  <c r="E43" i="4"/>
  <c r="E46" i="4"/>
  <c r="E38" i="4"/>
  <c r="E48" i="4" s="1"/>
  <c r="E53" i="4" s="1"/>
  <c r="E41" i="4"/>
  <c r="E51" i="4" s="1"/>
  <c r="E56" i="4" s="1"/>
  <c r="E44" i="4"/>
  <c r="E49" i="4" s="1"/>
  <c r="E54" i="4" s="1"/>
  <c r="C27" i="6"/>
  <c r="C18" i="1" s="1"/>
  <c r="D18" i="1" s="1"/>
  <c r="C74" i="4"/>
  <c r="D9" i="5"/>
  <c r="D12" i="5" s="1"/>
  <c r="C42" i="3"/>
  <c r="C34" i="3"/>
  <c r="D10" i="5" s="1"/>
  <c r="D33" i="3"/>
  <c r="C37" i="3"/>
  <c r="C71" i="4"/>
  <c r="C70" i="4"/>
  <c r="G49" i="4"/>
  <c r="G54" i="4" s="1"/>
  <c r="C24" i="4"/>
  <c r="C25" i="4" s="1"/>
  <c r="F51" i="4"/>
  <c r="F56" i="4" s="1"/>
  <c r="H49" i="4"/>
  <c r="H54" i="4" s="1"/>
  <c r="G46" i="4"/>
  <c r="G40" i="4"/>
  <c r="G50" i="4" s="1"/>
  <c r="G55" i="4" s="1"/>
  <c r="G38" i="4"/>
  <c r="G43" i="4"/>
  <c r="G41" i="4"/>
  <c r="G51" i="4" s="1"/>
  <c r="G56" i="4" s="1"/>
  <c r="G45" i="4"/>
  <c r="G39" i="4"/>
  <c r="G44" i="4"/>
  <c r="G48" i="4" l="1"/>
  <c r="G53" i="4" s="1"/>
  <c r="H50" i="4"/>
  <c r="H55" i="4" s="1"/>
  <c r="F54" i="4"/>
  <c r="B78" i="4" s="1"/>
  <c r="C60" i="4"/>
  <c r="D15" i="5"/>
  <c r="D16" i="5" s="1"/>
  <c r="D13" i="5"/>
  <c r="D14" i="5" s="1"/>
  <c r="C35" i="3"/>
  <c r="D37" i="3"/>
  <c r="E9" i="5"/>
  <c r="E12" i="5" s="1"/>
  <c r="D34" i="3"/>
  <c r="E10" i="5" s="1"/>
  <c r="E33" i="3"/>
  <c r="D42" i="3"/>
  <c r="D35" i="3"/>
  <c r="C26" i="4"/>
  <c r="C27" i="4"/>
  <c r="C29" i="4"/>
  <c r="D18" i="5" l="1"/>
  <c r="D19" i="5" s="1"/>
  <c r="C44" i="3" s="1"/>
  <c r="C36" i="3"/>
  <c r="C38" i="3"/>
  <c r="C39" i="3"/>
  <c r="D36" i="3"/>
  <c r="D39" i="3"/>
  <c r="D38" i="3"/>
  <c r="F9" i="5"/>
  <c r="F12" i="5" s="1"/>
  <c r="E42" i="3"/>
  <c r="E34" i="3"/>
  <c r="F10" i="5" s="1"/>
  <c r="E37" i="3"/>
  <c r="F33" i="3"/>
  <c r="E13" i="5"/>
  <c r="E14" i="5" s="1"/>
  <c r="E18" i="5" s="1"/>
  <c r="E19" i="5" s="1"/>
  <c r="D44" i="3" s="1"/>
  <c r="E15" i="5"/>
  <c r="E16" i="5" s="1"/>
  <c r="C65" i="4"/>
  <c r="D65" i="4" s="1"/>
  <c r="C64" i="4"/>
  <c r="D64" i="4" s="1"/>
  <c r="C66" i="4"/>
  <c r="D66" i="4" s="1"/>
  <c r="C67" i="4"/>
  <c r="D67" i="4" s="1"/>
  <c r="C63" i="4"/>
  <c r="D63" i="4" s="1"/>
  <c r="E35" i="3" l="1"/>
  <c r="E36" i="3" s="1"/>
  <c r="F42" i="3"/>
  <c r="F34" i="3"/>
  <c r="G10" i="5" s="1"/>
  <c r="G9" i="5"/>
  <c r="G12" i="5" s="1"/>
  <c r="F37" i="3"/>
  <c r="G33" i="3"/>
  <c r="E39" i="3"/>
  <c r="E38" i="3"/>
  <c r="F15" i="5"/>
  <c r="F16" i="5" s="1"/>
  <c r="F13" i="5"/>
  <c r="F14" i="5" s="1"/>
  <c r="C40" i="3"/>
  <c r="C41" i="3" s="1"/>
  <c r="C45" i="3" s="1"/>
  <c r="D40" i="3"/>
  <c r="D41" i="3" s="1"/>
  <c r="D45" i="3" s="1"/>
  <c r="D47" i="3" s="1"/>
  <c r="C47" i="3" l="1"/>
  <c r="G13" i="5"/>
  <c r="G14" i="5" s="1"/>
  <c r="G15" i="5"/>
  <c r="G16" i="5" s="1"/>
  <c r="E40" i="3"/>
  <c r="E41" i="3" s="1"/>
  <c r="E45" i="3" s="1"/>
  <c r="F18" i="5"/>
  <c r="F19" i="5" s="1"/>
  <c r="E44" i="3" s="1"/>
  <c r="G37" i="3"/>
  <c r="H9" i="5"/>
  <c r="H12" i="5" s="1"/>
  <c r="G42" i="3"/>
  <c r="G34" i="3"/>
  <c r="H10" i="5" s="1"/>
  <c r="C16" i="4"/>
  <c r="C28" i="4" s="1"/>
  <c r="F35" i="3"/>
  <c r="G18" i="5" l="1"/>
  <c r="G19" i="5" s="1"/>
  <c r="F44" i="3" s="1"/>
  <c r="E47" i="3"/>
  <c r="C72" i="4"/>
  <c r="C73" i="4"/>
  <c r="F39" i="3"/>
  <c r="F36" i="3"/>
  <c r="F38" i="3"/>
  <c r="G35" i="3"/>
  <c r="H15" i="5"/>
  <c r="H16" i="5" s="1"/>
  <c r="H13" i="5"/>
  <c r="H14" i="5"/>
  <c r="H18" i="5" s="1"/>
  <c r="H19" i="5" s="1"/>
  <c r="G44" i="3" s="1"/>
  <c r="F40" i="3" l="1"/>
  <c r="F41" i="3" s="1"/>
  <c r="F45" i="3" s="1"/>
  <c r="G38" i="3"/>
  <c r="G36" i="3"/>
  <c r="G39" i="3"/>
  <c r="F47" i="3" l="1"/>
  <c r="C59" i="3"/>
  <c r="C60" i="3" s="1"/>
  <c r="C61" i="3" s="1"/>
  <c r="G40" i="3"/>
  <c r="G41" i="3" s="1"/>
  <c r="G45" i="3" s="1"/>
  <c r="G47" i="3" l="1"/>
  <c r="C51" i="3"/>
  <c r="C52" i="3" s="1"/>
  <c r="E24" i="7"/>
  <c r="H24" i="7"/>
  <c r="G22" i="7"/>
  <c r="G9" i="7"/>
  <c r="D24" i="7"/>
  <c r="H22" i="7"/>
  <c r="H10" i="7"/>
  <c r="I21" i="7"/>
  <c r="E21" i="7"/>
  <c r="I23" i="7"/>
  <c r="F22" i="7"/>
  <c r="D21" i="7"/>
  <c r="F7" i="7"/>
  <c r="E12" i="7"/>
  <c r="H13" i="7"/>
  <c r="C21" i="7"/>
  <c r="C19" i="7"/>
  <c r="H12" i="7"/>
  <c r="I22" i="7"/>
  <c r="F13" i="7"/>
  <c r="D7" i="7"/>
  <c r="G13" i="7"/>
  <c r="D11" i="7"/>
  <c r="E10" i="7"/>
  <c r="E22" i="7"/>
  <c r="F10" i="7"/>
  <c r="I13" i="7"/>
  <c r="D23" i="7"/>
  <c r="C10" i="7"/>
  <c r="C18" i="7"/>
  <c r="C8" i="7"/>
  <c r="I9" i="7"/>
  <c r="C23" i="7"/>
  <c r="H19" i="7"/>
  <c r="I12" i="7"/>
  <c r="G19" i="7"/>
  <c r="I8" i="7"/>
  <c r="F11" i="7"/>
  <c r="C9" i="7"/>
  <c r="D22" i="7"/>
  <c r="I24" i="7"/>
  <c r="E9" i="7"/>
  <c r="H9" i="7"/>
  <c r="C20" i="7"/>
  <c r="F20" i="7"/>
  <c r="F23" i="7"/>
  <c r="H18" i="7"/>
  <c r="G23" i="7"/>
  <c r="F18" i="7"/>
  <c r="I18" i="7"/>
  <c r="C24" i="7"/>
  <c r="C11" i="7"/>
  <c r="E13" i="7"/>
  <c r="G8" i="7"/>
  <c r="H11" i="7"/>
  <c r="G20" i="7"/>
  <c r="I20" i="7"/>
  <c r="I19" i="7"/>
  <c r="G10" i="7"/>
  <c r="D19" i="7"/>
  <c r="D20" i="7"/>
  <c r="G24" i="7"/>
  <c r="D12" i="7"/>
  <c r="G12" i="7"/>
  <c r="E19" i="7"/>
  <c r="G7" i="7"/>
  <c r="F9" i="7"/>
  <c r="I10" i="7"/>
  <c r="F8" i="7"/>
  <c r="I11" i="7"/>
  <c r="G18" i="7"/>
  <c r="C12" i="7"/>
  <c r="E11" i="7"/>
  <c r="D8" i="7"/>
  <c r="F24" i="7"/>
  <c r="H21" i="7"/>
  <c r="E20" i="7"/>
  <c r="C13" i="7"/>
  <c r="G21" i="7"/>
  <c r="F12" i="7"/>
  <c r="I7" i="7"/>
  <c r="D10" i="7"/>
  <c r="H23" i="7"/>
  <c r="G11" i="7"/>
  <c r="D18" i="7"/>
  <c r="C7" i="7"/>
  <c r="E23" i="7"/>
  <c r="H20" i="7"/>
  <c r="E18" i="7"/>
  <c r="D9" i="7"/>
  <c r="D13" i="7"/>
  <c r="F21" i="7"/>
  <c r="H8" i="7"/>
  <c r="C22" i="7"/>
  <c r="F19" i="7"/>
  <c r="E7" i="7"/>
  <c r="H7" i="7"/>
  <c r="E8" i="7"/>
  <c r="C50" i="3"/>
  <c r="C53" i="3" l="1"/>
  <c r="C58" i="3"/>
  <c r="C62" i="3" s="1"/>
  <c r="C63" i="3" l="1"/>
  <c r="C64" i="3" s="1"/>
  <c r="C17" i="1" s="1"/>
  <c r="C17" i="4"/>
  <c r="C54" i="3"/>
  <c r="C55" i="3" s="1"/>
  <c r="C16" i="1" s="1"/>
  <c r="C21" i="1" l="1"/>
  <c r="D16" i="1"/>
  <c r="C19" i="4"/>
  <c r="C20" i="4" s="1"/>
  <c r="B79" i="4" s="1"/>
  <c r="D17" i="1"/>
  <c r="C10" i="1"/>
  <c r="C12" i="1" s="1"/>
  <c r="C11" i="1" s="1"/>
</calcChain>
</file>

<file path=xl/sharedStrings.xml><?xml version="1.0" encoding="utf-8"?>
<sst xmlns="http://schemas.openxmlformats.org/spreadsheetml/2006/main" count="445" uniqueCount="360">
  <si>
    <t>DISCLAIMER: This is a sample analysis for demonstration purposes only. It does not constitute investment advice.</t>
  </si>
  <si>
    <t>村田製作所 (6981.T)</t>
  </si>
  <si>
    <t>Equity Research Report</t>
  </si>
  <si>
    <t>Company</t>
  </si>
  <si>
    <t>村田製作所</t>
  </si>
  <si>
    <t>Ticker</t>
  </si>
  <si>
    <t>6981.T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</si>
  <si>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</si>
  <si>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</si>
  <si>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</si>
  <si>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</si>
  <si>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</si>
  <si>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</si>
  <si>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</si>
  <si>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</si>
  <si>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</si>
  <si>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</si>
  <si>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</si>
  <si>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</si>
  <si>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</si>
  <si>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</si>
  <si>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**5.78倍** で 3.0倍を超えたため、**乖離そのものを裁定トリガーとする追補6 §X により中点平均を禁止**し、どちらの脚を落とすかを判定した。■**観測倍率バンドテスト**: Peer の実測 EV/EBITDA の第1〜第3四分位バンドは **(11.678450208133205, 18.08942207566817, 5)倍**。これに対し **PGM逆算 2.98倍 / 仮定Exit 17.20倍**。**PGM法のみがバンドの外にあるため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</si>
  <si>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</si>
  <si>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</si>
  <si>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</si>
  <si>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</si>
  <si>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</si>
  <si>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</si>
  <si>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</si>
  <si>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</si>
  <si>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</si>
  <si>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村田製作所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</si>
  <si>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</si>
  <si>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</si>
  <si>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</si>
  <si>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</si>
  <si>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</si>
  <si>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</si>
  <si>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</si>
  <si>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</si>
  <si>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</si>
  <si>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</si>
  <si>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</si>
  <si>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</si>
  <si>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</si>
  <si>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</si>
  <si>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</si>
  <si>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</si>
  <si>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</si>
  <si>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</si>
  <si>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</si>
  <si>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</si>
  <si>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</si>
  <si>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</si>
  <si>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</si>
  <si>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</si>
  <si>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</si>
  <si>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</si>
  <si>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</si>
  <si>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3/4 — blank cells are years with no year-key match in the source data (verify against 決算短信 or set hist_ocf / hist_cash / hist_debt in overrides).</t>
  </si>
  <si>
    <t>DCF Valuation Model - 村田製作所</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</si>
  <si>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</si>
  <si>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</si>
  <si>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</si>
  <si>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</si>
  <si>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</si>
  <si>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</si>
  <si>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</si>
  <si>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</si>
  <si>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</si>
  <si>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</si>
  <si>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</si>
  <si>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</si>
  <si>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</si>
  <si>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</si>
  <si>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</si>
  <si>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</si>
  <si>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</si>
  <si>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</si>
  <si>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</si>
  <si>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</si>
  <si>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</si>
  <si>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</si>
  <si>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</si>
  <si>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</si>
  <si>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</si>
  <si>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</si>
  <si>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</si>
  <si>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</si>
  <si>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</si>
  <si>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</si>
  <si>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</si>
  <si>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</si>
  <si>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</si>
  <si>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</si>
  <si>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</si>
  <si>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</si>
  <si>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</si>
  <si>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</si>
  <si>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</si>
  <si>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</si>
  <si>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</si>
  <si>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</si>
  <si>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</si>
  <si>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</si>
  <si>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</si>
  <si>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</si>
  <si>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</si>
  <si>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</si>
  <si>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</si>
  <si>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</si>
  <si>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</si>
  <si>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</si>
  <si>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</si>
  <si>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</si>
  <si>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</si>
  <si>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</si>
  <si>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</si>
  <si>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</si>
  <si>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</si>
  <si>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</si>
  <si>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</si>
  <si>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</si>
  <si>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</si>
  <si>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</si>
  <si>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村田製作所 (6981.T)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</si>
  <si>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</si>
  <si>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</si>
  <si>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</si>
  <si>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</si>
  <si>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</si>
  <si>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</si>
  <si>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</si>
  <si>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</si>
  <si>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</si>
  <si>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</si>
  <si>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</si>
  <si>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</si>
  <si>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</si>
  <si>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</si>
  <si>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</si>
  <si>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</si>
  <si>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</si>
  <si>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</si>
  <si>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</si>
  <si>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</si>
  <si>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</si>
  <si>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</si>
  <si>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</si>
  <si>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</si>
  <si>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</si>
  <si>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</si>
  <si>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</si>
  <si>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</si>
  <si>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</si>
  <si>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</si>
  <si>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</si>
  <si>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</si>
  <si>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</si>
  <si>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</si>
  <si>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</si>
  <si>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</si>
  <si>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</si>
  <si>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</si>
  <si>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</si>
  <si>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</si>
  <si>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</si>
  <si>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</si>
  <si>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</si>
  <si>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</si>
  <si>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</si>
  <si>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</si>
  <si>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</si>
  <si>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</si>
  <si>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</si>
  <si>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</si>
  <si>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</si>
  <si>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村田製作所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</si>
  <si>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</si>
  <si>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</si>
  <si>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</si>
  <si>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</si>
  <si>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</si>
  <si>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</si>
  <si>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</si>
  <si>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</si>
  <si>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</si>
  <si>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</si>
  <si>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</si>
  <si>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</si>
  <si>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</si>
  <si>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</si>
  <si>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</si>
  <si>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</si>
  <si>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</si>
  <si>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</si>
  <si>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</si>
  <si>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</si>
  <si>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</si>
  <si>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</si>
  <si>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</si>
  <si>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</si>
  <si>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</si>
  <si>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</si>
  <si>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</si>
  <si>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</si>
  <si>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</si>
  <si>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</si>
  <si>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</si>
  <si>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</si>
  <si>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</si>
  <si>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</si>
  <si>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Murata Manufacturing Co., Ltd.</t>
  </si>
  <si>
    <t>6981.T</t>
  </si>
  <si>
    <t>TDK Corporation</t>
  </si>
  <si>
    <t>6762.T</t>
  </si>
  <si>
    <t>Kyocera Corporation</t>
  </si>
  <si>
    <t>6971.T</t>
  </si>
  <si>
    <t>Taiyo Yuden Co., Ltd.</t>
  </si>
  <si>
    <t>6976.T</t>
  </si>
  <si>
    <t>Ibiden Co.,Ltd.</t>
  </si>
  <si>
    <t>4062.T</t>
  </si>
  <si>
    <t>Hirose Electric Co.,Ltd.</t>
  </si>
  <si>
    <t>6806.T</t>
  </si>
  <si>
    <t>Statistics</t>
  </si>
  <si>
    <t>25th Percentile</t>
  </si>
  <si>
    <t>Median (50th)</t>
  </si>
  <si>
    <t>75th Percentile</t>
  </si>
  <si>
    <t>Implied Valuation for 村田製作所</t>
  </si>
  <si>
    <t>村田製作所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</si>
  <si>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</si>
  <si>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</si>
  <si>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</si>
  <si>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</si>
  <si>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</si>
  <si>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</si>
  <si>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</si>
  <si>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</si>
  <si>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</si>
  <si>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</si>
  <si>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</si>
  <si>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</si>
  <si>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</si>
  <si>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</si>
  <si>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</si>
  <si>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村田製作所</t>
  </si>
  <si>
    <t>日付</t>
  </si>
  <si>
    <t>セル</t>
  </si>
  <si>
    <t>変更内容</t>
  </si>
  <si>
    <t>理由</t>
  </si>
  <si>
    <t>元の値</t>
  </si>
  <si>
    <t>状態</t>
  </si>
  <si>
    <t>2026-09-06</t>
  </si>
  <si>
    <t>-</t>
  </si>
  <si>
    <t>Generated by pipeline on 2026-09-06 19:22, template rev 63983ab</t>
  </si>
  <si>
    <t>初期生成（手修正なし）</t>
  </si>
  <si>
    <t>generated</t>
  </si>
  <si>
    <t>DCF Model!C11</t>
  </si>
  <si>
    <t>After-tax Cost of Debt = 4.13% (実績ベース)</t>
  </si>
  <si>
    <t>実績Kd = 支払利息3,189 ÷ 平均有利子負債57,880(期首59,993/期末55,768、debt_beginning/debt_ending) = 税引前5.51% × (1−25.0%) = 4.13%。【マージナルコスト注記】これは既存借入の実績平均コストであり、新規調達の限界コストではない。テンプレ既定(税引前2.8%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</si>
  <si>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</si>
  <si>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</si>
  <si>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</si>
  <si>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1.648（採用値）</t>
  </si>
  <si>
    <t>実測β(raw) = 1.968 → Blume調整 0.67×raw + 0.33×1.00 = 1.648 → 採用 1.648。クランプ域 [0.3, 2.0] の内側。置換なし。回帰βは平均回帰するため Blume 調整を既定とする（2026-09-05 バッチで85件中57件が旧下限 0.60 に張り付き、両裾の歪みが実証された）。</t>
  </si>
  <si>
    <t>実測 1.968</t>
  </si>
  <si>
    <t>確定</t>
  </si>
  <si>
    <t>Pipeline Metadata (do not edit — read by scripts/validate_output.py)</t>
  </si>
  <si>
    <t>key</t>
  </si>
  <si>
    <t>value</t>
  </si>
  <si>
    <t>auto_log_entries</t>
  </si>
  <si>
    <t>2</t>
  </si>
  <si>
    <t>beta_adopted_c8</t>
  </si>
  <si>
    <t>1.6484</t>
  </si>
  <si>
    <t>beta_basis</t>
  </si>
  <si>
    <t>Blume: 0.67 x 1.968 + 0.33 x 1.00 = 1.648</t>
  </si>
  <si>
    <t>beta_blume_adjusted</t>
  </si>
  <si>
    <t>beta_clamped</t>
  </si>
  <si>
    <t>no</t>
  </si>
  <si>
    <t>beta_raw</t>
  </si>
  <si>
    <t>1.9678</t>
  </si>
  <si>
    <t>capex_pct_basis</t>
  </si>
  <si>
    <t>explicit_override</t>
  </si>
  <si>
    <t>capex_pct_c5</t>
  </si>
  <si>
    <t>0.10185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</si>
  <si>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</si>
  <si>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</si>
  <si>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</si>
  <si>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</si>
  <si>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</si>
  <si>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</si>
  <si>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</si>
  <si>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</si>
  <si>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</si>
  <si>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</si>
  <si>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</si>
  <si>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</si>
  <si>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</si>
  <si>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</si>
  <si>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</si>
  <si>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</si>
  <si>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</si>
  <si>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</si>
  <si>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</si>
  <si>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</si>
  <si>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</si>
  <si>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460047.0</t>
  </si>
  <si>
    <t>core_net_income</t>
  </si>
  <si>
    <t>233920.0</t>
  </si>
  <si>
    <t>cost_of_debt_actual</t>
  </si>
  <si>
    <t>interest 3,189 (expense 3,189 + fees 0) / avg debt 57,880 (debt_beginning/debt_ending) = 0.055096 pre-tax -&gt; 0.041300 after-tax</t>
  </si>
  <si>
    <t>cost_of_debt_at_c11</t>
  </si>
  <si>
    <t>0.0413</t>
  </si>
  <si>
    <t>cost_of_debt_avg_debt</t>
  </si>
  <si>
    <t>57880.5</t>
  </si>
  <si>
    <t>cost_of_debt_basis</t>
  </si>
  <si>
    <t>actual</t>
  </si>
  <si>
    <t>cost_of_debt_interest</t>
  </si>
  <si>
    <t>3189.0</t>
  </si>
  <si>
    <t>cost_of_debt_pretax</t>
  </si>
  <si>
    <t>0.055096275947858084</t>
  </si>
  <si>
    <t>da_pct_basis</t>
  </si>
  <si>
    <t>da_pct_c18</t>
  </si>
  <si>
    <t>0.097</t>
  </si>
  <si>
    <t>da_pct_hist3yr</t>
  </si>
  <si>
    <t>0.101331</t>
  </si>
  <si>
    <t>fs_year_coverage</t>
  </si>
  <si>
    <t>OCF 4/4, Cash 4/4, Debt 3/4</t>
  </si>
  <si>
    <t>fs_year_map</t>
  </si>
  <si>
    <t>FY2023&lt;-FY2023[ocf+cash+debt]; FY2024&lt;-FY2024[ocf+cash+debt]; FY2025&lt;-FY2025[ocf+cash+debt]; FY2026&lt;-FY2026[ocf+cash]</t>
  </si>
  <si>
    <t>fs_year_sources</t>
  </si>
  <si>
    <t>overrides: none | EDINET year-key match: hist_ocf, hist_cash, hist_debt, hist_capex, hist_depreciation</t>
  </si>
  <si>
    <t>fx_sensitivity</t>
  </si>
  <si>
    <t>not enabled</t>
  </si>
  <si>
    <t>generated_at</t>
  </si>
  <si>
    <t>2026-09-06 19:22:34</t>
  </si>
  <si>
    <t>guidance_note</t>
  </si>
  <si>
    <t>TDnet 決算短信 via screener guidance table: FY2027 disclosed 2026-07-31 (net_income=338,000mn, operating_income=430,000mn, revenue=2,110,000mn)</t>
  </si>
  <si>
    <t>guidance_source</t>
  </si>
  <si>
    <t>tdnet_screener_db</t>
  </si>
  <si>
    <t>latest_operating_income</t>
  </si>
  <si>
    <t>281835.0</t>
  </si>
  <si>
    <t>ltm_revenue_c20</t>
  </si>
  <si>
    <t>1830856.0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</si>
  <si>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</si>
  <si>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</si>
  <si>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</si>
  <si>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</si>
  <si>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</si>
  <si>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</si>
  <si>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</si>
  <si>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</si>
  <si>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op0=281,835(FY2026) peak=292,856(FY2023) peak_opm=0.1736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</si>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</sst>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7191</v>
      </c>
    </row>
    <row r="10" spans="2:5" ht="14" customHeight="1" x14ac:dyDescent="0.3">
      <c r="B10" s="4" t="s">
        <v>10</v>
      </c>
      <c r="C10" s="5">
        <f>IF(ISNUMBER(C17),ROUND(C17,0),"N/A")</f>
        <v>3232</v>
      </c>
    </row>
    <row r="11" spans="2:5" ht="14" customHeight="1" x14ac:dyDescent="0.3">
      <c r="B11" s="4" t="s">
        <v>11</v>
      </c>
      <c r="C11" s="6" t="str">
        <f>IF(NOT(ISNUMBER(C12)),"N/A",IF(C12&gt;0.15,"BUY",IF(C12&gt;0.05,"HOLD","SELL")))</f>
        <v>SELL</v>
      </c>
    </row>
    <row r="12" spans="2:5" ht="14" customHeight="1" x14ac:dyDescent="0.3">
      <c r="B12" s="4" t="s">
        <v>12</v>
      </c>
      <c r="C12" s="7">
        <f>IF(ISNUMBER(C10),(C10-C9)/C9,"N/A")</f>
        <v>-0.55054929773327765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1087</v>
      </c>
      <c r="D16" s="7">
        <f>IF(ISNUMBER(C16),(C16-C9)/C9,"N/A")</f>
        <v>-0.84883882631066609</v>
      </c>
    </row>
    <row r="17" spans="2:5" ht="13.5" customHeight="1" x14ac:dyDescent="0.25">
      <c r="B17" t="s">
        <v>18</v>
      </c>
      <c r="C17" s="11">
        <f>IF('DCF Model'!C62&lt;'DCF Model'!C16,"INVALID (EV &lt; net debt)",'DCF Model'!C64)</f>
        <v>3232</v>
      </c>
      <c r="D17" s="7">
        <f>IF(ISNUMBER(C17),(C17-C9)/C9,"N/A")</f>
        <v>-0.55054929773327765</v>
      </c>
    </row>
    <row r="18" spans="2:5" ht="13.5" customHeight="1" x14ac:dyDescent="0.25">
      <c r="B18" t="s">
        <v>19</v>
      </c>
      <c r="C18" s="11">
        <f>'Comps Analysis'!C27</f>
        <v>4672</v>
      </c>
      <c r="D18" s="7">
        <f>IF(ISNUMBER(C18),(C18-C9)/C9,"N/A")</f>
        <v>-0.35029898484216382</v>
      </c>
    </row>
    <row r="19" spans="2:5" ht="13.5" customHeight="1" x14ac:dyDescent="0.25">
      <c r="B19" t="s">
        <v>20</v>
      </c>
      <c r="C19" s="11">
        <f>'Comps Analysis'!C28</f>
        <v>4080</v>
      </c>
      <c r="D19" s="7">
        <f>IF(ISNUMBER(C19),(C19-C9)/C9,"N/A")</f>
        <v>-0.43262411347517732</v>
      </c>
    </row>
    <row r="20" spans="2:5" ht="14" customHeight="1" x14ac:dyDescent="0.3">
      <c r="B20" s="45" t="s">
        <v>21</v>
      </c>
      <c r="C20" s="44"/>
      <c r="D20" s="44"/>
      <c r="E20" s="44"/>
    </row>
    <row r="21" spans="2:5" ht="14" customHeight="1" x14ac:dyDescent="0.3">
      <c r="B21" s="4" t="s">
        <v>22</v>
      </c>
      <c r="C21" s="6" t="str">
        <f>IF(COUNT(C16:C17)=0,"N/A",MIN(C16:C17)&amp;" - "&amp;MAX(C16:C17))</f>
        <v>1087 - 3232</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1686796</v>
      </c>
      <c r="D6" s="5">
        <v>1640158</v>
      </c>
      <c r="E6" s="5">
        <v>1743352</v>
      </c>
      <c r="F6" s="5">
        <v>1830856</v>
      </c>
    </row>
    <row r="7" spans="2:6" ht="14" customHeight="1" x14ac:dyDescent="0.3">
      <c r="B7" s="4" t="s">
        <v>38</v>
      </c>
      <c r="C7" s="5">
        <v>1013262</v>
      </c>
      <c r="D7" s="5">
        <v>1003361</v>
      </c>
      <c r="E7" s="5">
        <v>1025650</v>
      </c>
      <c r="F7" s="5">
        <v>1056030</v>
      </c>
    </row>
    <row r="8" spans="2:6" ht="14" customHeight="1" x14ac:dyDescent="0.3">
      <c r="B8" s="4" t="s">
        <v>39</v>
      </c>
      <c r="C8" s="5">
        <f>C6-C7</f>
        <v>673534</v>
      </c>
      <c r="D8" s="5">
        <f>D6-D7</f>
        <v>636797</v>
      </c>
      <c r="E8" s="5">
        <f>E6-E7</f>
        <v>717702</v>
      </c>
      <c r="F8" s="5">
        <f>F6-F7</f>
        <v>774826</v>
      </c>
    </row>
    <row r="9" spans="2:6" ht="13.5" customHeight="1" x14ac:dyDescent="0.25">
      <c r="B9" t="s">
        <v>40</v>
      </c>
      <c r="C9" s="7">
        <f>C8/C6</f>
        <v>0.39929784040275174</v>
      </c>
      <c r="D9" s="7">
        <f>D8/D6</f>
        <v>0.38825344875310791</v>
      </c>
      <c r="E9" s="7">
        <f>E8/E6</f>
        <v>0.41167933957112507</v>
      </c>
      <c r="F9" s="7">
        <f>F8/F6</f>
        <v>0.42320422796768287</v>
      </c>
    </row>
    <row r="10" spans="2:6" ht="14" customHeight="1" x14ac:dyDescent="0.3">
      <c r="B10" s="4" t="s">
        <v>41</v>
      </c>
      <c r="C10" s="5">
        <v>380678</v>
      </c>
      <c r="D10" s="5">
        <v>421350</v>
      </c>
      <c r="E10" s="5">
        <v>438000</v>
      </c>
      <c r="F10" s="5">
        <v>492991</v>
      </c>
    </row>
    <row r="11" spans="2:6" ht="14" customHeight="1" x14ac:dyDescent="0.3">
      <c r="B11" s="4" t="s">
        <v>42</v>
      </c>
      <c r="C11" s="5">
        <v>292856</v>
      </c>
      <c r="D11" s="5">
        <v>215447</v>
      </c>
      <c r="E11" s="5">
        <v>279702</v>
      </c>
      <c r="F11" s="5">
        <v>281835</v>
      </c>
    </row>
    <row r="12" spans="2:6" ht="14" customHeight="1" x14ac:dyDescent="0.3">
      <c r="B12" s="4" t="s">
        <v>43</v>
      </c>
      <c r="C12" s="5">
        <v>243946</v>
      </c>
      <c r="D12" s="5">
        <v>180838</v>
      </c>
      <c r="E12" s="5">
        <v>233818</v>
      </c>
      <c r="F12" s="5">
        <v>233920</v>
      </c>
    </row>
    <row r="13" spans="2:6" ht="13.5" customHeight="1" x14ac:dyDescent="0.25">
      <c r="B13" t="s">
        <v>44</v>
      </c>
      <c r="C13" s="7">
        <f>C11/C6</f>
        <v>0.17361672662254357</v>
      </c>
      <c r="D13" s="7">
        <f>D11/D6</f>
        <v>0.13135746678063942</v>
      </c>
      <c r="E13" s="7">
        <f>E11/E6</f>
        <v>0.16043919988619626</v>
      </c>
      <c r="F13" s="7">
        <f>F11/F6</f>
        <v>0.15393619159562522</v>
      </c>
    </row>
    <row r="14" spans="2:6" ht="13.5" customHeight="1" x14ac:dyDescent="0.25">
      <c r="B14" t="s">
        <v>45</v>
      </c>
      <c r="C14" s="7">
        <f>C12/C6</f>
        <v>0.14462092630051293</v>
      </c>
      <c r="D14" s="7">
        <f>D12/D6</f>
        <v>0.11025645090290082</v>
      </c>
      <c r="E14" s="7">
        <f>E12/E6</f>
        <v>0.13411978762751298</v>
      </c>
      <c r="F14" s="7">
        <f>F12/F6</f>
        <v>0.12776537313693703</v>
      </c>
    </row>
    <row r="15" spans="2:6" ht="13.5" customHeight="1" x14ac:dyDescent="0.25">
      <c r="B15" t="s">
        <v>46</v>
      </c>
      <c r="C15" t="s">
        <v>47</v>
      </c>
      <c r="D15" s="7">
        <f>(D6-C6)/C6</f>
        <v>-2.76488680314632E-2</v>
      </c>
      <c r="E15" s="7">
        <f>(E6-D6)/D6</f>
        <v>6.2917109205332652E-2</v>
      </c>
      <c r="F15" s="7">
        <f>(F6-E6)/E6</f>
        <v>5.0192961605000024E-2</v>
      </c>
    </row>
    <row r="16" spans="2:6" ht="13.5" customHeight="1" x14ac:dyDescent="0.25">
      <c r="B16" t="s">
        <v>48</v>
      </c>
      <c r="C16" t="s">
        <v>47</v>
      </c>
      <c r="D16" s="7">
        <f>(D11-C11)/C11</f>
        <v>-0.26432444614418005</v>
      </c>
      <c r="E16" s="7">
        <f>(E11-D11)/D11</f>
        <v>0.29824040251198669</v>
      </c>
      <c r="F16" s="7">
        <f>(F11-E11)/E11</f>
        <v>7.6259733573589032E-3</v>
      </c>
    </row>
    <row r="18" spans="2:6" ht="14" customHeight="1" x14ac:dyDescent="0.3">
      <c r="B18" s="3" t="s">
        <v>49</v>
      </c>
    </row>
    <row r="19" spans="2:6" ht="14" customHeight="1" x14ac:dyDescent="0.3">
      <c r="B19" s="4" t="s">
        <v>50</v>
      </c>
      <c r="C19" s="5">
        <v>277641</v>
      </c>
      <c r="D19" s="5">
        <v>489637</v>
      </c>
      <c r="E19" s="5">
        <v>451905</v>
      </c>
      <c r="F19" s="5">
        <v>425222</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469406</v>
      </c>
      <c r="D26" s="5">
        <v>622007</v>
      </c>
      <c r="E26" s="5">
        <v>625148</v>
      </c>
      <c r="F26" s="5">
        <v>653701</v>
      </c>
    </row>
    <row r="27" spans="2:6" ht="14" customHeight="1" x14ac:dyDescent="0.3">
      <c r="B27" s="4" t="s">
        <v>57</v>
      </c>
      <c r="C27" s="5">
        <v>111998</v>
      </c>
      <c r="D27" s="5">
        <v>52836</v>
      </c>
      <c r="E27" s="5">
        <v>2437</v>
      </c>
      <c r="F27" s="5"/>
    </row>
    <row r="28" spans="2:6" ht="14" customHeight="1" x14ac:dyDescent="0.3">
      <c r="B28" s="4" t="s">
        <v>58</v>
      </c>
      <c r="C28" s="5">
        <f>C27-C26</f>
        <v>-357408</v>
      </c>
      <c r="D28" s="5">
        <f>D27-D26</f>
        <v>-569171</v>
      </c>
      <c r="E28" s="5">
        <f>E27-E26</f>
        <v>-622711</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0.10185</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1.6484000000000001</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4.1300000000000003E-2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17.2</v>
      </c>
    </row>
    <row r="15" spans="2:7" ht="14" customHeight="1" x14ac:dyDescent="0.3">
      <c r="B15" s="4" t="s">
        <v>72</v>
      </c>
      <c r="C15" s="15">
        <v>1820312372</v>
      </c>
    </row>
    <row r="16" spans="2:7" ht="14" customHeight="1" x14ac:dyDescent="0.3">
      <c r="B16" s="4" t="s">
        <v>73</v>
      </c>
      <c r="C16" s="5">
        <v>-597933</v>
      </c>
    </row>
    <row r="17" spans="2:7" ht="14" customHeight="1" x14ac:dyDescent="0.3">
      <c r="B17" s="4" t="s">
        <v>74</v>
      </c>
      <c r="C17" s="5">
        <v>1830856</v>
      </c>
    </row>
    <row r="18" spans="2:7" ht="14" customHeight="1" x14ac:dyDescent="0.3">
      <c r="B18" s="4" t="s">
        <v>75</v>
      </c>
      <c r="C18" s="7">
        <v>9.7000000000000003E-2</v>
      </c>
    </row>
    <row r="19" spans="2:7" ht="14" customHeight="1" x14ac:dyDescent="0.3">
      <c r="B19" s="4" t="s">
        <v>76</v>
      </c>
      <c r="C19" s="12">
        <v>1</v>
      </c>
    </row>
    <row r="20" spans="2:7" ht="14" customHeight="1" x14ac:dyDescent="0.3">
      <c r="B20" s="4" t="s">
        <v>77</v>
      </c>
      <c r="C20" s="5">
        <v>1830856</v>
      </c>
    </row>
    <row r="22" spans="2:7" ht="14" customHeight="1" x14ac:dyDescent="0.3">
      <c r="B22" s="8" t="s">
        <v>78</v>
      </c>
      <c r="C22" s="9"/>
      <c r="D22" s="9"/>
      <c r="E22" s="9"/>
      <c r="F22" s="9"/>
      <c r="G22" s="9"/>
    </row>
    <row r="23" spans="2:7" ht="14" customHeight="1" x14ac:dyDescent="0.3">
      <c r="B23" s="4" t="s">
        <v>79</v>
      </c>
      <c r="C23" s="16">
        <f>C7+C8*C9+C10</f>
        <v>0.146846</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0.146846</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91</v>
      </c>
      <c r="C31" s="18">
        <f>CHOOSE($D$27,C76,C77,C78,C79,C80)</f>
        <v>0.57699999999999996</v>
      </c>
      <c r="D31" s="18">
        <f>CHOOSE($D$27,D76,D77,D78,D79,D80)</f>
        <v>0.57699999999999996</v>
      </c>
      <c r="E31" s="18">
        <f>CHOOSE($D$27,E76,E77,E78,E79,E80)</f>
        <v>0.57699999999999996</v>
      </c>
      <c r="F31" s="18">
        <f>CHOOSE($D$27,F76,F77,F78,F79,F80)</f>
        <v>0.57699999999999996</v>
      </c>
      <c r="G31" s="18">
        <f>CHOOSE($D$27,G76,G77,G78,G79,G80)</f>
        <v>0.57699999999999996</v>
      </c>
    </row>
    <row r="32" spans="2:7" ht="14" customHeight="1" x14ac:dyDescent="0.3">
      <c r="B32" s="4" t="s">
        <v>92</v>
      </c>
      <c r="C32" s="18">
        <f>CHOOSE($D$27,C83,C84,C85,C86,C87)</f>
        <v>0.26850000000000002</v>
      </c>
      <c r="D32" s="18">
        <f>CHOOSE($D$27,D83,D84,D85,D86,D87)</f>
        <v>0.26750000000000002</v>
      </c>
      <c r="E32" s="18">
        <f>CHOOSE($D$27,E83,E84,E85,E86,E87)</f>
        <v>0.26679999999999998</v>
      </c>
      <c r="F32" s="18">
        <f>CHOOSE($D$27,F83,F84,F85,F86,F87)</f>
        <v>0.26619999999999999</v>
      </c>
      <c r="G32" s="18">
        <f>CHOOSE($D$27,G83,G84,G85,G86,G87)</f>
        <v>0.26579999999999998</v>
      </c>
    </row>
    <row r="33" spans="2:7" ht="14" customHeight="1" x14ac:dyDescent="0.3">
      <c r="B33" s="4" t="s">
        <v>37</v>
      </c>
      <c r="C33" s="5">
        <f>C17*(1+C30)</f>
        <v>1904090.24</v>
      </c>
      <c r="D33" s="5">
        <f>C33*(1+D30)</f>
        <v>1970733.3983999998</v>
      </c>
      <c r="E33" s="5">
        <f>D33*(1+E30)</f>
        <v>2029855.4003519998</v>
      </c>
      <c r="F33" s="5">
        <f>E33*(1+F30)</f>
        <v>2090751.0623625598</v>
      </c>
      <c r="G33" s="5">
        <f>F33*(1+G30)</f>
        <v>2143019.8389216238</v>
      </c>
    </row>
    <row r="34" spans="2:7" ht="14" customHeight="1" x14ac:dyDescent="0.3">
      <c r="B34" s="4" t="s">
        <v>38</v>
      </c>
      <c r="C34" s="5">
        <f>C33*C31</f>
        <v>1098660.0684799999</v>
      </c>
      <c r="D34" s="5">
        <f>D33*D31</f>
        <v>1137113.1708767998</v>
      </c>
      <c r="E34" s="5">
        <f>E33*E31</f>
        <v>1171226.5660031037</v>
      </c>
      <c r="F34" s="5">
        <f>F33*F31</f>
        <v>1206363.362983197</v>
      </c>
      <c r="G34" s="5">
        <f>G33*G31</f>
        <v>1236522.4470577769</v>
      </c>
    </row>
    <row r="35" spans="2:7" ht="14" customHeight="1" x14ac:dyDescent="0.3">
      <c r="B35" s="4" t="s">
        <v>39</v>
      </c>
      <c r="C35" s="19">
        <f>C33-C34</f>
        <v>805430.17152000009</v>
      </c>
      <c r="D35" s="19">
        <f>D33-D34</f>
        <v>833620.22752319998</v>
      </c>
      <c r="E35" s="19">
        <f>E33-E34</f>
        <v>858628.83434889605</v>
      </c>
      <c r="F35" s="19">
        <f>F33-F34</f>
        <v>884387.69937936286</v>
      </c>
      <c r="G35" s="19">
        <f>G33-G34</f>
        <v>906497.39186384692</v>
      </c>
    </row>
    <row r="36" spans="2:7" ht="14" customHeight="1" x14ac:dyDescent="0.3">
      <c r="B36" s="4" t="s">
        <v>40</v>
      </c>
      <c r="C36" s="7">
        <f>C35/C33</f>
        <v>0.42300000000000004</v>
      </c>
      <c r="D36" s="7">
        <f>D35/D33</f>
        <v>0.42300000000000004</v>
      </c>
      <c r="E36" s="7">
        <f>E35/E33</f>
        <v>0.42300000000000004</v>
      </c>
      <c r="F36" s="7">
        <f>F35/F33</f>
        <v>0.42300000000000004</v>
      </c>
      <c r="G36" s="7">
        <f>G35/G33</f>
        <v>0.42300000000000004</v>
      </c>
    </row>
    <row r="37" spans="2:7" ht="14" customHeight="1" x14ac:dyDescent="0.3">
      <c r="B37" s="4" t="s">
        <v>93</v>
      </c>
      <c r="C37" s="5">
        <f>C33*C32</f>
        <v>511248.22944000002</v>
      </c>
      <c r="D37" s="5">
        <f>D33*D32</f>
        <v>527171.18407199997</v>
      </c>
      <c r="E37" s="5">
        <f>E33*E32</f>
        <v>541565.42081391346</v>
      </c>
      <c r="F37" s="5">
        <f>F33*F32</f>
        <v>556557.93280091346</v>
      </c>
      <c r="G37" s="5">
        <f>G33*G32</f>
        <v>569614.6731853676</v>
      </c>
    </row>
    <row r="38" spans="2:7" ht="14" customHeight="1" x14ac:dyDescent="0.3">
      <c r="B38" s="4" t="s">
        <v>94</v>
      </c>
      <c r="C38" s="7">
        <f>(C35-C37)/C33</f>
        <v>0.15450000000000003</v>
      </c>
      <c r="D38" s="7">
        <f>(D35-D37)/D33</f>
        <v>0.15550000000000003</v>
      </c>
      <c r="E38" s="7">
        <f>(E35-E37)/E33</f>
        <v>0.15620000000000012</v>
      </c>
      <c r="F38" s="7">
        <f>(F35-F37)/F33</f>
        <v>0.15680000000000002</v>
      </c>
      <c r="G38" s="7">
        <f>(G35-G37)/G33</f>
        <v>0.15720000000000003</v>
      </c>
    </row>
    <row r="39" spans="2:7" ht="14" customHeight="1" x14ac:dyDescent="0.3">
      <c r="B39" s="4" t="s">
        <v>95</v>
      </c>
      <c r="C39" s="19">
        <f>C35-C37</f>
        <v>294181.94208000007</v>
      </c>
      <c r="D39" s="19">
        <f>D35-D37</f>
        <v>306449.04345120001</v>
      </c>
      <c r="E39" s="19">
        <f>E35-E37</f>
        <v>317063.4135349826</v>
      </c>
      <c r="F39" s="19">
        <f>F35-F37</f>
        <v>327829.7665784494</v>
      </c>
      <c r="G39" s="19">
        <f>G35-G37</f>
        <v>336882.71867847932</v>
      </c>
    </row>
    <row r="40" spans="2:7" ht="14" customHeight="1" x14ac:dyDescent="0.3">
      <c r="B40" s="4" t="s">
        <v>96</v>
      </c>
      <c r="C40" s="5">
        <f>MAX(0,C39*C6)</f>
        <v>73545.485520000017</v>
      </c>
      <c r="D40" s="5">
        <f>MAX(0,D39*C6)</f>
        <v>76612.260862800002</v>
      </c>
      <c r="E40" s="5">
        <f>MAX(0,E39*C6)</f>
        <v>79265.853383745649</v>
      </c>
      <c r="F40" s="5">
        <f>MAX(0,F39*C6)</f>
        <v>81957.441644612351</v>
      </c>
      <c r="G40" s="5">
        <f>MAX(0,G39*C6)</f>
        <v>84220.679669619829</v>
      </c>
    </row>
    <row r="41" spans="2:7" ht="14" customHeight="1" x14ac:dyDescent="0.3">
      <c r="B41" s="4" t="s">
        <v>97</v>
      </c>
      <c r="C41" s="19">
        <f>C39-C40</f>
        <v>220636.45656000005</v>
      </c>
      <c r="D41" s="19">
        <f>D39-D40</f>
        <v>229836.7825884</v>
      </c>
      <c r="E41" s="19">
        <f>E39-E40</f>
        <v>237797.56015123695</v>
      </c>
      <c r="F41" s="19">
        <f>F39-F40</f>
        <v>245872.32493383705</v>
      </c>
      <c r="G41" s="19">
        <f>G39-G40</f>
        <v>252662.03900885949</v>
      </c>
    </row>
    <row r="42" spans="2:7" ht="14" customHeight="1" x14ac:dyDescent="0.3">
      <c r="B42" s="4" t="s">
        <v>98</v>
      </c>
      <c r="C42" s="5">
        <f>C33*C18</f>
        <v>184696.75328</v>
      </c>
      <c r="D42" s="5">
        <f>D33*C18</f>
        <v>191161.13964479999</v>
      </c>
      <c r="E42" s="5">
        <f>E33*C18</f>
        <v>196895.97383414398</v>
      </c>
      <c r="F42" s="5">
        <f>F33*C18</f>
        <v>202802.85304916831</v>
      </c>
      <c r="G42" s="5">
        <f>G33*C18</f>
        <v>207872.9243753975</v>
      </c>
    </row>
    <row r="43" spans="2:7" ht="14" customHeight="1" x14ac:dyDescent="0.3">
      <c r="B43" s="4" t="s">
        <v>99</v>
      </c>
      <c r="C43" s="5">
        <v>245000</v>
      </c>
      <c r="D43" s="5">
        <v>238000</v>
      </c>
      <c r="E43" s="5">
        <v>230000</v>
      </c>
      <c r="F43" s="5">
        <v>224000</v>
      </c>
      <c r="G43" s="5">
        <v>218500</v>
      </c>
    </row>
    <row r="44" spans="2:7" ht="14" customHeight="1" x14ac:dyDescent="0.3">
      <c r="B44" s="4" t="s">
        <v>100</v>
      </c>
      <c r="C44" s="5">
        <f>'NWC Schedule'!D19</f>
        <v>44432.633274739725</v>
      </c>
      <c r="D44" s="5">
        <f>'NWC Schedule'!E19</f>
        <v>28464.297164615826</v>
      </c>
      <c r="E44" s="5">
        <f>'NWC Schedule'!F19</f>
        <v>25251.897913180524</v>
      </c>
      <c r="F44" s="5">
        <f>'NWC Schedule'!G19</f>
        <v>26009.454850576119</v>
      </c>
      <c r="G44" s="5">
        <f>'NWC Schedule'!H19</f>
        <v>22324.782080077799</v>
      </c>
    </row>
    <row r="45" spans="2:7" ht="14" customHeight="1" x14ac:dyDescent="0.3">
      <c r="B45" s="4" t="s">
        <v>101</v>
      </c>
      <c r="C45" s="20">
        <f>C41+C42-C43-C44</f>
        <v>115900.5765652603</v>
      </c>
      <c r="D45" s="20">
        <f>D41+D42-D43-D44</f>
        <v>154533.62506858417</v>
      </c>
      <c r="E45" s="20">
        <f>E41+E42-E43-E44</f>
        <v>179441.63607220037</v>
      </c>
      <c r="F45" s="20">
        <f>F41+F42-F43-F44</f>
        <v>198665.72313242924</v>
      </c>
      <c r="G45" s="20">
        <f>G41+G42-G43-G44</f>
        <v>219710.18130417919</v>
      </c>
    </row>
    <row r="46" spans="2:7" ht="14" customHeight="1" x14ac:dyDescent="0.3">
      <c r="B46" s="4" t="s">
        <v>102</v>
      </c>
      <c r="C46" s="21">
        <f>1/(1+C26)^(C19+0)</f>
        <v>0.87195665329085159</v>
      </c>
      <c r="D46" s="21">
        <f>1/(1+C26)^(C19+1)</f>
        <v>0.76030840521818233</v>
      </c>
      <c r="E46" s="21">
        <f>1/(1+C26)^(C19+2)</f>
        <v>0.66295597248295102</v>
      </c>
      <c r="F46" s="21">
        <f>1/(1+C26)^(C19+3)</f>
        <v>0.57806887104541571</v>
      </c>
      <c r="G46" s="21">
        <f>1/(1+C26)^(C19+4)</f>
        <v>0.50405099816838161</v>
      </c>
    </row>
    <row r="47" spans="2:7" ht="14" customHeight="1" x14ac:dyDescent="0.3">
      <c r="B47" s="4" t="s">
        <v>103</v>
      </c>
      <c r="C47" s="19">
        <f>C45*C46</f>
        <v>101060.27885632447</v>
      </c>
      <c r="D47" s="19">
        <f>D45*D46</f>
        <v>117493.21402847975</v>
      </c>
      <c r="E47" s="19">
        <f>E45*E46</f>
        <v>118961.90434617738</v>
      </c>
      <c r="F47" s="19">
        <f>F45*F46</f>
        <v>114842.4702865845</v>
      </c>
      <c r="G47" s="19">
        <f>G45*G46</f>
        <v>110745.13619412761</v>
      </c>
    </row>
    <row r="49" spans="2:7" ht="14" customHeight="1" x14ac:dyDescent="0.3">
      <c r="B49" s="22" t="s">
        <v>104</v>
      </c>
      <c r="C49" s="23"/>
      <c r="D49" s="23"/>
      <c r="E49" s="23"/>
      <c r="F49" s="23"/>
      <c r="G49" s="23"/>
    </row>
    <row r="50" spans="2:7" ht="14" customHeight="1" x14ac:dyDescent="0.3">
      <c r="B50" s="4" t="s">
        <v>105</v>
      </c>
      <c r="C50" s="5">
        <f>SUM(C47:G47)</f>
        <v>563103.00371169369</v>
      </c>
    </row>
    <row r="51" spans="2:7" ht="14" customHeight="1" x14ac:dyDescent="0.3">
      <c r="B51" s="4" t="s">
        <v>106</v>
      </c>
      <c r="C51" s="5">
        <f>G45*(1+C13)/(C26-C13)</f>
        <v>1621583.9930814272</v>
      </c>
    </row>
    <row r="52" spans="2:7" ht="14" customHeight="1" x14ac:dyDescent="0.3">
      <c r="B52" s="4" t="s">
        <v>107</v>
      </c>
      <c r="C52" s="5">
        <f>C51*G46</f>
        <v>817361.0303265634</v>
      </c>
    </row>
    <row r="53" spans="2:7" ht="14" customHeight="1" x14ac:dyDescent="0.3">
      <c r="B53" s="4" t="s">
        <v>108</v>
      </c>
      <c r="C53" s="5">
        <f>C50+C52</f>
        <v>1380464.0340382571</v>
      </c>
    </row>
    <row r="54" spans="2:7" ht="14" customHeight="1" x14ac:dyDescent="0.3">
      <c r="B54" s="4" t="s">
        <v>109</v>
      </c>
      <c r="C54" s="5">
        <f>C53-C16</f>
        <v>1978397.0340382571</v>
      </c>
    </row>
    <row r="55" spans="2:7" ht="14" customHeight="1" x14ac:dyDescent="0.3">
      <c r="B55" s="4" t="s">
        <v>110</v>
      </c>
      <c r="C55" s="24">
        <f>ROUND(C54*1000000/C15,0)</f>
        <v>1087</v>
      </c>
    </row>
    <row r="57" spans="2:7" ht="14" customHeight="1" x14ac:dyDescent="0.3">
      <c r="B57" s="22" t="s">
        <v>111</v>
      </c>
      <c r="C57" s="23"/>
      <c r="D57" s="23"/>
      <c r="E57" s="23"/>
      <c r="F57" s="23"/>
      <c r="G57" s="23"/>
    </row>
    <row r="58" spans="2:7" ht="14" customHeight="1" x14ac:dyDescent="0.3">
      <c r="B58" s="4" t="s">
        <v>105</v>
      </c>
      <c r="C58" s="5">
        <f>C50</f>
        <v>563103.00371169369</v>
      </c>
    </row>
    <row r="59" spans="2:7" ht="14" customHeight="1" x14ac:dyDescent="0.3">
      <c r="B59" s="4" t="s">
        <v>112</v>
      </c>
      <c r="C59" s="5">
        <f>G39+G42</f>
        <v>544755.64305387682</v>
      </c>
    </row>
    <row r="60" spans="2:7" ht="14" customHeight="1" x14ac:dyDescent="0.3">
      <c r="B60" s="4" t="s">
        <v>113</v>
      </c>
      <c r="C60" s="5">
        <f>C59*C14</f>
        <v>9369797.0605266802</v>
      </c>
    </row>
    <row r="61" spans="2:7" ht="14" customHeight="1" x14ac:dyDescent="0.3">
      <c r="B61" s="4" t="s">
        <v>107</v>
      </c>
      <c r="C61" s="5">
        <f>C60*G46</f>
        <v>4722855.5609936407</v>
      </c>
    </row>
    <row r="62" spans="2:7" ht="14" customHeight="1" x14ac:dyDescent="0.3">
      <c r="B62" s="4" t="s">
        <v>108</v>
      </c>
      <c r="C62" s="5">
        <f>C58+C61</f>
        <v>5285958.5647053346</v>
      </c>
    </row>
    <row r="63" spans="2:7" ht="14" customHeight="1" x14ac:dyDescent="0.3">
      <c r="B63" s="4" t="s">
        <v>109</v>
      </c>
      <c r="C63" s="5">
        <f>C62-C16</f>
        <v>5883891.5647053346</v>
      </c>
    </row>
    <row r="64" spans="2:7" ht="14" customHeight="1" x14ac:dyDescent="0.3">
      <c r="B64" s="4" t="s">
        <v>114</v>
      </c>
      <c r="C64" s="24">
        <f>ROUND(C63*1000000/C15,0)</f>
        <v>3232</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0.04</v>
      </c>
      <c r="D69" s="26">
        <v>3.5000000000000003E-2</v>
      </c>
      <c r="E69" s="26">
        <v>0.03</v>
      </c>
      <c r="F69" s="26">
        <v>0.03</v>
      </c>
      <c r="G69" s="26">
        <v>2.5000000000000001E-2</v>
      </c>
    </row>
    <row r="70" spans="2:7" ht="14" customHeight="1" x14ac:dyDescent="0.3">
      <c r="B70" s="4" t="s">
        <v>121</v>
      </c>
      <c r="C70" s="26">
        <v>0.06</v>
      </c>
      <c r="D70" s="26">
        <v>0.05</v>
      </c>
      <c r="E70" s="26">
        <v>4.4999999999999998E-2</v>
      </c>
      <c r="F70" s="26">
        <v>0.04</v>
      </c>
      <c r="G70" s="26">
        <v>3.5000000000000003E-2</v>
      </c>
    </row>
    <row r="71" spans="2:7" ht="14" customHeight="1" x14ac:dyDescent="0.3">
      <c r="B71" s="4" t="s">
        <v>122</v>
      </c>
      <c r="C71" s="26">
        <v>0.04</v>
      </c>
      <c r="D71" s="26">
        <v>3.5000000000000003E-2</v>
      </c>
      <c r="E71" s="26">
        <v>0.03</v>
      </c>
      <c r="F71" s="26">
        <v>0.03</v>
      </c>
      <c r="G71" s="26">
        <v>2.5000000000000001E-2</v>
      </c>
    </row>
    <row r="72" spans="2:7" ht="14" customHeight="1" x14ac:dyDescent="0.3">
      <c r="B72" s="4" t="s">
        <v>123</v>
      </c>
      <c r="C72" s="26">
        <v>1.4999999999999999E-2</v>
      </c>
      <c r="D72" s="26">
        <v>0.02</v>
      </c>
      <c r="E72" s="26">
        <v>0.02</v>
      </c>
      <c r="F72" s="26">
        <v>0.02</v>
      </c>
      <c r="G72" s="26">
        <v>0.02</v>
      </c>
    </row>
    <row r="73" spans="2:7" ht="14" customHeight="1" x14ac:dyDescent="0.3">
      <c r="B73" s="4" t="s">
        <v>124</v>
      </c>
      <c r="C73" s="26">
        <v>-0.1</v>
      </c>
      <c r="D73" s="26">
        <v>-0.01</v>
      </c>
      <c r="E73" s="26">
        <v>1.4999999999999999E-2</v>
      </c>
      <c r="F73" s="26">
        <v>0.02</v>
      </c>
      <c r="G73" s="26">
        <v>0.02</v>
      </c>
    </row>
    <row r="75" spans="2:7" ht="14" customHeight="1" x14ac:dyDescent="0.3">
      <c r="B75" s="3" t="s">
        <v>91</v>
      </c>
    </row>
    <row r="76" spans="2:7" ht="14" customHeight="1" x14ac:dyDescent="0.3">
      <c r="B76" s="4" t="s">
        <v>84</v>
      </c>
      <c r="C76" s="26">
        <v>0.57699999999999996</v>
      </c>
      <c r="D76" s="26">
        <v>0.57699999999999996</v>
      </c>
      <c r="E76" s="26">
        <v>0.57699999999999996</v>
      </c>
      <c r="F76" s="26">
        <v>0.57699999999999996</v>
      </c>
      <c r="G76" s="26">
        <v>0.57699999999999996</v>
      </c>
    </row>
    <row r="77" spans="2:7" ht="14" customHeight="1" x14ac:dyDescent="0.3">
      <c r="B77" s="4" t="s">
        <v>121</v>
      </c>
      <c r="C77" s="26">
        <v>0.56899999999999995</v>
      </c>
      <c r="D77" s="26">
        <v>0.56899999999999995</v>
      </c>
      <c r="E77" s="26">
        <v>0.56899999999999995</v>
      </c>
      <c r="F77" s="26">
        <v>0.56899999999999995</v>
      </c>
      <c r="G77" s="26">
        <v>0.56899999999999995</v>
      </c>
    </row>
    <row r="78" spans="2:7" ht="14" customHeight="1" x14ac:dyDescent="0.3">
      <c r="B78" s="4" t="s">
        <v>122</v>
      </c>
      <c r="C78" s="26">
        <v>0.57699999999999996</v>
      </c>
      <c r="D78" s="26">
        <v>0.57699999999999996</v>
      </c>
      <c r="E78" s="26">
        <v>0.57699999999999996</v>
      </c>
      <c r="F78" s="26">
        <v>0.57699999999999996</v>
      </c>
      <c r="G78" s="26">
        <v>0.57699999999999996</v>
      </c>
    </row>
    <row r="79" spans="2:7" ht="14" customHeight="1" x14ac:dyDescent="0.3">
      <c r="B79" s="4" t="s">
        <v>123</v>
      </c>
      <c r="C79" s="26">
        <v>0.59</v>
      </c>
      <c r="D79" s="26">
        <v>0.59</v>
      </c>
      <c r="E79" s="26">
        <v>0.59</v>
      </c>
      <c r="F79" s="26">
        <v>0.59</v>
      </c>
      <c r="G79" s="26">
        <v>0.59</v>
      </c>
    </row>
    <row r="80" spans="2:7" ht="14" customHeight="1" x14ac:dyDescent="0.3">
      <c r="B80" s="4" t="s">
        <v>124</v>
      </c>
      <c r="C80" s="26">
        <v>0.61</v>
      </c>
      <c r="D80" s="26">
        <v>0.61</v>
      </c>
      <c r="E80" s="26">
        <v>0.61</v>
      </c>
      <c r="F80" s="26">
        <v>0.61</v>
      </c>
      <c r="G80" s="26">
        <v>0.61</v>
      </c>
    </row>
    <row r="82" spans="2:7" ht="14" customHeight="1" x14ac:dyDescent="0.3">
      <c r="B82" s="3" t="s">
        <v>92</v>
      </c>
    </row>
    <row r="83" spans="2:7" ht="14" customHeight="1" x14ac:dyDescent="0.3">
      <c r="B83" s="4" t="s">
        <v>84</v>
      </c>
      <c r="C83" s="26">
        <v>0.26850000000000002</v>
      </c>
      <c r="D83" s="26">
        <v>0.26750000000000002</v>
      </c>
      <c r="E83" s="26">
        <v>0.26679999999999998</v>
      </c>
      <c r="F83" s="26">
        <v>0.26619999999999999</v>
      </c>
      <c r="G83" s="26">
        <v>0.26579999999999998</v>
      </c>
    </row>
    <row r="84" spans="2:7" ht="14" customHeight="1" x14ac:dyDescent="0.3">
      <c r="B84" s="4" t="s">
        <v>121</v>
      </c>
      <c r="C84" s="26">
        <v>0.27250000000000002</v>
      </c>
      <c r="D84" s="26">
        <v>0.27050000000000002</v>
      </c>
      <c r="E84" s="26">
        <v>0.26900000000000002</v>
      </c>
      <c r="F84" s="26">
        <v>0.26800000000000002</v>
      </c>
      <c r="G84" s="26">
        <v>0.2671</v>
      </c>
    </row>
    <row r="85" spans="2:7" ht="14" customHeight="1" x14ac:dyDescent="0.3">
      <c r="B85" s="4" t="s">
        <v>122</v>
      </c>
      <c r="C85" s="26">
        <v>0.26850000000000002</v>
      </c>
      <c r="D85" s="26">
        <v>0.26750000000000002</v>
      </c>
      <c r="E85" s="26">
        <v>0.26679999999999998</v>
      </c>
      <c r="F85" s="26">
        <v>0.26619999999999999</v>
      </c>
      <c r="G85" s="26">
        <v>0.26579999999999998</v>
      </c>
    </row>
    <row r="86" spans="2:7" ht="14" customHeight="1" x14ac:dyDescent="0.3">
      <c r="B86" s="4" t="s">
        <v>123</v>
      </c>
      <c r="C86" s="26">
        <v>0.25900000000000001</v>
      </c>
      <c r="D86" s="26">
        <v>0.26019999999999999</v>
      </c>
      <c r="E86" s="26">
        <v>0.26100000000000001</v>
      </c>
      <c r="F86" s="26">
        <v>0.26140000000000002</v>
      </c>
      <c r="G86" s="26">
        <v>0.26169999999999999</v>
      </c>
    </row>
    <row r="87" spans="2:7" ht="14" customHeight="1" x14ac:dyDescent="0.3">
      <c r="B87" s="4" t="s">
        <v>124</v>
      </c>
      <c r="C87" s="26">
        <v>0.27400000000000002</v>
      </c>
      <c r="D87" s="26">
        <v>0.27800000000000002</v>
      </c>
      <c r="E87" s="26">
        <v>0.28000000000000003</v>
      </c>
      <c r="F87" s="26">
        <v>0.28000000000000003</v>
      </c>
      <c r="G87" s="26">
        <v>0.28000000000000003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7191</v>
      </c>
    </row>
    <row r="7" spans="2:9" ht="14" customHeight="1" x14ac:dyDescent="0.3">
      <c r="B7" s="4" t="s">
        <v>72</v>
      </c>
      <c r="C7" s="15">
        <f>'DCF Model'!C15</f>
        <v>1820312372</v>
      </c>
    </row>
    <row r="8" spans="2:9" ht="14" customHeight="1" x14ac:dyDescent="0.3">
      <c r="B8" s="4" t="s">
        <v>129</v>
      </c>
      <c r="C8" s="5">
        <f>C6*C7/1000000</f>
        <v>13089866.267052</v>
      </c>
    </row>
    <row r="9" spans="2:9" ht="14" customHeight="1" x14ac:dyDescent="0.3">
      <c r="B9" s="4" t="s">
        <v>73</v>
      </c>
      <c r="C9" s="5">
        <f>'DCF Model'!C16</f>
        <v>-597933</v>
      </c>
    </row>
    <row r="10" spans="2:9" ht="14" customHeight="1" x14ac:dyDescent="0.3">
      <c r="B10" s="4" t="s">
        <v>130</v>
      </c>
      <c r="C10" s="5">
        <f>C8+C9</f>
        <v>12491933.267052</v>
      </c>
    </row>
    <row r="11" spans="2:9" ht="14" customHeight="1" x14ac:dyDescent="0.3">
      <c r="B11" s="4" t="s">
        <v>131</v>
      </c>
      <c r="C11" s="16">
        <f>'DCF Model'!C26</f>
        <v>0.146846</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281835</v>
      </c>
    </row>
    <row r="15" spans="2:9" ht="14" customHeight="1" x14ac:dyDescent="0.3">
      <c r="B15" s="4" t="s">
        <v>135</v>
      </c>
      <c r="C15" s="27">
        <v>292856</v>
      </c>
    </row>
    <row r="16" spans="2:9" ht="14" customHeight="1" x14ac:dyDescent="0.3">
      <c r="B16" s="4" t="s">
        <v>136</v>
      </c>
      <c r="C16" s="5">
        <f>'DCF Model'!G33</f>
        <v>2143019.8389216238</v>
      </c>
    </row>
    <row r="17" spans="2:9" ht="14" customHeight="1" x14ac:dyDescent="0.3">
      <c r="B17" s="4" t="s">
        <v>137</v>
      </c>
      <c r="C17" s="5">
        <f>'DCF Model'!C53</f>
        <v>1380464.0340382571</v>
      </c>
    </row>
    <row r="18" spans="2:9" ht="14" customHeight="1" x14ac:dyDescent="0.3">
      <c r="B18" s="4" t="s">
        <v>138</v>
      </c>
      <c r="C18" s="26">
        <v>0.1736167266225436</v>
      </c>
    </row>
    <row r="19" spans="2:9" ht="14" customHeight="1" x14ac:dyDescent="0.3">
      <c r="B19" s="4" t="s">
        <v>139</v>
      </c>
      <c r="C19" s="5">
        <f>C10-C17</f>
        <v>11111469.233013744</v>
      </c>
    </row>
    <row r="20" spans="2:9" ht="14" customHeight="1" x14ac:dyDescent="0.3">
      <c r="B20" s="4" t="s">
        <v>140</v>
      </c>
      <c r="C20" s="15">
        <f>IFERROR(ROUND(C19*1000000/C7,0),"N/A")</f>
        <v>6104</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1709471.0998629979</v>
      </c>
    </row>
    <row r="25" spans="2:9" ht="14" customHeight="1" x14ac:dyDescent="0.3">
      <c r="B25" s="4" t="s">
        <v>144</v>
      </c>
      <c r="C25" s="5">
        <f>IFERROR(C24/(1-C13),"N/A")</f>
        <v>2279294.7998173307</v>
      </c>
    </row>
    <row r="26" spans="2:9" ht="13.5" customHeight="1" x14ac:dyDescent="0.25">
      <c r="B26" s="6" t="s">
        <v>145</v>
      </c>
      <c r="C26" s="14">
        <f>IFERROR(C25/C15,"N/A")</f>
        <v>7.7829882256717662</v>
      </c>
    </row>
    <row r="27" spans="2:9" ht="13.5" customHeight="1" x14ac:dyDescent="0.25">
      <c r="B27" s="6" t="s">
        <v>146</v>
      </c>
      <c r="C27" s="14">
        <f>IFERROR(C25/C14,"N/A")</f>
        <v>8.0873376259773657</v>
      </c>
    </row>
    <row r="28" spans="2:9" ht="13.5" customHeight="1" x14ac:dyDescent="0.25">
      <c r="B28" s="6" t="s">
        <v>147</v>
      </c>
      <c r="C28" s="7">
        <f>IFERROR(C25/C16,"N/A")</f>
        <v>1.0635901536797163</v>
      </c>
    </row>
    <row r="29" spans="2:9" ht="13.5" customHeight="1" x14ac:dyDescent="0.25">
      <c r="B29" s="6" t="s">
        <v>148</v>
      </c>
      <c r="C29" s="5">
        <f>IFERROR(C25/C18,"N/A")</f>
        <v>13128313.407110229</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0.12684600000000001</v>
      </c>
      <c r="E36" s="29">
        <f>'DCF Model'!C26-0.01</f>
        <v>0.136846</v>
      </c>
      <c r="F36" s="29">
        <f>'DCF Model'!C26</f>
        <v>0.146846</v>
      </c>
      <c r="G36" s="29">
        <f>'DCF Model'!C26+0.01</f>
        <v>0.15684600000000001</v>
      </c>
      <c r="H36" s="29">
        <f>'DCF Model'!C26+0.02</f>
        <v>0.16684599999999999</v>
      </c>
    </row>
    <row r="37" spans="2:9" ht="14" customHeight="1" x14ac:dyDescent="0.3">
      <c r="B37" s="3" t="s">
        <v>154</v>
      </c>
    </row>
    <row r="38" spans="2:9" ht="14" customHeight="1" x14ac:dyDescent="0.3">
      <c r="B38" s="4" t="s">
        <v>155</v>
      </c>
      <c r="C38" s="30">
        <v>3</v>
      </c>
      <c r="D38" s="13">
        <f t="shared" ref="D38:H41" si="0">IFERROR((1-(1+D$36)^(-$C38))/D$36-(1+D$36)/(D$36^2*$C38)*(1-($C38+1)/(1+D$36)^$C38+$C38/(1+D$36)^($C38+1)),"N/A")</f>
        <v>0.85413407878116421</v>
      </c>
      <c r="E38" s="13">
        <f t="shared" si="0"/>
        <v>0.8443320719763312</v>
      </c>
      <c r="F38" s="13">
        <f t="shared" si="0"/>
        <v>0.83474057059996931</v>
      </c>
      <c r="G38" s="13">
        <f t="shared" si="0"/>
        <v>0.82535309850057414</v>
      </c>
      <c r="H38" s="13">
        <f t="shared" si="0"/>
        <v>0.81616343610334874</v>
      </c>
    </row>
    <row r="39" spans="2:9" ht="14" customHeight="1" x14ac:dyDescent="0.3">
      <c r="B39" s="4" t="s">
        <v>156</v>
      </c>
      <c r="C39" s="30">
        <v>5</v>
      </c>
      <c r="D39" s="13">
        <f t="shared" si="0"/>
        <v>1.5860654770954119</v>
      </c>
      <c r="E39" s="13">
        <f t="shared" si="0"/>
        <v>1.5599246931032962</v>
      </c>
      <c r="F39" s="13">
        <f t="shared" si="0"/>
        <v>1.5345465289658498</v>
      </c>
      <c r="G39" s="13">
        <f t="shared" si="0"/>
        <v>1.5099004185302487</v>
      </c>
      <c r="H39" s="13">
        <f t="shared" si="0"/>
        <v>1.4859573232308037</v>
      </c>
    </row>
    <row r="40" spans="2:9" ht="14" customHeight="1" x14ac:dyDescent="0.3">
      <c r="B40" s="4" t="s">
        <v>157</v>
      </c>
      <c r="C40" s="30">
        <v>7</v>
      </c>
      <c r="D40" s="13">
        <f t="shared" si="0"/>
        <v>2.2153864450287064</v>
      </c>
      <c r="E40" s="13">
        <f t="shared" si="0"/>
        <v>2.1687683639333941</v>
      </c>
      <c r="F40" s="13">
        <f t="shared" si="0"/>
        <v>2.1238464380988096</v>
      </c>
      <c r="G40" s="13">
        <f t="shared" si="0"/>
        <v>2.0805376627386893</v>
      </c>
      <c r="H40" s="13">
        <f t="shared" si="0"/>
        <v>2.0387640060396848</v>
      </c>
    </row>
    <row r="41" spans="2:9" ht="14" customHeight="1" x14ac:dyDescent="0.3">
      <c r="B41" s="4" t="s">
        <v>158</v>
      </c>
      <c r="C41" s="30">
        <v>10</v>
      </c>
      <c r="D41" s="13">
        <f t="shared" si="0"/>
        <v>3.0017507356171391</v>
      </c>
      <c r="E41" s="13">
        <f t="shared" si="0"/>
        <v>2.9203338842384121</v>
      </c>
      <c r="F41" s="13">
        <f t="shared" si="0"/>
        <v>2.8426885694163468</v>
      </c>
      <c r="G41" s="13">
        <f t="shared" si="0"/>
        <v>2.768583299195126</v>
      </c>
      <c r="H41" s="13">
        <f t="shared" si="0"/>
        <v>2.6978037194152265</v>
      </c>
    </row>
    <row r="42" spans="2:9" ht="14" customHeight="1" x14ac:dyDescent="0.3">
      <c r="B42" s="3" t="s">
        <v>159</v>
      </c>
    </row>
    <row r="43" spans="2:9" ht="14" customHeight="1" x14ac:dyDescent="0.3">
      <c r="B43" s="4" t="s">
        <v>155</v>
      </c>
      <c r="C43" s="30">
        <v>3</v>
      </c>
      <c r="D43" s="13">
        <f t="shared" ref="D43:H46" si="1">IFERROR((1+D$36)/(D$36^2*$C43)*(1-($C43+1)/(1+D$36)^$C43+$C43/(1+D$36)^($C43+1))+(1+$C$12)/((D$36-$C$12)*(1+D$36)^$C43),"N/A")</f>
        <v>7.5607907345689904</v>
      </c>
      <c r="E43" s="13">
        <f t="shared" si="1"/>
        <v>6.9088986487531372</v>
      </c>
      <c r="F43" s="13">
        <f t="shared" si="1"/>
        <v>6.3534662415458714</v>
      </c>
      <c r="G43" s="13">
        <f t="shared" si="1"/>
        <v>5.8747517730153174</v>
      </c>
      <c r="H43" s="13">
        <f t="shared" si="1"/>
        <v>5.4580495380228831</v>
      </c>
    </row>
    <row r="44" spans="2:9" ht="14" customHeight="1" x14ac:dyDescent="0.3">
      <c r="B44" s="4" t="s">
        <v>156</v>
      </c>
      <c r="C44" s="30">
        <v>5</v>
      </c>
      <c r="D44" s="13">
        <f t="shared" si="1"/>
        <v>6.7159671391292086</v>
      </c>
      <c r="E44" s="13">
        <f t="shared" si="1"/>
        <v>6.0924527782211504</v>
      </c>
      <c r="F44" s="13">
        <f t="shared" si="1"/>
        <v>5.5629725872642624</v>
      </c>
      <c r="G44" s="13">
        <f t="shared" si="1"/>
        <v>5.1081967176003893</v>
      </c>
      <c r="H44" s="13">
        <f t="shared" si="1"/>
        <v>4.7137309173210014</v>
      </c>
    </row>
    <row r="45" spans="2:9" ht="14" customHeight="1" x14ac:dyDescent="0.3">
      <c r="B45" s="4" t="s">
        <v>157</v>
      </c>
      <c r="C45" s="30">
        <v>7</v>
      </c>
      <c r="D45" s="13">
        <f t="shared" si="1"/>
        <v>5.9977394097752894</v>
      </c>
      <c r="E45" s="13">
        <f t="shared" si="1"/>
        <v>5.4055746132764364</v>
      </c>
      <c r="F45" s="13">
        <f t="shared" si="1"/>
        <v>4.9047220606767041</v>
      </c>
      <c r="G45" s="13">
        <f t="shared" si="1"/>
        <v>4.4762815949700245</v>
      </c>
      <c r="H45" s="13">
        <f t="shared" si="1"/>
        <v>4.106188197743764</v>
      </c>
    </row>
    <row r="46" spans="2:9" ht="14" customHeight="1" x14ac:dyDescent="0.3">
      <c r="B46" s="4" t="s">
        <v>158</v>
      </c>
      <c r="C46" s="30">
        <v>10</v>
      </c>
      <c r="D46" s="13">
        <f t="shared" si="1"/>
        <v>5.1121428283988228</v>
      </c>
      <c r="E46" s="13">
        <f t="shared" si="1"/>
        <v>4.5687757532136875</v>
      </c>
      <c r="F46" s="13">
        <f t="shared" si="1"/>
        <v>4.1121639258443938</v>
      </c>
      <c r="G46" s="13">
        <f t="shared" si="1"/>
        <v>3.7240969346182284</v>
      </c>
      <c r="H46" s="13">
        <f t="shared" si="1"/>
        <v>3.3910463369263777</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2171093.8340867166</v>
      </c>
      <c r="E48" s="5">
        <f t="shared" si="2"/>
        <v>2376348.1747113965</v>
      </c>
      <c r="F48" s="5">
        <f t="shared" si="2"/>
        <v>2584518.6375029236</v>
      </c>
      <c r="G48" s="5">
        <f t="shared" si="2"/>
        <v>2795573.0330016227</v>
      </c>
      <c r="H48" s="5">
        <f t="shared" si="2"/>
        <v>3009479.3911804445</v>
      </c>
    </row>
    <row r="49" spans="2:9" ht="14" customHeight="1" x14ac:dyDescent="0.3">
      <c r="B49" s="4" t="s">
        <v>156</v>
      </c>
      <c r="C49" s="30">
        <v>5</v>
      </c>
      <c r="D49" s="5">
        <f t="shared" si="2"/>
        <v>2413487.4282753649</v>
      </c>
      <c r="E49" s="5">
        <f t="shared" si="2"/>
        <v>2661698.0446404042</v>
      </c>
      <c r="F49" s="5">
        <f t="shared" si="2"/>
        <v>2916322.4961572574</v>
      </c>
      <c r="G49" s="5">
        <f t="shared" si="2"/>
        <v>3177318.5598662407</v>
      </c>
      <c r="H49" s="5">
        <f t="shared" si="2"/>
        <v>3444642.1582697043</v>
      </c>
    </row>
    <row r="50" spans="2:9" ht="14" customHeight="1" x14ac:dyDescent="0.3">
      <c r="B50" s="4" t="s">
        <v>157</v>
      </c>
      <c r="C50" s="30">
        <v>7</v>
      </c>
      <c r="D50" s="5">
        <f t="shared" si="2"/>
        <v>2672929.9972374043</v>
      </c>
      <c r="E50" s="5">
        <f t="shared" si="2"/>
        <v>2968172.1812663693</v>
      </c>
      <c r="F50" s="5">
        <f t="shared" si="2"/>
        <v>3273852.5370465112</v>
      </c>
      <c r="G50" s="5">
        <f t="shared" si="2"/>
        <v>3589931.1403052271</v>
      </c>
      <c r="H50" s="5">
        <f t="shared" si="2"/>
        <v>3916361.1589770876</v>
      </c>
    </row>
    <row r="51" spans="2:9" ht="14" customHeight="1" x14ac:dyDescent="0.3">
      <c r="B51" s="4" t="s">
        <v>158</v>
      </c>
      <c r="C51" s="30">
        <v>10</v>
      </c>
      <c r="D51" s="5">
        <f t="shared" si="2"/>
        <v>3092619.5012268806</v>
      </c>
      <c r="E51" s="5">
        <f t="shared" si="2"/>
        <v>3465448.8593218429</v>
      </c>
      <c r="F51" s="5">
        <f t="shared" si="2"/>
        <v>3855571.4644860425</v>
      </c>
      <c r="G51" s="5">
        <f t="shared" si="2"/>
        <v>4262946.863985111</v>
      </c>
      <c r="H51" s="5">
        <f t="shared" si="2"/>
        <v>4687513.508259004</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7.413520071593946</v>
      </c>
      <c r="E53" s="14">
        <f t="shared" si="3"/>
        <v>8.1143912868829613</v>
      </c>
      <c r="F53" s="14">
        <f t="shared" si="3"/>
        <v>8.8252200313564462</v>
      </c>
      <c r="G53" s="14">
        <f t="shared" si="3"/>
        <v>9.5458963893573046</v>
      </c>
      <c r="H53" s="14">
        <f t="shared" si="3"/>
        <v>10.276311194513497</v>
      </c>
    </row>
    <row r="54" spans="2:9" ht="14" customHeight="1" x14ac:dyDescent="0.3">
      <c r="B54" s="4" t="s">
        <v>156</v>
      </c>
      <c r="C54" s="30">
        <v>5</v>
      </c>
      <c r="D54" s="14">
        <f t="shared" si="3"/>
        <v>8.2412087451695193</v>
      </c>
      <c r="E54" s="14">
        <f t="shared" si="3"/>
        <v>9.0887604988130821</v>
      </c>
      <c r="F54" s="14">
        <f t="shared" si="3"/>
        <v>9.9582132384422977</v>
      </c>
      <c r="G54" s="14">
        <f t="shared" si="3"/>
        <v>10.849422787534627</v>
      </c>
      <c r="H54" s="14">
        <f t="shared" si="3"/>
        <v>11.762238636974159</v>
      </c>
    </row>
    <row r="55" spans="2:9" ht="14" customHeight="1" x14ac:dyDescent="0.3">
      <c r="B55" s="4" t="s">
        <v>157</v>
      </c>
      <c r="C55" s="30">
        <v>7</v>
      </c>
      <c r="D55" s="14">
        <f t="shared" si="3"/>
        <v>9.1271136573517513</v>
      </c>
      <c r="E55" s="14">
        <f t="shared" si="3"/>
        <v>10.135261634613494</v>
      </c>
      <c r="F55" s="14">
        <f t="shared" si="3"/>
        <v>11.179052288655555</v>
      </c>
      <c r="G55" s="14">
        <f t="shared" si="3"/>
        <v>12.258349292161428</v>
      </c>
      <c r="H55" s="14">
        <f t="shared" si="3"/>
        <v>13.372992730137295</v>
      </c>
    </row>
    <row r="56" spans="2:9" ht="14" customHeight="1" x14ac:dyDescent="0.3">
      <c r="B56" s="4" t="s">
        <v>158</v>
      </c>
      <c r="C56" s="30">
        <v>10</v>
      </c>
      <c r="D56" s="14">
        <f t="shared" si="3"/>
        <v>10.560205361088318</v>
      </c>
      <c r="E56" s="14">
        <f t="shared" si="3"/>
        <v>11.833286186118238</v>
      </c>
      <c r="F56" s="14">
        <f t="shared" si="3"/>
        <v>13.165417353532256</v>
      </c>
      <c r="G56" s="14">
        <f t="shared" si="3"/>
        <v>14.556460731503234</v>
      </c>
      <c r="H56" s="14">
        <f t="shared" si="3"/>
        <v>16.006206149981576</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2916322.4961572574</v>
      </c>
    </row>
    <row r="62" spans="2:9" ht="14" customHeight="1" x14ac:dyDescent="0.3">
      <c r="B62" s="28" t="s">
        <v>165</v>
      </c>
      <c r="C62" s="28" t="s">
        <v>166</v>
      </c>
      <c r="D62" s="28" t="s">
        <v>167</v>
      </c>
    </row>
    <row r="63" spans="2:9" ht="14" customHeight="1" x14ac:dyDescent="0.3">
      <c r="B63" s="31">
        <v>8.6800000000000002E-2</v>
      </c>
      <c r="C63" s="5">
        <f>IFERROR($C$60/B63,"N/A")</f>
        <v>33598185.439599738</v>
      </c>
      <c r="D63" s="14">
        <f>IFERROR(C63/'DCF Model'!C17,"N/A")</f>
        <v>18.351080281354591</v>
      </c>
    </row>
    <row r="64" spans="2:9" ht="14" customHeight="1" x14ac:dyDescent="0.3">
      <c r="B64" s="31">
        <v>0.13020000000000001</v>
      </c>
      <c r="C64" s="5">
        <f>IFERROR($C$60/B64,"N/A")</f>
        <v>22398790.29306649</v>
      </c>
      <c r="D64" s="14">
        <f>IFERROR(C64/'DCF Model'!C17,"N/A")</f>
        <v>12.234053520903059</v>
      </c>
    </row>
    <row r="65" spans="2:9" ht="14" customHeight="1" x14ac:dyDescent="0.3">
      <c r="B65" s="4" t="s">
        <v>168</v>
      </c>
      <c r="C65" s="5">
        <f>IFERROR($C$60/$C$18,"N/A")</f>
        <v>16797474.25775151</v>
      </c>
      <c r="D65" s="14">
        <f>IFERROR(C65/'DCF Model'!C17,"N/A")</f>
        <v>9.1746561486820966</v>
      </c>
    </row>
    <row r="66" spans="2:9" ht="14" customHeight="1" x14ac:dyDescent="0.3">
      <c r="B66" s="31">
        <v>0.217</v>
      </c>
      <c r="C66" s="5">
        <f>IFERROR($C$60/B66,"N/A")</f>
        <v>13439274.175839895</v>
      </c>
      <c r="D66" s="14">
        <f>IFERROR(C66/'DCF Model'!C17,"N/A")</f>
        <v>7.3404321125418361</v>
      </c>
    </row>
    <row r="67" spans="2:9" ht="14" customHeight="1" x14ac:dyDescent="0.3">
      <c r="B67" s="31">
        <v>0.26040000000000002</v>
      </c>
      <c r="C67" s="5">
        <f>IFERROR($C$60/B67,"N/A")</f>
        <v>11199395.146533245</v>
      </c>
      <c r="D67" s="14">
        <f>IFERROR(C67/'DCF Model'!C17,"N/A")</f>
        <v>6.1170267604515294</v>
      </c>
    </row>
    <row r="69" spans="2:9" ht="14" customHeight="1" x14ac:dyDescent="0.3">
      <c r="B69" s="8" t="s">
        <v>169</v>
      </c>
      <c r="C69" s="9"/>
      <c r="D69" s="9"/>
      <c r="E69" s="9"/>
      <c r="F69" s="9"/>
      <c r="G69" s="9"/>
      <c r="H69" s="9"/>
      <c r="I69" s="9"/>
    </row>
    <row r="70" spans="2:9" ht="13.5" customHeight="1" x14ac:dyDescent="0.25">
      <c r="B70" s="6" t="s">
        <v>170</v>
      </c>
      <c r="C70" s="14">
        <f>IFERROR(C10/'Comps Analysis'!G5,"N/A")</f>
        <v>27.153602277706408</v>
      </c>
    </row>
    <row r="71" spans="2:9" ht="13.5" customHeight="1" x14ac:dyDescent="0.25">
      <c r="B71" s="6" t="s">
        <v>171</v>
      </c>
      <c r="C71" s="14">
        <f>IFERROR(C10/'Comps Analysis'!F5,"N/A")</f>
        <v>6.8230015178976391</v>
      </c>
    </row>
    <row r="72" spans="2:9" ht="14" customHeight="1" x14ac:dyDescent="0.3">
      <c r="B72" s="4" t="s">
        <v>172</v>
      </c>
      <c r="C72" s="14">
        <f>IFERROR(C10/(C25+'DCF Model'!G42),"N/A")</f>
        <v>5.0225536241656421</v>
      </c>
    </row>
    <row r="73" spans="2:9" ht="14" customHeight="1" x14ac:dyDescent="0.3">
      <c r="B73" s="4" t="s">
        <v>173</v>
      </c>
      <c r="C73" s="14">
        <f>IFERROR(C10/(C60+'DCF Model'!G42),"N/A")</f>
        <v>3.9984481076162024</v>
      </c>
    </row>
    <row r="74" spans="2:9" ht="14" customHeight="1" x14ac:dyDescent="0.3">
      <c r="B74" s="4" t="s">
        <v>174</v>
      </c>
      <c r="C74" s="14">
        <f>IFERROR('Comps Analysis'!D16,"N/A")</f>
        <v>17.187374116346117</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7,191 yen the market is paying for a steady-state operating profit of 2,916,322 mn JPY - 9.96x the FY2023 cycle peak of 292,856 mn - reached in 5 years and sustained for ever, against 281,835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2,279,295 mn, or 7.78x the peak. The base case supports an EV of only 1,380,464 mn, leaving 6,104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65.421876433755585</v>
      </c>
      <c r="D5" s="34">
        <f>CHOOSE('DCF Model'!$D$27,D25,D26,D27,D28,D29)</f>
        <v>63</v>
      </c>
      <c r="E5" s="34">
        <f>CHOOSE('DCF Model'!$D$27,E25,E26,E27,E28,E29)</f>
        <v>63</v>
      </c>
      <c r="F5" s="34">
        <f>CHOOSE('DCF Model'!$D$27,F25,F26,F27,F28,F29)</f>
        <v>63</v>
      </c>
      <c r="G5" s="34">
        <f>CHOOSE('DCF Model'!$D$27,G25,G26,G27,G28,G29)</f>
        <v>63</v>
      </c>
      <c r="H5" s="34">
        <f>CHOOSE('DCF Model'!$D$27,H25,H26,H27,H28,H29)</f>
        <v>63</v>
      </c>
    </row>
    <row r="6" spans="2:8" ht="14" customHeight="1" x14ac:dyDescent="0.3">
      <c r="B6" s="33" t="s">
        <v>181</v>
      </c>
      <c r="C6" s="34">
        <f>C13/C10*365</f>
        <v>179.89288183100859</v>
      </c>
      <c r="D6" s="34">
        <f>CHOOSE('DCF Model'!$D$27,D32,D33,D34,D35,D36)</f>
        <v>186</v>
      </c>
      <c r="E6" s="34">
        <f>CHOOSE('DCF Model'!$D$27,E32,E33,E34,E35,E36)</f>
        <v>186</v>
      </c>
      <c r="F6" s="34">
        <f>CHOOSE('DCF Model'!$D$27,F32,F33,F34,F35,F36)</f>
        <v>186</v>
      </c>
      <c r="G6" s="34">
        <f>CHOOSE('DCF Model'!$D$27,G32,G33,G34,G35,G36)</f>
        <v>186</v>
      </c>
      <c r="H6" s="34">
        <f>CHOOSE('DCF Model'!$D$27,H32,H33,H34,H35,H36)</f>
        <v>186</v>
      </c>
    </row>
    <row r="7" spans="2:8" ht="14" customHeight="1" x14ac:dyDescent="0.3">
      <c r="B7" s="33" t="s">
        <v>182</v>
      </c>
      <c r="C7" s="34">
        <f>C15/C10*365</f>
        <v>27.580911527134642</v>
      </c>
      <c r="D7" s="34">
        <f>CHOOSE('DCF Model'!$D$27,D39,D40,D41,D42,D43)</f>
        <v>25</v>
      </c>
      <c r="E7" s="34">
        <f>CHOOSE('DCF Model'!$D$27,E39,E40,E41,E42,E43)</f>
        <v>25</v>
      </c>
      <c r="F7" s="34">
        <f>CHOOSE('DCF Model'!$D$27,F39,F40,F41,F42,F43)</f>
        <v>25</v>
      </c>
      <c r="G7" s="34">
        <f>CHOOSE('DCF Model'!$D$27,G39,G40,G41,G42,G43)</f>
        <v>25</v>
      </c>
      <c r="H7" s="34">
        <f>CHOOSE('DCF Model'!$D$27,H39,H40,H41,H42,H43)</f>
        <v>25</v>
      </c>
    </row>
    <row r="8" spans="2:8" ht="14" customHeight="1" x14ac:dyDescent="0.3">
      <c r="B8" s="8" t="s">
        <v>183</v>
      </c>
      <c r="C8" s="9"/>
      <c r="D8" s="9"/>
      <c r="E8" s="9"/>
      <c r="F8" s="9"/>
      <c r="G8" s="9"/>
      <c r="H8" s="9"/>
    </row>
    <row r="9" spans="2:8" ht="14" customHeight="1" x14ac:dyDescent="0.3">
      <c r="B9" s="33" t="s">
        <v>37</v>
      </c>
      <c r="C9" s="35">
        <v>1830856</v>
      </c>
      <c r="D9" s="35">
        <f>'DCF Model'!C33</f>
        <v>1904090.24</v>
      </c>
      <c r="E9" s="35">
        <f>'DCF Model'!D33</f>
        <v>1970733.3983999998</v>
      </c>
      <c r="F9" s="35">
        <f>'DCF Model'!E33</f>
        <v>2029855.4003519998</v>
      </c>
      <c r="G9" s="35">
        <f>'DCF Model'!F33</f>
        <v>2090751.0623625598</v>
      </c>
      <c r="H9" s="35">
        <f>'DCF Model'!G33</f>
        <v>2143019.8389216238</v>
      </c>
    </row>
    <row r="10" spans="2:8" ht="14" customHeight="1" x14ac:dyDescent="0.3">
      <c r="B10" s="33" t="s">
        <v>38</v>
      </c>
      <c r="C10" s="35">
        <v>1056030</v>
      </c>
      <c r="D10" s="35">
        <f>'DCF Model'!C34</f>
        <v>1098660.0684799999</v>
      </c>
      <c r="E10" s="35">
        <f>'DCF Model'!D34</f>
        <v>1137113.1708767998</v>
      </c>
      <c r="F10" s="35">
        <f>'DCF Model'!E34</f>
        <v>1171226.5660031037</v>
      </c>
      <c r="G10" s="35">
        <f>'DCF Model'!F34</f>
        <v>1206363.362983197</v>
      </c>
      <c r="H10" s="35">
        <f>'DCF Model'!G34</f>
        <v>1236522.4470577769</v>
      </c>
    </row>
    <row r="11" spans="2:8" ht="14" customHeight="1" x14ac:dyDescent="0.3">
      <c r="B11" s="8" t="s">
        <v>184</v>
      </c>
      <c r="C11" s="9"/>
      <c r="D11" s="9"/>
      <c r="E11" s="9"/>
      <c r="F11" s="9"/>
      <c r="G11" s="9"/>
      <c r="H11" s="9"/>
    </row>
    <row r="12" spans="2:8" ht="14" customHeight="1" x14ac:dyDescent="0.3">
      <c r="B12" s="33" t="s">
        <v>185</v>
      </c>
      <c r="C12" s="35">
        <v>328159</v>
      </c>
      <c r="D12" s="35">
        <f t="shared" ref="D12:H13" si="0">D9*D5/365</f>
        <v>328651.19210958906</v>
      </c>
      <c r="E12" s="35">
        <f t="shared" si="0"/>
        <v>340153.98383342463</v>
      </c>
      <c r="F12" s="35">
        <f t="shared" si="0"/>
        <v>350358.60334842734</v>
      </c>
      <c r="G12" s="35">
        <f t="shared" si="0"/>
        <v>360869.36144888017</v>
      </c>
      <c r="H12" s="35">
        <f t="shared" si="0"/>
        <v>369891.09548510215</v>
      </c>
    </row>
    <row r="13" spans="2:8" ht="14" customHeight="1" x14ac:dyDescent="0.3">
      <c r="B13" s="33" t="s">
        <v>186</v>
      </c>
      <c r="C13" s="35">
        <v>520472</v>
      </c>
      <c r="D13" s="35">
        <f t="shared" si="0"/>
        <v>559865.1307870684</v>
      </c>
      <c r="E13" s="35">
        <f t="shared" si="0"/>
        <v>579460.41036461585</v>
      </c>
      <c r="F13" s="35">
        <f t="shared" si="0"/>
        <v>596844.22267555422</v>
      </c>
      <c r="G13" s="35">
        <f t="shared" si="0"/>
        <v>614749.54935582087</v>
      </c>
      <c r="H13" s="35">
        <f t="shared" si="0"/>
        <v>630118.28808971646</v>
      </c>
    </row>
    <row r="14" spans="2:8" ht="14" customHeight="1" x14ac:dyDescent="0.3">
      <c r="B14" s="33" t="s">
        <v>187</v>
      </c>
      <c r="C14" s="35">
        <f t="shared" ref="C14:H14" si="1">C12+C13</f>
        <v>848631</v>
      </c>
      <c r="D14" s="35">
        <f t="shared" si="1"/>
        <v>888516.32289665751</v>
      </c>
      <c r="E14" s="35">
        <f t="shared" si="1"/>
        <v>919614.39419804048</v>
      </c>
      <c r="F14" s="35">
        <f t="shared" si="1"/>
        <v>947202.82602398156</v>
      </c>
      <c r="G14" s="35">
        <f t="shared" si="1"/>
        <v>975618.91080470104</v>
      </c>
      <c r="H14" s="35">
        <f t="shared" si="1"/>
        <v>1000009.3835748186</v>
      </c>
    </row>
    <row r="15" spans="2:8" ht="14" customHeight="1" x14ac:dyDescent="0.3">
      <c r="B15" s="33" t="s">
        <v>188</v>
      </c>
      <c r="C15" s="35">
        <v>79798</v>
      </c>
      <c r="D15" s="35">
        <f>D10*D7/365</f>
        <v>75250.689621917802</v>
      </c>
      <c r="E15" s="35">
        <f>E10*E7/365</f>
        <v>77884.463758684913</v>
      </c>
      <c r="F15" s="35">
        <f>F10*F7/365</f>
        <v>80220.997671445453</v>
      </c>
      <c r="G15" s="35">
        <f>G10*G7/365</f>
        <v>82627.627601588829</v>
      </c>
      <c r="H15" s="35">
        <f>H10*H7/365</f>
        <v>84693.318291628559</v>
      </c>
    </row>
    <row r="16" spans="2:8" ht="14" customHeight="1" x14ac:dyDescent="0.3">
      <c r="B16" s="33" t="s">
        <v>189</v>
      </c>
      <c r="C16" s="35">
        <f t="shared" ref="C16:H16" si="2">C15</f>
        <v>79798</v>
      </c>
      <c r="D16" s="35">
        <f t="shared" si="2"/>
        <v>75250.689621917802</v>
      </c>
      <c r="E16" s="35">
        <f t="shared" si="2"/>
        <v>77884.463758684913</v>
      </c>
      <c r="F16" s="35">
        <f t="shared" si="2"/>
        <v>80220.997671445453</v>
      </c>
      <c r="G16" s="35">
        <f t="shared" si="2"/>
        <v>82627.627601588829</v>
      </c>
      <c r="H16" s="35">
        <f t="shared" si="2"/>
        <v>84693.318291628559</v>
      </c>
    </row>
    <row r="17" spans="2:8" ht="14" customHeight="1" x14ac:dyDescent="0.3">
      <c r="B17" s="22" t="s">
        <v>190</v>
      </c>
      <c r="C17" s="23"/>
      <c r="D17" s="23"/>
      <c r="E17" s="23"/>
      <c r="F17" s="23"/>
      <c r="G17" s="23"/>
      <c r="H17" s="23"/>
    </row>
    <row r="18" spans="2:8" ht="14" customHeight="1" x14ac:dyDescent="0.3">
      <c r="B18" s="33" t="s">
        <v>191</v>
      </c>
      <c r="C18" s="20">
        <f t="shared" ref="C18:H18" si="3">C14-C16</f>
        <v>768833</v>
      </c>
      <c r="D18" s="20">
        <f t="shared" si="3"/>
        <v>813265.63327473972</v>
      </c>
      <c r="E18" s="20">
        <f t="shared" si="3"/>
        <v>841729.93043935555</v>
      </c>
      <c r="F18" s="20">
        <f t="shared" si="3"/>
        <v>866981.82835253607</v>
      </c>
      <c r="G18" s="20">
        <f t="shared" si="3"/>
        <v>892991.28320311219</v>
      </c>
      <c r="H18" s="20">
        <f t="shared" si="3"/>
        <v>915316.06528318999</v>
      </c>
    </row>
    <row r="19" spans="2:8" ht="14" customHeight="1" x14ac:dyDescent="0.3">
      <c r="B19" s="33" t="s">
        <v>100</v>
      </c>
      <c r="C19" s="36" t="s">
        <v>47</v>
      </c>
      <c r="D19" s="24">
        <f>D18-C18</f>
        <v>44432.633274739725</v>
      </c>
      <c r="E19" s="24">
        <f>E18-D18</f>
        <v>28464.297164615826</v>
      </c>
      <c r="F19" s="24">
        <f>F18-E18</f>
        <v>25251.897913180524</v>
      </c>
      <c r="G19" s="24">
        <f>G18-F18</f>
        <v>26009.454850576119</v>
      </c>
      <c r="H19" s="24">
        <f>H18-G18</f>
        <v>22324.782080077799</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63</v>
      </c>
      <c r="E25" s="30">
        <v>63</v>
      </c>
      <c r="F25" s="30">
        <v>63</v>
      </c>
      <c r="G25" s="30">
        <v>63</v>
      </c>
      <c r="H25" s="30">
        <v>63</v>
      </c>
    </row>
    <row r="26" spans="2:8" ht="14" customHeight="1" x14ac:dyDescent="0.3">
      <c r="B26" s="4" t="s">
        <v>121</v>
      </c>
      <c r="D26" s="30">
        <v>61</v>
      </c>
      <c r="E26" s="30">
        <v>61</v>
      </c>
      <c r="F26" s="30">
        <v>61</v>
      </c>
      <c r="G26" s="30">
        <v>61</v>
      </c>
      <c r="H26" s="30">
        <v>61</v>
      </c>
    </row>
    <row r="27" spans="2:8" ht="14" customHeight="1" x14ac:dyDescent="0.3">
      <c r="B27" s="4" t="s">
        <v>122</v>
      </c>
      <c r="D27" s="30">
        <v>63</v>
      </c>
      <c r="E27" s="30">
        <v>63</v>
      </c>
      <c r="F27" s="30">
        <v>63</v>
      </c>
      <c r="G27" s="30">
        <v>63</v>
      </c>
      <c r="H27" s="30">
        <v>63</v>
      </c>
    </row>
    <row r="28" spans="2:8" ht="14" customHeight="1" x14ac:dyDescent="0.3">
      <c r="B28" s="4" t="s">
        <v>123</v>
      </c>
      <c r="D28" s="30">
        <v>66</v>
      </c>
      <c r="E28" s="30">
        <v>66</v>
      </c>
      <c r="F28" s="30">
        <v>66</v>
      </c>
      <c r="G28" s="30">
        <v>66</v>
      </c>
      <c r="H28" s="30">
        <v>66</v>
      </c>
    </row>
    <row r="29" spans="2:8" ht="14" customHeight="1" x14ac:dyDescent="0.3">
      <c r="B29" s="4" t="s">
        <v>124</v>
      </c>
      <c r="D29" s="30">
        <v>70</v>
      </c>
      <c r="E29" s="30">
        <v>70</v>
      </c>
      <c r="F29" s="30">
        <v>70</v>
      </c>
      <c r="G29" s="30">
        <v>70</v>
      </c>
      <c r="H29" s="30">
        <v>70</v>
      </c>
    </row>
    <row r="31" spans="2:8" ht="14" customHeight="1" x14ac:dyDescent="0.3">
      <c r="B31" s="3" t="s">
        <v>194</v>
      </c>
    </row>
    <row r="32" spans="2:8" ht="14" customHeight="1" x14ac:dyDescent="0.3">
      <c r="B32" s="4" t="s">
        <v>84</v>
      </c>
      <c r="D32" s="30">
        <v>186</v>
      </c>
      <c r="E32" s="30">
        <v>186</v>
      </c>
      <c r="F32" s="30">
        <v>186</v>
      </c>
      <c r="G32" s="30">
        <v>186</v>
      </c>
      <c r="H32" s="30">
        <v>186</v>
      </c>
    </row>
    <row r="33" spans="2:8" ht="14" customHeight="1" x14ac:dyDescent="0.3">
      <c r="B33" s="4" t="s">
        <v>121</v>
      </c>
      <c r="D33" s="30">
        <v>178</v>
      </c>
      <c r="E33" s="30">
        <v>178</v>
      </c>
      <c r="F33" s="30">
        <v>178</v>
      </c>
      <c r="G33" s="30">
        <v>178</v>
      </c>
      <c r="H33" s="30">
        <v>178</v>
      </c>
    </row>
    <row r="34" spans="2:8" ht="14" customHeight="1" x14ac:dyDescent="0.3">
      <c r="B34" s="4" t="s">
        <v>122</v>
      </c>
      <c r="D34" s="30">
        <v>186</v>
      </c>
      <c r="E34" s="30">
        <v>186</v>
      </c>
      <c r="F34" s="30">
        <v>186</v>
      </c>
      <c r="G34" s="30">
        <v>186</v>
      </c>
      <c r="H34" s="30">
        <v>186</v>
      </c>
    </row>
    <row r="35" spans="2:8" ht="14" customHeight="1" x14ac:dyDescent="0.3">
      <c r="B35" s="4" t="s">
        <v>123</v>
      </c>
      <c r="D35" s="30">
        <v>194</v>
      </c>
      <c r="E35" s="30">
        <v>194</v>
      </c>
      <c r="F35" s="30">
        <v>194</v>
      </c>
      <c r="G35" s="30">
        <v>194</v>
      </c>
      <c r="H35" s="30">
        <v>194</v>
      </c>
    </row>
    <row r="36" spans="2:8" ht="14" customHeight="1" x14ac:dyDescent="0.3">
      <c r="B36" s="4" t="s">
        <v>124</v>
      </c>
      <c r="D36" s="30">
        <v>205</v>
      </c>
      <c r="E36" s="30">
        <v>205</v>
      </c>
      <c r="F36" s="30">
        <v>205</v>
      </c>
      <c r="G36" s="30">
        <v>205</v>
      </c>
      <c r="H36" s="30">
        <v>205</v>
      </c>
    </row>
    <row r="38" spans="2:8" ht="14" customHeight="1" x14ac:dyDescent="0.3">
      <c r="B38" s="3" t="s">
        <v>195</v>
      </c>
    </row>
    <row r="39" spans="2:8" ht="14" customHeight="1" x14ac:dyDescent="0.3">
      <c r="B39" s="4" t="s">
        <v>84</v>
      </c>
      <c r="D39" s="30">
        <v>25</v>
      </c>
      <c r="E39" s="30">
        <v>25</v>
      </c>
      <c r="F39" s="30">
        <v>25</v>
      </c>
      <c r="G39" s="30">
        <v>25</v>
      </c>
      <c r="H39" s="30">
        <v>25</v>
      </c>
    </row>
    <row r="40" spans="2:8" ht="14" customHeight="1" x14ac:dyDescent="0.3">
      <c r="B40" s="4" t="s">
        <v>121</v>
      </c>
      <c r="D40" s="30">
        <v>27</v>
      </c>
      <c r="E40" s="30">
        <v>27</v>
      </c>
      <c r="F40" s="30">
        <v>27</v>
      </c>
      <c r="G40" s="30">
        <v>27</v>
      </c>
      <c r="H40" s="30">
        <v>27</v>
      </c>
    </row>
    <row r="41" spans="2:8" ht="14" customHeight="1" x14ac:dyDescent="0.3">
      <c r="B41" s="4" t="s">
        <v>122</v>
      </c>
      <c r="D41" s="30">
        <v>25</v>
      </c>
      <c r="E41" s="30">
        <v>25</v>
      </c>
      <c r="F41" s="30">
        <v>25</v>
      </c>
      <c r="G41" s="30">
        <v>25</v>
      </c>
      <c r="H41" s="30">
        <v>25</v>
      </c>
    </row>
    <row r="42" spans="2:8" ht="14" customHeight="1" x14ac:dyDescent="0.3">
      <c r="B42" s="4" t="s">
        <v>123</v>
      </c>
      <c r="D42" s="30">
        <v>24</v>
      </c>
      <c r="E42" s="30">
        <v>24</v>
      </c>
      <c r="F42" s="30">
        <v>24</v>
      </c>
      <c r="G42" s="30">
        <v>24</v>
      </c>
      <c r="H42" s="30">
        <v>24</v>
      </c>
    </row>
    <row r="43" spans="2:8" ht="14" customHeight="1" x14ac:dyDescent="0.3">
      <c r="B43" s="4" t="s">
        <v>124</v>
      </c>
      <c r="D43" s="30">
        <v>22</v>
      </c>
      <c r="E43" s="30">
        <v>22</v>
      </c>
      <c r="F43" s="30">
        <v>22</v>
      </c>
      <c r="G43" s="30">
        <v>22</v>
      </c>
      <c r="H43" s="30">
        <v>22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13089866.267052</v>
      </c>
      <c r="E5" s="37">
        <f>D5+C24</f>
        <v>12491933.267052</v>
      </c>
      <c r="F5" s="37">
        <v>1830856</v>
      </c>
      <c r="G5" s="37">
        <v>460047</v>
      </c>
      <c r="H5" s="37">
        <v>281835</v>
      </c>
      <c r="I5" s="37">
        <v>233920</v>
      </c>
      <c r="J5" s="38">
        <f t="shared" ref="J5:J10" si="0">IFERROR(E5/G5,"")</f>
        <v>27.153602277706408</v>
      </c>
      <c r="K5" s="38">
        <f t="shared" ref="K5:K10" si="1">IFERROR(E5/F5,"")</f>
        <v>6.8230015178976391</v>
      </c>
      <c r="L5" s="38">
        <f t="shared" ref="L5:L10" si="2">IFERROR(D5/I5,"")</f>
        <v>55.958730621802324</v>
      </c>
      <c r="M5" s="38">
        <f t="shared" ref="M5:M10" si="3">IFERROR(D5/P5,"")</f>
        <v>4.814675850954651</v>
      </c>
      <c r="N5" s="39">
        <f t="shared" ref="N5:N10" si="4">IFERROR(H5/F5,"")</f>
        <v>0.15393619159562522</v>
      </c>
      <c r="O5" s="39">
        <f t="shared" ref="O5:O10" si="5">IFERROR(I5/P5,"")</f>
        <v>8.6039761757547517E-2</v>
      </c>
      <c r="P5" s="37">
        <v>2718743</v>
      </c>
    </row>
    <row r="6" spans="2:17" ht="14" customHeight="1" x14ac:dyDescent="0.3">
      <c r="B6" s="4" t="s">
        <v>214</v>
      </c>
      <c r="C6" t="s">
        <v>215</v>
      </c>
      <c r="D6" s="37">
        <v>5518883</v>
      </c>
      <c r="E6" s="37">
        <v>5292078</v>
      </c>
      <c r="F6" s="37">
        <v>2504820</v>
      </c>
      <c r="G6" s="37">
        <v>476606</v>
      </c>
      <c r="H6" s="37">
        <v>272414</v>
      </c>
      <c r="I6" s="37">
        <v>195663</v>
      </c>
      <c r="J6" s="38">
        <f t="shared" si="0"/>
        <v>11.103674733427612</v>
      </c>
      <c r="K6" s="38">
        <f t="shared" si="1"/>
        <v>2.1127578029559011</v>
      </c>
      <c r="L6" s="38">
        <f t="shared" si="2"/>
        <v>28.20606348670929</v>
      </c>
      <c r="M6" s="38">
        <f t="shared" si="3"/>
        <v>2.5232247669888088</v>
      </c>
      <c r="N6" s="39">
        <f t="shared" si="4"/>
        <v>0.10875591858896048</v>
      </c>
      <c r="O6" s="39">
        <f t="shared" si="5"/>
        <v>8.9456820806552928E-2</v>
      </c>
      <c r="P6" s="37">
        <v>2187234</v>
      </c>
    </row>
    <row r="7" spans="2:17" ht="14" customHeight="1" x14ac:dyDescent="0.3">
      <c r="B7" s="4" t="s">
        <v>216</v>
      </c>
      <c r="C7" t="s">
        <v>217</v>
      </c>
      <c r="D7" s="37">
        <v>4475178</v>
      </c>
      <c r="E7" s="37">
        <v>4352015</v>
      </c>
      <c r="F7" s="37">
        <v>2070203</v>
      </c>
      <c r="G7" s="37">
        <v>253210</v>
      </c>
      <c r="H7" s="37">
        <v>95021</v>
      </c>
      <c r="I7" s="37">
        <v>140969</v>
      </c>
      <c r="J7" s="38">
        <f t="shared" si="0"/>
        <v>17.187374116346117</v>
      </c>
      <c r="K7" s="38">
        <f t="shared" si="1"/>
        <v>2.1022165459136133</v>
      </c>
      <c r="L7" s="38">
        <f t="shared" si="2"/>
        <v>31.745830643616681</v>
      </c>
      <c r="M7" s="38">
        <f t="shared" si="3"/>
        <v>1.3401019515001209</v>
      </c>
      <c r="N7" s="39">
        <f t="shared" si="4"/>
        <v>4.5899363492372489E-2</v>
      </c>
      <c r="O7" s="39">
        <f t="shared" si="5"/>
        <v>4.2213478883079185E-2</v>
      </c>
      <c r="P7" s="37">
        <v>3339431</v>
      </c>
    </row>
    <row r="8" spans="2:17" ht="14" customHeight="1" x14ac:dyDescent="0.3">
      <c r="B8" s="4" t="s">
        <v>218</v>
      </c>
      <c r="C8" t="s">
        <v>219</v>
      </c>
      <c r="D8" s="37">
        <v>1179635</v>
      </c>
      <c r="E8" s="37">
        <v>1250775</v>
      </c>
      <c r="F8" s="37">
        <v>355341</v>
      </c>
      <c r="G8" s="37">
        <v>69144</v>
      </c>
      <c r="H8" s="37">
        <v>19996</v>
      </c>
      <c r="I8" s="37">
        <v>14806</v>
      </c>
      <c r="J8" s="38">
        <f t="shared" si="0"/>
        <v>18.089422075668171</v>
      </c>
      <c r="K8" s="38">
        <f t="shared" si="1"/>
        <v>3.5199287445017604</v>
      </c>
      <c r="L8" s="38">
        <f t="shared" si="2"/>
        <v>79.672767796839125</v>
      </c>
      <c r="M8" s="38">
        <f t="shared" si="3"/>
        <v>3.4250693936332066</v>
      </c>
      <c r="N8" s="39">
        <f t="shared" si="4"/>
        <v>5.6272707061667523E-2</v>
      </c>
      <c r="O8" s="39">
        <f t="shared" si="5"/>
        <v>4.2989210596611038E-2</v>
      </c>
      <c r="P8" s="37">
        <v>344412</v>
      </c>
    </row>
    <row r="9" spans="2:17" ht="14" customHeight="1" x14ac:dyDescent="0.3">
      <c r="B9" s="4" t="s">
        <v>220</v>
      </c>
      <c r="C9" t="s">
        <v>221</v>
      </c>
      <c r="D9" s="37">
        <v>5755433</v>
      </c>
      <c r="E9" s="37">
        <v>5652289</v>
      </c>
      <c r="F9" s="37">
        <v>416201</v>
      </c>
      <c r="G9" s="37">
        <v>128264</v>
      </c>
      <c r="H9" s="37">
        <v>62028</v>
      </c>
      <c r="I9" s="37">
        <v>63713</v>
      </c>
      <c r="J9" s="38">
        <f t="shared" si="0"/>
        <v>44.067618349653841</v>
      </c>
      <c r="K9" s="38">
        <f t="shared" si="1"/>
        <v>13.580671358310047</v>
      </c>
      <c r="L9" s="38">
        <f t="shared" si="2"/>
        <v>90.333730949727681</v>
      </c>
      <c r="M9" s="38">
        <f t="shared" si="3"/>
        <v>10.463072948764795</v>
      </c>
      <c r="N9" s="39">
        <f t="shared" si="4"/>
        <v>0.14903376013032166</v>
      </c>
      <c r="O9" s="39">
        <f t="shared" si="5"/>
        <v>0.11582686598639085</v>
      </c>
      <c r="P9" s="37">
        <v>550071</v>
      </c>
    </row>
    <row r="10" spans="2:17" ht="14" customHeight="1" x14ac:dyDescent="0.3">
      <c r="B10" s="4" t="s">
        <v>222</v>
      </c>
      <c r="C10" t="s">
        <v>223</v>
      </c>
      <c r="D10" s="37">
        <v>810546</v>
      </c>
      <c r="E10" s="37">
        <v>729436</v>
      </c>
      <c r="F10" s="37">
        <v>211264</v>
      </c>
      <c r="G10" s="37">
        <v>62460</v>
      </c>
      <c r="H10" s="37">
        <v>42995</v>
      </c>
      <c r="I10" s="37">
        <v>33142</v>
      </c>
      <c r="J10" s="38">
        <f t="shared" si="0"/>
        <v>11.678450208133205</v>
      </c>
      <c r="K10" s="38">
        <f t="shared" si="1"/>
        <v>3.4527226598000604</v>
      </c>
      <c r="L10" s="38">
        <f t="shared" si="2"/>
        <v>24.456761812805503</v>
      </c>
      <c r="M10" s="38">
        <f t="shared" si="3"/>
        <v>2.1438762150366992</v>
      </c>
      <c r="N10" s="39">
        <f t="shared" si="4"/>
        <v>0.2035131399575886</v>
      </c>
      <c r="O10" s="39">
        <f t="shared" si="5"/>
        <v>8.7659855848707266E-2</v>
      </c>
      <c r="P10" s="37">
        <v>378075</v>
      </c>
    </row>
    <row r="14" spans="2:17" ht="14" customHeight="1" x14ac:dyDescent="0.3">
      <c r="B14" s="3" t="s">
        <v>224</v>
      </c>
    </row>
    <row r="15" spans="2:17" ht="14" customHeight="1" x14ac:dyDescent="0.3">
      <c r="B15" s="4" t="s">
        <v>225</v>
      </c>
      <c r="D15" s="38">
        <f t="shared" ref="D15:I15" si="6">PERCENTILE(J6:J10,0.25)</f>
        <v>11.678450208133205</v>
      </c>
      <c r="E15" s="38">
        <f t="shared" si="6"/>
        <v>2.1127578029559011</v>
      </c>
      <c r="F15" s="38">
        <f t="shared" si="6"/>
        <v>28.20606348670929</v>
      </c>
      <c r="G15" s="38">
        <f t="shared" si="6"/>
        <v>2.1438762150366992</v>
      </c>
      <c r="H15" s="39">
        <f t="shared" si="6"/>
        <v>5.6272707061667523E-2</v>
      </c>
      <c r="I15" s="39">
        <f t="shared" si="6"/>
        <v>4.2989210596611038E-2</v>
      </c>
    </row>
    <row r="16" spans="2:17" ht="14" customHeight="1" x14ac:dyDescent="0.3">
      <c r="B16" s="4" t="s">
        <v>226</v>
      </c>
      <c r="D16" s="38">
        <f t="shared" ref="D16:I16" si="7">MEDIAN(J6:J10)</f>
        <v>17.187374116346117</v>
      </c>
      <c r="E16" s="38">
        <f t="shared" si="7"/>
        <v>3.4527226598000604</v>
      </c>
      <c r="F16" s="38">
        <f t="shared" si="7"/>
        <v>31.745830643616681</v>
      </c>
      <c r="G16" s="38">
        <f t="shared" si="7"/>
        <v>2.5232247669888088</v>
      </c>
      <c r="H16" s="39">
        <f t="shared" si="7"/>
        <v>0.10875591858896048</v>
      </c>
      <c r="I16" s="39">
        <f t="shared" si="7"/>
        <v>8.7659855848707266E-2</v>
      </c>
    </row>
    <row r="17" spans="2:9" ht="14" customHeight="1" x14ac:dyDescent="0.3">
      <c r="B17" s="4" t="s">
        <v>227</v>
      </c>
      <c r="D17" s="38">
        <f t="shared" ref="D17:I17" si="8">PERCENTILE(J6:J10,0.75)</f>
        <v>18.089422075668171</v>
      </c>
      <c r="E17" s="38">
        <f t="shared" si="8"/>
        <v>3.5199287445017604</v>
      </c>
      <c r="F17" s="38">
        <f t="shared" si="8"/>
        <v>79.672767796839125</v>
      </c>
      <c r="G17" s="38">
        <f t="shared" si="8"/>
        <v>3.4250693936332066</v>
      </c>
      <c r="H17" s="39">
        <f t="shared" si="8"/>
        <v>0.14903376013032166</v>
      </c>
      <c r="I17" s="39">
        <f t="shared" si="8"/>
        <v>8.9456820806552928E-2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460047</v>
      </c>
    </row>
    <row r="22" spans="2:9" ht="14" customHeight="1" x14ac:dyDescent="0.3">
      <c r="B22" s="4" t="s">
        <v>231</v>
      </c>
      <c r="C22" s="5">
        <v>233920</v>
      </c>
    </row>
    <row r="23" spans="2:9" ht="14" customHeight="1" x14ac:dyDescent="0.3">
      <c r="B23" s="4" t="s">
        <v>232</v>
      </c>
      <c r="C23" s="15">
        <v>1820312372</v>
      </c>
    </row>
    <row r="24" spans="2:9" ht="14" customHeight="1" x14ac:dyDescent="0.3">
      <c r="B24" s="4" t="s">
        <v>73</v>
      </c>
      <c r="C24" s="5">
        <v>-597933</v>
      </c>
    </row>
    <row r="26" spans="2:9" ht="14" customHeight="1" x14ac:dyDescent="0.3">
      <c r="B26" s="3" t="s">
        <v>233</v>
      </c>
    </row>
    <row r="27" spans="2:9" ht="14" customHeight="1" x14ac:dyDescent="0.3">
      <c r="B27" s="4" t="s">
        <v>234</v>
      </c>
      <c r="C27" s="24">
        <f>ROUND((C21*D16-C24)*1000000/C23,0)</f>
        <v>4672</v>
      </c>
    </row>
    <row r="28" spans="2:9" ht="14" customHeight="1" x14ac:dyDescent="0.3">
      <c r="B28" s="4" t="s">
        <v>235</v>
      </c>
      <c r="C28" s="24">
        <f>ROUND(C22*F16*1000000/C23,0)</f>
        <v>4080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0.146846</v>
      </c>
      <c r="E3" s="4" t="s">
        <v>238</v>
      </c>
      <c r="F3" s="16">
        <f>'DCF Model'!C13</f>
        <v>0.01</v>
      </c>
      <c r="H3" s="4" t="s">
        <v>239</v>
      </c>
      <c r="I3" s="14">
        <f>'DCF Model'!C14</f>
        <v>17.2</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0.13184600000000002</v>
      </c>
      <c r="C7" s="37">
        <f>IFERROR(ROUND(('DCF Model'!C45/(1+$B7)^('DCF Model'!C19+0)+'DCF Model'!D45/(1+$B7)^('DCF Model'!C19+1)+'DCF Model'!E45/(1+$B7)^('DCF Model'!C19+2)+'DCF Model'!F45/(1+$B7)^('DCF Model'!C19+3)+'DCF Model'!G45/(1+$B7)^('DCF Model'!C19+4)+'DCF Model'!G45*(1+C$6)/($B7-C$6)/(1+$B7)^('DCF Model'!C19+4)-'DCF Model'!C16)*1000000/'DCF Model'!C15,0),"")</f>
        <v>1154</v>
      </c>
      <c r="D7" s="37">
        <f>IFERROR(ROUND(('DCF Model'!C45/(1+$B7)^('DCF Model'!C19+0)+'DCF Model'!D45/(1+$B7)^('DCF Model'!C19+1)+'DCF Model'!E45/(1+$B7)^('DCF Model'!C19+2)+'DCF Model'!F45/(1+$B7)^('DCF Model'!C19+3)+'DCF Model'!G45/(1+$B7)^('DCF Model'!C19+4)+'DCF Model'!G45*(1+D$6)/($B7-D$6)/(1+$B7)^('DCF Model'!C19+4)-'DCF Model'!C16)*1000000/'DCF Model'!C15,0),"")</f>
        <v>1165</v>
      </c>
      <c r="E7" s="37">
        <f>IFERROR(ROUND(('DCF Model'!C45/(1+$B7)^('DCF Model'!C19+0)+'DCF Model'!D45/(1+$B7)^('DCF Model'!C19+1)+'DCF Model'!E45/(1+$B7)^('DCF Model'!C19+2)+'DCF Model'!F45/(1+$B7)^('DCF Model'!C19+3)+'DCF Model'!G45/(1+$B7)^('DCF Model'!C19+4)+'DCF Model'!G45*(1+E$6)/($B7-E$6)/(1+$B7)^('DCF Model'!C19+4)-'DCF Model'!C16)*1000000/'DCF Model'!C15,0),"")</f>
        <v>1177</v>
      </c>
      <c r="F7" s="37">
        <f>IFERROR(ROUND(('DCF Model'!C45/(1+$B7)^('DCF Model'!C19+0)+'DCF Model'!D45/(1+$B7)^('DCF Model'!C19+1)+'DCF Model'!E45/(1+$B7)^('DCF Model'!C19+2)+'DCF Model'!F45/(1+$B7)^('DCF Model'!C19+3)+'DCF Model'!G45/(1+$B7)^('DCF Model'!C19+4)+'DCF Model'!G45*(1+F$6)/($B7-F$6)/(1+$B7)^('DCF Model'!C19+4)-'DCF Model'!C16)*1000000/'DCF Model'!C15,0),"")</f>
        <v>1189</v>
      </c>
      <c r="G7" s="37">
        <f>IFERROR(ROUND(('DCF Model'!C45/(1+$B7)^('DCF Model'!C19+0)+'DCF Model'!D45/(1+$B7)^('DCF Model'!C19+1)+'DCF Model'!E45/(1+$B7)^('DCF Model'!C19+2)+'DCF Model'!F45/(1+$B7)^('DCF Model'!C19+3)+'DCF Model'!G45/(1+$B7)^('DCF Model'!C19+4)+'DCF Model'!G45*(1+G$6)/($B7-G$6)/(1+$B7)^('DCF Model'!C19+4)-'DCF Model'!C16)*1000000/'DCF Model'!C15,0),"")</f>
        <v>1202</v>
      </c>
      <c r="H7" s="37">
        <f>IFERROR(ROUND(('DCF Model'!C45/(1+$B7)^('DCF Model'!C19+0)+'DCF Model'!D45/(1+$B7)^('DCF Model'!C19+1)+'DCF Model'!E45/(1+$B7)^('DCF Model'!C19+2)+'DCF Model'!F45/(1+$B7)^('DCF Model'!C19+3)+'DCF Model'!G45/(1+$B7)^('DCF Model'!C19+4)+'DCF Model'!G45*(1+H$6)/($B7-H$6)/(1+$B7)^('DCF Model'!C19+4)-'DCF Model'!C16)*1000000/'DCF Model'!C15,0),"")</f>
        <v>1215</v>
      </c>
      <c r="I7" s="37">
        <f>IFERROR(ROUND(('DCF Model'!C45/(1+$B7)^('DCF Model'!C19+0)+'DCF Model'!D45/(1+$B7)^('DCF Model'!C19+1)+'DCF Model'!E45/(1+$B7)^('DCF Model'!C19+2)+'DCF Model'!F45/(1+$B7)^('DCF Model'!C19+3)+'DCF Model'!G45/(1+$B7)^('DCF Model'!C19+4)+'DCF Model'!G45*(1+I$6)/($B7-I$6)/(1+$B7)^('DCF Model'!C19+4)-'DCF Model'!C16)*1000000/'DCF Model'!C15,0),"")</f>
        <v>1229</v>
      </c>
    </row>
    <row r="8" spans="2:9" ht="13.5" customHeight="1" x14ac:dyDescent="0.25">
      <c r="B8" s="39">
        <f>$C$3-0.01</f>
        <v>0.136846</v>
      </c>
      <c r="C8" s="37">
        <f>IFERROR(ROUND(('DCF Model'!C45/(1+$B8)^('DCF Model'!C19+0)+'DCF Model'!D45/(1+$B8)^('DCF Model'!C19+1)+'DCF Model'!E45/(1+$B8)^('DCF Model'!C19+2)+'DCF Model'!F45/(1+$B8)^('DCF Model'!C19+3)+'DCF Model'!G45/(1+$B8)^('DCF Model'!C19+4)+'DCF Model'!G45*(1+C$6)/($B8-C$6)/(1+$B8)^('DCF Model'!C19+4)-'DCF Model'!C16)*1000000/'DCF Model'!C15,0),"")</f>
        <v>1120</v>
      </c>
      <c r="D8" s="37">
        <f>IFERROR(ROUND(('DCF Model'!C45/(1+$B8)^('DCF Model'!C19+0)+'DCF Model'!D45/(1+$B8)^('DCF Model'!C19+1)+'DCF Model'!E45/(1+$B8)^('DCF Model'!C19+2)+'DCF Model'!F45/(1+$B8)^('DCF Model'!C19+3)+'DCF Model'!G45/(1+$B8)^('DCF Model'!C19+4)+'DCF Model'!G45*(1+D$6)/($B8-D$6)/(1+$B8)^('DCF Model'!C19+4)-'DCF Model'!C16)*1000000/'DCF Model'!C15,0),"")</f>
        <v>1131</v>
      </c>
      <c r="E8" s="37">
        <f>IFERROR(ROUND(('DCF Model'!C45/(1+$B8)^('DCF Model'!C19+0)+'DCF Model'!D45/(1+$B8)^('DCF Model'!C19+1)+'DCF Model'!E45/(1+$B8)^('DCF Model'!C19+2)+'DCF Model'!F45/(1+$B8)^('DCF Model'!C19+3)+'DCF Model'!G45/(1+$B8)^('DCF Model'!C19+4)+'DCF Model'!G45*(1+E$6)/($B8-E$6)/(1+$B8)^('DCF Model'!C19+4)-'DCF Model'!C16)*1000000/'DCF Model'!C15,0),"")</f>
        <v>1141</v>
      </c>
      <c r="F8" s="37">
        <f>IFERROR(ROUND(('DCF Model'!C45/(1+$B8)^('DCF Model'!C19+0)+'DCF Model'!D45/(1+$B8)^('DCF Model'!C19+1)+'DCF Model'!E45/(1+$B8)^('DCF Model'!C19+2)+'DCF Model'!F45/(1+$B8)^('DCF Model'!C19+3)+'DCF Model'!G45/(1+$B8)^('DCF Model'!C19+4)+'DCF Model'!G45*(1+F$6)/($B8-F$6)/(1+$B8)^('DCF Model'!C19+4)-'DCF Model'!C16)*1000000/'DCF Model'!C15,0),"")</f>
        <v>1152</v>
      </c>
      <c r="G8" s="37">
        <f>IFERROR(ROUND(('DCF Model'!C45/(1+$B8)^('DCF Model'!C19+0)+'DCF Model'!D45/(1+$B8)^('DCF Model'!C19+1)+'DCF Model'!E45/(1+$B8)^('DCF Model'!C19+2)+'DCF Model'!F45/(1+$B8)^('DCF Model'!C19+3)+'DCF Model'!G45/(1+$B8)^('DCF Model'!C19+4)+'DCF Model'!G45*(1+G$6)/($B8-G$6)/(1+$B8)^('DCF Model'!C19+4)-'DCF Model'!C16)*1000000/'DCF Model'!C15,0),"")</f>
        <v>1164</v>
      </c>
      <c r="H8" s="37">
        <f>IFERROR(ROUND(('DCF Model'!C45/(1+$B8)^('DCF Model'!C19+0)+'DCF Model'!D45/(1+$B8)^('DCF Model'!C19+1)+'DCF Model'!E45/(1+$B8)^('DCF Model'!C19+2)+'DCF Model'!F45/(1+$B8)^('DCF Model'!C19+3)+'DCF Model'!G45/(1+$B8)^('DCF Model'!C19+4)+'DCF Model'!G45*(1+H$6)/($B8-H$6)/(1+$B8)^('DCF Model'!C19+4)-'DCF Model'!C16)*1000000/'DCF Model'!C15,0),"")</f>
        <v>1176</v>
      </c>
      <c r="I8" s="37">
        <f>IFERROR(ROUND(('DCF Model'!C45/(1+$B8)^('DCF Model'!C19+0)+'DCF Model'!D45/(1+$B8)^('DCF Model'!C19+1)+'DCF Model'!E45/(1+$B8)^('DCF Model'!C19+2)+'DCF Model'!F45/(1+$B8)^('DCF Model'!C19+3)+'DCF Model'!G45/(1+$B8)^('DCF Model'!C19+4)+'DCF Model'!G45*(1+I$6)/($B8-I$6)/(1+$B8)^('DCF Model'!C19+4)-'DCF Model'!C16)*1000000/'DCF Model'!C15,0),"")</f>
        <v>1188</v>
      </c>
    </row>
    <row r="9" spans="2:9" ht="13.5" customHeight="1" x14ac:dyDescent="0.25">
      <c r="B9" s="39">
        <f>$C$3-0.005</f>
        <v>0.141846</v>
      </c>
      <c r="C9" s="37">
        <f>IFERROR(ROUND(('DCF Model'!C45/(1+$B9)^('DCF Model'!C19+0)+'DCF Model'!D45/(1+$B9)^('DCF Model'!C19+1)+'DCF Model'!E45/(1+$B9)^('DCF Model'!C19+2)+'DCF Model'!F45/(1+$B9)^('DCF Model'!C19+3)+'DCF Model'!G45/(1+$B9)^('DCF Model'!C19+4)+'DCF Model'!G45*(1+C$6)/($B9-C$6)/(1+$B9)^('DCF Model'!C19+4)-'DCF Model'!C16)*1000000/'DCF Model'!C15,0),"")</f>
        <v>1089</v>
      </c>
      <c r="D9" s="37">
        <f>IFERROR(ROUND(('DCF Model'!C45/(1+$B9)^('DCF Model'!C19+0)+'DCF Model'!D45/(1+$B9)^('DCF Model'!C19+1)+'DCF Model'!E45/(1+$B9)^('DCF Model'!C19+2)+'DCF Model'!F45/(1+$B9)^('DCF Model'!C19+3)+'DCF Model'!G45/(1+$B9)^('DCF Model'!C19+4)+'DCF Model'!G45*(1+D$6)/($B9-D$6)/(1+$B9)^('DCF Model'!C19+4)-'DCF Model'!C16)*1000000/'DCF Model'!C15,0),"")</f>
        <v>1099</v>
      </c>
      <c r="E9" s="37">
        <f>IFERROR(ROUND(('DCF Model'!C45/(1+$B9)^('DCF Model'!C19+0)+'DCF Model'!D45/(1+$B9)^('DCF Model'!C19+1)+'DCF Model'!E45/(1+$B9)^('DCF Model'!C19+2)+'DCF Model'!F45/(1+$B9)^('DCF Model'!C19+3)+'DCF Model'!G45/(1+$B9)^('DCF Model'!C19+4)+'DCF Model'!G45*(1+E$6)/($B9-E$6)/(1+$B9)^('DCF Model'!C19+4)-'DCF Model'!C16)*1000000/'DCF Model'!C15,0),"")</f>
        <v>1108</v>
      </c>
      <c r="F9" s="37">
        <f>IFERROR(ROUND(('DCF Model'!C45/(1+$B9)^('DCF Model'!C19+0)+'DCF Model'!D45/(1+$B9)^('DCF Model'!C19+1)+'DCF Model'!E45/(1+$B9)^('DCF Model'!C19+2)+'DCF Model'!F45/(1+$B9)^('DCF Model'!C19+3)+'DCF Model'!G45/(1+$B9)^('DCF Model'!C19+4)+'DCF Model'!G45*(1+F$6)/($B9-F$6)/(1+$B9)^('DCF Model'!C19+4)-'DCF Model'!C16)*1000000/'DCF Model'!C15,0),"")</f>
        <v>1118</v>
      </c>
      <c r="G9" s="37">
        <f>IFERROR(ROUND(('DCF Model'!C45/(1+$B9)^('DCF Model'!C19+0)+'DCF Model'!D45/(1+$B9)^('DCF Model'!C19+1)+'DCF Model'!E45/(1+$B9)^('DCF Model'!C19+2)+'DCF Model'!F45/(1+$B9)^('DCF Model'!C19+3)+'DCF Model'!G45/(1+$B9)^('DCF Model'!C19+4)+'DCF Model'!G45*(1+G$6)/($B9-G$6)/(1+$B9)^('DCF Model'!C19+4)-'DCF Model'!C16)*1000000/'DCF Model'!C15,0),"")</f>
        <v>1129</v>
      </c>
      <c r="H9" s="37">
        <f>IFERROR(ROUND(('DCF Model'!C45/(1+$B9)^('DCF Model'!C19+0)+'DCF Model'!D45/(1+$B9)^('DCF Model'!C19+1)+'DCF Model'!E45/(1+$B9)^('DCF Model'!C19+2)+'DCF Model'!F45/(1+$B9)^('DCF Model'!C19+3)+'DCF Model'!G45/(1+$B9)^('DCF Model'!C19+4)+'DCF Model'!G45*(1+H$6)/($B9-H$6)/(1+$B9)^('DCF Model'!C19+4)-'DCF Model'!C16)*1000000/'DCF Model'!C15,0),"")</f>
        <v>1140</v>
      </c>
      <c r="I9" s="37">
        <f>IFERROR(ROUND(('DCF Model'!C45/(1+$B9)^('DCF Model'!C19+0)+'DCF Model'!D45/(1+$B9)^('DCF Model'!C19+1)+'DCF Model'!E45/(1+$B9)^('DCF Model'!C19+2)+'DCF Model'!F45/(1+$B9)^('DCF Model'!C19+3)+'DCF Model'!G45/(1+$B9)^('DCF Model'!C19+4)+'DCF Model'!G45*(1+I$6)/($B9-I$6)/(1+$B9)^('DCF Model'!C19+4)-'DCF Model'!C16)*1000000/'DCF Model'!C15,0),"")</f>
        <v>1151</v>
      </c>
    </row>
    <row r="10" spans="2:9" ht="13.5" customHeight="1" x14ac:dyDescent="0.25">
      <c r="B10" s="39">
        <f>$C$3</f>
        <v>0.146846</v>
      </c>
      <c r="C10" s="37">
        <f>IFERROR(ROUND(('DCF Model'!C45/(1+$B10)^('DCF Model'!C19+0)+'DCF Model'!D45/(1+$B10)^('DCF Model'!C19+1)+'DCF Model'!E45/(1+$B10)^('DCF Model'!C19+2)+'DCF Model'!F45/(1+$B10)^('DCF Model'!C19+3)+'DCF Model'!G45/(1+$B10)^('DCF Model'!C19+4)+'DCF Model'!G45*(1+C$6)/($B10-C$6)/(1+$B10)^('DCF Model'!C19+4)-'DCF Model'!C16)*1000000/'DCF Model'!C15,0),"")</f>
        <v>1060</v>
      </c>
      <c r="D10" s="37">
        <f>IFERROR(ROUND(('DCF Model'!C45/(1+$B10)^('DCF Model'!C19+0)+'DCF Model'!D45/(1+$B10)^('DCF Model'!C19+1)+'DCF Model'!E45/(1+$B10)^('DCF Model'!C19+2)+'DCF Model'!F45/(1+$B10)^('DCF Model'!C19+3)+'DCF Model'!G45/(1+$B10)^('DCF Model'!C19+4)+'DCF Model'!G45*(1+D$6)/($B10-D$6)/(1+$B10)^('DCF Model'!C19+4)-'DCF Model'!C16)*1000000/'DCF Model'!C15,0),"")</f>
        <v>1069</v>
      </c>
      <c r="E10" s="37">
        <f>IFERROR(ROUND(('DCF Model'!C45/(1+$B10)^('DCF Model'!C19+0)+'DCF Model'!D45/(1+$B10)^('DCF Model'!C19+1)+'DCF Model'!E45/(1+$B10)^('DCF Model'!C19+2)+'DCF Model'!F45/(1+$B10)^('DCF Model'!C19+3)+'DCF Model'!G45/(1+$B10)^('DCF Model'!C19+4)+'DCF Model'!G45*(1+E$6)/($B10-E$6)/(1+$B10)^('DCF Model'!C19+4)-'DCF Model'!C16)*1000000/'DCF Model'!C15,0),"")</f>
        <v>1078</v>
      </c>
      <c r="F10" s="37">
        <f>IFERROR(ROUND(('DCF Model'!C45/(1+$B10)^('DCF Model'!C19+0)+'DCF Model'!D45/(1+$B10)^('DCF Model'!C19+1)+'DCF Model'!E45/(1+$B10)^('DCF Model'!C19+2)+'DCF Model'!F45/(1+$B10)^('DCF Model'!C19+3)+'DCF Model'!G45/(1+$B10)^('DCF Model'!C19+4)+'DCF Model'!G45*(1+F$6)/($B10-F$6)/(1+$B10)^('DCF Model'!C19+4)-'DCF Model'!C16)*1000000/'DCF Model'!C15,0),"")</f>
        <v>1087</v>
      </c>
      <c r="G10" s="37">
        <f>IFERROR(ROUND(('DCF Model'!C45/(1+$B10)^('DCF Model'!C19+0)+'DCF Model'!D45/(1+$B10)^('DCF Model'!C19+1)+'DCF Model'!E45/(1+$B10)^('DCF Model'!C19+2)+'DCF Model'!F45/(1+$B10)^('DCF Model'!C19+3)+'DCF Model'!G45/(1+$B10)^('DCF Model'!C19+4)+'DCF Model'!G45*(1+G$6)/($B10-G$6)/(1+$B10)^('DCF Model'!C19+4)-'DCF Model'!C16)*1000000/'DCF Model'!C15,0),"")</f>
        <v>1096</v>
      </c>
      <c r="H10" s="37">
        <f>IFERROR(ROUND(('DCF Model'!C45/(1+$B10)^('DCF Model'!C19+0)+'DCF Model'!D45/(1+$B10)^('DCF Model'!C19+1)+'DCF Model'!E45/(1+$B10)^('DCF Model'!C19+2)+'DCF Model'!F45/(1+$B10)^('DCF Model'!C19+3)+'DCF Model'!G45/(1+$B10)^('DCF Model'!C19+4)+'DCF Model'!G45*(1+H$6)/($B10-H$6)/(1+$B10)^('DCF Model'!C19+4)-'DCF Model'!C16)*1000000/'DCF Model'!C15,0),"")</f>
        <v>1106</v>
      </c>
      <c r="I10" s="37">
        <f>IFERROR(ROUND(('DCF Model'!C45/(1+$B10)^('DCF Model'!C19+0)+'DCF Model'!D45/(1+$B10)^('DCF Model'!C19+1)+'DCF Model'!E45/(1+$B10)^('DCF Model'!C19+2)+'DCF Model'!F45/(1+$B10)^('DCF Model'!C19+3)+'DCF Model'!G45/(1+$B10)^('DCF Model'!C19+4)+'DCF Model'!G45*(1+I$6)/($B10-I$6)/(1+$B10)^('DCF Model'!C19+4)-'DCF Model'!C16)*1000000/'DCF Model'!C15,0),"")</f>
        <v>1116</v>
      </c>
    </row>
    <row r="11" spans="2:9" ht="13.5" customHeight="1" x14ac:dyDescent="0.25">
      <c r="B11" s="39">
        <f>$C$3+0.005</f>
        <v>0.15184600000000001</v>
      </c>
      <c r="C11" s="37">
        <f>IFERROR(ROUND(('DCF Model'!C45/(1+$B11)^('DCF Model'!C19+0)+'DCF Model'!D45/(1+$B11)^('DCF Model'!C19+1)+'DCF Model'!E45/(1+$B11)^('DCF Model'!C19+2)+'DCF Model'!F45/(1+$B11)^('DCF Model'!C19+3)+'DCF Model'!G45/(1+$B11)^('DCF Model'!C19+4)+'DCF Model'!G45*(1+C$6)/($B11-C$6)/(1+$B11)^('DCF Model'!C19+4)-'DCF Model'!C16)*1000000/'DCF Model'!C15,0),"")</f>
        <v>1033</v>
      </c>
      <c r="D11" s="37">
        <f>IFERROR(ROUND(('DCF Model'!C45/(1+$B11)^('DCF Model'!C19+0)+'DCF Model'!D45/(1+$B11)^('DCF Model'!C19+1)+'DCF Model'!E45/(1+$B11)^('DCF Model'!C19+2)+'DCF Model'!F45/(1+$B11)^('DCF Model'!C19+3)+'DCF Model'!G45/(1+$B11)^('DCF Model'!C19+4)+'DCF Model'!G45*(1+D$6)/($B11-D$6)/(1+$B11)^('DCF Model'!C19+4)-'DCF Model'!C16)*1000000/'DCF Model'!C15,0),"")</f>
        <v>1041</v>
      </c>
      <c r="E11" s="37">
        <f>IFERROR(ROUND(('DCF Model'!C45/(1+$B11)^('DCF Model'!C19+0)+'DCF Model'!D45/(1+$B11)^('DCF Model'!C19+1)+'DCF Model'!E45/(1+$B11)^('DCF Model'!C19+2)+'DCF Model'!F45/(1+$B11)^('DCF Model'!C19+3)+'DCF Model'!G45/(1+$B11)^('DCF Model'!C19+4)+'DCF Model'!G45*(1+E$6)/($B11-E$6)/(1+$B11)^('DCF Model'!C19+4)-'DCF Model'!C16)*1000000/'DCF Model'!C15,0),"")</f>
        <v>1049</v>
      </c>
      <c r="F11" s="37">
        <f>IFERROR(ROUND(('DCF Model'!C45/(1+$B11)^('DCF Model'!C19+0)+'DCF Model'!D45/(1+$B11)^('DCF Model'!C19+1)+'DCF Model'!E45/(1+$B11)^('DCF Model'!C19+2)+'DCF Model'!F45/(1+$B11)^('DCF Model'!C19+3)+'DCF Model'!G45/(1+$B11)^('DCF Model'!C19+4)+'DCF Model'!G45*(1+F$6)/($B11-F$6)/(1+$B11)^('DCF Model'!C19+4)-'DCF Model'!C16)*1000000/'DCF Model'!C15,0),"")</f>
        <v>1058</v>
      </c>
      <c r="G11" s="37">
        <f>IFERROR(ROUND(('DCF Model'!C45/(1+$B11)^('DCF Model'!C19+0)+'DCF Model'!D45/(1+$B11)^('DCF Model'!C19+1)+'DCF Model'!E45/(1+$B11)^('DCF Model'!C19+2)+'DCF Model'!F45/(1+$B11)^('DCF Model'!C19+3)+'DCF Model'!G45/(1+$B11)^('DCF Model'!C19+4)+'DCF Model'!G45*(1+G$6)/($B11-G$6)/(1+$B11)^('DCF Model'!C19+4)-'DCF Model'!C16)*1000000/'DCF Model'!C15,0),"")</f>
        <v>1066</v>
      </c>
      <c r="H11" s="37">
        <f>IFERROR(ROUND(('DCF Model'!C45/(1+$B11)^('DCF Model'!C19+0)+'DCF Model'!D45/(1+$B11)^('DCF Model'!C19+1)+'DCF Model'!E45/(1+$B11)^('DCF Model'!C19+2)+'DCF Model'!F45/(1+$B11)^('DCF Model'!C19+3)+'DCF Model'!G45/(1+$B11)^('DCF Model'!C19+4)+'DCF Model'!G45*(1+H$6)/($B11-H$6)/(1+$B11)^('DCF Model'!C19+4)-'DCF Model'!C16)*1000000/'DCF Model'!C15,0),"")</f>
        <v>1075</v>
      </c>
      <c r="I11" s="37">
        <f>IFERROR(ROUND(('DCF Model'!C45/(1+$B11)^('DCF Model'!C19+0)+'DCF Model'!D45/(1+$B11)^('DCF Model'!C19+1)+'DCF Model'!E45/(1+$B11)^('DCF Model'!C19+2)+'DCF Model'!F45/(1+$B11)^('DCF Model'!C19+3)+'DCF Model'!G45/(1+$B11)^('DCF Model'!C19+4)+'DCF Model'!G45*(1+I$6)/($B11-I$6)/(1+$B11)^('DCF Model'!C19+4)-'DCF Model'!C16)*1000000/'DCF Model'!C15,0),"")</f>
        <v>1085</v>
      </c>
    </row>
    <row r="12" spans="2:9" ht="13.5" customHeight="1" x14ac:dyDescent="0.25">
      <c r="B12" s="39">
        <f>$C$3+0.01</f>
        <v>0.15684600000000001</v>
      </c>
      <c r="C12" s="37">
        <f>IFERROR(ROUND(('DCF Model'!C45/(1+$B12)^('DCF Model'!C19+0)+'DCF Model'!D45/(1+$B12)^('DCF Model'!C19+1)+'DCF Model'!E45/(1+$B12)^('DCF Model'!C19+2)+'DCF Model'!F45/(1+$B12)^('DCF Model'!C19+3)+'DCF Model'!G45/(1+$B12)^('DCF Model'!C19+4)+'DCF Model'!G45*(1+C$6)/($B12-C$6)/(1+$B12)^('DCF Model'!C19+4)-'DCF Model'!C16)*1000000/'DCF Model'!C15,0),"")</f>
        <v>1008</v>
      </c>
      <c r="D12" s="37">
        <f>IFERROR(ROUND(('DCF Model'!C45/(1+$B12)^('DCF Model'!C19+0)+'DCF Model'!D45/(1+$B12)^('DCF Model'!C19+1)+'DCF Model'!E45/(1+$B12)^('DCF Model'!C19+2)+'DCF Model'!F45/(1+$B12)^('DCF Model'!C19+3)+'DCF Model'!G45/(1+$B12)^('DCF Model'!C19+4)+'DCF Model'!G45*(1+D$6)/($B12-D$6)/(1+$B12)^('DCF Model'!C19+4)-'DCF Model'!C16)*1000000/'DCF Model'!C15,0),"")</f>
        <v>1015</v>
      </c>
      <c r="E12" s="37">
        <f>IFERROR(ROUND(('DCF Model'!C45/(1+$B12)^('DCF Model'!C19+0)+'DCF Model'!D45/(1+$B12)^('DCF Model'!C19+1)+'DCF Model'!E45/(1+$B12)^('DCF Model'!C19+2)+'DCF Model'!F45/(1+$B12)^('DCF Model'!C19+3)+'DCF Model'!G45/(1+$B12)^('DCF Model'!C19+4)+'DCF Model'!G45*(1+E$6)/($B12-E$6)/(1+$B12)^('DCF Model'!C19+4)-'DCF Model'!C16)*1000000/'DCF Model'!C15,0),"")</f>
        <v>1023</v>
      </c>
      <c r="F12" s="37">
        <f>IFERROR(ROUND(('DCF Model'!C45/(1+$B12)^('DCF Model'!C19+0)+'DCF Model'!D45/(1+$B12)^('DCF Model'!C19+1)+'DCF Model'!E45/(1+$B12)^('DCF Model'!C19+2)+'DCF Model'!F45/(1+$B12)^('DCF Model'!C19+3)+'DCF Model'!G45/(1+$B12)^('DCF Model'!C19+4)+'DCF Model'!G45*(1+F$6)/($B12-F$6)/(1+$B12)^('DCF Model'!C19+4)-'DCF Model'!C16)*1000000/'DCF Model'!C15,0),"")</f>
        <v>1030</v>
      </c>
      <c r="G12" s="37">
        <f>IFERROR(ROUND(('DCF Model'!C45/(1+$B12)^('DCF Model'!C19+0)+'DCF Model'!D45/(1+$B12)^('DCF Model'!C19+1)+'DCF Model'!E45/(1+$B12)^('DCF Model'!C19+2)+'DCF Model'!F45/(1+$B12)^('DCF Model'!C19+3)+'DCF Model'!G45/(1+$B12)^('DCF Model'!C19+4)+'DCF Model'!G45*(1+G$6)/($B12-G$6)/(1+$B12)^('DCF Model'!C19+4)-'DCF Model'!C16)*1000000/'DCF Model'!C15,0),"")</f>
        <v>1038</v>
      </c>
      <c r="H12" s="37">
        <f>IFERROR(ROUND(('DCF Model'!C45/(1+$B12)^('DCF Model'!C19+0)+'DCF Model'!D45/(1+$B12)^('DCF Model'!C19+1)+'DCF Model'!E45/(1+$B12)^('DCF Model'!C19+2)+'DCF Model'!F45/(1+$B12)^('DCF Model'!C19+3)+'DCF Model'!G45/(1+$B12)^('DCF Model'!C19+4)+'DCF Model'!G45*(1+H$6)/($B12-H$6)/(1+$B12)^('DCF Model'!C19+4)-'DCF Model'!C16)*1000000/'DCF Model'!C15,0),"")</f>
        <v>1047</v>
      </c>
      <c r="I12" s="37">
        <f>IFERROR(ROUND(('DCF Model'!C45/(1+$B12)^('DCF Model'!C19+0)+'DCF Model'!D45/(1+$B12)^('DCF Model'!C19+1)+'DCF Model'!E45/(1+$B12)^('DCF Model'!C19+2)+'DCF Model'!F45/(1+$B12)^('DCF Model'!C19+3)+'DCF Model'!G45/(1+$B12)^('DCF Model'!C19+4)+'DCF Model'!G45*(1+I$6)/($B12-I$6)/(1+$B12)^('DCF Model'!C19+4)-'DCF Model'!C16)*1000000/'DCF Model'!C15,0),"")</f>
        <v>1055</v>
      </c>
    </row>
    <row r="13" spans="2:9" ht="13.5" customHeight="1" x14ac:dyDescent="0.25">
      <c r="B13" s="39">
        <f>$C$3+0.015</f>
        <v>0.16184599999999999</v>
      </c>
      <c r="C13" s="37">
        <f>IFERROR(ROUND(('DCF Model'!C45/(1+$B13)^('DCF Model'!C19+0)+'DCF Model'!D45/(1+$B13)^('DCF Model'!C19+1)+'DCF Model'!E45/(1+$B13)^('DCF Model'!C19+2)+'DCF Model'!F45/(1+$B13)^('DCF Model'!C19+3)+'DCF Model'!G45/(1+$B13)^('DCF Model'!C19+4)+'DCF Model'!G45*(1+C$6)/($B13-C$6)/(1+$B13)^('DCF Model'!C19+4)-'DCF Model'!C16)*1000000/'DCF Model'!C15,0),"")</f>
        <v>985</v>
      </c>
      <c r="D13" s="37">
        <f>IFERROR(ROUND(('DCF Model'!C45/(1+$B13)^('DCF Model'!C19+0)+'DCF Model'!D45/(1+$B13)^('DCF Model'!C19+1)+'DCF Model'!E45/(1+$B13)^('DCF Model'!C19+2)+'DCF Model'!F45/(1+$B13)^('DCF Model'!C19+3)+'DCF Model'!G45/(1+$B13)^('DCF Model'!C19+4)+'DCF Model'!G45*(1+D$6)/($B13-D$6)/(1+$B13)^('DCF Model'!C19+4)-'DCF Model'!C16)*1000000/'DCF Model'!C15,0),"")</f>
        <v>991</v>
      </c>
      <c r="E13" s="37">
        <f>IFERROR(ROUND(('DCF Model'!C45/(1+$B13)^('DCF Model'!C19+0)+'DCF Model'!D45/(1+$B13)^('DCF Model'!C19+1)+'DCF Model'!E45/(1+$B13)^('DCF Model'!C19+2)+'DCF Model'!F45/(1+$B13)^('DCF Model'!C19+3)+'DCF Model'!G45/(1+$B13)^('DCF Model'!C19+4)+'DCF Model'!G45*(1+E$6)/($B13-E$6)/(1+$B13)^('DCF Model'!C19+4)-'DCF Model'!C16)*1000000/'DCF Model'!C15,0),"")</f>
        <v>998</v>
      </c>
      <c r="F13" s="37">
        <f>IFERROR(ROUND(('DCF Model'!C45/(1+$B13)^('DCF Model'!C19+0)+'DCF Model'!D45/(1+$B13)^('DCF Model'!C19+1)+'DCF Model'!E45/(1+$B13)^('DCF Model'!C19+2)+'DCF Model'!F45/(1+$B13)^('DCF Model'!C19+3)+'DCF Model'!G45/(1+$B13)^('DCF Model'!C19+4)+'DCF Model'!G45*(1+F$6)/($B13-F$6)/(1+$B13)^('DCF Model'!C19+4)-'DCF Model'!C16)*1000000/'DCF Model'!C15,0),"")</f>
        <v>1005</v>
      </c>
      <c r="G13" s="37">
        <f>IFERROR(ROUND(('DCF Model'!C45/(1+$B13)^('DCF Model'!C19+0)+'DCF Model'!D45/(1+$B13)^('DCF Model'!C19+1)+'DCF Model'!E45/(1+$B13)^('DCF Model'!C19+2)+'DCF Model'!F45/(1+$B13)^('DCF Model'!C19+3)+'DCF Model'!G45/(1+$B13)^('DCF Model'!C19+4)+'DCF Model'!G45*(1+G$6)/($B13-G$6)/(1+$B13)^('DCF Model'!C19+4)-'DCF Model'!C16)*1000000/'DCF Model'!C15,0),"")</f>
        <v>1012</v>
      </c>
      <c r="H13" s="37">
        <f>IFERROR(ROUND(('DCF Model'!C45/(1+$B13)^('DCF Model'!C19+0)+'DCF Model'!D45/(1+$B13)^('DCF Model'!C19+1)+'DCF Model'!E45/(1+$B13)^('DCF Model'!C19+2)+'DCF Model'!F45/(1+$B13)^('DCF Model'!C19+3)+'DCF Model'!G45/(1+$B13)^('DCF Model'!C19+4)+'DCF Model'!G45*(1+H$6)/($B13-H$6)/(1+$B13)^('DCF Model'!C19+4)-'DCF Model'!C16)*1000000/'DCF Model'!C15,0),"")</f>
        <v>1020</v>
      </c>
      <c r="I13" s="37">
        <f>IFERROR(ROUND(('DCF Model'!C45/(1+$B13)^('DCF Model'!C19+0)+'DCF Model'!D45/(1+$B13)^('DCF Model'!C19+1)+'DCF Model'!E45/(1+$B13)^('DCF Model'!C19+2)+'DCF Model'!F45/(1+$B13)^('DCF Model'!C19+3)+'DCF Model'!G45/(1+$B13)^('DCF Model'!C19+4)+'DCF Model'!G45*(1+I$6)/($B13-I$6)/(1+$B13)^('DCF Model'!C19+4)-'DCF Model'!C16)*1000000/'DCF Model'!C15,0),"")</f>
        <v>1028</v>
      </c>
    </row>
    <row r="16" spans="2:9" ht="14" customHeight="1" x14ac:dyDescent="0.3">
      <c r="B16" s="3" t="s">
        <v>242</v>
      </c>
    </row>
    <row r="17" spans="2:9" ht="14" customHeight="1" x14ac:dyDescent="0.3">
      <c r="B17" s="40" t="s">
        <v>243</v>
      </c>
      <c r="C17" s="42">
        <f>$I$3-3</f>
        <v>14.2</v>
      </c>
      <c r="D17" s="42">
        <f>$I$3-2</f>
        <v>15.2</v>
      </c>
      <c r="E17" s="42">
        <f>$I$3-1</f>
        <v>16.2</v>
      </c>
      <c r="F17" s="42">
        <f>$I$3</f>
        <v>17.2</v>
      </c>
      <c r="G17" s="42">
        <f>$I$3+1</f>
        <v>18.2</v>
      </c>
      <c r="H17" s="42">
        <f>$I$3+2</f>
        <v>19.2</v>
      </c>
      <c r="I17" s="42">
        <f>$I$3+3</f>
        <v>20.2</v>
      </c>
    </row>
    <row r="18" spans="2:9" ht="13.5" customHeight="1" x14ac:dyDescent="0.25">
      <c r="B18" s="39">
        <f>$C$3-0.015</f>
        <v>0.13184600000000002</v>
      </c>
      <c r="C18" s="37">
        <f>IFERROR(ROUND(('DCF Model'!C45/(1+$B18)^('DCF Model'!C19+0)+'DCF Model'!D45/(1+$B18)^('DCF Model'!C19+1)+'DCF Model'!E45/(1+$B18)^('DCF Model'!C19+2)+'DCF Model'!F45/(1+$B18)^('DCF Model'!C19+3)+'DCF Model'!G45/(1+$B18)^('DCF Model'!C19+4)+('DCF Model'!G39+'DCF Model'!G42)*C$17/(1+$B18)^('DCF Model'!C19+4)-'DCF Model'!C16)*1000000/'DCF Model'!C15,0),"")</f>
        <v>2938</v>
      </c>
      <c r="D18" s="37">
        <f>IFERROR(ROUND(('DCF Model'!C45/(1+$B18)^('DCF Model'!C19+0)+'DCF Model'!D45/(1+$B18)^('DCF Model'!C19+1)+'DCF Model'!E45/(1+$B18)^('DCF Model'!C19+2)+'DCF Model'!F45/(1+$B18)^('DCF Model'!C19+3)+'DCF Model'!G45/(1+$B18)^('DCF Model'!C19+4)+('DCF Model'!G39+'DCF Model'!G42)*D$17/(1+$B18)^('DCF Model'!C19+4)-'DCF Model'!C16)*1000000/'DCF Model'!C15,0),"")</f>
        <v>3099</v>
      </c>
      <c r="E18" s="37">
        <f>IFERROR(ROUND(('DCF Model'!C45/(1+$B18)^('DCF Model'!C19+0)+'DCF Model'!D45/(1+$B18)^('DCF Model'!C19+1)+'DCF Model'!E45/(1+$B18)^('DCF Model'!C19+2)+'DCF Model'!F45/(1+$B18)^('DCF Model'!C19+3)+'DCF Model'!G45/(1+$B18)^('DCF Model'!C19+4)+('DCF Model'!G39+'DCF Model'!G42)*E$17/(1+$B18)^('DCF Model'!C19+4)-'DCF Model'!C16)*1000000/'DCF Model'!C15,0),"")</f>
        <v>3260</v>
      </c>
      <c r="F18" s="37">
        <f>IFERROR(ROUND(('DCF Model'!C45/(1+$B18)^('DCF Model'!C19+0)+'DCF Model'!D45/(1+$B18)^('DCF Model'!C19+1)+'DCF Model'!E45/(1+$B18)^('DCF Model'!C19+2)+'DCF Model'!F45/(1+$B18)^('DCF Model'!C19+3)+'DCF Model'!G45/(1+$B18)^('DCF Model'!C19+4)+('DCF Model'!G39+'DCF Model'!G42)*F$17/(1+$B18)^('DCF Model'!C19+4)-'DCF Model'!C16)*1000000/'DCF Model'!C15,0),"")</f>
        <v>3422</v>
      </c>
      <c r="G18" s="37">
        <f>IFERROR(ROUND(('DCF Model'!C45/(1+$B18)^('DCF Model'!C19+0)+'DCF Model'!D45/(1+$B18)^('DCF Model'!C19+1)+'DCF Model'!E45/(1+$B18)^('DCF Model'!C19+2)+'DCF Model'!F45/(1+$B18)^('DCF Model'!C19+3)+'DCF Model'!G45/(1+$B18)^('DCF Model'!C19+4)+('DCF Model'!G39+'DCF Model'!G42)*G$17/(1+$B18)^('DCF Model'!C19+4)-'DCF Model'!C16)*1000000/'DCF Model'!C15,0),"")</f>
        <v>3583</v>
      </c>
      <c r="H18" s="37">
        <f>IFERROR(ROUND(('DCF Model'!C45/(1+$B18)^('DCF Model'!C19+0)+'DCF Model'!D45/(1+$B18)^('DCF Model'!C19+1)+'DCF Model'!E45/(1+$B18)^('DCF Model'!C19+2)+'DCF Model'!F45/(1+$B18)^('DCF Model'!C19+3)+'DCF Model'!G45/(1+$B18)^('DCF Model'!C19+4)+('DCF Model'!G39+'DCF Model'!G42)*H$17/(1+$B18)^('DCF Model'!C19+4)-'DCF Model'!C16)*1000000/'DCF Model'!C15,0),"")</f>
        <v>3744</v>
      </c>
      <c r="I18" s="37">
        <f>IFERROR(ROUND(('DCF Model'!C45/(1+$B18)^('DCF Model'!C19+0)+'DCF Model'!D45/(1+$B18)^('DCF Model'!C19+1)+'DCF Model'!E45/(1+$B18)^('DCF Model'!C19+2)+'DCF Model'!F45/(1+$B18)^('DCF Model'!C19+3)+'DCF Model'!G45/(1+$B18)^('DCF Model'!C19+4)+('DCF Model'!G39+'DCF Model'!G42)*I$17/(1+$B18)^('DCF Model'!C19+4)-'DCF Model'!C16)*1000000/'DCF Model'!C15,0),"")</f>
        <v>3905</v>
      </c>
    </row>
    <row r="19" spans="2:9" ht="13.5" customHeight="1" x14ac:dyDescent="0.25">
      <c r="B19" s="39">
        <f>$C$3-0.01</f>
        <v>0.136846</v>
      </c>
      <c r="C19" s="37">
        <f>IFERROR(ROUND(('DCF Model'!C45/(1+$B19)^('DCF Model'!C19+0)+'DCF Model'!D45/(1+$B19)^('DCF Model'!C19+1)+'DCF Model'!E45/(1+$B19)^('DCF Model'!C19+2)+'DCF Model'!F45/(1+$B19)^('DCF Model'!C19+3)+'DCF Model'!G45/(1+$B19)^('DCF Model'!C19+4)+('DCF Model'!G39+'DCF Model'!G42)*C$17/(1+$B19)^('DCF Model'!C19+4)-'DCF Model'!C16)*1000000/'DCF Model'!C15,0),"")</f>
        <v>2884</v>
      </c>
      <c r="D19" s="37">
        <f>IFERROR(ROUND(('DCF Model'!C45/(1+$B19)^('DCF Model'!C19+0)+'DCF Model'!D45/(1+$B19)^('DCF Model'!C19+1)+'DCF Model'!E45/(1+$B19)^('DCF Model'!C19+2)+'DCF Model'!F45/(1+$B19)^('DCF Model'!C19+3)+'DCF Model'!G45/(1+$B19)^('DCF Model'!C19+4)+('DCF Model'!G39+'DCF Model'!G42)*D$17/(1+$B19)^('DCF Model'!C19+4)-'DCF Model'!C16)*1000000/'DCF Model'!C15,0),"")</f>
        <v>3042</v>
      </c>
      <c r="E19" s="37">
        <f>IFERROR(ROUND(('DCF Model'!C45/(1+$B19)^('DCF Model'!C19+0)+'DCF Model'!D45/(1+$B19)^('DCF Model'!C19+1)+'DCF Model'!E45/(1+$B19)^('DCF Model'!C19+2)+'DCF Model'!F45/(1+$B19)^('DCF Model'!C19+3)+'DCF Model'!G45/(1+$B19)^('DCF Model'!C19+4)+('DCF Model'!G39+'DCF Model'!G42)*E$17/(1+$B19)^('DCF Model'!C19+4)-'DCF Model'!C16)*1000000/'DCF Model'!C15,0),"")</f>
        <v>3199</v>
      </c>
      <c r="F19" s="37">
        <f>IFERROR(ROUND(('DCF Model'!C45/(1+$B19)^('DCF Model'!C19+0)+'DCF Model'!D45/(1+$B19)^('DCF Model'!C19+1)+'DCF Model'!E45/(1+$B19)^('DCF Model'!C19+2)+'DCF Model'!F45/(1+$B19)^('DCF Model'!C19+3)+'DCF Model'!G45/(1+$B19)^('DCF Model'!C19+4)+('DCF Model'!G39+'DCF Model'!G42)*F$17/(1+$B19)^('DCF Model'!C19+4)-'DCF Model'!C16)*1000000/'DCF Model'!C15,0),"")</f>
        <v>3357</v>
      </c>
      <c r="G19" s="37">
        <f>IFERROR(ROUND(('DCF Model'!C45/(1+$B19)^('DCF Model'!C19+0)+'DCF Model'!D45/(1+$B19)^('DCF Model'!C19+1)+'DCF Model'!E45/(1+$B19)^('DCF Model'!C19+2)+'DCF Model'!F45/(1+$B19)^('DCF Model'!C19+3)+'DCF Model'!G45/(1+$B19)^('DCF Model'!C19+4)+('DCF Model'!G39+'DCF Model'!G42)*G$17/(1+$B19)^('DCF Model'!C19+4)-'DCF Model'!C16)*1000000/'DCF Model'!C15,0),"")</f>
        <v>3514</v>
      </c>
      <c r="H19" s="37">
        <f>IFERROR(ROUND(('DCF Model'!C45/(1+$B19)^('DCF Model'!C19+0)+'DCF Model'!D45/(1+$B19)^('DCF Model'!C19+1)+'DCF Model'!E45/(1+$B19)^('DCF Model'!C19+2)+'DCF Model'!F45/(1+$B19)^('DCF Model'!C19+3)+'DCF Model'!G45/(1+$B19)^('DCF Model'!C19+4)+('DCF Model'!G39+'DCF Model'!G42)*H$17/(1+$B19)^('DCF Model'!C19+4)-'DCF Model'!C16)*1000000/'DCF Model'!C15,0),"")</f>
        <v>3672</v>
      </c>
      <c r="I19" s="37">
        <f>IFERROR(ROUND(('DCF Model'!C45/(1+$B19)^('DCF Model'!C19+0)+'DCF Model'!D45/(1+$B19)^('DCF Model'!C19+1)+'DCF Model'!E45/(1+$B19)^('DCF Model'!C19+2)+'DCF Model'!F45/(1+$B19)^('DCF Model'!C19+3)+'DCF Model'!G45/(1+$B19)^('DCF Model'!C19+4)+('DCF Model'!G39+'DCF Model'!G42)*I$17/(1+$B19)^('DCF Model'!C19+4)-'DCF Model'!C16)*1000000/'DCF Model'!C15,0),"")</f>
        <v>3830</v>
      </c>
    </row>
    <row r="20" spans="2:9" ht="13.5" customHeight="1" x14ac:dyDescent="0.25">
      <c r="B20" s="39">
        <f>$C$3-0.005</f>
        <v>0.141846</v>
      </c>
      <c r="C20" s="37">
        <f>IFERROR(ROUND(('DCF Model'!C45/(1+$B20)^('DCF Model'!C19+0)+'DCF Model'!D45/(1+$B20)^('DCF Model'!C19+1)+'DCF Model'!E45/(1+$B20)^('DCF Model'!C19+2)+'DCF Model'!F45/(1+$B20)^('DCF Model'!C19+3)+'DCF Model'!G45/(1+$B20)^('DCF Model'!C19+4)+('DCF Model'!G39+'DCF Model'!G42)*C$17/(1+$B20)^('DCF Model'!C19+4)-'DCF Model'!C16)*1000000/'DCF Model'!C15,0),"")</f>
        <v>2831</v>
      </c>
      <c r="D20" s="37">
        <f>IFERROR(ROUND(('DCF Model'!C45/(1+$B20)^('DCF Model'!C19+0)+'DCF Model'!D45/(1+$B20)^('DCF Model'!C19+1)+'DCF Model'!E45/(1+$B20)^('DCF Model'!C19+2)+'DCF Model'!F45/(1+$B20)^('DCF Model'!C19+3)+'DCF Model'!G45/(1+$B20)^('DCF Model'!C19+4)+('DCF Model'!G39+'DCF Model'!G42)*D$17/(1+$B20)^('DCF Model'!C19+4)-'DCF Model'!C16)*1000000/'DCF Model'!C15,0),"")</f>
        <v>2985</v>
      </c>
      <c r="E20" s="37">
        <f>IFERROR(ROUND(('DCF Model'!C45/(1+$B20)^('DCF Model'!C19+0)+'DCF Model'!D45/(1+$B20)^('DCF Model'!C19+1)+'DCF Model'!E45/(1+$B20)^('DCF Model'!C19+2)+'DCF Model'!F45/(1+$B20)^('DCF Model'!C19+3)+'DCF Model'!G45/(1+$B20)^('DCF Model'!C19+4)+('DCF Model'!G39+'DCF Model'!G42)*E$17/(1+$B20)^('DCF Model'!C19+4)-'DCF Model'!C16)*1000000/'DCF Model'!C15,0),"")</f>
        <v>3140</v>
      </c>
      <c r="F20" s="37">
        <f>IFERROR(ROUND(('DCF Model'!C45/(1+$B20)^('DCF Model'!C19+0)+'DCF Model'!D45/(1+$B20)^('DCF Model'!C19+1)+'DCF Model'!E45/(1+$B20)^('DCF Model'!C19+2)+'DCF Model'!F45/(1+$B20)^('DCF Model'!C19+3)+'DCF Model'!G45/(1+$B20)^('DCF Model'!C19+4)+('DCF Model'!G39+'DCF Model'!G42)*F$17/(1+$B20)^('DCF Model'!C19+4)-'DCF Model'!C16)*1000000/'DCF Model'!C15,0),"")</f>
        <v>3294</v>
      </c>
      <c r="G20" s="37">
        <f>IFERROR(ROUND(('DCF Model'!C45/(1+$B20)^('DCF Model'!C19+0)+'DCF Model'!D45/(1+$B20)^('DCF Model'!C19+1)+'DCF Model'!E45/(1+$B20)^('DCF Model'!C19+2)+'DCF Model'!F45/(1+$B20)^('DCF Model'!C19+3)+'DCF Model'!G45/(1+$B20)^('DCF Model'!C19+4)+('DCF Model'!G39+'DCF Model'!G42)*G$17/(1+$B20)^('DCF Model'!C19+4)-'DCF Model'!C16)*1000000/'DCF Model'!C15,0),"")</f>
        <v>3448</v>
      </c>
      <c r="H20" s="37">
        <f>IFERROR(ROUND(('DCF Model'!C45/(1+$B20)^('DCF Model'!C19+0)+'DCF Model'!D45/(1+$B20)^('DCF Model'!C19+1)+'DCF Model'!E45/(1+$B20)^('DCF Model'!C19+2)+'DCF Model'!F45/(1+$B20)^('DCF Model'!C19+3)+'DCF Model'!G45/(1+$B20)^('DCF Model'!C19+4)+('DCF Model'!G39+'DCF Model'!G42)*H$17/(1+$B20)^('DCF Model'!C19+4)-'DCF Model'!C16)*1000000/'DCF Model'!C15,0),"")</f>
        <v>3602</v>
      </c>
      <c r="I20" s="37">
        <f>IFERROR(ROUND(('DCF Model'!C45/(1+$B20)^('DCF Model'!C19+0)+'DCF Model'!D45/(1+$B20)^('DCF Model'!C19+1)+'DCF Model'!E45/(1+$B20)^('DCF Model'!C19+2)+'DCF Model'!F45/(1+$B20)^('DCF Model'!C19+3)+'DCF Model'!G45/(1+$B20)^('DCF Model'!C19+4)+('DCF Model'!G39+'DCF Model'!G42)*I$17/(1+$B20)^('DCF Model'!C19+4)-'DCF Model'!C16)*1000000/'DCF Model'!C15,0),"")</f>
        <v>3756</v>
      </c>
    </row>
    <row r="21" spans="2:9" ht="13.5" customHeight="1" x14ac:dyDescent="0.25">
      <c r="B21" s="39">
        <f>$C$3</f>
        <v>0.146846</v>
      </c>
      <c r="C21" s="37">
        <f>IFERROR(ROUND(('DCF Model'!C45/(1+$B21)^('DCF Model'!C19+0)+'DCF Model'!D45/(1+$B21)^('DCF Model'!C19+1)+'DCF Model'!E45/(1+$B21)^('DCF Model'!C19+2)+'DCF Model'!F45/(1+$B21)^('DCF Model'!C19+3)+'DCF Model'!G45/(1+$B21)^('DCF Model'!C19+4)+('DCF Model'!G39+'DCF Model'!G42)*C$17/(1+$B21)^('DCF Model'!C19+4)-'DCF Model'!C16)*1000000/'DCF Model'!C15,0),"")</f>
        <v>2780</v>
      </c>
      <c r="D21" s="37">
        <f>IFERROR(ROUND(('DCF Model'!C45/(1+$B21)^('DCF Model'!C19+0)+'DCF Model'!D45/(1+$B21)^('DCF Model'!C19+1)+'DCF Model'!E45/(1+$B21)^('DCF Model'!C19+2)+'DCF Model'!F45/(1+$B21)^('DCF Model'!C19+3)+'DCF Model'!G45/(1+$B21)^('DCF Model'!C19+4)+('DCF Model'!G39+'DCF Model'!G42)*D$17/(1+$B21)^('DCF Model'!C19+4)-'DCF Model'!C16)*1000000/'DCF Model'!C15,0),"")</f>
        <v>2931</v>
      </c>
      <c r="E21" s="37">
        <f>IFERROR(ROUND(('DCF Model'!C45/(1+$B21)^('DCF Model'!C19+0)+'DCF Model'!D45/(1+$B21)^('DCF Model'!C19+1)+'DCF Model'!E45/(1+$B21)^('DCF Model'!C19+2)+'DCF Model'!F45/(1+$B21)^('DCF Model'!C19+3)+'DCF Model'!G45/(1+$B21)^('DCF Model'!C19+4)+('DCF Model'!G39+'DCF Model'!G42)*E$17/(1+$B21)^('DCF Model'!C19+4)-'DCF Model'!C16)*1000000/'DCF Model'!C15,0),"")</f>
        <v>3082</v>
      </c>
      <c r="F21" s="37">
        <f>IFERROR(ROUND(('DCF Model'!C45/(1+$B21)^('DCF Model'!C19+0)+'DCF Model'!D45/(1+$B21)^('DCF Model'!C19+1)+'DCF Model'!E45/(1+$B21)^('DCF Model'!C19+2)+'DCF Model'!F45/(1+$B21)^('DCF Model'!C19+3)+'DCF Model'!G45/(1+$B21)^('DCF Model'!C19+4)+('DCF Model'!G39+'DCF Model'!G42)*F$17/(1+$B21)^('DCF Model'!C19+4)-'DCF Model'!C16)*1000000/'DCF Model'!C15,0),"")</f>
        <v>3232</v>
      </c>
      <c r="G21" s="37">
        <f>IFERROR(ROUND(('DCF Model'!C45/(1+$B21)^('DCF Model'!C19+0)+'DCF Model'!D45/(1+$B21)^('DCF Model'!C19+1)+'DCF Model'!E45/(1+$B21)^('DCF Model'!C19+2)+'DCF Model'!F45/(1+$B21)^('DCF Model'!C19+3)+'DCF Model'!G45/(1+$B21)^('DCF Model'!C19+4)+('DCF Model'!G39+'DCF Model'!G42)*G$17/(1+$B21)^('DCF Model'!C19+4)-'DCF Model'!C16)*1000000/'DCF Model'!C15,0),"")</f>
        <v>3383</v>
      </c>
      <c r="H21" s="37">
        <f>IFERROR(ROUND(('DCF Model'!C45/(1+$B21)^('DCF Model'!C19+0)+'DCF Model'!D45/(1+$B21)^('DCF Model'!C19+1)+'DCF Model'!E45/(1+$B21)^('DCF Model'!C19+2)+'DCF Model'!F45/(1+$B21)^('DCF Model'!C19+3)+'DCF Model'!G45/(1+$B21)^('DCF Model'!C19+4)+('DCF Model'!G39+'DCF Model'!G42)*H$17/(1+$B21)^('DCF Model'!C19+4)-'DCF Model'!C16)*1000000/'DCF Model'!C15,0),"")</f>
        <v>3534</v>
      </c>
      <c r="I21" s="37">
        <f>IFERROR(ROUND(('DCF Model'!C45/(1+$B21)^('DCF Model'!C19+0)+'DCF Model'!D45/(1+$B21)^('DCF Model'!C19+1)+'DCF Model'!E45/(1+$B21)^('DCF Model'!C19+2)+'DCF Model'!F45/(1+$B21)^('DCF Model'!C19+3)+'DCF Model'!G45/(1+$B21)^('DCF Model'!C19+4)+('DCF Model'!G39+'DCF Model'!G42)*I$17/(1+$B21)^('DCF Model'!C19+4)-'DCF Model'!C16)*1000000/'DCF Model'!C15,0),"")</f>
        <v>3685</v>
      </c>
    </row>
    <row r="22" spans="2:9" ht="13.5" customHeight="1" x14ac:dyDescent="0.25">
      <c r="B22" s="39">
        <f>$C$3+0.005</f>
        <v>0.15184600000000001</v>
      </c>
      <c r="C22" s="37">
        <f>IFERROR(ROUND(('DCF Model'!C45/(1+$B22)^('DCF Model'!C19+0)+'DCF Model'!D45/(1+$B22)^('DCF Model'!C19+1)+'DCF Model'!E45/(1+$B22)^('DCF Model'!C19+2)+'DCF Model'!F45/(1+$B22)^('DCF Model'!C19+3)+'DCF Model'!G45/(1+$B22)^('DCF Model'!C19+4)+('DCF Model'!G39+'DCF Model'!G42)*C$17/(1+$B22)^('DCF Model'!C19+4)-'DCF Model'!C16)*1000000/'DCF Model'!C15,0),"")</f>
        <v>2730</v>
      </c>
      <c r="D22" s="37">
        <f>IFERROR(ROUND(('DCF Model'!C45/(1+$B22)^('DCF Model'!C19+0)+'DCF Model'!D45/(1+$B22)^('DCF Model'!C19+1)+'DCF Model'!E45/(1+$B22)^('DCF Model'!C19+2)+'DCF Model'!F45/(1+$B22)^('DCF Model'!C19+3)+'DCF Model'!G45/(1+$B22)^('DCF Model'!C19+4)+('DCF Model'!G39+'DCF Model'!G42)*D$17/(1+$B22)^('DCF Model'!C19+4)-'DCF Model'!C16)*1000000/'DCF Model'!C15,0),"")</f>
        <v>2877</v>
      </c>
      <c r="E22" s="37">
        <f>IFERROR(ROUND(('DCF Model'!C45/(1+$B22)^('DCF Model'!C19+0)+'DCF Model'!D45/(1+$B22)^('DCF Model'!C19+1)+'DCF Model'!E45/(1+$B22)^('DCF Model'!C19+2)+'DCF Model'!F45/(1+$B22)^('DCF Model'!C19+3)+'DCF Model'!G45/(1+$B22)^('DCF Model'!C19+4)+('DCF Model'!G39+'DCF Model'!G42)*E$17/(1+$B22)^('DCF Model'!C19+4)-'DCF Model'!C16)*1000000/'DCF Model'!C15,0),"")</f>
        <v>3025</v>
      </c>
      <c r="F22" s="37">
        <f>IFERROR(ROUND(('DCF Model'!C45/(1+$B22)^('DCF Model'!C19+0)+'DCF Model'!D45/(1+$B22)^('DCF Model'!C19+1)+'DCF Model'!E45/(1+$B22)^('DCF Model'!C19+2)+'DCF Model'!F45/(1+$B22)^('DCF Model'!C19+3)+'DCF Model'!G45/(1+$B22)^('DCF Model'!C19+4)+('DCF Model'!G39+'DCF Model'!G42)*F$17/(1+$B22)^('DCF Model'!C19+4)-'DCF Model'!C16)*1000000/'DCF Model'!C15,0),"")</f>
        <v>3172</v>
      </c>
      <c r="G22" s="37">
        <f>IFERROR(ROUND(('DCF Model'!C45/(1+$B22)^('DCF Model'!C19+0)+'DCF Model'!D45/(1+$B22)^('DCF Model'!C19+1)+'DCF Model'!E45/(1+$B22)^('DCF Model'!C19+2)+'DCF Model'!F45/(1+$B22)^('DCF Model'!C19+3)+'DCF Model'!G45/(1+$B22)^('DCF Model'!C19+4)+('DCF Model'!G39+'DCF Model'!G42)*G$17/(1+$B22)^('DCF Model'!C19+4)-'DCF Model'!C16)*1000000/'DCF Model'!C15,0),"")</f>
        <v>3320</v>
      </c>
      <c r="H22" s="37">
        <f>IFERROR(ROUND(('DCF Model'!C45/(1+$B22)^('DCF Model'!C19+0)+'DCF Model'!D45/(1+$B22)^('DCF Model'!C19+1)+'DCF Model'!E45/(1+$B22)^('DCF Model'!C19+2)+'DCF Model'!F45/(1+$B22)^('DCF Model'!C19+3)+'DCF Model'!G45/(1+$B22)^('DCF Model'!C19+4)+('DCF Model'!G39+'DCF Model'!G42)*H$17/(1+$B22)^('DCF Model'!C19+4)-'DCF Model'!C16)*1000000/'DCF Model'!C15,0),"")</f>
        <v>3468</v>
      </c>
      <c r="I22" s="37">
        <f>IFERROR(ROUND(('DCF Model'!C45/(1+$B22)^('DCF Model'!C19+0)+'DCF Model'!D45/(1+$B22)^('DCF Model'!C19+1)+'DCF Model'!E45/(1+$B22)^('DCF Model'!C19+2)+'DCF Model'!F45/(1+$B22)^('DCF Model'!C19+3)+'DCF Model'!G45/(1+$B22)^('DCF Model'!C19+4)+('DCF Model'!G39+'DCF Model'!G42)*I$17/(1+$B22)^('DCF Model'!C19+4)-'DCF Model'!C16)*1000000/'DCF Model'!C15,0),"")</f>
        <v>3615</v>
      </c>
    </row>
    <row r="23" spans="2:9" ht="13.5" customHeight="1" x14ac:dyDescent="0.25">
      <c r="B23" s="39">
        <f>$C$3+0.01</f>
        <v>0.15684600000000001</v>
      </c>
      <c r="C23" s="37">
        <f>IFERROR(ROUND(('DCF Model'!C45/(1+$B23)^('DCF Model'!C19+0)+'DCF Model'!D45/(1+$B23)^('DCF Model'!C19+1)+'DCF Model'!E45/(1+$B23)^('DCF Model'!C19+2)+'DCF Model'!F45/(1+$B23)^('DCF Model'!C19+3)+'DCF Model'!G45/(1+$B23)^('DCF Model'!C19+4)+('DCF Model'!G39+'DCF Model'!G42)*C$17/(1+$B23)^('DCF Model'!C19+4)-'DCF Model'!C16)*1000000/'DCF Model'!C15,0),"")</f>
        <v>2681</v>
      </c>
      <c r="D23" s="37">
        <f>IFERROR(ROUND(('DCF Model'!C45/(1+$B23)^('DCF Model'!C19+0)+'DCF Model'!D45/(1+$B23)^('DCF Model'!C19+1)+'DCF Model'!E45/(1+$B23)^('DCF Model'!C19+2)+'DCF Model'!F45/(1+$B23)^('DCF Model'!C19+3)+'DCF Model'!G45/(1+$B23)^('DCF Model'!C19+4)+('DCF Model'!G39+'DCF Model'!G42)*D$17/(1+$B23)^('DCF Model'!C19+4)-'DCF Model'!C16)*1000000/'DCF Model'!C15,0),"")</f>
        <v>2825</v>
      </c>
      <c r="E23" s="37">
        <f>IFERROR(ROUND(('DCF Model'!C45/(1+$B23)^('DCF Model'!C19+0)+'DCF Model'!D45/(1+$B23)^('DCF Model'!C19+1)+'DCF Model'!E45/(1+$B23)^('DCF Model'!C19+2)+'DCF Model'!F45/(1+$B23)^('DCF Model'!C19+3)+'DCF Model'!G45/(1+$B23)^('DCF Model'!C19+4)+('DCF Model'!G39+'DCF Model'!G42)*E$17/(1+$B23)^('DCF Model'!C19+4)-'DCF Model'!C16)*1000000/'DCF Model'!C15,0),"")</f>
        <v>2970</v>
      </c>
      <c r="F23" s="37">
        <f>IFERROR(ROUND(('DCF Model'!C45/(1+$B23)^('DCF Model'!C19+0)+'DCF Model'!D45/(1+$B23)^('DCF Model'!C19+1)+'DCF Model'!E45/(1+$B23)^('DCF Model'!C19+2)+'DCF Model'!F45/(1+$B23)^('DCF Model'!C19+3)+'DCF Model'!G45/(1+$B23)^('DCF Model'!C19+4)+('DCF Model'!G39+'DCF Model'!G42)*F$17/(1+$B23)^('DCF Model'!C19+4)-'DCF Model'!C16)*1000000/'DCF Model'!C15,0),"")</f>
        <v>3114</v>
      </c>
      <c r="G23" s="37">
        <f>IFERROR(ROUND(('DCF Model'!C45/(1+$B23)^('DCF Model'!C19+0)+'DCF Model'!D45/(1+$B23)^('DCF Model'!C19+1)+'DCF Model'!E45/(1+$B23)^('DCF Model'!C19+2)+'DCF Model'!F45/(1+$B23)^('DCF Model'!C19+3)+'DCF Model'!G45/(1+$B23)^('DCF Model'!C19+4)+('DCF Model'!G39+'DCF Model'!G42)*G$17/(1+$B23)^('DCF Model'!C19+4)-'DCF Model'!C16)*1000000/'DCF Model'!C15,0),"")</f>
        <v>3259</v>
      </c>
      <c r="H23" s="37">
        <f>IFERROR(ROUND(('DCF Model'!C45/(1+$B23)^('DCF Model'!C19+0)+'DCF Model'!D45/(1+$B23)^('DCF Model'!C19+1)+'DCF Model'!E45/(1+$B23)^('DCF Model'!C19+2)+'DCF Model'!F45/(1+$B23)^('DCF Model'!C19+3)+'DCF Model'!G45/(1+$B23)^('DCF Model'!C19+4)+('DCF Model'!G39+'DCF Model'!G42)*H$17/(1+$B23)^('DCF Model'!C19+4)-'DCF Model'!C16)*1000000/'DCF Model'!C15,0),"")</f>
        <v>3403</v>
      </c>
      <c r="I23" s="37">
        <f>IFERROR(ROUND(('DCF Model'!C45/(1+$B23)^('DCF Model'!C19+0)+'DCF Model'!D45/(1+$B23)^('DCF Model'!C19+1)+'DCF Model'!E45/(1+$B23)^('DCF Model'!C19+2)+'DCF Model'!F45/(1+$B23)^('DCF Model'!C19+3)+'DCF Model'!G45/(1+$B23)^('DCF Model'!C19+4)+('DCF Model'!G39+'DCF Model'!G42)*I$17/(1+$B23)^('DCF Model'!C19+4)-'DCF Model'!C16)*1000000/'DCF Model'!C15,0),"")</f>
        <v>3547</v>
      </c>
    </row>
    <row r="24" spans="2:9" ht="13.5" customHeight="1" x14ac:dyDescent="0.25">
      <c r="B24" s="39">
        <f>$C$3+0.015</f>
        <v>0.16184599999999999</v>
      </c>
      <c r="C24" s="37">
        <f>IFERROR(ROUND(('DCF Model'!C45/(1+$B24)^('DCF Model'!C19+0)+'DCF Model'!D45/(1+$B24)^('DCF Model'!C19+1)+'DCF Model'!E45/(1+$B24)^('DCF Model'!C19+2)+'DCF Model'!F45/(1+$B24)^('DCF Model'!C19+3)+'DCF Model'!G45/(1+$B24)^('DCF Model'!C19+4)+('DCF Model'!G39+'DCF Model'!G42)*C$17/(1+$B24)^('DCF Model'!C19+4)-'DCF Model'!C16)*1000000/'DCF Model'!C15,0),"")</f>
        <v>2633</v>
      </c>
      <c r="D24" s="37">
        <f>IFERROR(ROUND(('DCF Model'!C45/(1+$B24)^('DCF Model'!C19+0)+'DCF Model'!D45/(1+$B24)^('DCF Model'!C19+1)+'DCF Model'!E45/(1+$B24)^('DCF Model'!C19+2)+'DCF Model'!F45/(1+$B24)^('DCF Model'!C19+3)+'DCF Model'!G45/(1+$B24)^('DCF Model'!C19+4)+('DCF Model'!G39+'DCF Model'!G42)*D$17/(1+$B24)^('DCF Model'!C19+4)-'DCF Model'!C16)*1000000/'DCF Model'!C15,0),"")</f>
        <v>2775</v>
      </c>
      <c r="E24" s="37">
        <f>IFERROR(ROUND(('DCF Model'!C45/(1+$B24)^('DCF Model'!C19+0)+'DCF Model'!D45/(1+$B24)^('DCF Model'!C19+1)+'DCF Model'!E45/(1+$B24)^('DCF Model'!C19+2)+'DCF Model'!F45/(1+$B24)^('DCF Model'!C19+3)+'DCF Model'!G45/(1+$B24)^('DCF Model'!C19+4)+('DCF Model'!G39+'DCF Model'!G42)*E$17/(1+$B24)^('DCF Model'!C19+4)-'DCF Model'!C16)*1000000/'DCF Model'!C15,0),"")</f>
        <v>2916</v>
      </c>
      <c r="F24" s="37">
        <f>IFERROR(ROUND(('DCF Model'!C45/(1+$B24)^('DCF Model'!C19+0)+'DCF Model'!D45/(1+$B24)^('DCF Model'!C19+1)+'DCF Model'!E45/(1+$B24)^('DCF Model'!C19+2)+'DCF Model'!F45/(1+$B24)^('DCF Model'!C19+3)+'DCF Model'!G45/(1+$B24)^('DCF Model'!C19+4)+('DCF Model'!G39+'DCF Model'!G42)*F$17/(1+$B24)^('DCF Model'!C19+4)-'DCF Model'!C16)*1000000/'DCF Model'!C15,0),"")</f>
        <v>3057</v>
      </c>
      <c r="G24" s="37">
        <f>IFERROR(ROUND(('DCF Model'!C45/(1+$B24)^('DCF Model'!C19+0)+'DCF Model'!D45/(1+$B24)^('DCF Model'!C19+1)+'DCF Model'!E45/(1+$B24)^('DCF Model'!C19+2)+'DCF Model'!F45/(1+$B24)^('DCF Model'!C19+3)+'DCF Model'!G45/(1+$B24)^('DCF Model'!C19+4)+('DCF Model'!G39+'DCF Model'!G42)*G$17/(1+$B24)^('DCF Model'!C19+4)-'DCF Model'!C16)*1000000/'DCF Model'!C15,0),"")</f>
        <v>3199</v>
      </c>
      <c r="H24" s="37">
        <f>IFERROR(ROUND(('DCF Model'!C45/(1+$B24)^('DCF Model'!C19+0)+'DCF Model'!D45/(1+$B24)^('DCF Model'!C19+1)+'DCF Model'!E45/(1+$B24)^('DCF Model'!C19+2)+'DCF Model'!F45/(1+$B24)^('DCF Model'!C19+3)+'DCF Model'!G45/(1+$B24)^('DCF Model'!C19+4)+('DCF Model'!G39+'DCF Model'!G42)*H$17/(1+$B24)^('DCF Model'!C19+4)-'DCF Model'!C16)*1000000/'DCF Model'!C15,0),"")</f>
        <v>3340</v>
      </c>
      <c r="I24" s="37">
        <f>IFERROR(ROUND(('DCF Model'!C45/(1+$B24)^('DCF Model'!C19+0)+'DCF Model'!D45/(1+$B24)^('DCF Model'!C19+1)+'DCF Model'!E45/(1+$B24)^('DCF Model'!C19+2)+'DCF Model'!F45/(1+$B24)^('DCF Model'!C19+3)+'DCF Model'!G45/(1+$B24)^('DCF Model'!C19+4)+('DCF Model'!G39+'DCF Model'!G42)*I$17/(1+$B24)^('DCF Model'!C19+4)-'DCF Model'!C16)*1000000/'DCF Model'!C15,0),"")</f>
        <v>3481</v>
      </c>
    </row>
    <row r="26" spans="2:9" ht="14" customHeight="1"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customHeight="1" x14ac:dyDescent="0.3">
      <c r="B12" s="8" t="s">
        <v>267</v>
      </c>
    </row>
    <row r="13" spans="2:7" ht="14" customHeight="1" x14ac:dyDescent="0.3">
      <c r="B13" s="10" t="s">
        <v>268</v>
      </c>
      <c r="C13" s="10" t="s">
        <v>269</v>
      </c>
    </row>
    <row r="14" spans="2:7" ht="14" customHeight="1" x14ac:dyDescent="0.3">
      <c r="B14" s="4" t="s">
        <v>270</v>
      </c>
      <c r="C14" t="s">
        <v>271</v>
      </c>
    </row>
    <row r="15" spans="2:7" ht="14" customHeight="1" x14ac:dyDescent="0.3">
      <c r="B15" s="4" t="s">
        <v>272</v>
      </c>
      <c r="C15" t="s">
        <v>273</v>
      </c>
    </row>
    <row r="16" spans="2:7" ht="14" customHeight="1" x14ac:dyDescent="0.3">
      <c r="B16" s="4" t="s">
        <v>274</v>
      </c>
      <c r="C16" t="s">
        <v>275</v>
      </c>
    </row>
    <row r="17" spans="2:3" ht="14" customHeight="1" x14ac:dyDescent="0.3">
      <c r="B17" s="4" t="s">
        <v>276</v>
      </c>
      <c r="C17" t="s">
        <v>273</v>
      </c>
    </row>
    <row r="18" spans="2:3" ht="14" customHeight="1" x14ac:dyDescent="0.3">
      <c r="B18" s="4" t="s">
        <v>277</v>
      </c>
      <c r="C18" t="s">
        <v>278</v>
      </c>
    </row>
    <row r="19" spans="2:3" ht="14" customHeight="1" x14ac:dyDescent="0.3">
      <c r="B19" s="4" t="s">
        <v>279</v>
      </c>
      <c r="C19" t="s">
        <v>280</v>
      </c>
    </row>
    <row r="20" spans="2:3" ht="14" customHeight="1" x14ac:dyDescent="0.3">
      <c r="B20" s="4" t="s">
        <v>281</v>
      </c>
      <c r="C20" t="s">
        <v>282</v>
      </c>
    </row>
    <row r="21" spans="2:3" ht="14" customHeight="1" x14ac:dyDescent="0.3">
      <c r="B21" s="4" t="s">
        <v>283</v>
      </c>
      <c r="C21" t="s">
        <v>284</v>
      </c>
    </row>
    <row r="22" spans="2:3" ht="14" customHeight="1" x14ac:dyDescent="0.3">
      <c r="B22" s="4" t="s">
        <v>285</v>
      </c>
      <c r="C22" t="s">
        <v>47</v>
      </c>
    </row>
    <row r="23" spans="2:3" ht="14" customHeight="1" x14ac:dyDescent="0.3">
      <c r="B23" s="4" t="s">
        <v>286</v>
      </c>
      <c r="C23" t="s">
        <v>4</v>
      </c>
    </row>
    <row r="24" spans="2:3" ht="14" customHeight="1" x14ac:dyDescent="0.3">
      <c r="B24" s="4" t="s">
        <v>287</v>
      </c>
      <c r="C24" t="s">
        <v>252</v>
      </c>
    </row>
    <row r="25" spans="2:3" ht="14" customHeight="1" x14ac:dyDescent="0.3">
      <c r="B25" s="4" t="s">
        <v>288</v>
      </c>
      <c r="C25" t="s">
        <v>289</v>
      </c>
    </row>
    <row r="26" spans="2:3" ht="14" customHeight="1" x14ac:dyDescent="0.3">
      <c r="B26" s="4" t="s">
        <v>290</v>
      </c>
      <c r="C26" t="s">
        <v>278</v>
      </c>
    </row>
    <row r="27" spans="2:3" ht="14" customHeight="1" x14ac:dyDescent="0.3">
      <c r="B27" s="4" t="s">
        <v>291</v>
      </c>
      <c r="C27" t="s">
        <v>278</v>
      </c>
    </row>
    <row r="28" spans="2:3" ht="14" customHeight="1" x14ac:dyDescent="0.3">
      <c r="B28" s="4" t="s">
        <v>292</v>
      </c>
      <c r="C28" t="s">
        <v>293</v>
      </c>
    </row>
    <row r="29" spans="2:3" ht="14" customHeight="1" x14ac:dyDescent="0.3">
      <c r="B29" s="4" t="s">
        <v>294</v>
      </c>
      <c r="C29" t="s">
        <v>295</v>
      </c>
    </row>
    <row r="30" spans="2:3" ht="14" customHeight="1" x14ac:dyDescent="0.3">
      <c r="B30" s="4" t="s">
        <v>296</v>
      </c>
      <c r="C30" t="s">
        <v>297</v>
      </c>
    </row>
    <row r="31" spans="2:3" ht="14" customHeight="1" x14ac:dyDescent="0.3">
      <c r="B31" s="4" t="s">
        <v>298</v>
      </c>
      <c r="C31" t="s">
        <v>293</v>
      </c>
    </row>
    <row r="32" spans="2:3" ht="14" customHeight="1" x14ac:dyDescent="0.3">
      <c r="B32" s="4" t="s">
        <v>299</v>
      </c>
      <c r="C32" t="s">
        <v>278</v>
      </c>
    </row>
    <row r="33" spans="2:3" ht="14" customHeight="1" x14ac:dyDescent="0.3">
      <c r="B33" s="4" t="s">
        <v>300</v>
      </c>
      <c r="C33" t="s">
        <v>289</v>
      </c>
    </row>
    <row r="34" spans="2:3" ht="14" customHeight="1" x14ac:dyDescent="0.3">
      <c r="B34" s="4" t="s">
        <v>301</v>
      </c>
      <c r="C34" t="s">
        <v>302</v>
      </c>
    </row>
    <row r="35" spans="2:3" ht="14" customHeight="1" x14ac:dyDescent="0.3">
      <c r="B35" s="4" t="s">
        <v>303</v>
      </c>
      <c r="C35" t="s">
        <v>304</v>
      </c>
    </row>
    <row r="36" spans="2:3" ht="14" customHeight="1" x14ac:dyDescent="0.3">
      <c r="B36" s="4" t="s">
        <v>305</v>
      </c>
      <c r="C36" t="s">
        <v>306</v>
      </c>
    </row>
    <row r="37" spans="2:3" ht="14" customHeight="1" x14ac:dyDescent="0.3">
      <c r="B37" s="4" t="s">
        <v>307</v>
      </c>
      <c r="C37" t="s">
        <v>308</v>
      </c>
    </row>
    <row r="38" spans="2:3" ht="14" customHeight="1" x14ac:dyDescent="0.3">
      <c r="B38" s="4" t="s">
        <v>309</v>
      </c>
      <c r="C38" t="s">
        <v>310</v>
      </c>
    </row>
    <row r="39" spans="2:3" ht="14" customHeight="1" x14ac:dyDescent="0.3">
      <c r="B39" s="4" t="s">
        <v>311</v>
      </c>
      <c r="C39" t="s">
        <v>312</v>
      </c>
    </row>
    <row r="40" spans="2:3" ht="14" customHeight="1" x14ac:dyDescent="0.3">
      <c r="B40" s="4" t="s">
        <v>313</v>
      </c>
      <c r="C40" t="s">
        <v>314</v>
      </c>
    </row>
    <row r="41" spans="2:3" ht="14" customHeight="1" x14ac:dyDescent="0.3">
      <c r="B41" s="4" t="s">
        <v>315</v>
      </c>
      <c r="C41" t="s">
        <v>316</v>
      </c>
    </row>
    <row r="42" spans="2:3" ht="14" customHeight="1" x14ac:dyDescent="0.3">
      <c r="B42" s="4" t="s">
        <v>317</v>
      </c>
      <c r="C42" t="s">
        <v>318</v>
      </c>
    </row>
    <row r="43" spans="2:3" ht="14" customHeight="1" x14ac:dyDescent="0.3">
      <c r="B43" s="4" t="s">
        <v>319</v>
      </c>
      <c r="C43" t="s">
        <v>320</v>
      </c>
    </row>
    <row r="44" spans="2:3" ht="14" customHeight="1" x14ac:dyDescent="0.3">
      <c r="B44" s="4" t="s">
        <v>321</v>
      </c>
      <c r="C44" t="s">
        <v>282</v>
      </c>
    </row>
    <row r="45" spans="2:3" ht="14" customHeight="1" x14ac:dyDescent="0.3">
      <c r="B45" s="4" t="s">
        <v>322</v>
      </c>
      <c r="C45" t="s">
        <v>323</v>
      </c>
    </row>
    <row r="46" spans="2:3" ht="14" customHeight="1" x14ac:dyDescent="0.3">
      <c r="B46" s="4" t="s">
        <v>324</v>
      </c>
      <c r="C46" t="s">
        <v>325</v>
      </c>
    </row>
    <row r="47" spans="2:3" ht="14" customHeight="1" x14ac:dyDescent="0.3">
      <c r="B47" s="4" t="s">
        <v>326</v>
      </c>
      <c r="C47" t="s">
        <v>327</v>
      </c>
    </row>
    <row r="48" spans="2:3" ht="14" customHeight="1" x14ac:dyDescent="0.3">
      <c r="B48" s="4" t="s">
        <v>328</v>
      </c>
      <c r="C48" t="s">
        <v>329</v>
      </c>
    </row>
    <row r="49" spans="2:3" ht="14" customHeight="1" x14ac:dyDescent="0.3">
      <c r="B49" s="4" t="s">
        <v>330</v>
      </c>
      <c r="C49" t="s">
        <v>331</v>
      </c>
    </row>
    <row r="50" spans="2:3" ht="14" customHeight="1" x14ac:dyDescent="0.3">
      <c r="B50" s="4" t="s">
        <v>332</v>
      </c>
      <c r="C50" t="s">
        <v>333</v>
      </c>
    </row>
    <row r="51" spans="2:3" ht="14" customHeight="1" x14ac:dyDescent="0.3">
      <c r="B51" s="4" t="s">
        <v>334</v>
      </c>
      <c r="C51" t="s">
        <v>335</v>
      </c>
    </row>
    <row r="52" spans="2:3" ht="14" customHeight="1" x14ac:dyDescent="0.3">
      <c r="B52" s="4" t="s">
        <v>336</v>
      </c>
      <c r="C52" t="s">
        <v>337</v>
      </c>
    </row>
    <row r="53" spans="2:3" ht="14" customHeight="1" x14ac:dyDescent="0.3">
      <c r="B53" s="4" t="s">
        <v>338</v>
      </c>
      <c r="C53" t="s">
        <v>339</v>
      </c>
    </row>
    <row r="54" spans="2:3" ht="14" customHeight="1" x14ac:dyDescent="0.3">
      <c r="B54" s="4" t="s">
        <v>340</v>
      </c>
      <c r="C54" t="s">
        <v>341</v>
      </c>
    </row>
    <row r="55" spans="2:3" ht="14" customHeight="1" x14ac:dyDescent="0.3">
      <c r="B55" s="4" t="s">
        <v>342</v>
      </c>
      <c r="C55" t="s">
        <v>343</v>
      </c>
    </row>
    <row r="56" spans="2:3" ht="14" customHeight="1" x14ac:dyDescent="0.3">
      <c r="B56" s="4" t="s">
        <v>344</v>
      </c>
      <c r="C56" t="s">
        <v>345</v>
      </c>
    </row>
    <row r="57" spans="2:3" ht="14" customHeight="1" x14ac:dyDescent="0.3">
      <c r="B57" s="4" t="s">
        <v>346</v>
      </c>
      <c r="C57" t="s">
        <v>347</v>
      </c>
    </row>
    <row r="58" spans="2:3" ht="14" customHeight="1" x14ac:dyDescent="0.3">
      <c r="B58" s="4" t="s">
        <v>348</v>
      </c>
      <c r="C58" t="s">
        <v>289</v>
      </c>
    </row>
    <row r="59" spans="2:3" ht="14" customHeight="1" x14ac:dyDescent="0.3">
      <c r="B59" s="4" t="s">
        <v>349</v>
      </c>
      <c r="C59" t="s">
        <v>350</v>
      </c>
    </row>
    <row r="60" spans="2:3" ht="14" customHeight="1" x14ac:dyDescent="0.3">
      <c r="B60" s="4" t="s">
        <v>351</v>
      </c>
      <c r="C60" t="s">
        <v>352</v>
      </c>
    </row>
    <row r="61" spans="2:3" ht="14" customHeight="1" x14ac:dyDescent="0.3">
      <c r="B61" s="4" t="s">
        <v>353</v>
      </c>
      <c r="C61" t="s">
        <v>354</v>
      </c>
    </row>
    <row r="62" spans="2:3" ht="14" customHeight="1" x14ac:dyDescent="0.3">
      <c r="B62" s="4" t="s">
        <v>355</v>
      </c>
      <c r="C62" t="s">
        <v>356</v>
      </c>
    </row>
    <row r="63" spans="2:3" ht="14" customHeight="1" x14ac:dyDescent="0.3">
      <c r="B63" s="4" t="s">
        <v>357</v>
      </c>
      <c r="C63" t="s">
        <v>358</v>
      </c>
    </row>
    <row r="64" spans="2:3" ht="14" customHeight="1"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2026-09-06T10:22:34Z</dcterms:created>
  <dcterms:modified xsi:type="dcterms:W3CDTF">2026-09-06T10:46:49Z</dcterms:modified>
</cp:coreProperties>
</file>