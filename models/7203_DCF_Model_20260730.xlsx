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80A11B9-0DC4-48C9-B915-82CB9792DFE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7" i="5"/>
  <c r="G17" i="5"/>
  <c r="I16" i="5"/>
  <c r="G16" i="5"/>
  <c r="I15" i="5"/>
  <c r="G15" i="5"/>
  <c r="N11" i="5"/>
  <c r="L11" i="5"/>
  <c r="K11" i="5"/>
  <c r="J11" i="5"/>
  <c r="N10" i="5"/>
  <c r="K10" i="5"/>
  <c r="N9" i="5"/>
  <c r="L9" i="5"/>
  <c r="K9" i="5"/>
  <c r="J9" i="5"/>
  <c r="N8" i="5"/>
  <c r="L8" i="5"/>
  <c r="K8" i="5"/>
  <c r="J8" i="5"/>
  <c r="N7" i="5"/>
  <c r="L7" i="5"/>
  <c r="K7" i="5"/>
  <c r="J7" i="5"/>
  <c r="N6" i="5"/>
  <c r="K6" i="5"/>
  <c r="J6" i="5"/>
  <c r="N5" i="5"/>
  <c r="L5" i="5"/>
  <c r="K5" i="5"/>
  <c r="J5" i="5"/>
  <c r="C16" i="4"/>
  <c r="C14" i="4"/>
  <c r="C7" i="4"/>
  <c r="C6" i="4"/>
  <c r="C5" i="4"/>
  <c r="F7" i="4"/>
  <c r="C25" i="3"/>
  <c r="C24" i="3"/>
  <c r="C23" i="3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F15" i="5" l="1"/>
  <c r="E17" i="5"/>
  <c r="H15" i="5"/>
  <c r="F16" i="5"/>
  <c r="C28" i="5" s="1"/>
  <c r="C19" i="1" s="1"/>
  <c r="D19" i="1" s="1"/>
  <c r="C18" i="4"/>
  <c r="C26" i="3"/>
  <c r="C46" i="3" s="1"/>
  <c r="D17" i="5"/>
  <c r="E15" i="5"/>
  <c r="C31" i="3"/>
  <c r="F32" i="3"/>
  <c r="E6" i="4"/>
  <c r="G7" i="4"/>
  <c r="I6" i="6"/>
  <c r="C30" i="3"/>
  <c r="C33" i="3" s="1"/>
  <c r="F31" i="3"/>
  <c r="D31" i="3"/>
  <c r="G32" i="3"/>
  <c r="D5" i="4"/>
  <c r="F6" i="4"/>
  <c r="H7" i="4"/>
  <c r="D16" i="5"/>
  <c r="C27" i="5" s="1"/>
  <c r="C18" i="1" s="1"/>
  <c r="D18" i="1" s="1"/>
  <c r="F17" i="5"/>
  <c r="C17" i="6"/>
  <c r="E31" i="3"/>
  <c r="E5" i="4"/>
  <c r="G6" i="4"/>
  <c r="E16" i="5"/>
  <c r="C6" i="6"/>
  <c r="D17" i="6"/>
  <c r="F5" i="4"/>
  <c r="H6" i="4"/>
  <c r="D15" i="5"/>
  <c r="H17" i="5"/>
  <c r="D6" i="6"/>
  <c r="E17" i="6"/>
  <c r="D30" i="3"/>
  <c r="G31" i="3"/>
  <c r="G5" i="4"/>
  <c r="E6" i="6"/>
  <c r="F17" i="6"/>
  <c r="E30" i="3"/>
  <c r="C32" i="3"/>
  <c r="H5" i="4"/>
  <c r="D7" i="4"/>
  <c r="H16" i="5"/>
  <c r="F6" i="6"/>
  <c r="G17" i="6"/>
  <c r="F30" i="3"/>
  <c r="D32" i="3"/>
  <c r="E7" i="4"/>
  <c r="G6" i="6"/>
  <c r="H17" i="6"/>
  <c r="G30" i="3"/>
  <c r="E32" i="3"/>
  <c r="D6" i="4"/>
  <c r="G46" i="3" l="1"/>
  <c r="E46" i="3"/>
  <c r="D46" i="3"/>
  <c r="F46" i="3"/>
  <c r="C3" i="6"/>
  <c r="B9" i="6" s="1"/>
  <c r="C34" i="3"/>
  <c r="D10" i="4" s="1"/>
  <c r="C37" i="3"/>
  <c r="D9" i="4"/>
  <c r="D12" i="4" s="1"/>
  <c r="D33" i="3"/>
  <c r="B20" i="6" l="1"/>
  <c r="B10" i="6"/>
  <c r="B21" i="6"/>
  <c r="B11" i="6"/>
  <c r="B22" i="6"/>
  <c r="B12" i="6"/>
  <c r="B23" i="6"/>
  <c r="B13" i="6"/>
  <c r="B24" i="6"/>
  <c r="B7" i="6"/>
  <c r="B18" i="6"/>
  <c r="B8" i="6"/>
  <c r="B19" i="6"/>
  <c r="D15" i="4"/>
  <c r="D16" i="4" s="1"/>
  <c r="D13" i="4"/>
  <c r="D14" i="4" s="1"/>
  <c r="D18" i="4" s="1"/>
  <c r="D19" i="4" s="1"/>
  <c r="C44" i="3" s="1"/>
  <c r="D37" i="3"/>
  <c r="E33" i="3"/>
  <c r="E9" i="4"/>
  <c r="E12" i="4" s="1"/>
  <c r="D34" i="3"/>
  <c r="E10" i="4" s="1"/>
  <c r="C35" i="3"/>
  <c r="D35" i="3" l="1"/>
  <c r="E15" i="4"/>
  <c r="E16" i="4" s="1"/>
  <c r="E13" i="4"/>
  <c r="E14" i="4" s="1"/>
  <c r="D38" i="3"/>
  <c r="D36" i="3"/>
  <c r="D39" i="3"/>
  <c r="C36" i="3"/>
  <c r="C38" i="3"/>
  <c r="C39" i="3"/>
  <c r="F33" i="3"/>
  <c r="F9" i="4"/>
  <c r="F12" i="4" s="1"/>
  <c r="E34" i="3"/>
  <c r="F10" i="4" s="1"/>
  <c r="E37" i="3"/>
  <c r="E18" i="4" l="1"/>
  <c r="E19" i="4" s="1"/>
  <c r="D44" i="3" s="1"/>
  <c r="E35" i="3"/>
  <c r="E38" i="3" s="1"/>
  <c r="C40" i="3"/>
  <c r="C41" i="3" s="1"/>
  <c r="C45" i="3" s="1"/>
  <c r="F15" i="4"/>
  <c r="F16" i="4" s="1"/>
  <c r="F13" i="4"/>
  <c r="F14" i="4" s="1"/>
  <c r="F18" i="4" s="1"/>
  <c r="F19" i="4" s="1"/>
  <c r="E44" i="3" s="1"/>
  <c r="D40" i="3"/>
  <c r="D41" i="3" s="1"/>
  <c r="D45" i="3" s="1"/>
  <c r="D47" i="3" s="1"/>
  <c r="G33" i="3"/>
  <c r="G9" i="4"/>
  <c r="G12" i="4" s="1"/>
  <c r="F34" i="3"/>
  <c r="G10" i="4" s="1"/>
  <c r="F37" i="3"/>
  <c r="E36" i="3" l="1"/>
  <c r="E39" i="3"/>
  <c r="C47" i="3"/>
  <c r="F35" i="3"/>
  <c r="G15" i="4"/>
  <c r="G16" i="4" s="1"/>
  <c r="G13" i="4"/>
  <c r="G14" i="4" s="1"/>
  <c r="E40" i="3"/>
  <c r="E41" i="3" s="1"/>
  <c r="E45" i="3" s="1"/>
  <c r="E47" i="3" s="1"/>
  <c r="H9" i="4"/>
  <c r="H12" i="4" s="1"/>
  <c r="G37" i="3"/>
  <c r="G34" i="3"/>
  <c r="H10" i="4" s="1"/>
  <c r="G35" i="3"/>
  <c r="G18" i="4" l="1"/>
  <c r="G19" i="4" s="1"/>
  <c r="F44" i="3" s="1"/>
  <c r="G38" i="3"/>
  <c r="G36" i="3"/>
  <c r="G39" i="3"/>
  <c r="F38" i="3"/>
  <c r="F36" i="3"/>
  <c r="F39" i="3"/>
  <c r="H13" i="4"/>
  <c r="H14" i="4" s="1"/>
  <c r="H15" i="4"/>
  <c r="H16" i="4" s="1"/>
  <c r="H18" i="4" l="1"/>
  <c r="H19" i="4" s="1"/>
  <c r="G44" i="3" s="1"/>
  <c r="C59" i="3"/>
  <c r="C60" i="3" s="1"/>
  <c r="C61" i="3" s="1"/>
  <c r="G40" i="3"/>
  <c r="G41" i="3" s="1"/>
  <c r="F40" i="3"/>
  <c r="F41" i="3" s="1"/>
  <c r="F45" i="3" s="1"/>
  <c r="G45" i="3" l="1"/>
  <c r="E23" i="6" s="1"/>
  <c r="F47" i="3"/>
  <c r="E8" i="6"/>
  <c r="F21" i="6"/>
  <c r="E20" i="6"/>
  <c r="E18" i="6"/>
  <c r="I20" i="6"/>
  <c r="C18" i="6"/>
  <c r="H19" i="6"/>
  <c r="C12" i="6"/>
  <c r="D12" i="6"/>
  <c r="I23" i="6"/>
  <c r="C21" i="6"/>
  <c r="G10" i="6"/>
  <c r="C11" i="6"/>
  <c r="H12" i="6"/>
  <c r="G20" i="6"/>
  <c r="F9" i="6"/>
  <c r="G7" i="6"/>
  <c r="D11" i="6"/>
  <c r="H13" i="6"/>
  <c r="F11" i="6"/>
  <c r="E10" i="6"/>
  <c r="H23" i="6"/>
  <c r="C22" i="6"/>
  <c r="D20" i="6"/>
  <c r="H9" i="6"/>
  <c r="E13" i="6"/>
  <c r="E24" i="6"/>
  <c r="D24" i="6"/>
  <c r="H22" i="6"/>
  <c r="D19" i="6"/>
  <c r="E11" i="6"/>
  <c r="D8" i="6"/>
  <c r="I9" i="6"/>
  <c r="I11" i="6"/>
  <c r="G23" i="6"/>
  <c r="F22" i="6"/>
  <c r="I12" i="6"/>
  <c r="G22" i="6"/>
  <c r="D10" i="6"/>
  <c r="I21" i="6"/>
  <c r="F7" i="6"/>
  <c r="F18" i="6"/>
  <c r="G11" i="6"/>
  <c r="D23" i="6"/>
  <c r="I24" i="6"/>
  <c r="G9" i="6"/>
  <c r="F13" i="6"/>
  <c r="I22" i="6"/>
  <c r="C23" i="6"/>
  <c r="G12" i="6"/>
  <c r="F12" i="6"/>
  <c r="I13" i="6"/>
  <c r="E22" i="6"/>
  <c r="F20" i="6"/>
  <c r="I7" i="6"/>
  <c r="G19" i="6"/>
  <c r="C8" i="6"/>
  <c r="F8" i="6"/>
  <c r="D18" i="6"/>
  <c r="D13" i="6"/>
  <c r="C20" i="6"/>
  <c r="H8" i="6"/>
  <c r="F23" i="6"/>
  <c r="C13" i="6"/>
  <c r="H24" i="6"/>
  <c r="G24" i="6"/>
  <c r="E21" i="6"/>
  <c r="E12" i="6"/>
  <c r="F10" i="6"/>
  <c r="C19" i="6"/>
  <c r="G8" i="6"/>
  <c r="I8" i="6"/>
  <c r="E7" i="6"/>
  <c r="F19" i="6"/>
  <c r="E9" i="6"/>
  <c r="H11" i="6"/>
  <c r="D7" i="6"/>
  <c r="I18" i="6"/>
  <c r="G13" i="6"/>
  <c r="F24" i="6"/>
  <c r="C24" i="6"/>
  <c r="C9" i="6"/>
  <c r="H20" i="6"/>
  <c r="I19" i="6"/>
  <c r="G21" i="6"/>
  <c r="E19" i="6"/>
  <c r="I10" i="6"/>
  <c r="H7" i="6"/>
  <c r="H18" i="6"/>
  <c r="D9" i="6"/>
  <c r="G18" i="6"/>
  <c r="C7" i="6"/>
  <c r="D21" i="6"/>
  <c r="H10" i="6"/>
  <c r="C10" i="6"/>
  <c r="H21" i="6"/>
  <c r="D22" i="6"/>
  <c r="C51" i="3"/>
  <c r="C52" i="3" s="1"/>
  <c r="G47" i="3"/>
  <c r="C50" i="3" l="1"/>
  <c r="C53" i="3" l="1"/>
  <c r="C54" i="3" s="1"/>
  <c r="C55" i="3" s="1"/>
  <c r="C16" i="1" s="1"/>
  <c r="C58" i="3"/>
  <c r="C62" i="3" s="1"/>
  <c r="C63" i="3" s="1"/>
  <c r="C64" i="3" s="1"/>
  <c r="C17" i="1" s="1"/>
  <c r="D17" i="1" s="1"/>
  <c r="C21" i="1" l="1"/>
  <c r="C10" i="1"/>
  <c r="C12" i="1" s="1"/>
  <c r="C11" i="1" s="1"/>
  <c r="D16" i="1"/>
</calcChain>
</file>

<file path=xl/sharedStrings.xml><?xml version="1.0" encoding="utf-8"?>
<sst xmlns="http://schemas.openxmlformats.org/spreadsheetml/2006/main" count="249" uniqueCount="190">
  <si>
    <t>DISCLAIMER: This is a sample analysis for demonstration purposes only. It does not constitute investment advice.</t>
  </si>
  <si>
    <t>トヨタ自動車株式会社 (7203.T)</t>
  </si>
  <si>
    <t>Equity Research Report</t>
  </si>
  <si>
    <t>Company</t>
  </si>
  <si>
    <t>トヨタ自動車株式会社</t>
  </si>
  <si>
    <t>Ticker</t>
  </si>
  <si>
    <t>7203.T (TSE)</t>
  </si>
  <si>
    <t>Sector</t>
  </si>
  <si>
    <t>Automotive (ex-captive finance)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</si>
  <si>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</si>
  <si>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</si>
  <si>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</si>
  <si>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</si>
  <si>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</si>
  <si>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</si>
  <si>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</si>
  <si>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</si>
  <si>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</si>
  <si>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</si>
  <si>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</si>
  <si>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</si>
  <si>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</si>
  <si>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</si>
  <si>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The reported earnings decline is entirely automotive, and the market may be mispricing the recovery path. Automotive operating margin fell from 9.68% (FY2024/3) to 4.42% (FY2026/3) while the captive finance arm grew from 24.7% to 46.2% of consolidated operating profit. Stripping finance out reveals an industrial business near a cyclical trough, not a structurally broken one.</t>
  </si>
  <si>
    <t>2. Fortress balance sheet with unrecognised asset value. Automotive net cash of roughly 9,800,000 plus equity-method investments at 5,342,548 book value and other financial assets of 15,118,244 sit outside the DCF. Combined, the non-operating assets not captured in automotive FCF exceed 20,000,000, or more than 1,500 per share against a 3,152 price.</t>
  </si>
  <si>
    <t>3. Hybrid franchise is the cash engine funding the transition. Toyota is monetising HEV demand at a time when pure-BEV competitors are diluting margins, giving it a self-funded path through the electrification capex cycle without external financing.</t>
  </si>
  <si>
    <t>Key Risks</t>
  </si>
  <si>
    <t>1. Tariff and cost persistence. The 526,000 swing in automotive operating profit between FY2025/3 and FY2026/3 shows how little margin cushion exists. If US tariff costs prove permanent rather than transitional, the Downside 1 path of 3-4% automotive margin becomes the base case.</t>
  </si>
  <si>
    <t>2. Chinese competition and BEV transition risk. Chinese OEMs are expanding into ASEAN and Europe where Toyota holds dominant share. Automotive capex of 2,526,996 against D&amp;A of roughly 1,435,511 means the investment burden continues regardless of demand, compressing free cash flow.</t>
  </si>
  <si>
    <t>3. Valuation depends heavily on segment allocation assumptions. Automotive D&amp;A is estimated at 60% of consolidated D&amp;A, and automotive net cash is derived rather than disclosed at this granularity. A 10-point shift in the D&amp;A split moves automotive EBITDA by roughly 240,000, or 0.4x on the exit multiple.</t>
  </si>
  <si>
    <t>トヨタ自動車株式会社 - Historical Financials (JPY mn)</t>
  </si>
  <si>
    <t>FY2023/3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</si>
  <si>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</si>
  <si>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</si>
  <si>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</si>
  <si>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</si>
  <si>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</si>
  <si>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</si>
  <si>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</si>
  <si>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</si>
  <si>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</si>
  <si>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</si>
  <si>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</si>
  <si>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</si>
  <si>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</si>
  <si>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</si>
  <si>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</si>
  <si>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</si>
  <si>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</si>
  <si>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</si>
  <si>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</si>
  <si>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</si>
  <si>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</si>
  <si>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</si>
  <si>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</si>
  <si>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</si>
  <si>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</si>
  <si>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</si>
  <si>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トヨタ自動車株式会社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</si>
  <si>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</si>
  <si>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</si>
  <si>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</si>
  <si>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</si>
  <si>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</si>
  <si>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</si>
  <si>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</si>
  <si>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</si>
  <si>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</si>
  <si>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</si>
  <si>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</si>
  <si>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</si>
  <si>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</si>
  <si>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</si>
  <si>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</si>
  <si>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</si>
  <si>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</si>
  <si>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</si>
  <si>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</si>
  <si>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</si>
  <si>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</si>
  <si>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</si>
  <si>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</si>
  <si>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</si>
  <si>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</si>
  <si>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</si>
  <si>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</si>
  <si>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</si>
  <si>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</si>
  <si>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</si>
  <si>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</si>
  <si>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</si>
  <si>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</si>
  <si>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</si>
  <si>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</si>
  <si>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</si>
  <si>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</si>
  <si>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</si>
  <si>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</si>
  <si>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</si>
  <si>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</si>
  <si>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</si>
  <si>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</si>
  <si>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</si>
  <si>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</si>
  <si>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</si>
  <si>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</si>
  <si>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</si>
  <si>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</si>
  <si>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</si>
  <si>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</si>
  <si>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</si>
  <si>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</si>
  <si>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</si>
  <si>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</si>
  <si>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</si>
  <si>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</si>
  <si>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</si>
  <si>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</si>
  <si>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</si>
  <si>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</si>
  <si>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</si>
  <si>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</si>
  <si>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トヨタ自動車株式会社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</si>
  <si>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</si>
  <si>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</si>
  <si>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</si>
  <si>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</si>
  <si>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</si>
  <si>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</si>
  <si>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</si>
  <si>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</si>
  <si>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</si>
  <si>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</si>
  <si>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</si>
  <si>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</si>
  <si>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</si>
  <si>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</si>
  <si>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</si>
  <si>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</si>
  <si>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</si>
  <si>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</si>
  <si>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</si>
  <si>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</si>
  <si>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</si>
  <si>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</si>
  <si>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</si>
  <si>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</si>
  <si>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</si>
  <si>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</si>
  <si>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</si>
  <si>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</si>
  <si>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</si>
  <si>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</si>
  <si>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</si>
  <si>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Toyota Motor</t>
  </si>
  <si>
    <t>7203.T</t>
  </si>
  <si>
    <t>Honda Motor</t>
  </si>
  <si>
    <t>7267.T</t>
  </si>
  <si>
    <t>N/A</t>
  </si>
  <si>
    <t>Suzuki Motor</t>
  </si>
  <si>
    <t>7269.T</t>
  </si>
  <si>
    <t>SUBARU</t>
  </si>
  <si>
    <t>7270.T</t>
  </si>
  <si>
    <t>General Motors</t>
  </si>
  <si>
    <t>GM</t>
  </si>
  <si>
    <t>Ford Motor</t>
  </si>
  <si>
    <t>F</t>
  </si>
  <si>
    <t>Volkswagen AG</t>
  </si>
  <si>
    <t>VOW3.DE</t>
  </si>
  <si>
    <t>Statistics</t>
  </si>
  <si>
    <t>25th Percentile</t>
  </si>
  <si>
    <t>Median (50th)</t>
  </si>
  <si>
    <t>75th Percentile</t>
  </si>
  <si>
    <t>Implied Valuation for トヨタ自動車株式会社</t>
  </si>
  <si>
    <t>トヨタ自動車株式会社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</si>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</sst>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1" t="s">
        <v>0</v>
      </c>
      <c r="C1" s="40"/>
      <c r="D1" s="40"/>
      <c r="E1" s="40"/>
    </row>
    <row r="3" spans="2:5" ht="18" x14ac:dyDescent="0.4">
      <c r="B3" s="39" t="s">
        <v>1</v>
      </c>
      <c r="C3" s="40"/>
      <c r="D3" s="40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3152</v>
      </c>
    </row>
    <row r="10" spans="2:5" ht="14" x14ac:dyDescent="0.3">
      <c r="B10" s="3" t="s">
        <v>10</v>
      </c>
      <c r="C10" s="4">
        <f>ROUND(AVERAGE(C16:C19),0)</f>
        <v>3384</v>
      </c>
    </row>
    <row r="11" spans="2:5" ht="14" x14ac:dyDescent="0.3">
      <c r="B11" s="3" t="s">
        <v>11</v>
      </c>
      <c r="C11" s="5" t="str">
        <f>IF(C12&gt;0.15,"BUY",IF(C12&gt;0.05,"HOLD","SELL"))</f>
        <v>HOLD</v>
      </c>
    </row>
    <row r="12" spans="2:5" ht="14" x14ac:dyDescent="0.3">
      <c r="B12" s="3" t="s">
        <v>12</v>
      </c>
      <c r="C12" s="6">
        <f>(C10-C9)/C9</f>
        <v>7.3604060913705582E-2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2716</v>
      </c>
      <c r="D16" s="6">
        <f>(C16-C9)/C9</f>
        <v>-0.1383248730964467</v>
      </c>
    </row>
    <row r="17" spans="2:4" ht="13.5" x14ac:dyDescent="0.25">
      <c r="B17" t="s">
        <v>18</v>
      </c>
      <c r="C17" s="10">
        <f>'DCF Model'!C64</f>
        <v>4842</v>
      </c>
      <c r="D17" s="6">
        <f>(C17-C9)/C9</f>
        <v>0.53616751269035534</v>
      </c>
    </row>
    <row r="18" spans="2:4" ht="13.5" x14ac:dyDescent="0.25">
      <c r="B18" t="s">
        <v>19</v>
      </c>
      <c r="C18" s="10">
        <f>'Comps Analysis'!C27</f>
        <v>2825</v>
      </c>
      <c r="D18" s="6">
        <f>IF(ISNUMBER(C18),(C18-C9)/C9,"N/A")</f>
        <v>-0.10374365482233502</v>
      </c>
    </row>
    <row r="19" spans="2:4" ht="13.5" x14ac:dyDescent="0.25">
      <c r="B19" t="s">
        <v>20</v>
      </c>
      <c r="C19" s="10">
        <f>'Comps Analysis'!C28</f>
        <v>3152</v>
      </c>
      <c r="D19" s="6">
        <f>IF(ISNUMBER(C19),(C19-C9)/C9,"N/A")</f>
        <v>0</v>
      </c>
    </row>
    <row r="21" spans="2:4" ht="14" x14ac:dyDescent="0.3">
      <c r="B21" s="3" t="s">
        <v>21</v>
      </c>
      <c r="C21" s="5" t="str">
        <f>MIN(C16:C19)&amp;" - "&amp;MAX(C16:C19)</f>
        <v>2716 - 4842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28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1" t="s">
        <v>30</v>
      </c>
    </row>
    <row r="4" spans="2:6" ht="14" x14ac:dyDescent="0.3">
      <c r="C4" s="9" t="s">
        <v>31</v>
      </c>
      <c r="D4" s="9" t="s">
        <v>32</v>
      </c>
      <c r="E4" s="9" t="s">
        <v>33</v>
      </c>
      <c r="F4" s="9" t="s">
        <v>34</v>
      </c>
    </row>
    <row r="5" spans="2:6" ht="14" x14ac:dyDescent="0.3">
      <c r="B5" s="2" t="s">
        <v>35</v>
      </c>
    </row>
    <row r="6" spans="2:6" ht="14" x14ac:dyDescent="0.3">
      <c r="B6" s="3" t="s">
        <v>36</v>
      </c>
      <c r="C6" s="4">
        <v>34367619</v>
      </c>
      <c r="D6" s="4">
        <v>41648130</v>
      </c>
      <c r="E6" s="4">
        <v>43598877</v>
      </c>
      <c r="F6" s="4">
        <v>45865949</v>
      </c>
    </row>
    <row r="7" spans="2:6" ht="14" x14ac:dyDescent="0.3">
      <c r="B7" s="3" t="s">
        <v>37</v>
      </c>
      <c r="C7" s="4">
        <v>29128561</v>
      </c>
      <c r="D7" s="4">
        <v>33600612</v>
      </c>
      <c r="E7" s="4">
        <v>35510157</v>
      </c>
      <c r="F7" s="4">
        <v>39141418</v>
      </c>
    </row>
    <row r="8" spans="2:6" ht="14" x14ac:dyDescent="0.3">
      <c r="B8" s="3" t="s">
        <v>38</v>
      </c>
      <c r="C8" s="4">
        <f>C6-C7</f>
        <v>5239058</v>
      </c>
      <c r="D8" s="4">
        <f>D6-D7</f>
        <v>8047518</v>
      </c>
      <c r="E8" s="4">
        <f>E6-E7</f>
        <v>8088720</v>
      </c>
      <c r="F8" s="4">
        <f>F6-F7</f>
        <v>6724531</v>
      </c>
    </row>
    <row r="9" spans="2:6" ht="13.5" x14ac:dyDescent="0.25">
      <c r="B9" t="s">
        <v>39</v>
      </c>
      <c r="C9" s="6">
        <f>C8/C6</f>
        <v>0.15244169228016641</v>
      </c>
      <c r="D9" s="6">
        <f>D8/D6</f>
        <v>0.19322639455841115</v>
      </c>
      <c r="E9" s="6">
        <f>E8/E6</f>
        <v>0.18552587948538216</v>
      </c>
      <c r="F9" s="6">
        <f>F8/F6</f>
        <v>0.14661270826425069</v>
      </c>
    </row>
    <row r="10" spans="2:6" ht="14" x14ac:dyDescent="0.3">
      <c r="B10" s="3" t="s">
        <v>40</v>
      </c>
      <c r="C10" s="4">
        <v>3587990</v>
      </c>
      <c r="D10" s="4">
        <v>4015383</v>
      </c>
      <c r="E10" s="4">
        <v>4782452</v>
      </c>
      <c r="F10" s="4">
        <v>4697524</v>
      </c>
    </row>
    <row r="11" spans="2:6" ht="14" x14ac:dyDescent="0.3">
      <c r="B11" s="3" t="s">
        <v>41</v>
      </c>
      <c r="C11" s="4">
        <v>1651068</v>
      </c>
      <c r="D11" s="4">
        <v>4032135</v>
      </c>
      <c r="E11" s="4">
        <v>3306268</v>
      </c>
      <c r="F11" s="4">
        <v>2027007</v>
      </c>
    </row>
    <row r="12" spans="2:6" ht="14" x14ac:dyDescent="0.3">
      <c r="B12" s="3" t="s">
        <v>42</v>
      </c>
      <c r="C12" s="4">
        <v>2451318</v>
      </c>
      <c r="D12" s="4">
        <v>4944933</v>
      </c>
      <c r="E12" s="4">
        <v>4765086</v>
      </c>
      <c r="F12" s="4">
        <v>3848098</v>
      </c>
    </row>
    <row r="13" spans="2:6" ht="13.5" x14ac:dyDescent="0.25">
      <c r="B13" t="s">
        <v>43</v>
      </c>
      <c r="C13" s="6">
        <f>C11/C6</f>
        <v>4.8041384536996877E-2</v>
      </c>
      <c r="D13" s="6">
        <f>D11/D6</f>
        <v>9.6814310750566707E-2</v>
      </c>
      <c r="E13" s="6">
        <f>E11/E6</f>
        <v>7.5833788104221131E-2</v>
      </c>
      <c r="F13" s="6">
        <f>F11/F6</f>
        <v>4.4194158067022662E-2</v>
      </c>
    </row>
    <row r="14" spans="2:6" ht="13.5" x14ac:dyDescent="0.25">
      <c r="B14" t="s">
        <v>44</v>
      </c>
      <c r="C14" s="6">
        <f>C12/C6</f>
        <v>7.1326384292144301E-2</v>
      </c>
      <c r="D14" s="6">
        <f>D12/D6</f>
        <v>0.11873121314210267</v>
      </c>
      <c r="E14" s="6">
        <f>E12/E6</f>
        <v>0.10929377836956672</v>
      </c>
      <c r="F14" s="6">
        <f>F12/F6</f>
        <v>8.3898798213027273E-2</v>
      </c>
    </row>
    <row r="15" spans="2:6" ht="13.5" x14ac:dyDescent="0.25">
      <c r="B15" t="s">
        <v>45</v>
      </c>
      <c r="C15" t="s">
        <v>46</v>
      </c>
      <c r="D15" s="6">
        <f>(D6-C6)/C6</f>
        <v>0.21184217038718917</v>
      </c>
      <c r="E15" s="6">
        <f>(E6-D6)/D6</f>
        <v>4.68387656300535E-2</v>
      </c>
      <c r="F15" s="6">
        <f>(F6-E6)/E6</f>
        <v>5.1998403536861741E-2</v>
      </c>
    </row>
    <row r="16" spans="2:6" ht="13.5" x14ac:dyDescent="0.25">
      <c r="B16" t="s">
        <v>47</v>
      </c>
      <c r="C16" t="s">
        <v>46</v>
      </c>
      <c r="D16" s="6">
        <f>(D11-C11)/C11</f>
        <v>1.4421374528487017</v>
      </c>
      <c r="E16" s="6">
        <f>(E11-D11)/D11</f>
        <v>-0.1800205102259721</v>
      </c>
      <c r="F16" s="6">
        <f>(F11-E11)/E11</f>
        <v>-0.38691993510507922</v>
      </c>
    </row>
    <row r="18" spans="2:6" ht="14" x14ac:dyDescent="0.3">
      <c r="B18" s="2" t="s">
        <v>48</v>
      </c>
    </row>
    <row r="19" spans="2:6" ht="14" x14ac:dyDescent="0.3">
      <c r="B19" s="3" t="s">
        <v>49</v>
      </c>
      <c r="C19" s="4">
        <v>0</v>
      </c>
      <c r="D19" s="4">
        <v>0</v>
      </c>
      <c r="E19" s="4"/>
      <c r="F19" s="4"/>
    </row>
    <row r="20" spans="2:6" ht="14" x14ac:dyDescent="0.3">
      <c r="B20" s="3" t="s">
        <v>50</v>
      </c>
      <c r="C20" s="4">
        <v>1798476</v>
      </c>
      <c r="D20" s="4">
        <v>2180734</v>
      </c>
      <c r="E20" s="4">
        <v>2260608</v>
      </c>
      <c r="F20" s="4">
        <v>2526996</v>
      </c>
    </row>
    <row r="21" spans="2:6" ht="14" x14ac:dyDescent="0.3">
      <c r="B21" s="3" t="s">
        <v>51</v>
      </c>
      <c r="C21" s="4">
        <f>C19-C20</f>
        <v>-1798476</v>
      </c>
      <c r="D21" s="4">
        <f>D19-D20</f>
        <v>-2180734</v>
      </c>
      <c r="E21" s="4">
        <f>E19-E20</f>
        <v>-2260608</v>
      </c>
      <c r="F21" s="4">
        <f>F19-F20</f>
        <v>-2526996</v>
      </c>
    </row>
    <row r="22" spans="2:6" ht="13.5" x14ac:dyDescent="0.25">
      <c r="B22" t="s">
        <v>52</v>
      </c>
      <c r="C22" s="6">
        <f>C21/C6</f>
        <v>-5.2330538231350851E-2</v>
      </c>
      <c r="D22" s="6">
        <f>D21/D6</f>
        <v>-5.2360910321783957E-2</v>
      </c>
      <c r="E22" s="6">
        <f>E21/E6</f>
        <v>-5.1850142837394642E-2</v>
      </c>
      <c r="F22" s="6">
        <f>F21/F6</f>
        <v>-5.5095251599394574E-2</v>
      </c>
    </row>
    <row r="23" spans="2:6" ht="13.5" x14ac:dyDescent="0.25">
      <c r="B23" t="s">
        <v>53</v>
      </c>
      <c r="C23" s="6">
        <f>C20/C6</f>
        <v>5.2330538231350851E-2</v>
      </c>
      <c r="D23" s="6">
        <f>D20/D6</f>
        <v>5.2360910321783957E-2</v>
      </c>
      <c r="E23" s="6">
        <f>E20/E6</f>
        <v>5.1850142837394642E-2</v>
      </c>
      <c r="F23" s="6">
        <f>F20/F6</f>
        <v>5.5095251599394574E-2</v>
      </c>
    </row>
    <row r="25" spans="2:6" ht="14" x14ac:dyDescent="0.3">
      <c r="B25" s="2" t="s">
        <v>54</v>
      </c>
    </row>
    <row r="26" spans="2:6" ht="14" x14ac:dyDescent="0.3">
      <c r="B26" s="3" t="s">
        <v>55</v>
      </c>
      <c r="C26" s="4">
        <v>3996258</v>
      </c>
      <c r="D26" s="4">
        <v>5828255</v>
      </c>
      <c r="E26" s="4"/>
      <c r="F26" s="4"/>
    </row>
    <row r="27" spans="2:6" ht="14" x14ac:dyDescent="0.3">
      <c r="B27" s="3" t="s">
        <v>56</v>
      </c>
      <c r="C27" s="4">
        <v>1133917</v>
      </c>
      <c r="D27" s="4">
        <v>1326877</v>
      </c>
      <c r="E27" s="4">
        <v>0</v>
      </c>
      <c r="F27" s="4">
        <v>0</v>
      </c>
    </row>
    <row r="28" spans="2:6" ht="14" x14ac:dyDescent="0.3">
      <c r="B28" s="3" t="s">
        <v>57</v>
      </c>
      <c r="C28" s="4">
        <f>C27-C26</f>
        <v>-2862341</v>
      </c>
      <c r="D28" s="4">
        <f>D27-D26</f>
        <v>-4501378</v>
      </c>
      <c r="E28" s="4">
        <f>E27-E26</f>
        <v>0</v>
      </c>
      <c r="F28" s="4">
        <f>F27-F26</f>
        <v>0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topLeftCell="A69" workbookViewId="0">
      <selection activeCell="D16" sqref="D16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58</v>
      </c>
    </row>
    <row r="4" spans="2:7" ht="14" x14ac:dyDescent="0.3">
      <c r="B4" s="7" t="s">
        <v>59</v>
      </c>
      <c r="C4" s="8"/>
      <c r="D4" s="8"/>
      <c r="E4" s="8"/>
      <c r="F4" s="8"/>
      <c r="G4" s="8"/>
    </row>
    <row r="5" spans="2:7" ht="14" x14ac:dyDescent="0.3">
      <c r="B5" s="3" t="s">
        <v>53</v>
      </c>
      <c r="C5" s="6">
        <v>5.8867200153211702E-2</v>
      </c>
    </row>
    <row r="6" spans="2:7" ht="14" x14ac:dyDescent="0.3">
      <c r="B6" s="3" t="s">
        <v>60</v>
      </c>
      <c r="C6" s="6">
        <v>0.26</v>
      </c>
    </row>
    <row r="7" spans="2:7" ht="14" x14ac:dyDescent="0.3">
      <c r="B7" s="3" t="s">
        <v>61</v>
      </c>
      <c r="C7" s="6">
        <v>2.3E-2</v>
      </c>
    </row>
    <row r="8" spans="2:7" ht="14" x14ac:dyDescent="0.3">
      <c r="B8" s="3" t="s">
        <v>62</v>
      </c>
      <c r="C8" s="11">
        <v>0.85</v>
      </c>
    </row>
    <row r="9" spans="2:7" ht="14" x14ac:dyDescent="0.3">
      <c r="B9" s="3" t="s">
        <v>63</v>
      </c>
      <c r="C9" s="6">
        <v>0.06</v>
      </c>
    </row>
    <row r="10" spans="2:7" ht="14" x14ac:dyDescent="0.3">
      <c r="B10" s="3" t="s">
        <v>64</v>
      </c>
      <c r="C10" s="6">
        <v>0</v>
      </c>
    </row>
    <row r="11" spans="2:7" ht="14" x14ac:dyDescent="0.3">
      <c r="B11" s="3" t="s">
        <v>65</v>
      </c>
      <c r="C11" s="6">
        <v>0.01</v>
      </c>
    </row>
    <row r="12" spans="2:7" ht="14" x14ac:dyDescent="0.3">
      <c r="B12" s="3" t="s">
        <v>66</v>
      </c>
      <c r="C12" s="12">
        <v>0</v>
      </c>
    </row>
    <row r="13" spans="2:7" ht="14" x14ac:dyDescent="0.3">
      <c r="B13" s="3" t="s">
        <v>67</v>
      </c>
      <c r="C13" s="6">
        <v>0.01</v>
      </c>
    </row>
    <row r="14" spans="2:7" ht="14" x14ac:dyDescent="0.3">
      <c r="B14" s="3" t="s">
        <v>68</v>
      </c>
      <c r="C14" s="13">
        <v>12</v>
      </c>
    </row>
    <row r="15" spans="2:7" ht="14" x14ac:dyDescent="0.3">
      <c r="B15" s="3" t="s">
        <v>69</v>
      </c>
      <c r="C15" s="14">
        <v>13009058960</v>
      </c>
    </row>
    <row r="16" spans="2:7" ht="14" x14ac:dyDescent="0.3">
      <c r="B16" s="3" t="s">
        <v>70</v>
      </c>
      <c r="C16" s="4">
        <v>-9800000</v>
      </c>
    </row>
    <row r="17" spans="2:7" ht="14" x14ac:dyDescent="0.3">
      <c r="B17" s="3" t="s">
        <v>71</v>
      </c>
      <c r="C17" s="4">
        <v>45865949</v>
      </c>
    </row>
    <row r="18" spans="2:7" ht="14" x14ac:dyDescent="0.3">
      <c r="B18" s="3" t="s">
        <v>72</v>
      </c>
      <c r="C18" s="6">
        <v>3.6667445821299813E-2</v>
      </c>
    </row>
    <row r="19" spans="2:7" ht="14" x14ac:dyDescent="0.3">
      <c r="B19" s="3" t="s">
        <v>73</v>
      </c>
      <c r="C19" s="11">
        <v>1</v>
      </c>
    </row>
    <row r="20" spans="2:7" ht="14" x14ac:dyDescent="0.3">
      <c r="B20" s="3" t="s">
        <v>74</v>
      </c>
      <c r="C20" s="4">
        <v>18259979</v>
      </c>
    </row>
    <row r="22" spans="2:7" ht="14" x14ac:dyDescent="0.3">
      <c r="B22" s="7" t="s">
        <v>75</v>
      </c>
      <c r="C22" s="8"/>
      <c r="D22" s="8"/>
      <c r="E22" s="8"/>
      <c r="F22" s="8"/>
      <c r="G22" s="8"/>
    </row>
    <row r="23" spans="2:7" ht="14" x14ac:dyDescent="0.3">
      <c r="B23" s="3" t="s">
        <v>76</v>
      </c>
      <c r="C23" s="15">
        <f>C7+C8*C9+C10</f>
        <v>7.3999999999999996E-2</v>
      </c>
    </row>
    <row r="24" spans="2:7" ht="14" x14ac:dyDescent="0.3">
      <c r="B24" s="3" t="s">
        <v>77</v>
      </c>
      <c r="C24" s="15">
        <f>1/(1+C12)</f>
        <v>1</v>
      </c>
    </row>
    <row r="25" spans="2:7" ht="14" x14ac:dyDescent="0.3">
      <c r="B25" s="3" t="s">
        <v>78</v>
      </c>
      <c r="C25" s="15">
        <f>C12/(1+C12)</f>
        <v>0</v>
      </c>
    </row>
    <row r="26" spans="2:7" ht="14" x14ac:dyDescent="0.3">
      <c r="B26" s="3" t="s">
        <v>79</v>
      </c>
      <c r="C26" s="15">
        <f>C23*C24+C11*C25</f>
        <v>7.3999999999999996E-2</v>
      </c>
    </row>
    <row r="27" spans="2:7" ht="14" x14ac:dyDescent="0.3">
      <c r="B27" s="3" t="s">
        <v>80</v>
      </c>
      <c r="C27" s="16" t="s">
        <v>81</v>
      </c>
      <c r="D27" s="5">
        <v>1</v>
      </c>
    </row>
    <row r="28" spans="2:7" ht="14" x14ac:dyDescent="0.3">
      <c r="B28" s="7" t="s">
        <v>82</v>
      </c>
      <c r="C28" s="8"/>
      <c r="D28" s="8"/>
      <c r="E28" s="8"/>
      <c r="F28" s="8"/>
      <c r="G28" s="8"/>
    </row>
    <row r="29" spans="2:7" ht="14" x14ac:dyDescent="0.3">
      <c r="C29" s="9" t="s">
        <v>83</v>
      </c>
      <c r="D29" s="9" t="s">
        <v>84</v>
      </c>
      <c r="E29" s="9" t="s">
        <v>85</v>
      </c>
      <c r="F29" s="9" t="s">
        <v>86</v>
      </c>
      <c r="G29" s="9" t="s">
        <v>87</v>
      </c>
    </row>
    <row r="30" spans="2:7" ht="14" x14ac:dyDescent="0.3">
      <c r="B30" s="3" t="s">
        <v>45</v>
      </c>
      <c r="C30" s="17">
        <f>CHOOSE($D$27,C69,C70,C71,C72,C73)</f>
        <v>0.03</v>
      </c>
      <c r="D30" s="17">
        <f>CHOOSE($D$27,D69,D70,D71,D72,D73)</f>
        <v>0.04</v>
      </c>
      <c r="E30" s="17">
        <f>CHOOSE($D$27,E69,E70,E71,E72,E73)</f>
        <v>0.03</v>
      </c>
      <c r="F30" s="17">
        <f>CHOOSE($D$27,F69,F70,F71,F72,F73)</f>
        <v>0.03</v>
      </c>
      <c r="G30" s="17">
        <f>CHOOSE($D$27,G69,G70,G71,G72,G73)</f>
        <v>0.02</v>
      </c>
    </row>
    <row r="31" spans="2:7" ht="14" x14ac:dyDescent="0.3">
      <c r="B31" s="3" t="s">
        <v>88</v>
      </c>
      <c r="C31" s="17">
        <f>CHOOSE($D$27,C76,C77,C78,C79,C80)</f>
        <v>0.84499999999999997</v>
      </c>
      <c r="D31" s="17">
        <f>CHOOSE($D$27,D76,D77,D78,D79,D80)</f>
        <v>0.83599999999999997</v>
      </c>
      <c r="E31" s="17">
        <f>CHOOSE($D$27,E76,E77,E78,E79,E80)</f>
        <v>0.83199999999999996</v>
      </c>
      <c r="F31" s="17">
        <f>CHOOSE($D$27,F76,F77,F78,F79,F80)</f>
        <v>0.83</v>
      </c>
      <c r="G31" s="17">
        <f>CHOOSE($D$27,G76,G77,G78,G79,G80)</f>
        <v>0.83</v>
      </c>
    </row>
    <row r="32" spans="2:7" ht="14" x14ac:dyDescent="0.3">
      <c r="B32" s="3" t="s">
        <v>89</v>
      </c>
      <c r="C32" s="17">
        <f>CHOOSE($D$27,C83,C84,C85,C86,C87)</f>
        <v>0.1</v>
      </c>
      <c r="D32" s="17">
        <f>CHOOSE($D$27,D83,D84,D85,D86,D87)</f>
        <v>9.9000000000000005E-2</v>
      </c>
      <c r="E32" s="17">
        <f>CHOOSE($D$27,E83,E84,E85,E86,E87)</f>
        <v>9.8000000000000004E-2</v>
      </c>
      <c r="F32" s="17">
        <f>CHOOSE($D$27,F83,F84,F85,F86,F87)</f>
        <v>9.8000000000000004E-2</v>
      </c>
      <c r="G32" s="17">
        <f>CHOOSE($D$27,G83,G84,G85,G86,G87)</f>
        <v>9.8000000000000004E-2</v>
      </c>
    </row>
    <row r="33" spans="2:7" ht="14" x14ac:dyDescent="0.3">
      <c r="B33" s="3" t="s">
        <v>36</v>
      </c>
      <c r="C33" s="4">
        <f>C17*(1+C30)</f>
        <v>47241927.469999999</v>
      </c>
      <c r="D33" s="4">
        <f>C33*(1+D30)</f>
        <v>49131604.568800002</v>
      </c>
      <c r="E33" s="4">
        <f>D33*(1+E30)</f>
        <v>50605552.705864005</v>
      </c>
      <c r="F33" s="4">
        <f>E33*(1+F30)</f>
        <v>52123719.287039928</v>
      </c>
      <c r="G33" s="4">
        <f>F33*(1+G30)</f>
        <v>53166193.67278073</v>
      </c>
    </row>
    <row r="34" spans="2:7" ht="14" x14ac:dyDescent="0.3">
      <c r="B34" s="3" t="s">
        <v>37</v>
      </c>
      <c r="C34" s="4">
        <f>C33*C31</f>
        <v>39919428.71215</v>
      </c>
      <c r="D34" s="4">
        <f>D33*D31</f>
        <v>41074021.419516802</v>
      </c>
      <c r="E34" s="4">
        <f>E33*E31</f>
        <v>42103819.851278849</v>
      </c>
      <c r="F34" s="4">
        <f>F33*F31</f>
        <v>43262687.008243136</v>
      </c>
      <c r="G34" s="4">
        <f>G33*G31</f>
        <v>44127940.748408005</v>
      </c>
    </row>
    <row r="35" spans="2:7" ht="14" x14ac:dyDescent="0.3">
      <c r="B35" s="3" t="s">
        <v>38</v>
      </c>
      <c r="C35" s="18">
        <f>C33-C34</f>
        <v>7322498.7578499988</v>
      </c>
      <c r="D35" s="18">
        <f>D33-D34</f>
        <v>8057583.1492832005</v>
      </c>
      <c r="E35" s="18">
        <f>E33-E34</f>
        <v>8501732.8545851558</v>
      </c>
      <c r="F35" s="18">
        <f>F33-F34</f>
        <v>8861032.278796792</v>
      </c>
      <c r="G35" s="18">
        <f>G33-G34</f>
        <v>9038252.9243727252</v>
      </c>
    </row>
    <row r="36" spans="2:7" ht="14" x14ac:dyDescent="0.3">
      <c r="B36" s="3" t="s">
        <v>39</v>
      </c>
      <c r="C36" s="6">
        <f>C35/C33</f>
        <v>0.15499999999999997</v>
      </c>
      <c r="D36" s="6">
        <f>D35/D33</f>
        <v>0.16400000000000001</v>
      </c>
      <c r="E36" s="6">
        <f>E35/E33</f>
        <v>0.16800000000000007</v>
      </c>
      <c r="F36" s="6">
        <f>F35/F33</f>
        <v>0.17000000000000007</v>
      </c>
      <c r="G36" s="6">
        <f>G35/G33</f>
        <v>0.17</v>
      </c>
    </row>
    <row r="37" spans="2:7" ht="14" x14ac:dyDescent="0.3">
      <c r="B37" s="3" t="s">
        <v>90</v>
      </c>
      <c r="C37" s="4">
        <f>C33*C32</f>
        <v>4724192.7470000004</v>
      </c>
      <c r="D37" s="4">
        <f>D33*D32</f>
        <v>4864028.8523112005</v>
      </c>
      <c r="E37" s="4">
        <f>E33*E32</f>
        <v>4959344.1651746724</v>
      </c>
      <c r="F37" s="4">
        <f>F33*F32</f>
        <v>5108124.4901299132</v>
      </c>
      <c r="G37" s="4">
        <f>G33*G32</f>
        <v>5210286.9799325122</v>
      </c>
    </row>
    <row r="38" spans="2:7" ht="14" x14ac:dyDescent="0.3">
      <c r="B38" s="3" t="s">
        <v>91</v>
      </c>
      <c r="C38" s="6">
        <f>(C35-C37)/C33</f>
        <v>5.4999999999999966E-2</v>
      </c>
      <c r="D38" s="6">
        <f>(D35-D37)/D33</f>
        <v>6.5000000000000002E-2</v>
      </c>
      <c r="E38" s="6">
        <f>(E35-E37)/E33</f>
        <v>7.0000000000000062E-2</v>
      </c>
      <c r="F38" s="6">
        <f>(F35-F37)/F33</f>
        <v>7.2000000000000078E-2</v>
      </c>
      <c r="G38" s="6">
        <f>(G35-G37)/G33</f>
        <v>7.2000000000000008E-2</v>
      </c>
    </row>
    <row r="39" spans="2:7" ht="14" x14ac:dyDescent="0.3">
      <c r="B39" s="3" t="s">
        <v>92</v>
      </c>
      <c r="C39" s="18">
        <f>C35-C37</f>
        <v>2598306.0108499983</v>
      </c>
      <c r="D39" s="18">
        <f>D35-D37</f>
        <v>3193554.296972</v>
      </c>
      <c r="E39" s="18">
        <f>E35-E37</f>
        <v>3542388.6894104835</v>
      </c>
      <c r="F39" s="18">
        <f>F35-F37</f>
        <v>3752907.7886668788</v>
      </c>
      <c r="G39" s="18">
        <f>G35-G37</f>
        <v>3827965.944440213</v>
      </c>
    </row>
    <row r="40" spans="2:7" ht="14" x14ac:dyDescent="0.3">
      <c r="B40" s="3" t="s">
        <v>93</v>
      </c>
      <c r="C40" s="4">
        <f>MAX(0,C39*C6)</f>
        <v>675559.56282099953</v>
      </c>
      <c r="D40" s="4">
        <f>MAX(0,D39*C6)</f>
        <v>830324.11721271998</v>
      </c>
      <c r="E40" s="4">
        <f>MAX(0,E39*C6)</f>
        <v>921021.05924672575</v>
      </c>
      <c r="F40" s="4">
        <f>MAX(0,F39*C6)</f>
        <v>975756.02505338856</v>
      </c>
      <c r="G40" s="4">
        <f>MAX(0,G39*C6)</f>
        <v>995271.14555445546</v>
      </c>
    </row>
    <row r="41" spans="2:7" ht="14" x14ac:dyDescent="0.3">
      <c r="B41" s="3" t="s">
        <v>94</v>
      </c>
      <c r="C41" s="18">
        <f>C39-C40</f>
        <v>1922746.4480289989</v>
      </c>
      <c r="D41" s="18">
        <f>D39-D40</f>
        <v>2363230.1797592798</v>
      </c>
      <c r="E41" s="18">
        <f>E39-E40</f>
        <v>2621367.6301637576</v>
      </c>
      <c r="F41" s="18">
        <f>F39-F40</f>
        <v>2777151.7636134904</v>
      </c>
      <c r="G41" s="18">
        <f>G39-G40</f>
        <v>2832694.7988857576</v>
      </c>
    </row>
    <row r="42" spans="2:7" ht="14" x14ac:dyDescent="0.3">
      <c r="B42" s="3" t="s">
        <v>95</v>
      </c>
      <c r="C42" s="4">
        <v>1538220</v>
      </c>
      <c r="D42" s="4">
        <v>1610004</v>
      </c>
      <c r="E42" s="4">
        <v>1681787</v>
      </c>
      <c r="F42" s="4">
        <v>1753571</v>
      </c>
      <c r="G42" s="4">
        <v>1825354</v>
      </c>
    </row>
    <row r="43" spans="2:7" ht="14" x14ac:dyDescent="0.3">
      <c r="B43" s="3" t="s">
        <v>96</v>
      </c>
      <c r="C43" s="4">
        <v>2600000</v>
      </c>
      <c r="D43" s="4">
        <v>2650000</v>
      </c>
      <c r="E43" s="4">
        <v>2700000</v>
      </c>
      <c r="F43" s="4">
        <v>2750000</v>
      </c>
      <c r="G43" s="4">
        <v>2800000</v>
      </c>
    </row>
    <row r="44" spans="2:7" ht="14" x14ac:dyDescent="0.3">
      <c r="B44" s="3" t="s">
        <v>97</v>
      </c>
      <c r="C44" s="4">
        <f>'NWC Schedule'!D19</f>
        <v>43283.06332862936</v>
      </c>
      <c r="D44" s="4">
        <f>'NWC Schedule'!E19</f>
        <v>20641.486555933021</v>
      </c>
      <c r="E44" s="4">
        <f>'NWC Schedule'!F19</f>
        <v>-16777.433406725526</v>
      </c>
      <c r="F44" s="4">
        <f>'NWC Schedule'!G19</f>
        <v>96206.008281093091</v>
      </c>
      <c r="G44" s="4">
        <f>'NWC Schedule'!H19</f>
        <v>64347.802495180629</v>
      </c>
    </row>
    <row r="45" spans="2:7" ht="14" x14ac:dyDescent="0.3">
      <c r="B45" s="3" t="s">
        <v>98</v>
      </c>
      <c r="C45" s="19">
        <f>C41+C42-C43-C44</f>
        <v>817683.38470036956</v>
      </c>
      <c r="D45" s="19">
        <f>D41+D42-D43-D44</f>
        <v>1302592.6932033468</v>
      </c>
      <c r="E45" s="19">
        <f>E41+E42-E43-E44</f>
        <v>1619932.0635704827</v>
      </c>
      <c r="F45" s="19">
        <f>F41+F42-F43-F44</f>
        <v>1684516.7553323973</v>
      </c>
      <c r="G45" s="19">
        <f>G41+G42-G43-G44</f>
        <v>1793700.9963905765</v>
      </c>
    </row>
    <row r="46" spans="2:7" ht="14" x14ac:dyDescent="0.3">
      <c r="B46" s="3" t="s">
        <v>99</v>
      </c>
      <c r="C46" s="20">
        <f>1/(1+C26)^(C19+0)</f>
        <v>0.93109869646182486</v>
      </c>
      <c r="D46" s="20">
        <f>1/(1+C26)^(C19+1)</f>
        <v>0.86694478255290952</v>
      </c>
      <c r="E46" s="20">
        <f>1/(1+C26)^(C19+2)</f>
        <v>0.80721115693939438</v>
      </c>
      <c r="F46" s="20">
        <f>1/(1+C26)^(C19+3)</f>
        <v>0.75159325599571147</v>
      </c>
      <c r="G46" s="20">
        <f>1/(1+C26)^(C19+4)</f>
        <v>0.69980750092710564</v>
      </c>
    </row>
    <row r="47" spans="2:7" ht="14" x14ac:dyDescent="0.3">
      <c r="B47" s="3" t="s">
        <v>100</v>
      </c>
      <c r="C47" s="18">
        <f>C45*C46</f>
        <v>761343.93361300696</v>
      </c>
      <c r="D47" s="18">
        <f>D45*D46</f>
        <v>1129275.9391641843</v>
      </c>
      <c r="E47" s="18">
        <f>E45*E46</f>
        <v>1307627.2351979499</v>
      </c>
      <c r="F47" s="18">
        <f>F45*F46</f>
        <v>1266071.4329196077</v>
      </c>
      <c r="G47" s="18">
        <f>G45*G46</f>
        <v>1255245.4116945486</v>
      </c>
    </row>
    <row r="49" spans="2:7" ht="14" x14ac:dyDescent="0.3">
      <c r="B49" s="21" t="s">
        <v>101</v>
      </c>
      <c r="C49" s="22"/>
      <c r="D49" s="22"/>
      <c r="E49" s="22"/>
      <c r="F49" s="22"/>
      <c r="G49" s="22"/>
    </row>
    <row r="50" spans="2:7" ht="14" x14ac:dyDescent="0.3">
      <c r="B50" s="3" t="s">
        <v>102</v>
      </c>
      <c r="C50" s="4">
        <f>SUM(C47:G47)</f>
        <v>5719563.9525892977</v>
      </c>
    </row>
    <row r="51" spans="2:7" ht="14" x14ac:dyDescent="0.3">
      <c r="B51" s="3" t="s">
        <v>103</v>
      </c>
      <c r="C51" s="4">
        <f>G45*(1+C13)/(C26-C13)</f>
        <v>28306843.849288784</v>
      </c>
    </row>
    <row r="52" spans="2:7" ht="14" x14ac:dyDescent="0.3">
      <c r="B52" s="3" t="s">
        <v>104</v>
      </c>
      <c r="C52" s="4">
        <f>C51*G46</f>
        <v>19809341.653304596</v>
      </c>
    </row>
    <row r="53" spans="2:7" ht="14" x14ac:dyDescent="0.3">
      <c r="B53" s="3" t="s">
        <v>105</v>
      </c>
      <c r="C53" s="4">
        <f>C50+C52</f>
        <v>25528905.605893895</v>
      </c>
    </row>
    <row r="54" spans="2:7" ht="14" x14ac:dyDescent="0.3">
      <c r="B54" s="3" t="s">
        <v>106</v>
      </c>
      <c r="C54" s="4">
        <f>C53-C16</f>
        <v>35328905.605893895</v>
      </c>
    </row>
    <row r="55" spans="2:7" ht="14" x14ac:dyDescent="0.3">
      <c r="B55" s="3" t="s">
        <v>107</v>
      </c>
      <c r="C55" s="23">
        <f>ROUND(C54*1000000/C15,0)</f>
        <v>2716</v>
      </c>
    </row>
    <row r="57" spans="2:7" ht="14" x14ac:dyDescent="0.3">
      <c r="B57" s="21" t="s">
        <v>108</v>
      </c>
      <c r="C57" s="22"/>
      <c r="D57" s="22"/>
      <c r="E57" s="22"/>
      <c r="F57" s="22"/>
      <c r="G57" s="22"/>
    </row>
    <row r="58" spans="2:7" ht="14" x14ac:dyDescent="0.3">
      <c r="B58" s="3" t="s">
        <v>102</v>
      </c>
      <c r="C58" s="4">
        <f>C50</f>
        <v>5719563.9525892977</v>
      </c>
    </row>
    <row r="59" spans="2:7" ht="14" x14ac:dyDescent="0.3">
      <c r="B59" s="3" t="s">
        <v>109</v>
      </c>
      <c r="C59" s="4">
        <f>G39+G42</f>
        <v>5653319.944440213</v>
      </c>
    </row>
    <row r="60" spans="2:7" ht="14" x14ac:dyDescent="0.3">
      <c r="B60" s="3" t="s">
        <v>110</v>
      </c>
      <c r="C60" s="4">
        <f>C59*C14</f>
        <v>67839839.33328256</v>
      </c>
    </row>
    <row r="61" spans="2:7" ht="14" x14ac:dyDescent="0.3">
      <c r="B61" s="3" t="s">
        <v>104</v>
      </c>
      <c r="C61" s="4">
        <f>C60*G46</f>
        <v>47474828.427120835</v>
      </c>
    </row>
    <row r="62" spans="2:7" ht="14" x14ac:dyDescent="0.3">
      <c r="B62" s="3" t="s">
        <v>105</v>
      </c>
      <c r="C62" s="4">
        <f>C58+C61</f>
        <v>53194392.37971013</v>
      </c>
    </row>
    <row r="63" spans="2:7" ht="14" x14ac:dyDescent="0.3">
      <c r="B63" s="3" t="s">
        <v>106</v>
      </c>
      <c r="C63" s="4">
        <f>C62-C16</f>
        <v>62994392.37971013</v>
      </c>
    </row>
    <row r="64" spans="2:7" ht="14" x14ac:dyDescent="0.3">
      <c r="B64" s="3" t="s">
        <v>111</v>
      </c>
      <c r="C64" s="23">
        <f>ROUND(C63*1000000/C15,0)</f>
        <v>4842</v>
      </c>
    </row>
    <row r="66" spans="2:7" ht="14" x14ac:dyDescent="0.3">
      <c r="B66" s="21" t="s">
        <v>112</v>
      </c>
      <c r="C66" s="22"/>
      <c r="D66" s="22"/>
      <c r="E66" s="22"/>
      <c r="F66" s="22"/>
      <c r="G66" s="22"/>
    </row>
    <row r="67" spans="2:7" ht="14" x14ac:dyDescent="0.3">
      <c r="C67" s="24" t="s">
        <v>113</v>
      </c>
      <c r="D67" s="24" t="s">
        <v>114</v>
      </c>
      <c r="E67" s="24" t="s">
        <v>115</v>
      </c>
      <c r="F67" s="24" t="s">
        <v>116</v>
      </c>
      <c r="G67" s="24" t="s">
        <v>117</v>
      </c>
    </row>
    <row r="68" spans="2:7" ht="14" x14ac:dyDescent="0.3">
      <c r="B68" s="2" t="s">
        <v>45</v>
      </c>
    </row>
    <row r="69" spans="2:7" ht="14" x14ac:dyDescent="0.3">
      <c r="B69" s="3" t="s">
        <v>81</v>
      </c>
      <c r="C69" s="25">
        <v>0.03</v>
      </c>
      <c r="D69" s="25">
        <v>0.04</v>
      </c>
      <c r="E69" s="25">
        <v>0.03</v>
      </c>
      <c r="F69" s="25">
        <v>0.03</v>
      </c>
      <c r="G69" s="25">
        <v>0.02</v>
      </c>
    </row>
    <row r="70" spans="2:7" ht="14" x14ac:dyDescent="0.3">
      <c r="B70" s="3" t="s">
        <v>118</v>
      </c>
      <c r="C70" s="25">
        <v>0.06</v>
      </c>
      <c r="D70" s="25">
        <v>0.06</v>
      </c>
      <c r="E70" s="25">
        <v>0.05</v>
      </c>
      <c r="F70" s="25">
        <v>0.04</v>
      </c>
      <c r="G70" s="25">
        <v>0.04</v>
      </c>
    </row>
    <row r="71" spans="2:7" ht="14" x14ac:dyDescent="0.3">
      <c r="B71" s="3" t="s">
        <v>119</v>
      </c>
      <c r="C71" s="25">
        <v>6.1999999999999998E-3</v>
      </c>
      <c r="D71" s="25">
        <v>0.03</v>
      </c>
      <c r="E71" s="25">
        <v>0.03</v>
      </c>
      <c r="F71" s="25">
        <v>0.02</v>
      </c>
      <c r="G71" s="25">
        <v>0.02</v>
      </c>
    </row>
    <row r="72" spans="2:7" ht="14" x14ac:dyDescent="0.3">
      <c r="B72" s="3" t="s">
        <v>120</v>
      </c>
      <c r="C72" s="25">
        <v>0</v>
      </c>
      <c r="D72" s="25">
        <v>0.01</v>
      </c>
      <c r="E72" s="25">
        <v>0.01</v>
      </c>
      <c r="F72" s="25">
        <v>0.01</v>
      </c>
      <c r="G72" s="25">
        <v>0.01</v>
      </c>
    </row>
    <row r="73" spans="2:7" ht="14" x14ac:dyDescent="0.3">
      <c r="B73" s="3" t="s">
        <v>121</v>
      </c>
      <c r="C73" s="25">
        <v>-0.03</v>
      </c>
      <c r="D73" s="25">
        <v>-0.04</v>
      </c>
      <c r="E73" s="25">
        <v>-0.02</v>
      </c>
      <c r="F73" s="25">
        <v>0</v>
      </c>
      <c r="G73" s="25">
        <v>0</v>
      </c>
    </row>
    <row r="75" spans="2:7" ht="14" x14ac:dyDescent="0.3">
      <c r="B75" s="2" t="s">
        <v>88</v>
      </c>
    </row>
    <row r="76" spans="2:7" ht="14" x14ac:dyDescent="0.3">
      <c r="B76" s="3" t="s">
        <v>81</v>
      </c>
      <c r="C76" s="25">
        <v>0.84499999999999997</v>
      </c>
      <c r="D76" s="25">
        <v>0.83599999999999997</v>
      </c>
      <c r="E76" s="25">
        <v>0.83199999999999996</v>
      </c>
      <c r="F76" s="25">
        <v>0.83</v>
      </c>
      <c r="G76" s="25">
        <v>0.83</v>
      </c>
    </row>
    <row r="77" spans="2:7" ht="14" x14ac:dyDescent="0.3">
      <c r="B77" s="3" t="s">
        <v>118</v>
      </c>
      <c r="C77" s="25">
        <v>0.83599999999999997</v>
      </c>
      <c r="D77" s="25">
        <v>0.82199999999999995</v>
      </c>
      <c r="E77" s="25">
        <v>0.81499999999999995</v>
      </c>
      <c r="F77" s="25">
        <v>0.81200000000000006</v>
      </c>
      <c r="G77" s="25">
        <v>0.80900000000000005</v>
      </c>
    </row>
    <row r="78" spans="2:7" ht="14" x14ac:dyDescent="0.3">
      <c r="B78" s="3" t="s">
        <v>119</v>
      </c>
      <c r="C78" s="25">
        <v>0.87219999999999998</v>
      </c>
      <c r="D78" s="25">
        <v>0.83599999999999997</v>
      </c>
      <c r="E78" s="25">
        <v>0.83399999999999996</v>
      </c>
      <c r="F78" s="25">
        <v>0.83199999999999996</v>
      </c>
      <c r="G78" s="25">
        <v>0.83199999999999996</v>
      </c>
    </row>
    <row r="79" spans="2:7" ht="14" x14ac:dyDescent="0.3">
      <c r="B79" s="3" t="s">
        <v>120</v>
      </c>
      <c r="C79" s="25">
        <v>0.86299999999999999</v>
      </c>
      <c r="D79" s="25">
        <v>0.86799999999999999</v>
      </c>
      <c r="E79" s="25">
        <v>0.86399999999999999</v>
      </c>
      <c r="F79" s="25">
        <v>0.85899999999999999</v>
      </c>
      <c r="G79" s="25">
        <v>0.85899999999999999</v>
      </c>
    </row>
    <row r="80" spans="2:7" ht="14" x14ac:dyDescent="0.3">
      <c r="B80" s="3" t="s">
        <v>121</v>
      </c>
      <c r="C80" s="25">
        <v>0.875</v>
      </c>
      <c r="D80" s="25">
        <v>0.89</v>
      </c>
      <c r="E80" s="25">
        <v>0.88500000000000001</v>
      </c>
      <c r="F80" s="25">
        <v>0.88</v>
      </c>
      <c r="G80" s="25">
        <v>0.88</v>
      </c>
    </row>
    <row r="82" spans="2:7" ht="14" x14ac:dyDescent="0.3">
      <c r="B82" s="2" t="s">
        <v>89</v>
      </c>
    </row>
    <row r="83" spans="2:7" ht="14" x14ac:dyDescent="0.3">
      <c r="B83" s="3" t="s">
        <v>81</v>
      </c>
      <c r="C83" s="25">
        <v>0.1</v>
      </c>
      <c r="D83" s="25">
        <v>9.9000000000000005E-2</v>
      </c>
      <c r="E83" s="25">
        <v>9.8000000000000004E-2</v>
      </c>
      <c r="F83" s="25">
        <v>9.8000000000000004E-2</v>
      </c>
      <c r="G83" s="25">
        <v>9.8000000000000004E-2</v>
      </c>
    </row>
    <row r="84" spans="2:7" ht="14" x14ac:dyDescent="0.3">
      <c r="B84" s="3" t="s">
        <v>118</v>
      </c>
      <c r="C84" s="25">
        <v>9.9000000000000005E-2</v>
      </c>
      <c r="D84" s="25">
        <v>9.8000000000000004E-2</v>
      </c>
      <c r="E84" s="25">
        <v>9.7000000000000003E-2</v>
      </c>
      <c r="F84" s="25">
        <v>9.6000000000000002E-2</v>
      </c>
      <c r="G84" s="25">
        <v>9.6000000000000002E-2</v>
      </c>
    </row>
    <row r="85" spans="2:7" ht="14" x14ac:dyDescent="0.3">
      <c r="B85" s="3" t="s">
        <v>119</v>
      </c>
      <c r="C85" s="25">
        <v>0.1024</v>
      </c>
      <c r="D85" s="25">
        <v>9.9000000000000005E-2</v>
      </c>
      <c r="E85" s="25">
        <v>9.8000000000000004E-2</v>
      </c>
      <c r="F85" s="25">
        <v>9.8000000000000004E-2</v>
      </c>
      <c r="G85" s="25">
        <v>9.8000000000000004E-2</v>
      </c>
    </row>
    <row r="86" spans="2:7" ht="14" x14ac:dyDescent="0.3">
      <c r="B86" s="3" t="s">
        <v>120</v>
      </c>
      <c r="C86" s="25">
        <v>0.10199999999999999</v>
      </c>
      <c r="D86" s="25">
        <v>0.10199999999999999</v>
      </c>
      <c r="E86" s="25">
        <v>0.10100000000000001</v>
      </c>
      <c r="F86" s="25">
        <v>0.10100000000000001</v>
      </c>
      <c r="G86" s="25">
        <v>0.10100000000000001</v>
      </c>
    </row>
    <row r="87" spans="2:7" ht="14" x14ac:dyDescent="0.3">
      <c r="B87" s="3" t="s">
        <v>121</v>
      </c>
      <c r="C87" s="25">
        <v>0.105</v>
      </c>
      <c r="D87" s="25">
        <v>0.105</v>
      </c>
      <c r="E87" s="25">
        <v>0.105</v>
      </c>
      <c r="F87" s="25">
        <v>0.105</v>
      </c>
      <c r="G87" s="25">
        <v>0.105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122</v>
      </c>
    </row>
    <row r="4" spans="2:8" ht="14" x14ac:dyDescent="0.3">
      <c r="B4" s="7" t="s">
        <v>123</v>
      </c>
      <c r="C4" s="26" t="s">
        <v>124</v>
      </c>
      <c r="D4" s="26" t="s">
        <v>83</v>
      </c>
      <c r="E4" s="26" t="s">
        <v>84</v>
      </c>
      <c r="F4" s="26" t="s">
        <v>85</v>
      </c>
      <c r="G4" s="26" t="s">
        <v>86</v>
      </c>
      <c r="H4" s="26" t="s">
        <v>87</v>
      </c>
    </row>
    <row r="5" spans="2:8" ht="14" x14ac:dyDescent="0.3">
      <c r="B5" s="27" t="s">
        <v>125</v>
      </c>
      <c r="C5" s="28">
        <f>C12/C9*365</f>
        <v>30.208355440328948</v>
      </c>
      <c r="D5" s="28">
        <f>CHOOSE('DCF Model'!$D$27,D25,D26,D27,D28,D29)</f>
        <v>30</v>
      </c>
      <c r="E5" s="28">
        <f>CHOOSE('DCF Model'!$D$27,E25,E26,E27,E28,E29)</f>
        <v>30</v>
      </c>
      <c r="F5" s="28">
        <f>CHOOSE('DCF Model'!$D$27,F25,F26,F27,F28,F29)</f>
        <v>30</v>
      </c>
      <c r="G5" s="28">
        <f>CHOOSE('DCF Model'!$D$27,G25,G26,G27,G28,G29)</f>
        <v>30</v>
      </c>
      <c r="H5" s="28">
        <f>CHOOSE('DCF Model'!$D$27,H25,H26,H27,H28,H29)</f>
        <v>30</v>
      </c>
    </row>
    <row r="6" spans="2:8" ht="14" x14ac:dyDescent="0.3">
      <c r="B6" s="27" t="s">
        <v>126</v>
      </c>
      <c r="C6" s="28">
        <f>C13/C10*365</f>
        <v>47.884661204660489</v>
      </c>
      <c r="D6" s="28">
        <f>CHOOSE('DCF Model'!$D$27,D32,D33,D34,D35,D36)</f>
        <v>48</v>
      </c>
      <c r="E6" s="28">
        <f>CHOOSE('DCF Model'!$D$27,E32,E33,E34,E35,E36)</f>
        <v>47</v>
      </c>
      <c r="F6" s="28">
        <f>CHOOSE('DCF Model'!$D$27,F32,F33,F34,F35,F36)</f>
        <v>46</v>
      </c>
      <c r="G6" s="28">
        <f>CHOOSE('DCF Model'!$D$27,G32,G33,G34,G35,G36)</f>
        <v>46</v>
      </c>
      <c r="H6" s="28">
        <f>CHOOSE('DCF Model'!$D$27,H32,H33,H34,H35,H36)</f>
        <v>46</v>
      </c>
    </row>
    <row r="7" spans="2:8" ht="14" x14ac:dyDescent="0.3">
      <c r="B7" s="27" t="s">
        <v>127</v>
      </c>
      <c r="C7" s="28">
        <f>C15/C10*365</f>
        <v>54.616951409374074</v>
      </c>
      <c r="D7" s="28">
        <f>CHOOSE('DCF Model'!$D$27,D39,D40,D41,D42,D43)</f>
        <v>55</v>
      </c>
      <c r="E7" s="28">
        <f>CHOOSE('DCF Model'!$D$27,E39,E40,E41,E42,E43)</f>
        <v>55</v>
      </c>
      <c r="F7" s="28">
        <f>CHOOSE('DCF Model'!$D$27,F39,F40,F41,F42,F43)</f>
        <v>55</v>
      </c>
      <c r="G7" s="28">
        <f>CHOOSE('DCF Model'!$D$27,G39,G40,G41,G42,G43)</f>
        <v>55</v>
      </c>
      <c r="H7" s="28">
        <f>CHOOSE('DCF Model'!$D$27,H39,H40,H41,H42,H43)</f>
        <v>55</v>
      </c>
    </row>
    <row r="8" spans="2:8" ht="14" x14ac:dyDescent="0.3">
      <c r="B8" s="7" t="s">
        <v>128</v>
      </c>
      <c r="C8" s="8"/>
      <c r="D8" s="8"/>
      <c r="E8" s="8"/>
      <c r="F8" s="8"/>
      <c r="G8" s="8"/>
      <c r="H8" s="8"/>
    </row>
    <row r="9" spans="2:8" ht="14" x14ac:dyDescent="0.3">
      <c r="B9" s="27" t="s">
        <v>36</v>
      </c>
      <c r="C9" s="29">
        <v>45865949</v>
      </c>
      <c r="D9" s="29">
        <f>'DCF Model'!C33</f>
        <v>47241927.469999999</v>
      </c>
      <c r="E9" s="29">
        <f>'DCF Model'!D33</f>
        <v>49131604.568800002</v>
      </c>
      <c r="F9" s="29">
        <f>'DCF Model'!E33</f>
        <v>50605552.705864005</v>
      </c>
      <c r="G9" s="29">
        <f>'DCF Model'!F33</f>
        <v>52123719.287039928</v>
      </c>
      <c r="H9" s="29">
        <f>'DCF Model'!G33</f>
        <v>53166193.67278073</v>
      </c>
    </row>
    <row r="10" spans="2:8" ht="14" x14ac:dyDescent="0.3">
      <c r="B10" s="27" t="s">
        <v>37</v>
      </c>
      <c r="C10" s="29">
        <v>39141418</v>
      </c>
      <c r="D10" s="29">
        <f>'DCF Model'!C34</f>
        <v>39919428.71215</v>
      </c>
      <c r="E10" s="29">
        <f>'DCF Model'!D34</f>
        <v>41074021.419516802</v>
      </c>
      <c r="F10" s="29">
        <f>'DCF Model'!E34</f>
        <v>42103819.851278849</v>
      </c>
      <c r="G10" s="29">
        <f>'DCF Model'!F34</f>
        <v>43262687.008243136</v>
      </c>
      <c r="H10" s="29">
        <f>'DCF Model'!G34</f>
        <v>44127940.748408005</v>
      </c>
    </row>
    <row r="11" spans="2:8" ht="14" x14ac:dyDescent="0.3">
      <c r="B11" s="7" t="s">
        <v>129</v>
      </c>
      <c r="C11" s="8"/>
      <c r="D11" s="8"/>
      <c r="E11" s="8"/>
      <c r="F11" s="8"/>
      <c r="G11" s="8"/>
      <c r="H11" s="8"/>
    </row>
    <row r="12" spans="2:8" ht="14" x14ac:dyDescent="0.3">
      <c r="B12" s="27" t="s">
        <v>130</v>
      </c>
      <c r="C12" s="29">
        <v>3795986</v>
      </c>
      <c r="D12" s="29">
        <f t="shared" ref="D12:H13" si="0">D9*D5/365</f>
        <v>3882898.148219178</v>
      </c>
      <c r="E12" s="29">
        <f t="shared" si="0"/>
        <v>4038214.0741479457</v>
      </c>
      <c r="F12" s="29">
        <f t="shared" si="0"/>
        <v>4159360.496372384</v>
      </c>
      <c r="G12" s="29">
        <f t="shared" si="0"/>
        <v>4284141.3112635557</v>
      </c>
      <c r="H12" s="29">
        <f t="shared" si="0"/>
        <v>4369824.1374888271</v>
      </c>
    </row>
    <row r="13" spans="2:8" ht="14" x14ac:dyDescent="0.3">
      <c r="B13" s="27" t="s">
        <v>131</v>
      </c>
      <c r="C13" s="29">
        <v>5134996</v>
      </c>
      <c r="D13" s="29">
        <f t="shared" si="0"/>
        <v>5249678.2963923281</v>
      </c>
      <c r="E13" s="29">
        <f t="shared" si="0"/>
        <v>5288983.580047369</v>
      </c>
      <c r="F13" s="29">
        <f t="shared" si="0"/>
        <v>5306234.8305721292</v>
      </c>
      <c r="G13" s="29">
        <f t="shared" si="0"/>
        <v>5452283.8421347514</v>
      </c>
      <c r="H13" s="29">
        <f t="shared" si="0"/>
        <v>5561329.5189774474</v>
      </c>
    </row>
    <row r="14" spans="2:8" ht="14" x14ac:dyDescent="0.3">
      <c r="B14" s="27" t="s">
        <v>132</v>
      </c>
      <c r="C14" s="29">
        <f t="shared" ref="C14:H14" si="1">C12+C13</f>
        <v>8930982</v>
      </c>
      <c r="D14" s="29">
        <f t="shared" si="1"/>
        <v>9132576.4446115065</v>
      </c>
      <c r="E14" s="29">
        <f t="shared" si="1"/>
        <v>9327197.6541953143</v>
      </c>
      <c r="F14" s="29">
        <f t="shared" si="1"/>
        <v>9465595.3269445132</v>
      </c>
      <c r="G14" s="29">
        <f t="shared" si="1"/>
        <v>9736425.153398307</v>
      </c>
      <c r="H14" s="29">
        <f t="shared" si="1"/>
        <v>9931153.6564662755</v>
      </c>
    </row>
    <row r="15" spans="2:8" ht="14" x14ac:dyDescent="0.3">
      <c r="B15" s="27" t="s">
        <v>133</v>
      </c>
      <c r="C15" s="29">
        <v>5856945</v>
      </c>
      <c r="D15" s="29">
        <f>D10*D7/365</f>
        <v>6015256.3812828772</v>
      </c>
      <c r="E15" s="29">
        <f>E10*E7/365</f>
        <v>6189236.1043107519</v>
      </c>
      <c r="F15" s="29">
        <f>F10*F7/365</f>
        <v>6344411.2104666764</v>
      </c>
      <c r="G15" s="29">
        <f>G10*G7/365</f>
        <v>6519035.0286393771</v>
      </c>
      <c r="H15" s="29">
        <f>H10*H7/365</f>
        <v>6649415.7292121649</v>
      </c>
    </row>
    <row r="16" spans="2:8" ht="14" x14ac:dyDescent="0.3">
      <c r="B16" s="27" t="s">
        <v>134</v>
      </c>
      <c r="C16" s="29">
        <f t="shared" ref="C16:H16" si="2">C15</f>
        <v>5856945</v>
      </c>
      <c r="D16" s="29">
        <f t="shared" si="2"/>
        <v>6015256.3812828772</v>
      </c>
      <c r="E16" s="29">
        <f t="shared" si="2"/>
        <v>6189236.1043107519</v>
      </c>
      <c r="F16" s="29">
        <f t="shared" si="2"/>
        <v>6344411.2104666764</v>
      </c>
      <c r="G16" s="29">
        <f t="shared" si="2"/>
        <v>6519035.0286393771</v>
      </c>
      <c r="H16" s="29">
        <f t="shared" si="2"/>
        <v>6649415.7292121649</v>
      </c>
    </row>
    <row r="17" spans="2:8" ht="14" x14ac:dyDescent="0.3">
      <c r="B17" s="21" t="s">
        <v>135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136</v>
      </c>
      <c r="C18" s="19">
        <f t="shared" ref="C18:H18" si="3">C14-C16</f>
        <v>3074037</v>
      </c>
      <c r="D18" s="19">
        <f t="shared" si="3"/>
        <v>3117320.0633286294</v>
      </c>
      <c r="E18" s="19">
        <f t="shared" si="3"/>
        <v>3137961.5498845624</v>
      </c>
      <c r="F18" s="19">
        <f t="shared" si="3"/>
        <v>3121184.1164778369</v>
      </c>
      <c r="G18" s="19">
        <f t="shared" si="3"/>
        <v>3217390.1247589299</v>
      </c>
      <c r="H18" s="19">
        <f t="shared" si="3"/>
        <v>3281737.9272541106</v>
      </c>
    </row>
    <row r="19" spans="2:8" ht="14" x14ac:dyDescent="0.3">
      <c r="B19" s="27" t="s">
        <v>97</v>
      </c>
      <c r="C19" s="30" t="s">
        <v>46</v>
      </c>
      <c r="D19" s="23">
        <f>D18-C18</f>
        <v>43283.06332862936</v>
      </c>
      <c r="E19" s="23">
        <f>E18-D18</f>
        <v>20641.486555933021</v>
      </c>
      <c r="F19" s="23">
        <f>F18-E18</f>
        <v>-16777.433406725526</v>
      </c>
      <c r="G19" s="23">
        <f>G18-F18</f>
        <v>96206.008281093091</v>
      </c>
      <c r="H19" s="23">
        <f>H18-G18</f>
        <v>64347.802495180629</v>
      </c>
    </row>
    <row r="22" spans="2:8" ht="14" x14ac:dyDescent="0.3">
      <c r="B22" s="21" t="s">
        <v>137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83</v>
      </c>
      <c r="E23" s="24" t="s">
        <v>84</v>
      </c>
      <c r="F23" s="24" t="s">
        <v>85</v>
      </c>
      <c r="G23" s="24" t="s">
        <v>86</v>
      </c>
      <c r="H23" s="24" t="s">
        <v>87</v>
      </c>
    </row>
    <row r="24" spans="2:8" ht="14" x14ac:dyDescent="0.3">
      <c r="B24" s="2" t="s">
        <v>138</v>
      </c>
    </row>
    <row r="25" spans="2:8" ht="14" x14ac:dyDescent="0.3">
      <c r="B25" s="3" t="s">
        <v>81</v>
      </c>
      <c r="D25" s="31">
        <v>30</v>
      </c>
      <c r="E25" s="31">
        <v>30</v>
      </c>
      <c r="F25" s="31">
        <v>30</v>
      </c>
      <c r="G25" s="31">
        <v>30</v>
      </c>
      <c r="H25" s="31">
        <v>30</v>
      </c>
    </row>
    <row r="26" spans="2:8" ht="14" x14ac:dyDescent="0.3">
      <c r="B26" s="3" t="s">
        <v>118</v>
      </c>
      <c r="D26" s="31">
        <v>29</v>
      </c>
      <c r="E26" s="31">
        <v>29</v>
      </c>
      <c r="F26" s="31">
        <v>28</v>
      </c>
      <c r="G26" s="31">
        <v>28</v>
      </c>
      <c r="H26" s="31">
        <v>28</v>
      </c>
    </row>
    <row r="27" spans="2:8" ht="14" x14ac:dyDescent="0.3">
      <c r="B27" s="3" t="s">
        <v>119</v>
      </c>
      <c r="D27" s="31">
        <v>30</v>
      </c>
      <c r="E27" s="31">
        <v>30</v>
      </c>
      <c r="F27" s="31">
        <v>30</v>
      </c>
      <c r="G27" s="31">
        <v>30</v>
      </c>
      <c r="H27" s="31">
        <v>30</v>
      </c>
    </row>
    <row r="28" spans="2:8" ht="14" x14ac:dyDescent="0.3">
      <c r="B28" s="3" t="s">
        <v>120</v>
      </c>
      <c r="D28" s="31">
        <v>31</v>
      </c>
      <c r="E28" s="31">
        <v>32</v>
      </c>
      <c r="F28" s="31">
        <v>32</v>
      </c>
      <c r="G28" s="31">
        <v>32</v>
      </c>
      <c r="H28" s="31">
        <v>32</v>
      </c>
    </row>
    <row r="29" spans="2:8" ht="14" x14ac:dyDescent="0.3">
      <c r="B29" s="3" t="s">
        <v>121</v>
      </c>
      <c r="D29" s="31">
        <v>33</v>
      </c>
      <c r="E29" s="31">
        <v>34</v>
      </c>
      <c r="F29" s="31">
        <v>34</v>
      </c>
      <c r="G29" s="31">
        <v>34</v>
      </c>
      <c r="H29" s="31">
        <v>34</v>
      </c>
    </row>
    <row r="31" spans="2:8" ht="14" x14ac:dyDescent="0.3">
      <c r="B31" s="2" t="s">
        <v>139</v>
      </c>
    </row>
    <row r="32" spans="2:8" ht="14" x14ac:dyDescent="0.3">
      <c r="B32" s="3" t="s">
        <v>81</v>
      </c>
      <c r="D32" s="31">
        <v>48</v>
      </c>
      <c r="E32" s="31">
        <v>47</v>
      </c>
      <c r="F32" s="31">
        <v>46</v>
      </c>
      <c r="G32" s="31">
        <v>46</v>
      </c>
      <c r="H32" s="31">
        <v>46</v>
      </c>
    </row>
    <row r="33" spans="2:8" ht="14" x14ac:dyDescent="0.3">
      <c r="B33" s="3" t="s">
        <v>118</v>
      </c>
      <c r="D33" s="31">
        <v>46</v>
      </c>
      <c r="E33" s="31">
        <v>45</v>
      </c>
      <c r="F33" s="31">
        <v>44</v>
      </c>
      <c r="G33" s="31">
        <v>43</v>
      </c>
      <c r="H33" s="31">
        <v>43</v>
      </c>
    </row>
    <row r="34" spans="2:8" ht="14" x14ac:dyDescent="0.3">
      <c r="B34" s="3" t="s">
        <v>119</v>
      </c>
      <c r="D34" s="31">
        <v>48</v>
      </c>
      <c r="E34" s="31">
        <v>47</v>
      </c>
      <c r="F34" s="31">
        <v>47</v>
      </c>
      <c r="G34" s="31">
        <v>46</v>
      </c>
      <c r="H34" s="31">
        <v>46</v>
      </c>
    </row>
    <row r="35" spans="2:8" ht="14" x14ac:dyDescent="0.3">
      <c r="B35" s="3" t="s">
        <v>120</v>
      </c>
      <c r="D35" s="31">
        <v>52</v>
      </c>
      <c r="E35" s="31">
        <v>55</v>
      </c>
      <c r="F35" s="31">
        <v>54</v>
      </c>
      <c r="G35" s="31">
        <v>52</v>
      </c>
      <c r="H35" s="31">
        <v>52</v>
      </c>
    </row>
    <row r="36" spans="2:8" ht="14" x14ac:dyDescent="0.3">
      <c r="B36" s="3" t="s">
        <v>121</v>
      </c>
      <c r="D36" s="31">
        <v>56</v>
      </c>
      <c r="E36" s="31">
        <v>62</v>
      </c>
      <c r="F36" s="31">
        <v>60</v>
      </c>
      <c r="G36" s="31">
        <v>58</v>
      </c>
      <c r="H36" s="31">
        <v>58</v>
      </c>
    </row>
    <row r="38" spans="2:8" ht="14" x14ac:dyDescent="0.3">
      <c r="B38" s="2" t="s">
        <v>140</v>
      </c>
    </row>
    <row r="39" spans="2:8" ht="14" x14ac:dyDescent="0.3">
      <c r="B39" s="3" t="s">
        <v>81</v>
      </c>
      <c r="D39" s="31">
        <v>55</v>
      </c>
      <c r="E39" s="31">
        <v>55</v>
      </c>
      <c r="F39" s="31">
        <v>55</v>
      </c>
      <c r="G39" s="31">
        <v>55</v>
      </c>
      <c r="H39" s="31">
        <v>55</v>
      </c>
    </row>
    <row r="40" spans="2:8" ht="14" x14ac:dyDescent="0.3">
      <c r="B40" s="3" t="s">
        <v>118</v>
      </c>
      <c r="D40" s="31">
        <v>56</v>
      </c>
      <c r="E40" s="31">
        <v>56</v>
      </c>
      <c r="F40" s="31">
        <v>57</v>
      </c>
      <c r="G40" s="31">
        <v>57</v>
      </c>
      <c r="H40" s="31">
        <v>57</v>
      </c>
    </row>
    <row r="41" spans="2:8" ht="14" x14ac:dyDescent="0.3">
      <c r="B41" s="3" t="s">
        <v>119</v>
      </c>
      <c r="D41" s="31">
        <v>55</v>
      </c>
      <c r="E41" s="31">
        <v>55</v>
      </c>
      <c r="F41" s="31">
        <v>55</v>
      </c>
      <c r="G41" s="31">
        <v>55</v>
      </c>
      <c r="H41" s="31">
        <v>55</v>
      </c>
    </row>
    <row r="42" spans="2:8" ht="14" x14ac:dyDescent="0.3">
      <c r="B42" s="3" t="s">
        <v>120</v>
      </c>
      <c r="D42" s="31">
        <v>54</v>
      </c>
      <c r="E42" s="31">
        <v>53</v>
      </c>
      <c r="F42" s="31">
        <v>53</v>
      </c>
      <c r="G42" s="31">
        <v>54</v>
      </c>
      <c r="H42" s="31">
        <v>54</v>
      </c>
    </row>
    <row r="43" spans="2:8" ht="14" x14ac:dyDescent="0.3">
      <c r="B43" s="3" t="s">
        <v>121</v>
      </c>
      <c r="D43" s="31">
        <v>52</v>
      </c>
      <c r="E43" s="31">
        <v>50</v>
      </c>
      <c r="F43" s="31">
        <v>50</v>
      </c>
      <c r="G43" s="31">
        <v>51</v>
      </c>
      <c r="H43" s="31">
        <v>51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141</v>
      </c>
    </row>
    <row r="4" spans="2:15" ht="28" x14ac:dyDescent="0.3">
      <c r="B4" s="9" t="s">
        <v>3</v>
      </c>
      <c r="C4" s="9" t="s">
        <v>5</v>
      </c>
      <c r="D4" s="9" t="s">
        <v>142</v>
      </c>
      <c r="E4" s="9" t="s">
        <v>143</v>
      </c>
      <c r="F4" s="9" t="s">
        <v>144</v>
      </c>
      <c r="G4" s="9" t="s">
        <v>145</v>
      </c>
      <c r="H4" s="9" t="s">
        <v>146</v>
      </c>
      <c r="I4" s="9" t="s">
        <v>147</v>
      </c>
      <c r="J4" s="9" t="s">
        <v>148</v>
      </c>
      <c r="K4" s="9" t="s">
        <v>149</v>
      </c>
      <c r="L4" s="9" t="s">
        <v>150</v>
      </c>
      <c r="M4" s="9" t="s">
        <v>151</v>
      </c>
      <c r="N4" s="9" t="s">
        <v>152</v>
      </c>
      <c r="O4" s="9" t="s">
        <v>153</v>
      </c>
    </row>
    <row r="5" spans="2:15" ht="14" x14ac:dyDescent="0.3">
      <c r="B5" s="3" t="s">
        <v>154</v>
      </c>
      <c r="C5" t="s">
        <v>155</v>
      </c>
      <c r="D5" s="32">
        <v>41004554</v>
      </c>
      <c r="E5" s="32">
        <v>71550401</v>
      </c>
      <c r="F5" s="32">
        <v>50684952</v>
      </c>
      <c r="G5" s="32">
        <v>6158735</v>
      </c>
      <c r="H5" s="32">
        <v>3766216</v>
      </c>
      <c r="I5" s="32">
        <v>3848098</v>
      </c>
      <c r="J5" s="33">
        <f>E5/G5</f>
        <v>11.617710617521293</v>
      </c>
      <c r="K5" s="33">
        <f t="shared" ref="K5:K11" si="0">E5/F5</f>
        <v>1.4116695030114659</v>
      </c>
      <c r="L5" s="33">
        <f>D5/I5</f>
        <v>10.655797747354667</v>
      </c>
      <c r="M5" s="33">
        <v>1.0271976745625011</v>
      </c>
      <c r="N5" s="34">
        <f t="shared" ref="N5:N11" si="1">H5/F5</f>
        <v>7.4306393739901347E-2</v>
      </c>
      <c r="O5" s="34">
        <v>9.6398007818561129E-2</v>
      </c>
    </row>
    <row r="6" spans="2:15" ht="14" x14ac:dyDescent="0.3">
      <c r="B6" s="3" t="s">
        <v>156</v>
      </c>
      <c r="C6" t="s">
        <v>157</v>
      </c>
      <c r="D6" s="32">
        <v>6570000</v>
      </c>
      <c r="E6" s="32">
        <v>14686061</v>
      </c>
      <c r="F6" s="32">
        <v>21796610</v>
      </c>
      <c r="G6" s="32">
        <v>888917</v>
      </c>
      <c r="H6" s="32">
        <v>-414346</v>
      </c>
      <c r="I6" s="32">
        <v>-423941</v>
      </c>
      <c r="J6" s="33">
        <f>E6/G6</f>
        <v>16.521296139009603</v>
      </c>
      <c r="K6" s="33">
        <f t="shared" si="0"/>
        <v>0.67377729839640199</v>
      </c>
      <c r="L6" s="35" t="s">
        <v>158</v>
      </c>
      <c r="M6" s="33">
        <v>0.55595458671842257</v>
      </c>
      <c r="N6" s="34">
        <f t="shared" si="1"/>
        <v>-1.9009653336000416E-2</v>
      </c>
      <c r="O6" s="34">
        <v>-3.5873963995128592E-2</v>
      </c>
    </row>
    <row r="7" spans="2:15" ht="14" x14ac:dyDescent="0.3">
      <c r="B7" s="3" t="s">
        <v>159</v>
      </c>
      <c r="C7" t="s">
        <v>160</v>
      </c>
      <c r="D7" s="32">
        <v>4140000</v>
      </c>
      <c r="E7" s="32">
        <v>3915332</v>
      </c>
      <c r="F7" s="32">
        <v>6292967</v>
      </c>
      <c r="G7" s="32">
        <v>882386</v>
      </c>
      <c r="H7" s="32">
        <v>604605</v>
      </c>
      <c r="I7" s="32">
        <v>439267</v>
      </c>
      <c r="J7" s="33">
        <f>E7/G7</f>
        <v>4.4372100191979476</v>
      </c>
      <c r="K7" s="33">
        <f t="shared" si="0"/>
        <v>0.62217583534126275</v>
      </c>
      <c r="L7" s="33">
        <f>D7/I7</f>
        <v>9.4247917553560825</v>
      </c>
      <c r="M7" s="33">
        <v>1.2240976936402801</v>
      </c>
      <c r="N7" s="34">
        <f t="shared" si="1"/>
        <v>9.6076302322894755E-2</v>
      </c>
      <c r="O7" s="34">
        <v>0.12988060908026211</v>
      </c>
    </row>
    <row r="8" spans="2:15" ht="14" x14ac:dyDescent="0.3">
      <c r="B8" s="3" t="s">
        <v>161</v>
      </c>
      <c r="C8" t="s">
        <v>162</v>
      </c>
      <c r="D8" s="32">
        <v>2010000</v>
      </c>
      <c r="E8" s="32">
        <v>1555148</v>
      </c>
      <c r="F8" s="32">
        <v>4784965</v>
      </c>
      <c r="G8" s="32">
        <v>318095</v>
      </c>
      <c r="H8" s="32">
        <v>46989</v>
      </c>
      <c r="I8" s="32">
        <v>90842</v>
      </c>
      <c r="J8" s="33">
        <f>E8/G8</f>
        <v>4.888941982741005</v>
      </c>
      <c r="K8" s="33">
        <f t="shared" si="0"/>
        <v>0.32500718396059325</v>
      </c>
      <c r="L8" s="33">
        <f>D8/I8</f>
        <v>22.126329230972459</v>
      </c>
      <c r="M8" s="33">
        <v>0.72291574578829643</v>
      </c>
      <c r="N8" s="34">
        <f t="shared" si="1"/>
        <v>9.820134525539894E-3</v>
      </c>
      <c r="O8" s="34">
        <v>3.2672195113880809E-2</v>
      </c>
    </row>
    <row r="9" spans="2:15" ht="14" x14ac:dyDescent="0.3">
      <c r="B9" s="3" t="s">
        <v>163</v>
      </c>
      <c r="C9" t="s">
        <v>164</v>
      </c>
      <c r="D9" s="32">
        <v>12452350</v>
      </c>
      <c r="E9" s="32">
        <v>28741370</v>
      </c>
      <c r="F9" s="32">
        <v>29371766</v>
      </c>
      <c r="G9" s="32">
        <v>2777649</v>
      </c>
      <c r="H9" s="32">
        <v>461804</v>
      </c>
      <c r="I9" s="32">
        <v>428625</v>
      </c>
      <c r="J9" s="33">
        <f>E9/G9</f>
        <v>10.347372904207839</v>
      </c>
      <c r="K9" s="33">
        <f t="shared" si="0"/>
        <v>0.97853734773727941</v>
      </c>
      <c r="L9" s="33">
        <f>D9/I9</f>
        <v>29.05185185185185</v>
      </c>
      <c r="M9" s="33">
        <v>1.283397994422343</v>
      </c>
      <c r="N9" s="34">
        <f t="shared" si="1"/>
        <v>1.5722718204959144E-2</v>
      </c>
      <c r="O9" s="34">
        <v>4.41761165851648E-2</v>
      </c>
    </row>
    <row r="10" spans="2:15" ht="14" x14ac:dyDescent="0.3">
      <c r="B10" s="3" t="s">
        <v>165</v>
      </c>
      <c r="C10" t="s">
        <v>166</v>
      </c>
      <c r="D10" s="32">
        <v>9666288</v>
      </c>
      <c r="E10" s="32">
        <v>29486067</v>
      </c>
      <c r="F10" s="32">
        <v>29728636</v>
      </c>
      <c r="G10" s="32">
        <v>-211931</v>
      </c>
      <c r="H10" s="32">
        <v>-1455579</v>
      </c>
      <c r="I10" s="32">
        <v>-1298892</v>
      </c>
      <c r="J10" s="35" t="s">
        <v>158</v>
      </c>
      <c r="K10" s="33">
        <f t="shared" si="0"/>
        <v>0.9918405607307379</v>
      </c>
      <c r="L10" s="35" t="s">
        <v>158</v>
      </c>
      <c r="M10" s="33">
        <v>1.6923291592442</v>
      </c>
      <c r="N10" s="34">
        <f t="shared" si="1"/>
        <v>-4.8962185819759779E-2</v>
      </c>
      <c r="O10" s="34">
        <v>-0.22740402585863539</v>
      </c>
    </row>
    <row r="11" spans="2:15" ht="14" x14ac:dyDescent="0.3">
      <c r="B11" s="3" t="s">
        <v>167</v>
      </c>
      <c r="C11" t="s">
        <v>168</v>
      </c>
      <c r="D11" s="32">
        <v>6930363</v>
      </c>
      <c r="E11" s="32">
        <v>42954310</v>
      </c>
      <c r="F11" s="32">
        <v>59051721</v>
      </c>
      <c r="G11" s="32">
        <v>8493639</v>
      </c>
      <c r="H11" s="32">
        <v>1626746</v>
      </c>
      <c r="I11" s="32">
        <v>1224095</v>
      </c>
      <c r="J11" s="33">
        <f>E11/G11</f>
        <v>5.0572328303569298</v>
      </c>
      <c r="K11" s="33">
        <f t="shared" si="0"/>
        <v>0.72740149266775811</v>
      </c>
      <c r="L11" s="33">
        <f>D11/I11</f>
        <v>5.6616218512452052</v>
      </c>
      <c r="M11" s="33">
        <v>0.20066178438396279</v>
      </c>
      <c r="N11" s="34">
        <f t="shared" si="1"/>
        <v>2.7547816938307351E-2</v>
      </c>
      <c r="O11" s="34">
        <v>3.5442456182379907E-2</v>
      </c>
    </row>
    <row r="14" spans="2:15" ht="14" x14ac:dyDescent="0.3">
      <c r="B14" s="2" t="s">
        <v>169</v>
      </c>
    </row>
    <row r="15" spans="2:15" ht="14" x14ac:dyDescent="0.3">
      <c r="B15" s="3" t="s">
        <v>170</v>
      </c>
      <c r="D15" s="33">
        <f t="shared" ref="D15:I15" si="2">PERCENTILE(J5:J11,0.25)</f>
        <v>4.9310146946449862</v>
      </c>
      <c r="E15" s="33">
        <f t="shared" si="2"/>
        <v>0.64797656686883243</v>
      </c>
      <c r="F15" s="33">
        <f t="shared" si="2"/>
        <v>9.4247917553560825</v>
      </c>
      <c r="G15" s="33">
        <f t="shared" si="2"/>
        <v>0.6394351662533595</v>
      </c>
      <c r="H15" s="34">
        <f t="shared" si="2"/>
        <v>-4.5947594052302611E-3</v>
      </c>
      <c r="I15" s="34">
        <f t="shared" si="2"/>
        <v>-1.6008844406238884E-3</v>
      </c>
    </row>
    <row r="16" spans="2:15" ht="14" x14ac:dyDescent="0.3">
      <c r="B16" s="3" t="s">
        <v>171</v>
      </c>
      <c r="D16" s="33">
        <f t="shared" ref="D16:I16" si="3">MEDIAN(J5:J11)</f>
        <v>7.7023028672823841</v>
      </c>
      <c r="E16" s="33">
        <f t="shared" si="3"/>
        <v>0.72740149266775811</v>
      </c>
      <c r="F16" s="33">
        <f t="shared" si="3"/>
        <v>10.655797747354667</v>
      </c>
      <c r="G16" s="33">
        <f t="shared" si="3"/>
        <v>1.0271976745625011</v>
      </c>
      <c r="H16" s="34">
        <f t="shared" si="3"/>
        <v>1.5722718204959144E-2</v>
      </c>
      <c r="I16" s="34">
        <f t="shared" si="3"/>
        <v>3.5442456182379907E-2</v>
      </c>
    </row>
    <row r="17" spans="2:9" ht="14" x14ac:dyDescent="0.3">
      <c r="B17" s="3" t="s">
        <v>172</v>
      </c>
      <c r="D17" s="33">
        <f t="shared" ref="D17:I17" si="4">PERCENTILE(J5:J11,0.75)</f>
        <v>11.30012618919293</v>
      </c>
      <c r="E17" s="33">
        <f t="shared" si="4"/>
        <v>0.98518895423400865</v>
      </c>
      <c r="F17" s="33">
        <f t="shared" si="4"/>
        <v>22.126329230972459</v>
      </c>
      <c r="G17" s="33">
        <f t="shared" si="4"/>
        <v>1.2537478440313117</v>
      </c>
      <c r="H17" s="34">
        <f t="shared" si="4"/>
        <v>5.0927105339104349E-2</v>
      </c>
      <c r="I17" s="34">
        <f t="shared" si="4"/>
        <v>7.0287062201862968E-2</v>
      </c>
    </row>
    <row r="19" spans="2:9" ht="14" x14ac:dyDescent="0.3">
      <c r="B19" s="21" t="s">
        <v>173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174</v>
      </c>
    </row>
    <row r="21" spans="2:9" ht="14" x14ac:dyDescent="0.3">
      <c r="B21" s="3" t="s">
        <v>175</v>
      </c>
      <c r="C21" s="4">
        <v>3499094</v>
      </c>
    </row>
    <row r="22" spans="2:9" ht="14" x14ac:dyDescent="0.3">
      <c r="B22" s="3" t="s">
        <v>176</v>
      </c>
      <c r="C22" s="4">
        <v>3848098</v>
      </c>
    </row>
    <row r="23" spans="2:9" ht="14" x14ac:dyDescent="0.3">
      <c r="B23" s="3" t="s">
        <v>177</v>
      </c>
      <c r="C23" s="14">
        <v>13009058960</v>
      </c>
    </row>
    <row r="24" spans="2:9" ht="14" x14ac:dyDescent="0.3">
      <c r="B24" s="3" t="s">
        <v>70</v>
      </c>
      <c r="C24" s="4">
        <v>-9800000</v>
      </c>
    </row>
    <row r="26" spans="2:9" ht="14" x14ac:dyDescent="0.3">
      <c r="B26" s="2" t="s">
        <v>178</v>
      </c>
    </row>
    <row r="27" spans="2:9" ht="14" x14ac:dyDescent="0.3">
      <c r="B27" s="3" t="s">
        <v>179</v>
      </c>
      <c r="C27" s="23">
        <f>ROUND((C21*D16-C24)*1000000/C23,0)</f>
        <v>2825</v>
      </c>
    </row>
    <row r="28" spans="2:9" ht="14" x14ac:dyDescent="0.3">
      <c r="B28" s="3" t="s">
        <v>180</v>
      </c>
      <c r="C28" s="23">
        <f>ROUND(C22*F16*1000000/C23,0)</f>
        <v>3152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181</v>
      </c>
    </row>
    <row r="3" spans="2:9" ht="14" x14ac:dyDescent="0.3">
      <c r="B3" s="3" t="s">
        <v>182</v>
      </c>
      <c r="C3" s="15">
        <f>'DCF Model'!C26</f>
        <v>7.3999999999999996E-2</v>
      </c>
      <c r="E3" s="3" t="s">
        <v>183</v>
      </c>
      <c r="F3" s="15">
        <f>'DCF Model'!C13</f>
        <v>0.01</v>
      </c>
      <c r="H3" s="3" t="s">
        <v>184</v>
      </c>
      <c r="I3" s="13">
        <f>'DCF Model'!C14</f>
        <v>12</v>
      </c>
    </row>
    <row r="5" spans="2:9" ht="14" x14ac:dyDescent="0.3">
      <c r="B5" s="2" t="s">
        <v>185</v>
      </c>
    </row>
    <row r="6" spans="2:9" ht="14" x14ac:dyDescent="0.3">
      <c r="B6" s="36" t="s">
        <v>186</v>
      </c>
      <c r="C6" s="37">
        <f>$F$3-0.0075</f>
        <v>2.5000000000000005E-3</v>
      </c>
      <c r="D6" s="37">
        <f>$F$3-0.005</f>
        <v>5.0000000000000001E-3</v>
      </c>
      <c r="E6" s="37">
        <f>$F$3-0.0025</f>
        <v>7.4999999999999997E-3</v>
      </c>
      <c r="F6" s="37">
        <f>$F$3</f>
        <v>0.01</v>
      </c>
      <c r="G6" s="37">
        <f>$F$3+0.0025</f>
        <v>1.2500000000000001E-2</v>
      </c>
      <c r="H6" s="37">
        <f>$F$3+0.005</f>
        <v>1.4999999999999999E-2</v>
      </c>
      <c r="I6" s="37">
        <f>$F$3+0.0075</f>
        <v>1.7500000000000002E-2</v>
      </c>
    </row>
    <row r="7" spans="2:9" ht="13.5" x14ac:dyDescent="0.25">
      <c r="B7" s="34">
        <f>$C$3-0.015</f>
        <v>5.8999999999999997E-2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3050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3140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3238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3347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3467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3601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3751</v>
      </c>
    </row>
    <row r="8" spans="2:9" ht="13.5" x14ac:dyDescent="0.25">
      <c r="B8" s="34">
        <f>$C$3-0.01</f>
        <v>6.4000000000000001E-2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2855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2929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3009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3098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3194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3301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3419</v>
      </c>
    </row>
    <row r="9" spans="2:9" ht="13.5" x14ac:dyDescent="0.25">
      <c r="B9" s="34">
        <f>$C$3-0.005</f>
        <v>6.8999999999999992E-2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2689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2751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2818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2890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2970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3056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3151</v>
      </c>
    </row>
    <row r="10" spans="2:9" ht="13.5" x14ac:dyDescent="0.25">
      <c r="B10" s="34">
        <f>$C$3</f>
        <v>7.3999999999999996E-2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2546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2598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2655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2716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2782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2853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2931</v>
      </c>
    </row>
    <row r="11" spans="2:9" ht="13.5" x14ac:dyDescent="0.25">
      <c r="B11" s="34">
        <f>$C$3+0.005</f>
        <v>7.9000000000000001E-2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2422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2467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2515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2566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2622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2682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2746</v>
      </c>
    </row>
    <row r="12" spans="2:9" ht="13.5" x14ac:dyDescent="0.25">
      <c r="B12" s="34">
        <f>$C$3+0.01</f>
        <v>8.3999999999999991E-2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2313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2352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2393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2438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2485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2535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2590</v>
      </c>
    </row>
    <row r="13" spans="2:9" ht="13.5" x14ac:dyDescent="0.25">
      <c r="B13" s="34">
        <f>$C$3+0.015</f>
        <v>8.8999999999999996E-2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2217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2251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2287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2325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2365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2409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2455</v>
      </c>
    </row>
    <row r="16" spans="2:9" ht="14" x14ac:dyDescent="0.3">
      <c r="B16" s="2" t="s">
        <v>187</v>
      </c>
    </row>
    <row r="17" spans="2:9" ht="14" x14ac:dyDescent="0.3">
      <c r="B17" s="36" t="s">
        <v>188</v>
      </c>
      <c r="C17" s="38">
        <f>$I$3-3</f>
        <v>9</v>
      </c>
      <c r="D17" s="38">
        <f>$I$3-2</f>
        <v>10</v>
      </c>
      <c r="E17" s="38">
        <f>$I$3-1</f>
        <v>11</v>
      </c>
      <c r="F17" s="38">
        <f>$I$3</f>
        <v>12</v>
      </c>
      <c r="G17" s="38">
        <f>$I$3+1</f>
        <v>13</v>
      </c>
      <c r="H17" s="38">
        <f>$I$3+2</f>
        <v>14</v>
      </c>
      <c r="I17" s="38">
        <f>$I$3+3</f>
        <v>15</v>
      </c>
    </row>
    <row r="18" spans="2:9" ht="13.5" x14ac:dyDescent="0.25">
      <c r="B18" s="34">
        <f>$C$3-0.015</f>
        <v>5.8999999999999997E-2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4150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4476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4802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5129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5455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5781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6107</v>
      </c>
    </row>
    <row r="19" spans="2:9" ht="13.5" x14ac:dyDescent="0.25">
      <c r="B19" s="34">
        <f>$C$3-0.01</f>
        <v>6.4000000000000001E-2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4074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4393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4712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5030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5349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5668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5987</v>
      </c>
    </row>
    <row r="20" spans="2:9" ht="13.5" x14ac:dyDescent="0.25">
      <c r="B20" s="34">
        <f>$C$3-0.005</f>
        <v>6.8999999999999992E-2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4001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4313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4624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4935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5246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5558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5869</v>
      </c>
    </row>
    <row r="21" spans="2:9" ht="13.5" x14ac:dyDescent="0.25">
      <c r="B21" s="34">
        <f>$C$3</f>
        <v>7.3999999999999996E-2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3930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4234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4538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4842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5146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5451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5755</v>
      </c>
    </row>
    <row r="22" spans="2:9" ht="13.5" x14ac:dyDescent="0.25">
      <c r="B22" s="34">
        <f>$C$3+0.005</f>
        <v>7.9000000000000001E-2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3861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4158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4455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4752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5049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5346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5644</v>
      </c>
    </row>
    <row r="23" spans="2:9" ht="13.5" x14ac:dyDescent="0.25">
      <c r="B23" s="34">
        <f>$C$3+0.01</f>
        <v>8.3999999999999991E-2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3793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4084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4374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4664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4955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5245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5535</v>
      </c>
    </row>
    <row r="24" spans="2:9" ht="13.5" x14ac:dyDescent="0.25">
      <c r="B24" s="34">
        <f>$C$3+0.015</f>
        <v>8.8999999999999996E-2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3728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4011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4295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4579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4863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5146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5430</v>
      </c>
    </row>
    <row r="26" spans="2:9" ht="14" x14ac:dyDescent="0.3">
      <c r="B26" s="41" t="s">
        <v>189</v>
      </c>
      <c r="C26" s="40"/>
      <c r="D26" s="40"/>
      <c r="E26" s="40"/>
      <c r="F26" s="40"/>
      <c r="G26" s="40"/>
      <c r="H26" s="40"/>
      <c r="I26" s="40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2026-07-30T02:12:25Z</dcterms:created>
  <dcterms:modified xsi:type="dcterms:W3CDTF">2026-07-30T02:40:33Z</dcterms:modified>
</cp:coreProperties>
</file>