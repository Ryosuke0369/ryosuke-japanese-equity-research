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55E5C569-6826-4674-B8F1-51E70ADCD194}"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I16" i="6" s="1"/>
  <c r="N6" i="6"/>
  <c r="H16" i="6" s="1"/>
  <c r="M6" i="6"/>
  <c r="G15" i="6" s="1"/>
  <c r="L6" i="6"/>
  <c r="F16" i="6" s="1"/>
  <c r="C28" i="6" s="1"/>
  <c r="C19" i="1" s="1"/>
  <c r="D19" i="1" s="1"/>
  <c r="K6" i="6"/>
  <c r="E15" i="6" s="1"/>
  <c r="J6" i="6"/>
  <c r="O5" i="6"/>
  <c r="N5" i="6"/>
  <c r="D5" i="6"/>
  <c r="E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C9" i="2"/>
  <c r="F8" i="2"/>
  <c r="F9" i="2" s="1"/>
  <c r="E8" i="2"/>
  <c r="E9" i="2" s="1"/>
  <c r="D8" i="2"/>
  <c r="D9" i="2" s="1"/>
  <c r="C8" i="2"/>
  <c r="F15" i="6" l="1"/>
  <c r="C26" i="3"/>
  <c r="H15" i="6"/>
  <c r="D17" i="6"/>
  <c r="C3" i="7"/>
  <c r="G36" i="4"/>
  <c r="C11" i="4"/>
  <c r="C24" i="4" s="1"/>
  <c r="C25" i="4" s="1"/>
  <c r="G46" i="3"/>
  <c r="F36" i="4"/>
  <c r="F46" i="3"/>
  <c r="D36" i="4"/>
  <c r="D46" i="3"/>
  <c r="C46" i="3"/>
  <c r="E36" i="4"/>
  <c r="E46" i="3"/>
  <c r="B30" i="1"/>
  <c r="H36" i="4"/>
  <c r="C70" i="4"/>
  <c r="C71" i="4"/>
  <c r="J5" i="6"/>
  <c r="K5" i="6"/>
  <c r="C30" i="3"/>
  <c r="C33" i="3" s="1"/>
  <c r="F31" i="3"/>
  <c r="H5" i="5"/>
  <c r="D7" i="5"/>
  <c r="I15" i="6"/>
  <c r="E17" i="6"/>
  <c r="I6" i="7"/>
  <c r="E5" i="5"/>
  <c r="D30" i="3"/>
  <c r="G31" i="3"/>
  <c r="E7" i="5"/>
  <c r="L5" i="6"/>
  <c r="D16" i="6"/>
  <c r="F17" i="6"/>
  <c r="C17" i="7"/>
  <c r="G6" i="5"/>
  <c r="E30" i="3"/>
  <c r="C32" i="3"/>
  <c r="D6" i="5"/>
  <c r="F7" i="5"/>
  <c r="M5" i="6"/>
  <c r="E16" i="6"/>
  <c r="G17" i="6"/>
  <c r="C6" i="7"/>
  <c r="D17" i="7"/>
  <c r="C31" i="3"/>
  <c r="F32" i="3"/>
  <c r="F30" i="3"/>
  <c r="D32" i="3"/>
  <c r="E6" i="5"/>
  <c r="G7" i="5"/>
  <c r="D15" i="6"/>
  <c r="H17" i="6"/>
  <c r="D6" i="7"/>
  <c r="E17" i="7"/>
  <c r="G30" i="3"/>
  <c r="E32" i="3"/>
  <c r="D5" i="5"/>
  <c r="F6" i="5"/>
  <c r="H7" i="5"/>
  <c r="G16" i="6"/>
  <c r="I17" i="6"/>
  <c r="E6" i="7"/>
  <c r="F17" i="7"/>
  <c r="F6" i="7"/>
  <c r="G17" i="7"/>
  <c r="D31" i="3"/>
  <c r="G32" i="3"/>
  <c r="F5" i="5"/>
  <c r="H6" i="5"/>
  <c r="G6" i="7"/>
  <c r="H17" i="7"/>
  <c r="E31" i="3"/>
  <c r="B13" i="7" l="1"/>
  <c r="B12" i="7"/>
  <c r="B11" i="7"/>
  <c r="B10" i="7"/>
  <c r="B9" i="7"/>
  <c r="B8" i="7"/>
  <c r="B7" i="7"/>
  <c r="B24" i="7"/>
  <c r="B23" i="7"/>
  <c r="B22" i="7"/>
  <c r="B21" i="7"/>
  <c r="B20" i="7"/>
  <c r="B19" i="7"/>
  <c r="B18" i="7"/>
  <c r="D45" i="4"/>
  <c r="D39" i="4"/>
  <c r="D49" i="4" s="1"/>
  <c r="D54" i="4" s="1"/>
  <c r="D46" i="4"/>
  <c r="D40" i="4"/>
  <c r="D50" i="4" s="1"/>
  <c r="D55" i="4" s="1"/>
  <c r="D43" i="4"/>
  <c r="D44" i="4"/>
  <c r="D38" i="4"/>
  <c r="D48" i="4" s="1"/>
  <c r="D53" i="4" s="1"/>
  <c r="D41" i="4"/>
  <c r="C27" i="6"/>
  <c r="C18" i="1" s="1"/>
  <c r="D18" i="1" s="1"/>
  <c r="C74" i="4"/>
  <c r="B29" i="1"/>
  <c r="B24" i="1"/>
  <c r="H40" i="4"/>
  <c r="H44" i="4"/>
  <c r="H41" i="4"/>
  <c r="H45" i="4"/>
  <c r="H39" i="4"/>
  <c r="H49" i="4" s="1"/>
  <c r="H54" i="4" s="1"/>
  <c r="H43" i="4"/>
  <c r="H38" i="4"/>
  <c r="H48" i="4" s="1"/>
  <c r="H53" i="4" s="1"/>
  <c r="H46" i="4"/>
  <c r="F43" i="4"/>
  <c r="F46" i="4"/>
  <c r="F44" i="4"/>
  <c r="F38" i="4"/>
  <c r="F48" i="4" s="1"/>
  <c r="F53" i="4" s="1"/>
  <c r="F41" i="4"/>
  <c r="F51" i="4" s="1"/>
  <c r="F56" i="4" s="1"/>
  <c r="F40" i="4"/>
  <c r="F45" i="4"/>
  <c r="F39" i="4"/>
  <c r="F49" i="4" s="1"/>
  <c r="C29" i="4"/>
  <c r="C27" i="4"/>
  <c r="C26" i="4"/>
  <c r="C42" i="3"/>
  <c r="C34" i="3"/>
  <c r="D10" i="5" s="1"/>
  <c r="C37" i="3"/>
  <c r="D9" i="5"/>
  <c r="D12" i="5" s="1"/>
  <c r="D33" i="3"/>
  <c r="E39" i="4"/>
  <c r="E43" i="4"/>
  <c r="E40" i="4"/>
  <c r="E44" i="4"/>
  <c r="E38" i="4"/>
  <c r="E48" i="4" s="1"/>
  <c r="E53" i="4" s="1"/>
  <c r="E46" i="4"/>
  <c r="E41" i="4"/>
  <c r="E51" i="4" s="1"/>
  <c r="E56" i="4" s="1"/>
  <c r="E45" i="4"/>
  <c r="G46" i="4"/>
  <c r="G40" i="4"/>
  <c r="G38" i="4"/>
  <c r="G41" i="4"/>
  <c r="G51" i="4" s="1"/>
  <c r="G56" i="4" s="1"/>
  <c r="G45" i="4"/>
  <c r="G39" i="4"/>
  <c r="G44" i="4"/>
  <c r="G43" i="4"/>
  <c r="E50" i="4" l="1"/>
  <c r="E55" i="4" s="1"/>
  <c r="G48" i="4"/>
  <c r="G53" i="4" s="1"/>
  <c r="E49" i="4"/>
  <c r="E54" i="4" s="1"/>
  <c r="D51" i="4"/>
  <c r="D56" i="4" s="1"/>
  <c r="F54" i="4"/>
  <c r="C60" i="4"/>
  <c r="B78" i="4"/>
  <c r="D15" i="5"/>
  <c r="D16" i="5" s="1"/>
  <c r="D13" i="5"/>
  <c r="D14" i="5" s="1"/>
  <c r="D18" i="5" s="1"/>
  <c r="D19" i="5" s="1"/>
  <c r="C44" i="3" s="1"/>
  <c r="F50" i="4"/>
  <c r="F55" i="4" s="1"/>
  <c r="G50" i="4"/>
  <c r="G55" i="4" s="1"/>
  <c r="E9" i="5"/>
  <c r="E12" i="5" s="1"/>
  <c r="D37" i="3"/>
  <c r="D42" i="3"/>
  <c r="E33" i="3"/>
  <c r="D34" i="3"/>
  <c r="E10" i="5" s="1"/>
  <c r="H51" i="4"/>
  <c r="H56" i="4" s="1"/>
  <c r="C35" i="3"/>
  <c r="G49" i="4"/>
  <c r="G54" i="4" s="1"/>
  <c r="H50" i="4"/>
  <c r="H55" i="4" s="1"/>
  <c r="F9" i="5" l="1"/>
  <c r="F12" i="5" s="1"/>
  <c r="E42" i="3"/>
  <c r="E34" i="3"/>
  <c r="F10" i="5" s="1"/>
  <c r="E35" i="3"/>
  <c r="F33" i="3"/>
  <c r="E37" i="3"/>
  <c r="D35" i="3"/>
  <c r="C65" i="4"/>
  <c r="D65" i="4" s="1"/>
  <c r="C64" i="4"/>
  <c r="D64" i="4" s="1"/>
  <c r="C67" i="4"/>
  <c r="D67" i="4" s="1"/>
  <c r="C63" i="4"/>
  <c r="D63" i="4" s="1"/>
  <c r="C66" i="4"/>
  <c r="D66" i="4" s="1"/>
  <c r="E13" i="5"/>
  <c r="E15" i="5"/>
  <c r="E16" i="5" s="1"/>
  <c r="E14" i="5"/>
  <c r="C36" i="3"/>
  <c r="C39" i="3"/>
  <c r="C38" i="3"/>
  <c r="F42" i="3" l="1"/>
  <c r="F34" i="3"/>
  <c r="G10" i="5" s="1"/>
  <c r="F37" i="3"/>
  <c r="G33" i="3"/>
  <c r="G9" i="5"/>
  <c r="G12" i="5" s="1"/>
  <c r="E39" i="3"/>
  <c r="E38" i="3"/>
  <c r="E36" i="3"/>
  <c r="F13" i="5"/>
  <c r="F15" i="5"/>
  <c r="F16" i="5" s="1"/>
  <c r="D36" i="3"/>
  <c r="D39" i="3"/>
  <c r="D38" i="3"/>
  <c r="C40" i="3"/>
  <c r="C41" i="3" s="1"/>
  <c r="C45" i="3" s="1"/>
  <c r="E18" i="5"/>
  <c r="E19" i="5" s="1"/>
  <c r="D44" i="3" s="1"/>
  <c r="F14" i="5"/>
  <c r="C47" i="3" l="1"/>
  <c r="E40" i="3"/>
  <c r="E41" i="3" s="1"/>
  <c r="F18" i="5"/>
  <c r="F19" i="5" s="1"/>
  <c r="E44" i="3" s="1"/>
  <c r="G13" i="5"/>
  <c r="G14" i="5" s="1"/>
  <c r="G18" i="5" s="1"/>
  <c r="G19" i="5" s="1"/>
  <c r="F44" i="3" s="1"/>
  <c r="G15" i="5"/>
  <c r="G16" i="5" s="1"/>
  <c r="D40" i="3"/>
  <c r="D41" i="3" s="1"/>
  <c r="D45" i="3" s="1"/>
  <c r="D47" i="3" s="1"/>
  <c r="G37" i="3"/>
  <c r="C16" i="4"/>
  <c r="C28" i="4" s="1"/>
  <c r="H9" i="5"/>
  <c r="H12" i="5" s="1"/>
  <c r="G42" i="3"/>
  <c r="G34" i="3"/>
  <c r="H10" i="5" s="1"/>
  <c r="F35" i="3"/>
  <c r="E45" i="3" l="1"/>
  <c r="E47" i="3" s="1"/>
  <c r="G35" i="3"/>
  <c r="G38" i="3"/>
  <c r="G36" i="3"/>
  <c r="G39" i="3"/>
  <c r="C72" i="4"/>
  <c r="C73" i="4"/>
  <c r="H14" i="5"/>
  <c r="H18" i="5" s="1"/>
  <c r="H19" i="5" s="1"/>
  <c r="G44" i="3" s="1"/>
  <c r="F38" i="3"/>
  <c r="F36" i="3"/>
  <c r="F39" i="3"/>
  <c r="H15" i="5"/>
  <c r="H16" i="5" s="1"/>
  <c r="H13" i="5"/>
  <c r="F40" i="3" l="1"/>
  <c r="F41" i="3" s="1"/>
  <c r="F45" i="3" s="1"/>
  <c r="G40" i="3"/>
  <c r="G41" i="3" s="1"/>
  <c r="G45" i="3" s="1"/>
  <c r="C59" i="3"/>
  <c r="C60" i="3" s="1"/>
  <c r="C61" i="3" s="1"/>
  <c r="C51" i="3" l="1"/>
  <c r="C52" i="3" s="1"/>
  <c r="G47" i="3"/>
  <c r="F47" i="3"/>
  <c r="C50" i="3" s="1"/>
  <c r="G11" i="7"/>
  <c r="D24" i="7"/>
  <c r="I18" i="7"/>
  <c r="F11" i="7"/>
  <c r="I12" i="7"/>
  <c r="G24" i="7"/>
  <c r="C7" i="7"/>
  <c r="H19" i="7"/>
  <c r="E22" i="7"/>
  <c r="G19" i="7"/>
  <c r="F18" i="7"/>
  <c r="G9" i="7"/>
  <c r="I8" i="7"/>
  <c r="F10" i="7"/>
  <c r="E11" i="7"/>
  <c r="C19" i="7"/>
  <c r="H20" i="7"/>
  <c r="H12" i="7"/>
  <c r="H11" i="7"/>
  <c r="D13" i="7"/>
  <c r="C11" i="7"/>
  <c r="E18" i="7"/>
  <c r="I11" i="7"/>
  <c r="G23" i="7"/>
  <c r="C24" i="7"/>
  <c r="H18" i="7"/>
  <c r="D19" i="7"/>
  <c r="H9" i="7"/>
  <c r="E12" i="7"/>
  <c r="F8" i="7"/>
  <c r="G18" i="7"/>
  <c r="C20" i="7"/>
  <c r="D23" i="7"/>
  <c r="C10" i="7"/>
  <c r="D11" i="7"/>
  <c r="E7" i="7"/>
  <c r="I22" i="7"/>
  <c r="H23" i="7"/>
  <c r="C21" i="7"/>
  <c r="E8" i="7"/>
  <c r="C23" i="7"/>
  <c r="G13" i="7"/>
  <c r="D18" i="7"/>
  <c r="H8" i="7"/>
  <c r="D9" i="7"/>
  <c r="I21" i="7"/>
  <c r="F24" i="7"/>
  <c r="H21" i="7"/>
  <c r="G20" i="7"/>
  <c r="I23" i="7"/>
  <c r="I9" i="7"/>
  <c r="E20" i="7"/>
  <c r="G8" i="7"/>
  <c r="H22" i="7"/>
  <c r="D22" i="7"/>
  <c r="C12" i="7"/>
  <c r="E13" i="7"/>
  <c r="F9" i="7"/>
  <c r="G21" i="7"/>
  <c r="F20" i="7"/>
  <c r="C13" i="7"/>
  <c r="H7" i="7"/>
  <c r="D8" i="7"/>
  <c r="I20" i="7"/>
  <c r="E21" i="7"/>
  <c r="I7" i="7"/>
  <c r="G10" i="7"/>
  <c r="I19" i="7"/>
  <c r="C18" i="7"/>
  <c r="C9" i="7"/>
  <c r="D21" i="7"/>
  <c r="F21" i="7"/>
  <c r="G7" i="7"/>
  <c r="D7" i="7"/>
  <c r="D12" i="7"/>
  <c r="I13" i="7"/>
  <c r="H13" i="7"/>
  <c r="I10" i="7"/>
  <c r="G22" i="7"/>
  <c r="E19" i="7"/>
  <c r="E10" i="7"/>
  <c r="F23" i="7"/>
  <c r="C8" i="7"/>
  <c r="I24" i="7"/>
  <c r="F12" i="7"/>
  <c r="E24" i="7"/>
  <c r="F19" i="7"/>
  <c r="C22" i="7"/>
  <c r="G12" i="7"/>
  <c r="E9" i="7"/>
  <c r="F22" i="7"/>
  <c r="F13" i="7"/>
  <c r="D20" i="7"/>
  <c r="H10" i="7"/>
  <c r="E23" i="7"/>
  <c r="F7" i="7"/>
  <c r="H24" i="7"/>
  <c r="D10" i="7"/>
  <c r="C58" i="3" l="1"/>
  <c r="C62" i="3" s="1"/>
  <c r="C53" i="3"/>
  <c r="C63" i="3" l="1"/>
  <c r="C64" i="3" s="1"/>
  <c r="C17" i="1" s="1"/>
  <c r="D17" i="1" s="1"/>
  <c r="C17" i="4"/>
  <c r="C54" i="3"/>
  <c r="C55" i="3" s="1"/>
  <c r="C16" i="1" s="1"/>
  <c r="D16" i="1" l="1"/>
  <c r="C21" i="1"/>
  <c r="C10" i="1"/>
  <c r="C19" i="4"/>
  <c r="C20" i="4" s="1"/>
  <c r="B79" i="4" s="1"/>
  <c r="C12" i="1" l="1"/>
  <c r="C11" i="1" s="1"/>
  <c r="B31" i="1"/>
  <c r="B26" i="1" l="1"/>
</calcChain>
</file>

<file path=xl/sharedStrings.xml><?xml version="1.0" encoding="utf-8"?>
<sst xmlns="http://schemas.openxmlformats.org/spreadsheetml/2006/main" count="508" uniqueCount="394">
  <si>
    <t>DISCLAIMER: This is a sample analysis for demonstration purposes only. It does not constitute investment advice.</t>
  </si>
  <si>
    <t>キリンホールディングス (2503.T)</t>
  </si>
  <si>
    <t>Equity Research Report</t>
  </si>
  <si>
    <t>Company</t>
  </si>
  <si>
    <t>キリンホールディングス</t>
  </si>
  <si>
    <t>Ticker</t>
  </si>
  <si>
    <t>2503.T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</si>
  <si>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</si>
  <si>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</si>
  <si>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</si>
  <si>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</si>
  <si>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</si>
  <si>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</si>
  <si>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</si>
  <si>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</si>
  <si>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</si>
  <si>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</si>
  <si>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</si>
  <si>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</si>
  <si>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</si>
  <si>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</si>
  <si>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</si>
  <si>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</si>
  <si>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</si>
  <si>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The cost of debt in this model is the realised rate from the filings rather than an assumed spread, which matters because leverage sits between the domestic beverage peers and the more geared names.</t>
  </si>
  <si>
    <t>Key Risks</t>
  </si>
  <si>
    <t>キリンホールディングス - Historical Financials (JPY mn)</t>
  </si>
  <si>
    <t>FY2022</t>
  </si>
  <si>
    <t>FY2023</t>
  </si>
  <si>
    <t>FY2024</t>
  </si>
  <si>
    <t>FY2025</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</si>
  <si>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</si>
  <si>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</si>
  <si>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</si>
  <si>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</si>
  <si>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</si>
  <si>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</si>
  <si>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</si>
  <si>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</si>
  <si>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</si>
  <si>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</si>
  <si>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</si>
  <si>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</si>
  <si>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</si>
  <si>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</si>
  <si>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</si>
  <si>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</si>
  <si>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</si>
  <si>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</si>
  <si>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</si>
  <si>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</si>
  <si>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</si>
  <si>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</si>
  <si>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</si>
  <si>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</si>
  <si>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キリンホールディングス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</si>
  <si>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</si>
  <si>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</si>
  <si>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</si>
  <si>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</si>
  <si>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</si>
  <si>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</si>
  <si>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</si>
  <si>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</si>
  <si>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</si>
  <si>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</si>
  <si>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</si>
  <si>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</si>
  <si>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</si>
  <si>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</si>
  <si>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</si>
  <si>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</si>
  <si>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</si>
  <si>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</si>
  <si>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</si>
  <si>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</si>
  <si>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</si>
  <si>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</si>
  <si>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</si>
  <si>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</si>
  <si>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</si>
  <si>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FY2026(E)</t>
  </si>
  <si>
    <t>FY2027(E)</t>
  </si>
  <si>
    <t>FY2028(E)</t>
  </si>
  <si>
    <t>FY2029(E)</t>
  </si>
  <si>
    <t>FY2030(E)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</si>
  <si>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</si>
  <si>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</si>
  <si>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</si>
  <si>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</si>
  <si>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</si>
  <si>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</si>
  <si>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</si>
  <si>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</si>
  <si>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</si>
  <si>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</si>
  <si>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</si>
  <si>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</si>
  <si>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</si>
  <si>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</si>
  <si>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</si>
  <si>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</si>
  <si>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</si>
  <si>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</si>
  <si>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</si>
  <si>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</si>
  <si>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</si>
  <si>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</si>
  <si>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</si>
  <si>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</si>
  <si>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</si>
  <si>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</si>
  <si>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</si>
  <si>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</si>
  <si>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</si>
  <si>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</si>
  <si>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</si>
  <si>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</si>
  <si>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</si>
  <si>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</si>
  <si>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キリンホールディングス (2503.T)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</si>
  <si>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</si>
  <si>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</si>
  <si>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</si>
  <si>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</si>
  <si>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</si>
  <si>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</si>
  <si>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</si>
  <si>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</si>
  <si>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(FY2025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</si>
  <si>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</si>
  <si>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</si>
  <si>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</si>
  <si>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</si>
  <si>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</si>
  <si>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</si>
  <si>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</si>
  <si>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</si>
  <si>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</si>
  <si>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</si>
  <si>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</si>
  <si>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FY2025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</si>
  <si>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</si>
  <si>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</si>
  <si>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</si>
  <si>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</si>
  <si>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</si>
  <si>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</si>
  <si>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</si>
  <si>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</si>
  <si>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</si>
  <si>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</si>
  <si>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</si>
  <si>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</si>
  <si>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</si>
  <si>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</si>
  <si>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</si>
  <si>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</si>
  <si>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</si>
  <si>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</si>
  <si>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</si>
  <si>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</si>
  <si>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</si>
  <si>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</si>
  <si>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</si>
  <si>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</si>
  <si>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</si>
  <si>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</si>
  <si>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</si>
  <si>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</si>
  <si>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</si>
  <si>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</si>
  <si>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キリンホールディングス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</si>
  <si>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</si>
  <si>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</si>
  <si>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</si>
  <si>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</si>
  <si>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</si>
  <si>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</si>
  <si>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</si>
  <si>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</si>
  <si>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</si>
  <si>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</si>
  <si>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</si>
  <si>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</si>
  <si>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</si>
  <si>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</si>
  <si>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</si>
  <si>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</si>
  <si>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</si>
  <si>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</si>
  <si>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</si>
  <si>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</si>
  <si>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</si>
  <si>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</si>
  <si>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</si>
  <si>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</si>
  <si>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</si>
  <si>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</si>
  <si>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</si>
  <si>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</si>
  <si>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</si>
  <si>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</si>
  <si>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</si>
  <si>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</si>
  <si>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</si>
  <si>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</si>
  <si>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Kirin Holdings Company, Limited</t>
  </si>
  <si>
    <t>2503.T</t>
  </si>
  <si>
    <t>Asahi Group Holdings, Ltd.</t>
  </si>
  <si>
    <t>2502.T</t>
  </si>
  <si>
    <t>Ajinomoto Co., Inc.</t>
  </si>
  <si>
    <t>2802.T</t>
  </si>
  <si>
    <t>Kikkoman Corporation</t>
  </si>
  <si>
    <t>2801.T</t>
  </si>
  <si>
    <t>Meiji Holdings Co., Ltd.</t>
  </si>
  <si>
    <t>2269.T</t>
  </si>
  <si>
    <t>Nissin Foods Holdings Co.,Ltd.</t>
  </si>
  <si>
    <t>2897.T</t>
  </si>
  <si>
    <t>Statistics</t>
  </si>
  <si>
    <t>25th Percentile</t>
  </si>
  <si>
    <t>Median (50th)</t>
  </si>
  <si>
    <t>75th Percentile</t>
  </si>
  <si>
    <t>Implied Valuation for キリンホールディングス</t>
  </si>
  <si>
    <t>キリンホールディングス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</si>
  <si>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</si>
  <si>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</si>
  <si>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</si>
  <si>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</si>
  <si>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</si>
  <si>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</si>
  <si>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</si>
  <si>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</si>
  <si>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</si>
  <si>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</si>
  <si>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</si>
  <si>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</si>
  <si>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</si>
  <si>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</si>
  <si>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</si>
  <si>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キリンホールディングス</t>
  </si>
  <si>
    <t>日付</t>
  </si>
  <si>
    <t>セル</t>
  </si>
  <si>
    <t>変更内容</t>
  </si>
  <si>
    <t>理由</t>
  </si>
  <si>
    <t>元の値</t>
  </si>
  <si>
    <t>状態</t>
  </si>
  <si>
    <t>2026-09-05</t>
  </si>
  <si>
    <t>-</t>
  </si>
  <si>
    <t>Generated by pipeline on 2026-09-05 22:39,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</si>
  <si>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</si>
  <si>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</si>
  <si>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</si>
  <si>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</si>
  <si>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</si>
  <si>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</si>
  <si>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</si>
  <si>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</si>
  <si>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</si>
  <si>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</si>
  <si>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</si>
  <si>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</si>
  <si>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</si>
  <si>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</si>
  <si>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2,320,500百万円。テンプレの自動規則(&gt;=1兆円 -&gt; 0.0%、&gt;=1,000億円 -&gt; 1.5%)とは異なる値であり、明示指定で上書きしている。当社は12月期。</t>
  </si>
  <si>
    <t>テンプレ自動値</t>
  </si>
  <si>
    <t>DCF Model!C8</t>
  </si>
  <si>
    <t>Beta = 0.60</t>
  </si>
  <si>
    <t>yfinance実測は 0.044。テンプレは beta を [0.6, 1.75] にクランプし範囲外は【無言で 1.0 に置換】する(templates/dcf_comps_template.py:1819、生成ログでも確認)。サイレントフォールバック禁止の原則により許容域の下限 0.60 を明示指定し、当社の低ベータ性を保持した。0.60 は実測値ではなく『テンプレが受け付ける最小値』であることに注意。</t>
  </si>
  <si>
    <t>yfinance実測 0.044 / テンプレ置換値 1.0</t>
  </si>
  <si>
    <t>DCF Model!C6</t>
  </si>
  <si>
    <t>Effective Tax Rate = 25%</t>
  </si>
  <si>
    <t>バッチ共通の既定値(§1-3)。当社の実績税負担率を個別検証したものではない。</t>
  </si>
  <si>
    <t>テンプレ既定 30%</t>
  </si>
  <si>
    <t>推定</t>
  </si>
  <si>
    <t>DCF Model!C11</t>
  </si>
  <si>
    <t>After-tax Cost of Debt = 1.54%(実績ベース)</t>
  </si>
  <si>
    <t>支払利息 18,321百万円 ÷ 平均有利子負債 ((857,569 + 923,434)/2 = 890,502) = 2.06%(税引前)、× (1 − 25%) = 1.54%(validate チェック17 PASS)。■マージナルコスト注記: 既存借入の平均コストであり新規調達の限界コストではない。■出所は yfinance の Interest Expense で EDINET 有報の支払利息と未突合。</t>
  </si>
  <si>
    <t>テンプレ既定(推定値)</t>
  </si>
  <si>
    <t>推定(出所が二次ソース・要確認)</t>
  </si>
  <si>
    <t>DCF Model!C13</t>
  </si>
  <si>
    <t>Terminal Growth = 1.0%</t>
  </si>
  <si>
    <t>テンプレ既定 2.0%</t>
  </si>
  <si>
    <t>DCF Model!C14</t>
  </si>
  <si>
    <t>Exit Multiple (EV/EBITDA) = 11.1x</t>
  </si>
  <si>
    <t>Peer 5社の実測EV/EBITDA中央値 11.13x(2502 11.13 / 2802 18.89 / 2801 15.63 / 2269 8.35 / 2897 10.92)。 自社の現在倍率 10.21x は算式に入れていない(市場価格への循環参照回避)。■当初は Peer中央値にマージン優位分を上乗せする調整式を検討したが、EV/EBITDA は既に資本集約度を織り込んでおり営業利益率による上方調整は資本集約型銘柄で逆方向に働くため(9022 で実測 7.4x に対し調整式が 16.3x を返した)、バッチ全銘柄で素の Peer 中央値に統一した。</t>
  </si>
  <si>
    <t>テンプレ既定 10.0x</t>
  </si>
  <si>
    <t>DCF Model シナリオ5本</t>
  </si>
  <si>
    <t>実績OPM分布からの導出(min 5.36 / p25 5.71 / med 6.44 / p75 7.44 / max 8.62%)</t>
  </si>
  <si>
    <t>直近FY2025/12 の 8.62% が実績中央値 6.44% を上回るため、Base の到達OPMは『直近実績と p75 の平均 = 8.03%』とし緩やかな平均回帰を置いた(Y1 8.5% → Y5 8.03%)。Upside は max(p75 7.44, 直近+1.0pt = 9.62) = 9.62%。Downside 1 は min(p25 5.71, 直近 8.62) = 5.71%。Downside 2 は実績トラフ 5.36% が Downside 1(5.71%)と近接し差別化できないため、売上−8%+固定費デレバレッジで 4.0-4.8% とした。SGA% は実績35.7→37.2%の直近水準37.0%を基準に調整し COGS% = 100% − OPM − SGA% で逆算。既存銘柄からの流用なし。</t>
  </si>
  <si>
    <t>テンプレ自動生成シナリオ</t>
  </si>
  <si>
    <t>Financial Statements / hist_* 系列</t>
  </si>
  <si>
    <t>hist_years を FY2022-FY2025 の4期に置換し P/L 5系列を yfinance連結財務諸表から供給</t>
  </si>
  <si>
    <t>【リトライ1回目・§3-2 の補完】初回生成は FAIL 1(Financial Statements!D16:F16 = #DIV/0!)。原因は EDINET が hist_years を FY2017-FY2025 の9期で構築し、うち FY2018-FY2020 の営業利益を 0 で抽出していたこと。■EDINET の最新本決算は FY2025/12(docID S100XTVS)で取得できており最新期の欠落はない(2502・2802 とは異なる)。したがって fundamentals_fy ブロックは使っていない。■hist_ocf / hist_cash / hist_debt / hist_capex / hist_depreciation は【供給していない】 — Step 4.6 が会計年度キーで再マッピングするため、yfinance が未収録の FY2025/12 の D&amp;A・capex を EDINET 実績で埋められる(生成ログの FS align は FY2022-FY2025 の4期すべてで ocf+cash+debt を確認)。■hist_sga = 売上 − COGS − 営業利益 で逆算。</t>
  </si>
  <si>
    <t>EDINET自動抽出値(FY2017-FY2025、うち3期の営業利益が破損)</t>
  </si>
  <si>
    <t>DCF Model!C16 / C20</t>
  </si>
  <si>
    <t>net_debt = 675,526百万円(EDINET自動算出値を採用)/ C20 LTM = 2,514,930百万円</t>
  </si>
  <si>
    <t>net_debt は EDINET有報XBRLからの自動算出値をそのまま採用した。■yfinance ベースの独立計算(有利子負債 923,434 − 現金 125,292 = 798,142)とは 122,616百万円 の差がある。現金同等物の範囲(短期投資の扱い)とリース債務の扱いの差と解されるが、突合はしていない。EDINET(有報XBRL)が一次ソースであるためそちらを採用した。1株あたり約154円(株数796,891,219)の差に相当する。■C20 LTM 2,514,930 は FY2025/12 実績(2,433,363)ではなく、半期報告書(docID S100YV8N、FY2026/12 上期)を用いた真の LTM。base_year_revenue(投影の起点)は FY2025/12 実績 2,433,363 を明示指定している。両者の差は意図的。</t>
  </si>
  <si>
    <t>要確認(net_debt のソース間差異)</t>
  </si>
  <si>
    <t>DCF Model NWC(dso/dih/dpo)</t>
  </si>
  <si>
    <t>Base: DSO 78日 / DIH 101日 / DPO 100日</t>
  </si>
  <si>
    <t>実績4期平均。</t>
  </si>
  <si>
    <t>全体(未解決)</t>
  </si>
  <si>
    <t>Target 2,883円 と現値 2,912円 が実質同水準(−1.0%)である一方、PGM と Exit の乖離が大きい</t>
  </si>
  <si>
    <t>PGM 2,397円 に対し Exit 3,368円 と40%の開きがある。PGM は WACC 6.44% − 成長率1.0% = 5.44% の永久還元、Exit は Peer中央値 11.1x。どちらの世界観を採るかで結論が BUY にも SELL にも振れる。Peer中央値が自社の現在倍率(10.21x)より高いことが Exit を押し上げている。</t>
  </si>
  <si>
    <t>未解決</t>
  </si>
  <si>
    <t>DCF Model Management シナリオ</t>
  </si>
  <si>
    <t>Management = Base と同一</t>
  </si>
  <si>
    <t>EDINET XBRL・TDnet短信のいずれからも会社業績予想を取得できなかった(生成ログ Step 3: 'No guidance data found')。§7-2 に従い Management=Base で続行。■本バッチではここまで生成した全銘柄で同じ結果になっており、銘柄固有ではなくパイプラインの構造的な取得失敗である。</t>
  </si>
  <si>
    <t>フォールバック使用(会社予想未取得)</t>
  </si>
  <si>
    <t>Comps Analysis</t>
  </si>
  <si>
    <t>Peer 5社 = 2502 アサヒGHD / 2802 味の素 / 2801 キッコーマン / 2269 明治HD / 2897 日清食品HD</t>
  </si>
  <si>
    <t>■選定理由: TSE33業種『食料品』。■時価総額バンド: §5 の 0.3〜3倍は 0.70〜6.96兆円で、採用5社すべてがバンド内。■除外: 2914 JT(バンド外・たばこ)、2267 ヤクルト(単品依存)。海外Peer は §5 により不使用。■EBITDA = 営業利益 + 減価償却費で全6社統一、D&amp;A欠損による除外はゼロ。■年度混在の開示: 自社行(2503)の D&amp;A 95,702 は FY2024/12 の値(yfinance が FY2025/12 の CF計算書を未収録)、2802 味の素の D&amp;A は FY2025/3 の値。自社行は統計から自動除外される(validate チェック3 PASS)ため Peer統計・Exit倍率には影響しない。■Market_Cap は全行記入(2026-09-04終値ベース静的値)。</t>
  </si>
  <si>
    <t>Executive Summary!C10 / Target</t>
  </si>
  <si>
    <t>Target Price = 2,883円 = PGM 2,397円 と Exit 3,368円 の2本平均。Comps 2本(EV/EBITDA 3,505円 / PER 4,975円)は [参考・Target不算入]</t>
  </si>
  <si>
    <t>メモ§2 の規約どおり。validate チェック14 PASS(C10 が C16:C17 のみを平均)。EV&lt;net_debt による INVALID 化は発生していない(チェック10・15 とも PASS)。</t>
  </si>
  <si>
    <t>Comps Analysis / core_ebitda</t>
  </si>
  <si>
    <t>core_ebitda = 311,527百万円（EDINET由来の自動計算値をそのまま採用）</t>
  </si>
  <si>
    <t>batch/check_core_ebitda.py による全銘柄照合で、workbook の自社EBITDA 311,527 と comps CSV の自社行 305,379 に **2.0%** の差があることを検出した。差の原因は D&amp;A のソース(EDINET vs yfinance)で、yfinance が当社の FY2025/12 キャッシュフロー計算書を未収録のため CSV は FY2024/12 の D&amp;A 95,702 を使っている(年度混在)。■差が 2% と軽微であり Comps は Target 不算入であることから、再生成は行わず開示にとどめた。■自社行は Peer 統計から自動除外されるため Peer 統計・Exit倍率には影響しない。</t>
  </si>
  <si>
    <t>推定(軽微・開示のみ)</t>
  </si>
  <si>
    <t>全体(納品状態)</t>
  </si>
  <si>
    <t>本ファイルは DRAFT。_FINAL は付けない</t>
  </si>
  <si>
    <t>バッチモードでの機械生成物であり人間の検証を経ていない。FINAL化は手順書v2 §6 に従い検証後に行う。</t>
  </si>
  <si>
    <t>DRAFT</t>
  </si>
  <si>
    <t>Pipeline Metadata (do not edit — read by scripts/validate_output.py)</t>
  </si>
  <si>
    <t>key</t>
  </si>
  <si>
    <t>value</t>
  </si>
  <si>
    <t>auto_log_entries</t>
  </si>
  <si>
    <t>1</t>
  </si>
  <si>
    <t>capex_pct_basis</t>
  </si>
  <si>
    <t>assumption</t>
  </si>
  <si>
    <t>capex_pct_c5</t>
  </si>
  <si>
    <t>0.0431</t>
  </si>
  <si>
    <t>capex_pct_hist3yr</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</si>
  <si>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</si>
  <si>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</si>
  <si>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</si>
  <si>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</si>
  <si>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</si>
  <si>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</si>
  <si>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</si>
  <si>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</si>
  <si>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</si>
  <si>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</si>
  <si>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</si>
  <si>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</si>
  <si>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</si>
  <si>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</si>
  <si>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</si>
  <si>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</si>
  <si>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</si>
  <si>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</si>
  <si>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</si>
  <si>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18,321 (expense 18,321 + fees 0) / avg debt 890,502 (debt_beginning/debt_ending) = 0.020574 pre-tax -&gt; 0.015400 after-tax</t>
  </si>
  <si>
    <t>cost_of_debt_at_c11</t>
  </si>
  <si>
    <t>0.0154</t>
  </si>
  <si>
    <t>cost_of_debt_avg_debt</t>
  </si>
  <si>
    <t>890501.5</t>
  </si>
  <si>
    <t>cost_of_debt_basis</t>
  </si>
  <si>
    <t>actual</t>
  </si>
  <si>
    <t>cost_of_debt_interest</t>
  </si>
  <si>
    <t>18321.0</t>
  </si>
  <si>
    <t>cost_of_debt_pretax</t>
  </si>
  <si>
    <t>0.020573800268724983</t>
  </si>
  <si>
    <t>da_pct_basis</t>
  </si>
  <si>
    <t>da_pct_c18</t>
  </si>
  <si>
    <t>0.041</t>
  </si>
  <si>
    <t>da_pct_hist3yr</t>
  </si>
  <si>
    <t>0.041217</t>
  </si>
  <si>
    <t>fs_year_coverage</t>
  </si>
  <si>
    <t>OCF 4/4, Cash 4/4, Debt 4/4</t>
  </si>
  <si>
    <t>fs_year_map</t>
  </si>
  <si>
    <t>FY2022&lt;-FY2022[ocf+cash+debt]; FY2023&lt;-FY2023[ocf+cash+debt]; FY2024&lt;-FY2024[ocf+cash+debt]; FY2025&lt;-FY2025[ocf+cash+debt]</t>
  </si>
  <si>
    <t>fs_year_sources</t>
  </si>
  <si>
    <t>overrides: none | EDINET year-key match: hist_ocf, hist_cash, hist_debt, hist_capex, hist_depreciation</t>
  </si>
  <si>
    <t>fx_sensitivity</t>
  </si>
  <si>
    <t>not enabled</t>
  </si>
  <si>
    <t>generated_at</t>
  </si>
  <si>
    <t>2026-09-05 22:39:38</t>
  </si>
  <si>
    <t>ltm_revenue_c20</t>
  </si>
  <si>
    <t>2514930.0</t>
  </si>
  <si>
    <t>ltm_revenue_source</t>
  </si>
  <si>
    <t>LTM row</t>
  </si>
  <si>
    <t>narrative_tokens_used</t>
  </si>
  <si>
    <t>pb,per,price,target_price,upside_pct,wacc</t>
  </si>
  <si>
    <t>reverse_dcf_sheet</t>
  </si>
  <si>
    <t>op0=209,677(FY2025) peak=209,677(FY2025) peak_opm=0.0862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</si>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</sst>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2912</v>
      </c>
    </row>
    <row r="10" spans="2:5" ht="14" customHeight="1" x14ac:dyDescent="0.3">
      <c r="B10" s="4" t="s">
        <v>10</v>
      </c>
      <c r="C10" s="5">
        <f>IF(COUNT(C16:C17)=0,"N/A",ROUND(AVERAGE(C16:C17),0))</f>
        <v>2883</v>
      </c>
    </row>
    <row r="11" spans="2:5" ht="14" customHeight="1" x14ac:dyDescent="0.3">
      <c r="B11" s="4" t="s">
        <v>11</v>
      </c>
      <c r="C11" s="6" t="str">
        <f>IF(NOT(ISNUMBER(C12)),"N/A",IF(C12&gt;0.15,"BUY",IF(C12&gt;0.05,"HOLD","SELL")))</f>
        <v>SELL</v>
      </c>
    </row>
    <row r="12" spans="2:5" ht="14" customHeight="1" x14ac:dyDescent="0.3">
      <c r="B12" s="4" t="s">
        <v>12</v>
      </c>
      <c r="C12" s="7">
        <f>IF(ISNUMBER(C10),(C10-C9)/C9,"N/A")</f>
        <v>-9.9587912087912081E-3</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2397</v>
      </c>
      <c r="D16" s="7">
        <f>IF(ISNUMBER(C16),(C16-C9)/C9,"N/A")</f>
        <v>-0.17685439560439561</v>
      </c>
    </row>
    <row r="17" spans="2:5" ht="13.5" customHeight="1" x14ac:dyDescent="0.25">
      <c r="B17" t="s">
        <v>18</v>
      </c>
      <c r="C17" s="11">
        <f>IF('DCF Model'!C62&lt;'DCF Model'!C16,"INVALID (EV &lt; net debt)",'DCF Model'!C64)</f>
        <v>3368</v>
      </c>
      <c r="D17" s="7">
        <f>IF(ISNUMBER(C17),(C17-C9)/C9,"N/A")</f>
        <v>0.15659340659340659</v>
      </c>
    </row>
    <row r="18" spans="2:5" ht="13.5" customHeight="1" x14ac:dyDescent="0.25">
      <c r="B18" t="s">
        <v>19</v>
      </c>
      <c r="C18" s="11">
        <f>'Comps Analysis'!C27</f>
        <v>3505</v>
      </c>
      <c r="D18" s="7">
        <f>IF(ISNUMBER(C18),(C18-C9)/C9,"N/A")</f>
        <v>0.20364010989010989</v>
      </c>
    </row>
    <row r="19" spans="2:5" ht="13.5" customHeight="1" x14ac:dyDescent="0.25">
      <c r="B19" t="s">
        <v>20</v>
      </c>
      <c r="C19" s="11">
        <f>'Comps Analysis'!C28</f>
        <v>4975</v>
      </c>
      <c r="D19" s="7">
        <f>IF(ISNUMBER(C19),(C19-C9)/C9,"N/A")</f>
        <v>0.70844780219780223</v>
      </c>
    </row>
    <row r="20" spans="2:5" ht="14" customHeight="1" x14ac:dyDescent="0.3">
      <c r="B20" s="46" t="s">
        <v>21</v>
      </c>
      <c r="C20" s="45"/>
      <c r="D20" s="45"/>
      <c r="E20" s="45"/>
    </row>
    <row r="21" spans="2:5" ht="14" customHeight="1" x14ac:dyDescent="0.3">
      <c r="B21" s="4" t="s">
        <v>22</v>
      </c>
      <c r="C21" s="6" t="str">
        <f>IF(COUNT(C16:C17)=0,"N/A",MIN(C16:C17)&amp;" - "&amp;MAX(C16:C17))</f>
        <v>2397 - 3368</v>
      </c>
    </row>
    <row r="23" spans="2:5" ht="14" customHeight="1" x14ac:dyDescent="0.3">
      <c r="B23" s="8" t="s">
        <v>23</v>
      </c>
      <c r="C23" s="9"/>
      <c r="D23" s="9"/>
    </row>
    <row r="24" spans="2:5" x14ac:dyDescent="0.2">
      <c r="B24" t="str">
        <f>"Kirin combines a mature domestic beer business with health science and overseas beverage assets, and the latest year restored the operating margin to the top of its four-year range; the shares trade at "&amp;TEXT('Comps Analysis'!L5,"0.0""x""")&amp;" earnings and "&amp;TEXT('Comps Analysis'!M5,"0.00""x""")&amp;" book."</f>
        <v>Kirin combines a mature domestic beer business with health science and overseas beverage assets, and the latest year restored the operating margin to the top of its four-year range; the shares trade at 15.7x earnings and 1.80x book.</v>
      </c>
    </row>
    <row r="25" spans="2:5" x14ac:dyDescent="0.2">
      <c r="B25" t="s">
        <v>24</v>
      </c>
    </row>
    <row r="26" spans="2:5" x14ac:dyDescent="0.2">
      <c r="B26" t="str">
        <f>"At "&amp;TEXT(C9,"#,##0")&amp;" the market is not paying for the margin recovery to hold; a base case that mean-reverts only partway supports "&amp;TEXT(C10,"#,##0")&amp;", or "&amp;TEXT(C12,"+0.0%;-0.0%")&amp;" from here."</f>
        <v>At 2,912 the market is not paying for the margin recovery to hold; a base case that mean-reverts only partway supports 2,883, or -1.0% from here.</v>
      </c>
    </row>
    <row r="28" spans="2:5" ht="14" customHeight="1" x14ac:dyDescent="0.3">
      <c r="B28" s="8" t="s">
        <v>25</v>
      </c>
      <c r="C28" s="9"/>
      <c r="D28" s="9"/>
    </row>
    <row r="29" spans="2:5" x14ac:dyDescent="0.2">
      <c r="B29" t="str">
        <f>"The health-science expansion has absorbed capital without yet delivering peer-level returns, and a write-down there would take earnings back toward the trough case rather than the "&amp;TEXT('Comps Analysis'!L5,"0.0""x""")&amp;" implied by "&amp;TEXT(C9,"#,##0")&amp;"."</f>
        <v>The health-science expansion has absorbed capital without yet delivering peer-level returns, and a write-down there would take earnings back toward the trough case rather than the 15.7x implied by 2,912.</v>
      </c>
    </row>
    <row r="30" spans="2:5" x14ac:dyDescent="0.2">
      <c r="B30" t="str">
        <f>"Domestic beer volumes decline structurally, so modelled growth relies on overseas assets whose currencies are not hedged in the "&amp;TEXT('DCF Model'!C26,"0.00%")&amp;" used here."</f>
        <v>Domestic beer volumes decline structurally, so modelled growth relies on overseas assets whose currencies are not hedged in the 6.44% used here.</v>
      </c>
    </row>
    <row r="31" spans="2:5" x14ac:dyDescent="0.2">
      <c r="B31" t="str">
        <f>"The latest-year margin is the best in the observation window; if it proves to be a peak rather than a new level, the base case overstates the path behind "&amp;TEXT(C10,"#,##0")&amp;"."</f>
        <v>The latest-year margin is the best in the observation window; if it proves to be a peak rather than a new level, the base case overstates the path behind 2,883.</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customHeight="1" x14ac:dyDescent="0.4">
      <c r="B2" s="2" t="s">
        <v>26</v>
      </c>
    </row>
    <row r="4" spans="2:6" ht="14" customHeight="1" x14ac:dyDescent="0.3">
      <c r="C4" s="10" t="s">
        <v>27</v>
      </c>
      <c r="D4" s="10" t="s">
        <v>28</v>
      </c>
      <c r="E4" s="10" t="s">
        <v>29</v>
      </c>
      <c r="F4" s="10" t="s">
        <v>30</v>
      </c>
    </row>
    <row r="5" spans="2:6" ht="14" customHeight="1" x14ac:dyDescent="0.3">
      <c r="B5" s="3" t="s">
        <v>31</v>
      </c>
    </row>
    <row r="6" spans="2:6" ht="14" customHeight="1" x14ac:dyDescent="0.3">
      <c r="B6" s="4" t="s">
        <v>32</v>
      </c>
      <c r="C6" s="5">
        <v>1989468</v>
      </c>
      <c r="D6" s="5">
        <v>2134393</v>
      </c>
      <c r="E6" s="5">
        <v>2338385</v>
      </c>
      <c r="F6" s="5">
        <v>2433363</v>
      </c>
    </row>
    <row r="7" spans="2:6" ht="14" customHeight="1" x14ac:dyDescent="0.3">
      <c r="B7" s="4" t="s">
        <v>33</v>
      </c>
      <c r="C7" s="5">
        <v>1083755</v>
      </c>
      <c r="D7" s="5">
        <v>1170927</v>
      </c>
      <c r="E7" s="5">
        <v>1272430</v>
      </c>
      <c r="F7" s="5">
        <v>1275360</v>
      </c>
    </row>
    <row r="8" spans="2:6" ht="14" customHeight="1" x14ac:dyDescent="0.3">
      <c r="B8" s="4" t="s">
        <v>34</v>
      </c>
      <c r="C8" s="5">
        <f>C6-C7</f>
        <v>905713</v>
      </c>
      <c r="D8" s="5">
        <f>D6-D7</f>
        <v>963466</v>
      </c>
      <c r="E8" s="5">
        <f>E6-E7</f>
        <v>1065955</v>
      </c>
      <c r="F8" s="5">
        <f>F6-F7</f>
        <v>1158003</v>
      </c>
    </row>
    <row r="9" spans="2:6" ht="13.5" customHeight="1" x14ac:dyDescent="0.25">
      <c r="B9" t="s">
        <v>35</v>
      </c>
      <c r="C9" s="7">
        <f>C8/C6</f>
        <v>0.45525386686290004</v>
      </c>
      <c r="D9" s="7">
        <f>D8/D6</f>
        <v>0.45140046842357523</v>
      </c>
      <c r="E9" s="7">
        <f>E8/E6</f>
        <v>0.45585093985806441</v>
      </c>
      <c r="F9" s="7">
        <f>F8/F6</f>
        <v>0.47588584193973527</v>
      </c>
    </row>
    <row r="10" spans="2:6" ht="14" customHeight="1" x14ac:dyDescent="0.3">
      <c r="B10" s="4" t="s">
        <v>36</v>
      </c>
      <c r="C10" s="5">
        <v>789694</v>
      </c>
      <c r="D10" s="5">
        <v>813172</v>
      </c>
      <c r="E10" s="5">
        <v>940615</v>
      </c>
      <c r="F10" s="5">
        <v>948326</v>
      </c>
    </row>
    <row r="11" spans="2:6" ht="14" customHeight="1" x14ac:dyDescent="0.3">
      <c r="B11" s="4" t="s">
        <v>37</v>
      </c>
      <c r="C11" s="5">
        <v>116019</v>
      </c>
      <c r="D11" s="5">
        <v>150294</v>
      </c>
      <c r="E11" s="5">
        <v>125340</v>
      </c>
      <c r="F11" s="5">
        <v>209677</v>
      </c>
    </row>
    <row r="12" spans="2:6" ht="14" customHeight="1" x14ac:dyDescent="0.3">
      <c r="B12" s="4" t="s">
        <v>38</v>
      </c>
      <c r="C12" s="5">
        <v>111007</v>
      </c>
      <c r="D12" s="5">
        <v>112697</v>
      </c>
      <c r="E12" s="5">
        <v>58214</v>
      </c>
      <c r="F12" s="5">
        <v>147542</v>
      </c>
    </row>
    <row r="13" spans="2:6" ht="13.5" customHeight="1" x14ac:dyDescent="0.25">
      <c r="B13" t="s">
        <v>39</v>
      </c>
      <c r="C13" s="7">
        <f>C11/C6</f>
        <v>5.8316595190271971E-2</v>
      </c>
      <c r="D13" s="7">
        <f>D11/D6</f>
        <v>7.0415335882379679E-2</v>
      </c>
      <c r="E13" s="7">
        <f>E11/E6</f>
        <v>5.3601096483256609E-2</v>
      </c>
      <c r="F13" s="7">
        <f>F11/F6</f>
        <v>8.6167579600741853E-2</v>
      </c>
    </row>
    <row r="14" spans="2:6" ht="13.5" customHeight="1" x14ac:dyDescent="0.25">
      <c r="B14" t="s">
        <v>40</v>
      </c>
      <c r="C14" s="7">
        <f>C12/C6</f>
        <v>5.5797328733108546E-2</v>
      </c>
      <c r="D14" s="7">
        <f>D12/D6</f>
        <v>5.2800491755735708E-2</v>
      </c>
      <c r="E14" s="7">
        <f>E12/E6</f>
        <v>2.4894959555419659E-2</v>
      </c>
      <c r="F14" s="7">
        <f>F12/F6</f>
        <v>6.0632959406385321E-2</v>
      </c>
    </row>
    <row r="15" spans="2:6" ht="13.5" customHeight="1" x14ac:dyDescent="0.25">
      <c r="B15" t="s">
        <v>41</v>
      </c>
      <c r="C15" t="s">
        <v>42</v>
      </c>
      <c r="D15" s="7">
        <f>(D6-C6)/C6</f>
        <v>7.2846107602635476E-2</v>
      </c>
      <c r="E15" s="7">
        <f>(E6-D6)/D6</f>
        <v>9.5573776713098288E-2</v>
      </c>
      <c r="F15" s="7">
        <f>(F6-E6)/E6</f>
        <v>4.0616921507792773E-2</v>
      </c>
    </row>
    <row r="16" spans="2:6" ht="13.5" customHeight="1" x14ac:dyDescent="0.25">
      <c r="B16" t="s">
        <v>43</v>
      </c>
      <c r="C16" t="s">
        <v>42</v>
      </c>
      <c r="D16" s="7">
        <f>(D11-C11)/C11</f>
        <v>0.29542574923072945</v>
      </c>
      <c r="E16" s="7">
        <f>(E11-D11)/D11</f>
        <v>-0.1660345722384127</v>
      </c>
      <c r="F16" s="7">
        <f>(F11-E11)/E11</f>
        <v>0.67286580501037174</v>
      </c>
    </row>
    <row r="18" spans="2:6" ht="14" customHeight="1" x14ac:dyDescent="0.3">
      <c r="B18" s="3" t="s">
        <v>44</v>
      </c>
    </row>
    <row r="19" spans="2:6" ht="14" customHeight="1" x14ac:dyDescent="0.3">
      <c r="B19" s="4" t="s">
        <v>45</v>
      </c>
      <c r="C19" s="5">
        <v>135562</v>
      </c>
      <c r="D19" s="5">
        <v>203206</v>
      </c>
      <c r="E19" s="5">
        <v>242844</v>
      </c>
      <c r="F19" s="5">
        <v>295428</v>
      </c>
    </row>
    <row r="20" spans="2:6" ht="14" customHeight="1" x14ac:dyDescent="0.3">
      <c r="B20" s="4" t="s">
        <v>46</v>
      </c>
      <c r="C20" s="5"/>
      <c r="D20" s="5"/>
      <c r="E20" s="5"/>
      <c r="F20" s="5"/>
    </row>
    <row r="21" spans="2:6" ht="14" customHeight="1" x14ac:dyDescent="0.3">
      <c r="B21" s="4" t="s">
        <v>47</v>
      </c>
    </row>
    <row r="22" spans="2:6" x14ac:dyDescent="0.2">
      <c r="B22" t="s">
        <v>48</v>
      </c>
    </row>
    <row r="23" spans="2:6" x14ac:dyDescent="0.2">
      <c r="B23" t="s">
        <v>49</v>
      </c>
    </row>
    <row r="25" spans="2:6" ht="14" customHeight="1" x14ac:dyDescent="0.3">
      <c r="B25" s="3" t="s">
        <v>50</v>
      </c>
    </row>
    <row r="26" spans="2:6" ht="14" customHeight="1" x14ac:dyDescent="0.3">
      <c r="B26" s="4" t="s">
        <v>51</v>
      </c>
      <c r="C26" s="5">
        <v>88060</v>
      </c>
      <c r="D26" s="5">
        <v>131399</v>
      </c>
      <c r="E26" s="5">
        <v>118617</v>
      </c>
      <c r="F26" s="5">
        <v>125292</v>
      </c>
    </row>
    <row r="27" spans="2:6" ht="14" customHeight="1" x14ac:dyDescent="0.3">
      <c r="B27" s="4" t="s">
        <v>52</v>
      </c>
      <c r="C27" s="5">
        <v>523121</v>
      </c>
      <c r="D27" s="5">
        <v>656398</v>
      </c>
      <c r="E27" s="5">
        <v>857569</v>
      </c>
      <c r="F27" s="5">
        <v>923434</v>
      </c>
    </row>
    <row r="28" spans="2:6" ht="14" customHeight="1" x14ac:dyDescent="0.3">
      <c r="B28" s="4" t="s">
        <v>53</v>
      </c>
      <c r="C28" s="5">
        <f>C27-C26</f>
        <v>435061</v>
      </c>
      <c r="D28" s="5">
        <f>D27-D26</f>
        <v>524999</v>
      </c>
      <c r="E28" s="5">
        <f>E27-E26</f>
        <v>738952</v>
      </c>
      <c r="F28" s="5">
        <f>F27-F26</f>
        <v>798142</v>
      </c>
    </row>
    <row r="30" spans="2:6" ht="14" customHeight="1" x14ac:dyDescent="0.3">
      <c r="B30" s="1" t="s">
        <v>54</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55</v>
      </c>
    </row>
    <row r="4" spans="2:7" ht="14" customHeight="1" x14ac:dyDescent="0.3">
      <c r="B4" s="8" t="s">
        <v>56</v>
      </c>
      <c r="C4" s="9"/>
      <c r="D4" s="9"/>
      <c r="E4" s="9"/>
      <c r="F4" s="9"/>
      <c r="G4" s="9"/>
    </row>
    <row r="5" spans="2:7" ht="14" customHeight="1" x14ac:dyDescent="0.3">
      <c r="B5" s="4" t="s">
        <v>57</v>
      </c>
      <c r="C5" s="7">
        <v>4.3099999999999999E-2</v>
      </c>
    </row>
    <row r="6" spans="2:7" ht="14" customHeight="1" x14ac:dyDescent="0.3">
      <c r="B6" s="4" t="s">
        <v>58</v>
      </c>
      <c r="C6" s="7">
        <v>0.25</v>
      </c>
    </row>
    <row r="7" spans="2:7" ht="14" customHeight="1" x14ac:dyDescent="0.3">
      <c r="B7" s="4" t="s">
        <v>59</v>
      </c>
      <c r="C7" s="7">
        <v>2.9700000000000001E-2</v>
      </c>
    </row>
    <row r="8" spans="2:7" ht="14" customHeight="1" x14ac:dyDescent="0.3">
      <c r="B8" s="4" t="s">
        <v>60</v>
      </c>
      <c r="C8" s="12">
        <v>0.6</v>
      </c>
    </row>
    <row r="9" spans="2:7" ht="14" customHeight="1" x14ac:dyDescent="0.3">
      <c r="B9" s="4" t="s">
        <v>61</v>
      </c>
      <c r="C9" s="7">
        <v>6.5000000000000002E-2</v>
      </c>
    </row>
    <row r="10" spans="2:7" ht="14" customHeight="1" x14ac:dyDescent="0.3">
      <c r="B10" s="4" t="s">
        <v>62</v>
      </c>
      <c r="C10" s="7">
        <v>0.01</v>
      </c>
    </row>
    <row r="11" spans="2:7" ht="14" customHeight="1" x14ac:dyDescent="0.3">
      <c r="B11" s="4" t="s">
        <v>63</v>
      </c>
      <c r="C11" s="7">
        <v>1.54E-2</v>
      </c>
    </row>
    <row r="12" spans="2:7" ht="14" customHeight="1" x14ac:dyDescent="0.3">
      <c r="B12" s="4" t="s">
        <v>64</v>
      </c>
      <c r="C12" s="13">
        <v>0.29110000000000003</v>
      </c>
    </row>
    <row r="13" spans="2:7" ht="14" customHeight="1" x14ac:dyDescent="0.3">
      <c r="B13" s="4" t="s">
        <v>65</v>
      </c>
      <c r="C13" s="7">
        <v>0.01</v>
      </c>
    </row>
    <row r="14" spans="2:7" ht="14" customHeight="1" x14ac:dyDescent="0.3">
      <c r="B14" s="4" t="s">
        <v>66</v>
      </c>
      <c r="C14" s="14">
        <v>11.1</v>
      </c>
    </row>
    <row r="15" spans="2:7" ht="14" customHeight="1" x14ac:dyDescent="0.3">
      <c r="B15" s="4" t="s">
        <v>67</v>
      </c>
      <c r="C15" s="15">
        <v>796891219</v>
      </c>
    </row>
    <row r="16" spans="2:7" ht="14" customHeight="1" x14ac:dyDescent="0.3">
      <c r="B16" s="4" t="s">
        <v>68</v>
      </c>
      <c r="C16" s="5">
        <v>675526</v>
      </c>
    </row>
    <row r="17" spans="2:7" ht="14" customHeight="1" x14ac:dyDescent="0.3">
      <c r="B17" s="4" t="s">
        <v>69</v>
      </c>
      <c r="C17" s="5">
        <v>2433363</v>
      </c>
    </row>
    <row r="18" spans="2:7" ht="14" customHeight="1" x14ac:dyDescent="0.3">
      <c r="B18" s="4" t="s">
        <v>70</v>
      </c>
      <c r="C18" s="7">
        <v>4.1000000000000002E-2</v>
      </c>
    </row>
    <row r="19" spans="2:7" ht="14" customHeight="1" x14ac:dyDescent="0.3">
      <c r="B19" s="4" t="s">
        <v>71</v>
      </c>
      <c r="C19" s="12">
        <v>0.5</v>
      </c>
    </row>
    <row r="20" spans="2:7" ht="14" customHeight="1" x14ac:dyDescent="0.3">
      <c r="B20" s="4" t="s">
        <v>72</v>
      </c>
      <c r="C20" s="5">
        <v>2514930</v>
      </c>
    </row>
    <row r="22" spans="2:7" ht="14" customHeight="1" x14ac:dyDescent="0.3">
      <c r="B22" s="8" t="s">
        <v>73</v>
      </c>
      <c r="C22" s="9"/>
      <c r="D22" s="9"/>
      <c r="E22" s="9"/>
      <c r="F22" s="9"/>
      <c r="G22" s="9"/>
    </row>
    <row r="23" spans="2:7" ht="14" customHeight="1" x14ac:dyDescent="0.3">
      <c r="B23" s="4" t="s">
        <v>74</v>
      </c>
      <c r="C23" s="16">
        <f>C7+C8*C9+C10</f>
        <v>7.8699999999999992E-2</v>
      </c>
    </row>
    <row r="24" spans="2:7" ht="14" customHeight="1" x14ac:dyDescent="0.3">
      <c r="B24" s="4" t="s">
        <v>75</v>
      </c>
      <c r="C24" s="16">
        <f>1/(1+C12)</f>
        <v>0.77453334366044446</v>
      </c>
    </row>
    <row r="25" spans="2:7" ht="14" customHeight="1" x14ac:dyDescent="0.3">
      <c r="B25" s="4" t="s">
        <v>76</v>
      </c>
      <c r="C25" s="16">
        <f>C12/(1+C12)</f>
        <v>0.22546665633955543</v>
      </c>
    </row>
    <row r="26" spans="2:7" ht="14" customHeight="1" x14ac:dyDescent="0.3">
      <c r="B26" s="4" t="s">
        <v>77</v>
      </c>
      <c r="C26" s="16">
        <f>C23*C24+C11*C25</f>
        <v>6.4427960653706123E-2</v>
      </c>
    </row>
    <row r="27" spans="2:7" ht="14" customHeight="1" x14ac:dyDescent="0.3">
      <c r="B27" s="4" t="s">
        <v>78</v>
      </c>
      <c r="C27" s="17" t="s">
        <v>79</v>
      </c>
      <c r="D27" s="6">
        <f>MATCH(C27,B69:B73,0)</f>
        <v>1</v>
      </c>
    </row>
    <row r="28" spans="2:7" ht="14" customHeight="1" x14ac:dyDescent="0.3">
      <c r="B28" s="8" t="s">
        <v>80</v>
      </c>
      <c r="C28" s="9"/>
      <c r="D28" s="9"/>
      <c r="E28" s="9"/>
      <c r="F28" s="9"/>
      <c r="G28" s="9"/>
    </row>
    <row r="29" spans="2:7" ht="14" customHeight="1" x14ac:dyDescent="0.3">
      <c r="C29" s="10" t="s">
        <v>81</v>
      </c>
      <c r="D29" s="10" t="s">
        <v>82</v>
      </c>
      <c r="E29" s="10" t="s">
        <v>83</v>
      </c>
      <c r="F29" s="10" t="s">
        <v>84</v>
      </c>
      <c r="G29" s="10" t="s">
        <v>85</v>
      </c>
    </row>
    <row r="30" spans="2:7" ht="14" customHeight="1" x14ac:dyDescent="0.3">
      <c r="B30" s="4" t="s">
        <v>41</v>
      </c>
      <c r="C30" s="18">
        <f>CHOOSE($D$27,C69,C70,C71,C72,C73)</f>
        <v>3.5000000000000003E-2</v>
      </c>
      <c r="D30" s="18">
        <f>CHOOSE($D$27,D69,D70,D71,D72,D73)</f>
        <v>0.03</v>
      </c>
      <c r="E30" s="18">
        <f>CHOOSE($D$27,E69,E70,E71,E72,E73)</f>
        <v>0.03</v>
      </c>
      <c r="F30" s="18">
        <f>CHOOSE($D$27,F69,F70,F71,F72,F73)</f>
        <v>2.5000000000000001E-2</v>
      </c>
      <c r="G30" s="18">
        <f>CHOOSE($D$27,G69,G70,G71,G72,G73)</f>
        <v>2.5000000000000001E-2</v>
      </c>
    </row>
    <row r="31" spans="2:7" ht="14" customHeight="1" x14ac:dyDescent="0.3">
      <c r="B31" s="4" t="s">
        <v>86</v>
      </c>
      <c r="C31" s="18">
        <f>CHOOSE($D$27,C76,C77,C78,C79,C80)</f>
        <v>0.54500000000000004</v>
      </c>
      <c r="D31" s="18">
        <f>CHOOSE($D$27,D76,D77,D78,D79,D80)</f>
        <v>0.54600000000000004</v>
      </c>
      <c r="E31" s="18">
        <f>CHOOSE($D$27,E76,E77,E78,E79,E80)</f>
        <v>0.54800000000000004</v>
      </c>
      <c r="F31" s="18">
        <f>CHOOSE($D$27,F76,F77,F78,F79,F80)</f>
        <v>0.54900000000000004</v>
      </c>
      <c r="G31" s="18">
        <f>CHOOSE($D$27,G76,G77,G78,G79,G80)</f>
        <v>0.54969999999999997</v>
      </c>
    </row>
    <row r="32" spans="2:7" ht="14" customHeight="1" x14ac:dyDescent="0.3">
      <c r="B32" s="4" t="s">
        <v>87</v>
      </c>
      <c r="C32" s="18">
        <f>CHOOSE($D$27,C83,C84,C85,C86,C87)</f>
        <v>0.37</v>
      </c>
      <c r="D32" s="18">
        <f>CHOOSE($D$27,D83,D84,D85,D86,D87)</f>
        <v>0.37</v>
      </c>
      <c r="E32" s="18">
        <f>CHOOSE($D$27,E83,E84,E85,E86,E87)</f>
        <v>0.37</v>
      </c>
      <c r="F32" s="18">
        <f>CHOOSE($D$27,F83,F84,F85,F86,F87)</f>
        <v>0.37</v>
      </c>
      <c r="G32" s="18">
        <f>CHOOSE($D$27,G83,G84,G85,G86,G87)</f>
        <v>0.37</v>
      </c>
    </row>
    <row r="33" spans="2:7" ht="14" customHeight="1" x14ac:dyDescent="0.3">
      <c r="B33" s="4" t="s">
        <v>32</v>
      </c>
      <c r="C33" s="5">
        <f>C17*(1+C30)</f>
        <v>2518530.7049999996</v>
      </c>
      <c r="D33" s="5">
        <f>C33*(1+D30)</f>
        <v>2594086.6261499994</v>
      </c>
      <c r="E33" s="5">
        <f>D33*(1+E30)</f>
        <v>2671909.2249344997</v>
      </c>
      <c r="F33" s="5">
        <f>E33*(1+F30)</f>
        <v>2738706.9555578618</v>
      </c>
      <c r="G33" s="5">
        <f>F33*(1+G30)</f>
        <v>2807174.6294468082</v>
      </c>
    </row>
    <row r="34" spans="2:7" ht="14" customHeight="1" x14ac:dyDescent="0.3">
      <c r="B34" s="4" t="s">
        <v>33</v>
      </c>
      <c r="C34" s="5">
        <f>C33*C31</f>
        <v>1372599.2342249998</v>
      </c>
      <c r="D34" s="5">
        <f>D33*D31</f>
        <v>1416371.2978778998</v>
      </c>
      <c r="E34" s="5">
        <f>E33*E31</f>
        <v>1464206.255264106</v>
      </c>
      <c r="F34" s="5">
        <f>F33*F31</f>
        <v>1503550.1186012663</v>
      </c>
      <c r="G34" s="5">
        <f>G33*G31</f>
        <v>1543103.8938069104</v>
      </c>
    </row>
    <row r="35" spans="2:7" ht="14" customHeight="1" x14ac:dyDescent="0.3">
      <c r="B35" s="4" t="s">
        <v>34</v>
      </c>
      <c r="C35" s="19">
        <f>C33-C34</f>
        <v>1145931.4707749998</v>
      </c>
      <c r="D35" s="19">
        <f>D33-D34</f>
        <v>1177715.3282720996</v>
      </c>
      <c r="E35" s="19">
        <f>E33-E34</f>
        <v>1207702.9696703937</v>
      </c>
      <c r="F35" s="19">
        <f>F33-F34</f>
        <v>1235156.8369565955</v>
      </c>
      <c r="G35" s="19">
        <f>G33-G34</f>
        <v>1264070.7356398979</v>
      </c>
    </row>
    <row r="36" spans="2:7" ht="14" customHeight="1" x14ac:dyDescent="0.3">
      <c r="B36" s="4" t="s">
        <v>35</v>
      </c>
      <c r="C36" s="7">
        <f>C35/C33</f>
        <v>0.45500000000000002</v>
      </c>
      <c r="D36" s="7">
        <f>D35/D33</f>
        <v>0.45399999999999996</v>
      </c>
      <c r="E36" s="7">
        <f>E35/E33</f>
        <v>0.45199999999999996</v>
      </c>
      <c r="F36" s="7">
        <f>F35/F33</f>
        <v>0.45099999999999996</v>
      </c>
      <c r="G36" s="7">
        <f>G35/G33</f>
        <v>0.45030000000000003</v>
      </c>
    </row>
    <row r="37" spans="2:7" ht="14" customHeight="1" x14ac:dyDescent="0.3">
      <c r="B37" s="4" t="s">
        <v>88</v>
      </c>
      <c r="C37" s="5">
        <f>C33*C32</f>
        <v>931856.36084999982</v>
      </c>
      <c r="D37" s="5">
        <f>D33*D32</f>
        <v>959812.05167549977</v>
      </c>
      <c r="E37" s="5">
        <f>E33*E32</f>
        <v>988606.41322576487</v>
      </c>
      <c r="F37" s="5">
        <f>F33*F32</f>
        <v>1013321.5735564089</v>
      </c>
      <c r="G37" s="5">
        <f>G33*G32</f>
        <v>1038654.612895319</v>
      </c>
    </row>
    <row r="38" spans="2:7" ht="14" customHeight="1" x14ac:dyDescent="0.3">
      <c r="B38" s="4" t="s">
        <v>89</v>
      </c>
      <c r="C38" s="7">
        <f>(C35-C37)/C33</f>
        <v>8.5000000000000006E-2</v>
      </c>
      <c r="D38" s="7">
        <f>(D35-D37)/D33</f>
        <v>8.399999999999995E-2</v>
      </c>
      <c r="E38" s="7">
        <f>(E35-E37)/E33</f>
        <v>8.1999999999999962E-2</v>
      </c>
      <c r="F38" s="7">
        <f>(F35-F37)/F33</f>
        <v>8.0999999999999947E-2</v>
      </c>
      <c r="G38" s="7">
        <f>(G35-G37)/G33</f>
        <v>8.0300000000000066E-2</v>
      </c>
    </row>
    <row r="39" spans="2:7" ht="14" customHeight="1" x14ac:dyDescent="0.3">
      <c r="B39" s="4" t="s">
        <v>90</v>
      </c>
      <c r="C39" s="19">
        <f>C35-C37</f>
        <v>214075.109925</v>
      </c>
      <c r="D39" s="19">
        <f>D35-D37</f>
        <v>217903.27659659984</v>
      </c>
      <c r="E39" s="19">
        <f>E35-E37</f>
        <v>219096.55644462886</v>
      </c>
      <c r="F39" s="19">
        <f>F35-F37</f>
        <v>221835.26340018667</v>
      </c>
      <c r="G39" s="19">
        <f>G35-G37</f>
        <v>225416.12274457887</v>
      </c>
    </row>
    <row r="40" spans="2:7" ht="14" customHeight="1" x14ac:dyDescent="0.3">
      <c r="B40" s="4" t="s">
        <v>91</v>
      </c>
      <c r="C40" s="5">
        <f>MAX(0,C39*C6)</f>
        <v>53518.777481249999</v>
      </c>
      <c r="D40" s="5">
        <f>MAX(0,D39*C6)</f>
        <v>54475.81914914996</v>
      </c>
      <c r="E40" s="5">
        <f>MAX(0,E39*C6)</f>
        <v>54774.139111157216</v>
      </c>
      <c r="F40" s="5">
        <f>MAX(0,F39*C6)</f>
        <v>55458.815850046667</v>
      </c>
      <c r="G40" s="5">
        <f>MAX(0,G39*C6)</f>
        <v>56354.030686144717</v>
      </c>
    </row>
    <row r="41" spans="2:7" ht="14" customHeight="1" x14ac:dyDescent="0.3">
      <c r="B41" s="4" t="s">
        <v>92</v>
      </c>
      <c r="C41" s="19">
        <f>C39-C40</f>
        <v>160556.33244375</v>
      </c>
      <c r="D41" s="19">
        <f>D39-D40</f>
        <v>163427.45744744988</v>
      </c>
      <c r="E41" s="19">
        <f>E39-E40</f>
        <v>164322.41733347165</v>
      </c>
      <c r="F41" s="19">
        <f>F39-F40</f>
        <v>166376.44755014</v>
      </c>
      <c r="G41" s="19">
        <f>G39-G40</f>
        <v>169062.09205843415</v>
      </c>
    </row>
    <row r="42" spans="2:7" ht="14" customHeight="1" x14ac:dyDescent="0.3">
      <c r="B42" s="4" t="s">
        <v>93</v>
      </c>
      <c r="C42" s="5">
        <f>C33*C18</f>
        <v>103259.758905</v>
      </c>
      <c r="D42" s="5">
        <f>D33*C18</f>
        <v>106357.55167214999</v>
      </c>
      <c r="E42" s="5">
        <f>E33*C18</f>
        <v>109548.27822231449</v>
      </c>
      <c r="F42" s="5">
        <f>F33*C18</f>
        <v>112286.98517787234</v>
      </c>
      <c r="G42" s="5">
        <f>G33*C18</f>
        <v>115094.15980731914</v>
      </c>
    </row>
    <row r="43" spans="2:7" ht="14" customHeight="1" x14ac:dyDescent="0.3">
      <c r="B43" s="4" t="s">
        <v>94</v>
      </c>
      <c r="C43" s="5">
        <v>150000</v>
      </c>
      <c r="D43" s="5">
        <v>140000</v>
      </c>
      <c r="E43" s="5">
        <v>132000</v>
      </c>
      <c r="F43" s="5">
        <v>126000</v>
      </c>
      <c r="G43" s="5">
        <v>121000</v>
      </c>
    </row>
    <row r="44" spans="2:7" ht="14" customHeight="1" x14ac:dyDescent="0.3">
      <c r="B44" s="4" t="s">
        <v>95</v>
      </c>
      <c r="C44" s="5">
        <f>'NWC Schedule'!D19</f>
        <v>39323.107463630149</v>
      </c>
      <c r="D44" s="5">
        <f>'NWC Schedule'!E19</f>
        <v>16266.120310555911</v>
      </c>
      <c r="E44" s="5">
        <f>'NWC Schedule'!F19</f>
        <v>16761.637431718176</v>
      </c>
      <c r="F44" s="5">
        <f>'NWC Schedule'!G19</f>
        <v>14382.374936875189</v>
      </c>
      <c r="G44" s="5">
        <f>'NWC Schedule'!H19</f>
        <v>14739.814626146457</v>
      </c>
    </row>
    <row r="45" spans="2:7" ht="14" customHeight="1" x14ac:dyDescent="0.3">
      <c r="B45" s="4" t="s">
        <v>96</v>
      </c>
      <c r="C45" s="20">
        <f>C41+C42-C43-C44</f>
        <v>74492.983885119844</v>
      </c>
      <c r="D45" s="20">
        <f>D41+D42-D43-D44</f>
        <v>113518.88880904397</v>
      </c>
      <c r="E45" s="20">
        <f>E41+E42-E43-E44</f>
        <v>125109.05812406796</v>
      </c>
      <c r="F45" s="20">
        <f>F41+F42-F43-F44</f>
        <v>138281.05779113714</v>
      </c>
      <c r="G45" s="20">
        <f>G41+G42-G43-G44</f>
        <v>148416.43723960686</v>
      </c>
    </row>
    <row r="46" spans="2:7" ht="14" customHeight="1" x14ac:dyDescent="0.3">
      <c r="B46" s="4" t="s">
        <v>97</v>
      </c>
      <c r="C46" s="21">
        <f>1/(1+C26)^(C19+0)</f>
        <v>0.96926350957406304</v>
      </c>
      <c r="D46" s="21">
        <f>1/(1+C26)^(C19+1)</f>
        <v>0.91059568651203138</v>
      </c>
      <c r="E46" s="21">
        <f>1/(1+C26)^(C19+2)</f>
        <v>0.85547892405306569</v>
      </c>
      <c r="F46" s="21">
        <f>1/(1+C26)^(C19+3)</f>
        <v>0.80369828271674026</v>
      </c>
      <c r="G46" s="21">
        <f>1/(1+C26)^(C19+4)</f>
        <v>0.7550518329330228</v>
      </c>
    </row>
    <row r="47" spans="2:7" ht="14" customHeight="1" x14ac:dyDescent="0.3">
      <c r="B47" s="4" t="s">
        <v>98</v>
      </c>
      <c r="C47" s="19">
        <f>C45*C46</f>
        <v>72203.330999135374</v>
      </c>
      <c r="D47" s="19">
        <f>D45*D46</f>
        <v>103369.81048715435</v>
      </c>
      <c r="E47" s="19">
        <f>E45*E46</f>
        <v>107028.16243327012</v>
      </c>
      <c r="F47" s="19">
        <f>F45*F46</f>
        <v>111136.24867899124</v>
      </c>
      <c r="G47" s="19">
        <f>G45*G46</f>
        <v>112062.10297515411</v>
      </c>
    </row>
    <row r="49" spans="2:7" ht="14" customHeight="1" x14ac:dyDescent="0.3">
      <c r="B49" s="22" t="s">
        <v>99</v>
      </c>
      <c r="C49" s="23"/>
      <c r="D49" s="23"/>
      <c r="E49" s="23"/>
      <c r="F49" s="23"/>
      <c r="G49" s="23"/>
    </row>
    <row r="50" spans="2:7" ht="14" customHeight="1" x14ac:dyDescent="0.3">
      <c r="B50" s="4" t="s">
        <v>100</v>
      </c>
      <c r="C50" s="5">
        <f>SUM(C47:G47)</f>
        <v>505799.65557370521</v>
      </c>
    </row>
    <row r="51" spans="2:7" ht="14" customHeight="1" x14ac:dyDescent="0.3">
      <c r="B51" s="4" t="s">
        <v>101</v>
      </c>
      <c r="C51" s="5">
        <f>G45*(1+C13)/(C26-C13)</f>
        <v>2754110.2001916706</v>
      </c>
    </row>
    <row r="52" spans="2:7" ht="14" customHeight="1" x14ac:dyDescent="0.3">
      <c r="B52" s="4" t="s">
        <v>102</v>
      </c>
      <c r="C52" s="5">
        <f>C51*G46</f>
        <v>2079495.9547542552</v>
      </c>
    </row>
    <row r="53" spans="2:7" ht="14" customHeight="1" x14ac:dyDescent="0.3">
      <c r="B53" s="4" t="s">
        <v>103</v>
      </c>
      <c r="C53" s="5">
        <f>C50+C52</f>
        <v>2585295.6103279605</v>
      </c>
    </row>
    <row r="54" spans="2:7" ht="14" customHeight="1" x14ac:dyDescent="0.3">
      <c r="B54" s="4" t="s">
        <v>104</v>
      </c>
      <c r="C54" s="5">
        <f>C53-C16</f>
        <v>1909769.6103279605</v>
      </c>
    </row>
    <row r="55" spans="2:7" ht="14" customHeight="1" x14ac:dyDescent="0.3">
      <c r="B55" s="4" t="s">
        <v>105</v>
      </c>
      <c r="C55" s="24">
        <f>ROUND(C54*1000000/C15,0)</f>
        <v>2397</v>
      </c>
    </row>
    <row r="57" spans="2:7" ht="14" customHeight="1" x14ac:dyDescent="0.3">
      <c r="B57" s="22" t="s">
        <v>106</v>
      </c>
      <c r="C57" s="23"/>
      <c r="D57" s="23"/>
      <c r="E57" s="23"/>
      <c r="F57" s="23"/>
      <c r="G57" s="23"/>
    </row>
    <row r="58" spans="2:7" ht="14" customHeight="1" x14ac:dyDescent="0.3">
      <c r="B58" s="4" t="s">
        <v>100</v>
      </c>
      <c r="C58" s="5">
        <f>C50</f>
        <v>505799.65557370521</v>
      </c>
    </row>
    <row r="59" spans="2:7" ht="14" customHeight="1" x14ac:dyDescent="0.3">
      <c r="B59" s="4" t="s">
        <v>107</v>
      </c>
      <c r="C59" s="5">
        <f>G39+G42</f>
        <v>340510.28255189804</v>
      </c>
    </row>
    <row r="60" spans="2:7" ht="14" customHeight="1" x14ac:dyDescent="0.3">
      <c r="B60" s="4" t="s">
        <v>108</v>
      </c>
      <c r="C60" s="5">
        <f>C59*C14</f>
        <v>3779664.1363260681</v>
      </c>
    </row>
    <row r="61" spans="2:7" ht="14" customHeight="1" x14ac:dyDescent="0.3">
      <c r="B61" s="4" t="s">
        <v>102</v>
      </c>
      <c r="C61" s="5">
        <f>C60*G46</f>
        <v>2853842.3340042084</v>
      </c>
    </row>
    <row r="62" spans="2:7" ht="14" customHeight="1" x14ac:dyDescent="0.3">
      <c r="B62" s="4" t="s">
        <v>103</v>
      </c>
      <c r="C62" s="5">
        <f>C58+C61</f>
        <v>3359641.9895779137</v>
      </c>
    </row>
    <row r="63" spans="2:7" ht="14" customHeight="1" x14ac:dyDescent="0.3">
      <c r="B63" s="4" t="s">
        <v>104</v>
      </c>
      <c r="C63" s="5">
        <f>C62-C16</f>
        <v>2684115.9895779137</v>
      </c>
    </row>
    <row r="64" spans="2:7" ht="14" customHeight="1" x14ac:dyDescent="0.3">
      <c r="B64" s="4" t="s">
        <v>109</v>
      </c>
      <c r="C64" s="24">
        <f>ROUND(C63*1000000/C15,0)</f>
        <v>3368</v>
      </c>
    </row>
    <row r="66" spans="2:7" ht="14" customHeight="1" x14ac:dyDescent="0.3">
      <c r="B66" s="22" t="s">
        <v>110</v>
      </c>
      <c r="C66" s="23"/>
      <c r="D66" s="23"/>
      <c r="E66" s="23"/>
      <c r="F66" s="23"/>
      <c r="G66" s="23"/>
    </row>
    <row r="67" spans="2:7" ht="14" customHeight="1" x14ac:dyDescent="0.3">
      <c r="C67" s="25" t="s">
        <v>111</v>
      </c>
      <c r="D67" s="25" t="s">
        <v>112</v>
      </c>
      <c r="E67" s="25" t="s">
        <v>113</v>
      </c>
      <c r="F67" s="25" t="s">
        <v>114</v>
      </c>
      <c r="G67" s="25" t="s">
        <v>115</v>
      </c>
    </row>
    <row r="68" spans="2:7" ht="14" customHeight="1" x14ac:dyDescent="0.3">
      <c r="B68" s="3" t="s">
        <v>41</v>
      </c>
    </row>
    <row r="69" spans="2:7" ht="14" customHeight="1" x14ac:dyDescent="0.3">
      <c r="B69" s="4" t="s">
        <v>79</v>
      </c>
      <c r="C69" s="26">
        <v>3.5000000000000003E-2</v>
      </c>
      <c r="D69" s="26">
        <v>0.03</v>
      </c>
      <c r="E69" s="26">
        <v>0.03</v>
      </c>
      <c r="F69" s="26">
        <v>2.5000000000000001E-2</v>
      </c>
      <c r="G69" s="26">
        <v>2.5000000000000001E-2</v>
      </c>
    </row>
    <row r="70" spans="2:7" ht="14" customHeight="1" x14ac:dyDescent="0.3">
      <c r="B70" s="4" t="s">
        <v>116</v>
      </c>
      <c r="C70" s="26">
        <v>0.05</v>
      </c>
      <c r="D70" s="26">
        <v>4.4999999999999998E-2</v>
      </c>
      <c r="E70" s="26">
        <v>0.04</v>
      </c>
      <c r="F70" s="26">
        <v>3.5000000000000003E-2</v>
      </c>
      <c r="G70" s="26">
        <v>3.5000000000000003E-2</v>
      </c>
    </row>
    <row r="71" spans="2:7" ht="14" customHeight="1" x14ac:dyDescent="0.3">
      <c r="B71" s="4" t="s">
        <v>117</v>
      </c>
      <c r="C71" s="26">
        <v>3.5000000000000003E-2</v>
      </c>
      <c r="D71" s="26">
        <v>0.03</v>
      </c>
      <c r="E71" s="26">
        <v>0.03</v>
      </c>
      <c r="F71" s="26">
        <v>2.5000000000000001E-2</v>
      </c>
      <c r="G71" s="26">
        <v>2.5000000000000001E-2</v>
      </c>
    </row>
    <row r="72" spans="2:7" ht="14" customHeight="1" x14ac:dyDescent="0.3">
      <c r="B72" s="4" t="s">
        <v>118</v>
      </c>
      <c r="C72" s="26">
        <v>0.01</v>
      </c>
      <c r="D72" s="26">
        <v>5.0000000000000001E-3</v>
      </c>
      <c r="E72" s="26">
        <v>5.0000000000000001E-3</v>
      </c>
      <c r="F72" s="26">
        <v>5.0000000000000001E-3</v>
      </c>
      <c r="G72" s="26">
        <v>5.0000000000000001E-3</v>
      </c>
    </row>
    <row r="73" spans="2:7" ht="14" customHeight="1" x14ac:dyDescent="0.3">
      <c r="B73" s="4" t="s">
        <v>119</v>
      </c>
      <c r="C73" s="26">
        <v>-0.08</v>
      </c>
      <c r="D73" s="26">
        <v>-0.01</v>
      </c>
      <c r="E73" s="26">
        <v>5.0000000000000001E-3</v>
      </c>
      <c r="F73" s="26">
        <v>0.01</v>
      </c>
      <c r="G73" s="26">
        <v>1.4999999999999999E-2</v>
      </c>
    </row>
    <row r="75" spans="2:7" ht="14" customHeight="1" x14ac:dyDescent="0.3">
      <c r="B75" s="3" t="s">
        <v>86</v>
      </c>
    </row>
    <row r="76" spans="2:7" ht="14" customHeight="1" x14ac:dyDescent="0.3">
      <c r="B76" s="4" t="s">
        <v>79</v>
      </c>
      <c r="C76" s="26">
        <v>0.54500000000000004</v>
      </c>
      <c r="D76" s="26">
        <v>0.54600000000000004</v>
      </c>
      <c r="E76" s="26">
        <v>0.54800000000000004</v>
      </c>
      <c r="F76" s="26">
        <v>0.54900000000000004</v>
      </c>
      <c r="G76" s="26">
        <v>0.54969999999999997</v>
      </c>
    </row>
    <row r="77" spans="2:7" ht="14" customHeight="1" x14ac:dyDescent="0.3">
      <c r="B77" s="4" t="s">
        <v>116</v>
      </c>
      <c r="C77" s="26">
        <v>0.54400000000000004</v>
      </c>
      <c r="D77" s="26">
        <v>0.54200000000000004</v>
      </c>
      <c r="E77" s="26">
        <v>0.54</v>
      </c>
      <c r="F77" s="26">
        <v>0.53800000000000003</v>
      </c>
      <c r="G77" s="26">
        <v>0.53779999999999994</v>
      </c>
    </row>
    <row r="78" spans="2:7" ht="14" customHeight="1" x14ac:dyDescent="0.3">
      <c r="B78" s="4" t="s">
        <v>117</v>
      </c>
      <c r="C78" s="26">
        <v>0.54500000000000004</v>
      </c>
      <c r="D78" s="26">
        <v>0.54600000000000004</v>
      </c>
      <c r="E78" s="26">
        <v>0.54800000000000004</v>
      </c>
      <c r="F78" s="26">
        <v>0.54900000000000004</v>
      </c>
      <c r="G78" s="26">
        <v>0.54969999999999997</v>
      </c>
    </row>
    <row r="79" spans="2:7" ht="14" customHeight="1" x14ac:dyDescent="0.3">
      <c r="B79" s="4" t="s">
        <v>118</v>
      </c>
      <c r="C79" s="26">
        <v>0.54700000000000004</v>
      </c>
      <c r="D79" s="26">
        <v>0.55400000000000005</v>
      </c>
      <c r="E79" s="26">
        <v>0.56000000000000005</v>
      </c>
      <c r="F79" s="26">
        <v>0.56399999999999995</v>
      </c>
      <c r="G79" s="26">
        <v>0.56489999999999996</v>
      </c>
    </row>
    <row r="80" spans="2:7" ht="14" customHeight="1" x14ac:dyDescent="0.3">
      <c r="B80" s="4" t="s">
        <v>119</v>
      </c>
      <c r="C80" s="26">
        <v>0.57299999999999995</v>
      </c>
      <c r="D80" s="26">
        <v>0.57799999999999996</v>
      </c>
      <c r="E80" s="26">
        <v>0.57599999999999996</v>
      </c>
      <c r="F80" s="26">
        <v>0.57299999999999995</v>
      </c>
      <c r="G80" s="26">
        <v>0.56999999999999995</v>
      </c>
    </row>
    <row r="82" spans="2:7" ht="14" customHeight="1" x14ac:dyDescent="0.3">
      <c r="B82" s="3" t="s">
        <v>87</v>
      </c>
    </row>
    <row r="83" spans="2:7" ht="14" customHeight="1" x14ac:dyDescent="0.3">
      <c r="B83" s="4" t="s">
        <v>79</v>
      </c>
      <c r="C83" s="26">
        <v>0.37</v>
      </c>
      <c r="D83" s="26">
        <v>0.37</v>
      </c>
      <c r="E83" s="26">
        <v>0.37</v>
      </c>
      <c r="F83" s="26">
        <v>0.37</v>
      </c>
      <c r="G83" s="26">
        <v>0.37</v>
      </c>
    </row>
    <row r="84" spans="2:7" ht="14" customHeight="1" x14ac:dyDescent="0.3">
      <c r="B84" s="4" t="s">
        <v>116</v>
      </c>
      <c r="C84" s="26">
        <v>0.36599999999999999</v>
      </c>
      <c r="D84" s="26">
        <v>0.36599999999999999</v>
      </c>
      <c r="E84" s="26">
        <v>0.36599999999999999</v>
      </c>
      <c r="F84" s="26">
        <v>0.36599999999999999</v>
      </c>
      <c r="G84" s="26">
        <v>0.36599999999999999</v>
      </c>
    </row>
    <row r="85" spans="2:7" ht="14" customHeight="1" x14ac:dyDescent="0.3">
      <c r="B85" s="4" t="s">
        <v>117</v>
      </c>
      <c r="C85" s="26">
        <v>0.37</v>
      </c>
      <c r="D85" s="26">
        <v>0.37</v>
      </c>
      <c r="E85" s="26">
        <v>0.37</v>
      </c>
      <c r="F85" s="26">
        <v>0.37</v>
      </c>
      <c r="G85" s="26">
        <v>0.37</v>
      </c>
    </row>
    <row r="86" spans="2:7" ht="14" customHeight="1" x14ac:dyDescent="0.3">
      <c r="B86" s="4" t="s">
        <v>118</v>
      </c>
      <c r="C86" s="26">
        <v>0.378</v>
      </c>
      <c r="D86" s="26">
        <v>0.378</v>
      </c>
      <c r="E86" s="26">
        <v>0.378</v>
      </c>
      <c r="F86" s="26">
        <v>0.378</v>
      </c>
      <c r="G86" s="26">
        <v>0.378</v>
      </c>
    </row>
    <row r="87" spans="2:7" ht="14" customHeight="1" x14ac:dyDescent="0.3">
      <c r="B87" s="4" t="s">
        <v>119</v>
      </c>
      <c r="C87" s="26">
        <v>0.38200000000000001</v>
      </c>
      <c r="D87" s="26">
        <v>0.38200000000000001</v>
      </c>
      <c r="E87" s="26">
        <v>0.38200000000000001</v>
      </c>
      <c r="F87" s="26">
        <v>0.38200000000000001</v>
      </c>
      <c r="G87" s="26">
        <v>0.38200000000000001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120</v>
      </c>
    </row>
    <row r="3" spans="2:9" ht="14" customHeight="1" x14ac:dyDescent="0.3">
      <c r="B3" s="1" t="s">
        <v>121</v>
      </c>
    </row>
    <row r="5" spans="2:9" ht="14" customHeight="1" x14ac:dyDescent="0.3">
      <c r="B5" s="8" t="s">
        <v>122</v>
      </c>
      <c r="C5" s="9"/>
      <c r="D5" s="9"/>
      <c r="E5" s="9"/>
      <c r="F5" s="9"/>
      <c r="G5" s="9"/>
      <c r="H5" s="9"/>
      <c r="I5" s="9"/>
    </row>
    <row r="6" spans="2:9" ht="14" customHeight="1" x14ac:dyDescent="0.3">
      <c r="B6" s="4" t="s">
        <v>123</v>
      </c>
      <c r="C6" s="15">
        <f>'Executive Summary'!C9</f>
        <v>2912</v>
      </c>
    </row>
    <row r="7" spans="2:9" ht="14" customHeight="1" x14ac:dyDescent="0.3">
      <c r="B7" s="4" t="s">
        <v>67</v>
      </c>
      <c r="C7" s="15">
        <f>'DCF Model'!C15</f>
        <v>796891219</v>
      </c>
    </row>
    <row r="8" spans="2:9" ht="14" customHeight="1" x14ac:dyDescent="0.3">
      <c r="B8" s="4" t="s">
        <v>124</v>
      </c>
      <c r="C8" s="5">
        <f>C6*C7/1000000</f>
        <v>2320547.2297279998</v>
      </c>
    </row>
    <row r="9" spans="2:9" ht="14" customHeight="1" x14ac:dyDescent="0.3">
      <c r="B9" s="4" t="s">
        <v>68</v>
      </c>
      <c r="C9" s="5">
        <f>'DCF Model'!C16</f>
        <v>675526</v>
      </c>
    </row>
    <row r="10" spans="2:9" ht="14" customHeight="1" x14ac:dyDescent="0.3">
      <c r="B10" s="4" t="s">
        <v>125</v>
      </c>
      <c r="C10" s="5">
        <f>C8+C9</f>
        <v>2996073.2297279998</v>
      </c>
    </row>
    <row r="11" spans="2:9" ht="14" customHeight="1" x14ac:dyDescent="0.3">
      <c r="B11" s="4" t="s">
        <v>126</v>
      </c>
      <c r="C11" s="16">
        <f>'DCF Model'!C26</f>
        <v>6.4427960653706123E-2</v>
      </c>
    </row>
    <row r="12" spans="2:9" ht="14" customHeight="1" x14ac:dyDescent="0.3">
      <c r="B12" s="4" t="s">
        <v>127</v>
      </c>
      <c r="C12" s="16">
        <f>'DCF Model'!C13</f>
        <v>0.01</v>
      </c>
    </row>
    <row r="13" spans="2:9" ht="14" customHeight="1" x14ac:dyDescent="0.3">
      <c r="B13" s="4" t="s">
        <v>128</v>
      </c>
      <c r="C13" s="16">
        <f>'DCF Model'!C6</f>
        <v>0.25</v>
      </c>
    </row>
    <row r="14" spans="2:9" ht="14" customHeight="1" x14ac:dyDescent="0.3">
      <c r="B14" s="4" t="s">
        <v>129</v>
      </c>
      <c r="C14" s="27">
        <v>209677</v>
      </c>
    </row>
    <row r="15" spans="2:9" ht="14" customHeight="1" x14ac:dyDescent="0.3">
      <c r="B15" s="4" t="s">
        <v>130</v>
      </c>
      <c r="C15" s="27">
        <v>209677</v>
      </c>
    </row>
    <row r="16" spans="2:9" ht="14" customHeight="1" x14ac:dyDescent="0.3">
      <c r="B16" s="4" t="s">
        <v>131</v>
      </c>
      <c r="C16" s="5">
        <f>'DCF Model'!G33</f>
        <v>2807174.6294468082</v>
      </c>
    </row>
    <row r="17" spans="2:9" ht="14" customHeight="1" x14ac:dyDescent="0.3">
      <c r="B17" s="4" t="s">
        <v>132</v>
      </c>
      <c r="C17" s="5">
        <f>'DCF Model'!C53</f>
        <v>2585295.6103279605</v>
      </c>
    </row>
    <row r="18" spans="2:9" ht="14" customHeight="1" x14ac:dyDescent="0.3">
      <c r="B18" s="4" t="s">
        <v>133</v>
      </c>
      <c r="C18" s="26">
        <v>8.6167579600741853E-2</v>
      </c>
    </row>
    <row r="19" spans="2:9" ht="14" customHeight="1" x14ac:dyDescent="0.3">
      <c r="B19" s="4" t="s">
        <v>134</v>
      </c>
      <c r="C19" s="5">
        <f>C10-C17</f>
        <v>410777.61940003932</v>
      </c>
    </row>
    <row r="20" spans="2:9" ht="14" customHeight="1" x14ac:dyDescent="0.3">
      <c r="B20" s="4" t="s">
        <v>135</v>
      </c>
      <c r="C20" s="15">
        <f>IFERROR(ROUND(C19*1000000/C7,0),"N/A")</f>
        <v>515</v>
      </c>
    </row>
    <row r="22" spans="2:9" ht="14" customHeight="1" x14ac:dyDescent="0.3">
      <c r="B22" s="8" t="s">
        <v>136</v>
      </c>
      <c r="C22" s="9"/>
      <c r="D22" s="9"/>
      <c r="E22" s="9"/>
      <c r="F22" s="9"/>
      <c r="G22" s="9"/>
      <c r="H22" s="9"/>
      <c r="I22" s="9"/>
    </row>
    <row r="23" spans="2:9" ht="14" customHeight="1" x14ac:dyDescent="0.3">
      <c r="B23" s="1" t="s">
        <v>137</v>
      </c>
    </row>
    <row r="24" spans="2:9" ht="14" customHeight="1" x14ac:dyDescent="0.3">
      <c r="B24" s="4" t="s">
        <v>138</v>
      </c>
      <c r="C24" s="5">
        <f>C10*(C11-C12)</f>
        <v>163070.15586325779</v>
      </c>
    </row>
    <row r="25" spans="2:9" ht="14" customHeight="1" x14ac:dyDescent="0.3">
      <c r="B25" s="4" t="s">
        <v>139</v>
      </c>
      <c r="C25" s="5">
        <f>IFERROR(C24/(1-C13),"N/A")</f>
        <v>217426.87448434372</v>
      </c>
    </row>
    <row r="26" spans="2:9" ht="13.5" customHeight="1" x14ac:dyDescent="0.25">
      <c r="B26" s="6" t="s">
        <v>140</v>
      </c>
      <c r="C26" s="14">
        <f>IFERROR(C25/C15,"N/A")</f>
        <v>1.0369610137704359</v>
      </c>
    </row>
    <row r="27" spans="2:9" ht="13.5" customHeight="1" x14ac:dyDescent="0.25">
      <c r="B27" s="6" t="s">
        <v>141</v>
      </c>
      <c r="C27" s="14">
        <f>IFERROR(C25/C14,"N/A")</f>
        <v>1.0369610137704359</v>
      </c>
    </row>
    <row r="28" spans="2:9" ht="13.5" customHeight="1" x14ac:dyDescent="0.25">
      <c r="B28" s="6" t="s">
        <v>142</v>
      </c>
      <c r="C28" s="7">
        <f>IFERROR(C25/C16,"N/A")</f>
        <v>7.7453989574987933E-2</v>
      </c>
    </row>
    <row r="29" spans="2:9" ht="13.5" customHeight="1" x14ac:dyDescent="0.25">
      <c r="B29" s="6" t="s">
        <v>143</v>
      </c>
      <c r="C29" s="5">
        <f>IFERROR(C25/C18,"N/A")</f>
        <v>2523302.5633514696</v>
      </c>
    </row>
    <row r="32" spans="2:9" ht="14" customHeight="1" x14ac:dyDescent="0.3">
      <c r="B32" s="8" t="s">
        <v>144</v>
      </c>
      <c r="C32" s="9"/>
      <c r="D32" s="9"/>
      <c r="E32" s="9"/>
      <c r="F32" s="9"/>
      <c r="G32" s="9"/>
      <c r="H32" s="9"/>
      <c r="I32" s="9"/>
    </row>
    <row r="33" spans="2:9" ht="14" customHeight="1" x14ac:dyDescent="0.3">
      <c r="B33" s="1" t="s">
        <v>145</v>
      </c>
    </row>
    <row r="34" spans="2:9" ht="14" customHeight="1" x14ac:dyDescent="0.3">
      <c r="B34" s="1" t="s">
        <v>146</v>
      </c>
    </row>
    <row r="36" spans="2:9" ht="14" customHeight="1" x14ac:dyDescent="0.3">
      <c r="B36" s="28" t="s">
        <v>147</v>
      </c>
      <c r="C36" s="28" t="s">
        <v>148</v>
      </c>
      <c r="D36" s="29">
        <f>'DCF Model'!C26-0.02</f>
        <v>4.4427960653706119E-2</v>
      </c>
      <c r="E36" s="29">
        <f>'DCF Model'!C26-0.01</f>
        <v>5.4427960653706121E-2</v>
      </c>
      <c r="F36" s="29">
        <f>'DCF Model'!C26</f>
        <v>6.4427960653706123E-2</v>
      </c>
      <c r="G36" s="29">
        <f>'DCF Model'!C26+0.01</f>
        <v>7.4427960653706118E-2</v>
      </c>
      <c r="H36" s="29">
        <f>'DCF Model'!C26+0.02</f>
        <v>8.4427960653706127E-2</v>
      </c>
    </row>
    <row r="37" spans="2:9" ht="14" customHeight="1" x14ac:dyDescent="0.3">
      <c r="B37" s="3" t="s">
        <v>149</v>
      </c>
    </row>
    <row r="38" spans="2:9" ht="14" customHeight="1" x14ac:dyDescent="0.3">
      <c r="B38" s="4" t="s">
        <v>150</v>
      </c>
      <c r="C38" s="30">
        <v>3</v>
      </c>
      <c r="D38" s="13">
        <f t="shared" ref="D38:H41" si="0">IFERROR((1-(1+D$36)^(-$C38))/D$36-(1+D$36)/(D$36^2*$C38)*(1-($C38+1)/(1+D$36)^$C38+$C38/(1+D$36)^($C38+1)),"N/A")</f>
        <v>0.94388572211382371</v>
      </c>
      <c r="E38" s="13">
        <f t="shared" si="0"/>
        <v>0.93206352561275629</v>
      </c>
      <c r="F38" s="13">
        <f t="shared" si="0"/>
        <v>0.92051689096506117</v>
      </c>
      <c r="G38" s="13">
        <f t="shared" si="0"/>
        <v>0.90923664601488396</v>
      </c>
      <c r="H38" s="13">
        <f t="shared" si="0"/>
        <v>0.89821401094142783</v>
      </c>
    </row>
    <row r="39" spans="2:9" ht="14" customHeight="1" x14ac:dyDescent="0.3">
      <c r="B39" s="4" t="s">
        <v>151</v>
      </c>
      <c r="C39" s="30">
        <v>5</v>
      </c>
      <c r="D39" s="13">
        <f t="shared" si="0"/>
        <v>1.8351844311838783</v>
      </c>
      <c r="E39" s="13">
        <f t="shared" si="0"/>
        <v>1.8013558872729685</v>
      </c>
      <c r="F39" s="13">
        <f t="shared" si="0"/>
        <v>1.7686145886871207</v>
      </c>
      <c r="G39" s="13">
        <f t="shared" si="0"/>
        <v>1.7369129174280045</v>
      </c>
      <c r="H39" s="13">
        <f t="shared" si="0"/>
        <v>1.7062058428818059</v>
      </c>
    </row>
    <row r="40" spans="2:9" ht="14" customHeight="1" x14ac:dyDescent="0.3">
      <c r="B40" s="4" t="s">
        <v>152</v>
      </c>
      <c r="C40" s="30">
        <v>7</v>
      </c>
      <c r="D40" s="13">
        <f t="shared" si="0"/>
        <v>2.6771874004073171</v>
      </c>
      <c r="E40" s="13">
        <f t="shared" si="0"/>
        <v>2.612624583088766</v>
      </c>
      <c r="F40" s="13">
        <f t="shared" si="0"/>
        <v>2.5506894218972036</v>
      </c>
      <c r="G40" s="13">
        <f t="shared" si="0"/>
        <v>2.4912399546455695</v>
      </c>
      <c r="H40" s="13">
        <f t="shared" si="0"/>
        <v>2.4341435338831925</v>
      </c>
    </row>
    <row r="41" spans="2:9" ht="14" customHeight="1" x14ac:dyDescent="0.3">
      <c r="B41" s="4" t="s">
        <v>153</v>
      </c>
      <c r="C41" s="30">
        <v>10</v>
      </c>
      <c r="D41" s="13">
        <f t="shared" si="0"/>
        <v>3.8544254422387549</v>
      </c>
      <c r="E41" s="13">
        <f t="shared" si="0"/>
        <v>3.7301846611537646</v>
      </c>
      <c r="F41" s="13">
        <f t="shared" si="0"/>
        <v>3.6125339663612066</v>
      </c>
      <c r="G41" s="13">
        <f t="shared" si="0"/>
        <v>3.5010196128788205</v>
      </c>
      <c r="H41" s="13">
        <f t="shared" si="0"/>
        <v>3.3952250674561593</v>
      </c>
    </row>
    <row r="42" spans="2:9" ht="14" customHeight="1" x14ac:dyDescent="0.3">
      <c r="B42" s="3" t="s">
        <v>154</v>
      </c>
    </row>
    <row r="43" spans="2:9" ht="14" customHeight="1" x14ac:dyDescent="0.3">
      <c r="B43" s="4" t="s">
        <v>150</v>
      </c>
      <c r="C43" s="30">
        <v>3</v>
      </c>
      <c r="D43" s="13">
        <f t="shared" ref="D43:H46" si="1">IFERROR((1+D$36)/(D$36^2*$C43)*(1-($C43+1)/(1+D$36)^$C43+$C43/(1+D$36)^($C43+1))+(1+$C$12)/((D$36-$C$12)*(1+D$36)^$C43),"N/A")</f>
        <v>27.557890999478865</v>
      </c>
      <c r="E43" s="13">
        <f t="shared" si="1"/>
        <v>21.16037319813065</v>
      </c>
      <c r="F43" s="13">
        <f t="shared" si="1"/>
        <v>17.117623781390144</v>
      </c>
      <c r="G43" s="13">
        <f t="shared" si="1"/>
        <v>14.333061401532351</v>
      </c>
      <c r="H43" s="13">
        <f t="shared" si="1"/>
        <v>12.299447495404291</v>
      </c>
    </row>
    <row r="44" spans="2:9" ht="14" customHeight="1" x14ac:dyDescent="0.3">
      <c r="B44" s="4" t="s">
        <v>151</v>
      </c>
      <c r="C44" s="30">
        <v>5</v>
      </c>
      <c r="D44" s="13">
        <f t="shared" si="1"/>
        <v>26.167539424063271</v>
      </c>
      <c r="E44" s="13">
        <f t="shared" si="1"/>
        <v>19.916998774304322</v>
      </c>
      <c r="F44" s="13">
        <f t="shared" si="1"/>
        <v>15.974056640550252</v>
      </c>
      <c r="G44" s="13">
        <f t="shared" si="1"/>
        <v>13.263775207848981</v>
      </c>
      <c r="H44" s="13">
        <f t="shared" si="1"/>
        <v>11.288944978039359</v>
      </c>
    </row>
    <row r="45" spans="2:9" ht="14" customHeight="1" x14ac:dyDescent="0.3">
      <c r="B45" s="4" t="s">
        <v>152</v>
      </c>
      <c r="C45" s="30">
        <v>7</v>
      </c>
      <c r="D45" s="13">
        <f t="shared" si="1"/>
        <v>24.86803806016804</v>
      </c>
      <c r="E45" s="13">
        <f t="shared" si="1"/>
        <v>18.769270376376237</v>
      </c>
      <c r="F45" s="13">
        <f t="shared" si="1"/>
        <v>14.931198358059092</v>
      </c>
      <c r="G45" s="13">
        <f t="shared" si="1"/>
        <v>12.300152539908149</v>
      </c>
      <c r="H45" s="13">
        <f t="shared" si="1"/>
        <v>10.388801980582787</v>
      </c>
    </row>
    <row r="46" spans="2:9" ht="14" customHeight="1" x14ac:dyDescent="0.3">
      <c r="B46" s="4" t="s">
        <v>153</v>
      </c>
      <c r="C46" s="30">
        <v>10</v>
      </c>
      <c r="D46" s="13">
        <f t="shared" si="1"/>
        <v>23.074977536768049</v>
      </c>
      <c r="E46" s="13">
        <f t="shared" si="1"/>
        <v>17.20939079332366</v>
      </c>
      <c r="F46" s="13">
        <f t="shared" si="1"/>
        <v>13.53443991278855</v>
      </c>
      <c r="G46" s="13">
        <f t="shared" si="1"/>
        <v>11.027724825125901</v>
      </c>
      <c r="H46" s="13">
        <f t="shared" si="1"/>
        <v>9.2165028987033661</v>
      </c>
    </row>
    <row r="47" spans="2:9" ht="14" customHeight="1" x14ac:dyDescent="0.3">
      <c r="B47" s="22" t="s">
        <v>155</v>
      </c>
      <c r="C47" s="23"/>
      <c r="D47" s="23"/>
      <c r="E47" s="23"/>
      <c r="F47" s="23"/>
      <c r="G47" s="23"/>
      <c r="H47" s="23"/>
      <c r="I47" s="23"/>
    </row>
    <row r="48" spans="2:9" ht="14" customHeight="1" x14ac:dyDescent="0.3">
      <c r="B48" s="4" t="s">
        <v>150</v>
      </c>
      <c r="C48" s="30">
        <v>3</v>
      </c>
      <c r="D48" s="5">
        <f t="shared" ref="D48:H51" si="2">IFERROR(($C$10/(1-$C$13)-$C$14*D38)/D43,"N/A")</f>
        <v>137777.34950109717</v>
      </c>
      <c r="E48" s="5">
        <f t="shared" si="2"/>
        <v>179549.38633973312</v>
      </c>
      <c r="F48" s="5">
        <f t="shared" si="2"/>
        <v>222095.84313275365</v>
      </c>
      <c r="G48" s="5">
        <f t="shared" si="2"/>
        <v>265408.63724136684</v>
      </c>
      <c r="H48" s="5">
        <f t="shared" si="2"/>
        <v>309479.71350372548</v>
      </c>
    </row>
    <row r="49" spans="2:9" ht="14" customHeight="1" x14ac:dyDescent="0.3">
      <c r="B49" s="4" t="s">
        <v>151</v>
      </c>
      <c r="C49" s="30">
        <v>5</v>
      </c>
      <c r="D49" s="5">
        <f t="shared" si="2"/>
        <v>137955.97216171521</v>
      </c>
      <c r="E49" s="5">
        <f t="shared" si="2"/>
        <v>181606.74953672106</v>
      </c>
      <c r="F49" s="5">
        <f t="shared" si="2"/>
        <v>226863.25626218755</v>
      </c>
      <c r="G49" s="5">
        <f t="shared" si="2"/>
        <v>273720.98513611848</v>
      </c>
      <c r="H49" s="5">
        <f t="shared" si="2"/>
        <v>322174.67538917356</v>
      </c>
    </row>
    <row r="50" spans="2:9" ht="14" customHeight="1" x14ac:dyDescent="0.3">
      <c r="B50" s="4" t="s">
        <v>152</v>
      </c>
      <c r="C50" s="30">
        <v>7</v>
      </c>
      <c r="D50" s="5">
        <f t="shared" si="2"/>
        <v>138065.56333240526</v>
      </c>
      <c r="E50" s="5">
        <f t="shared" si="2"/>
        <v>183648.96197212741</v>
      </c>
      <c r="F50" s="5">
        <f t="shared" si="2"/>
        <v>231725.76757855213</v>
      </c>
      <c r="G50" s="5">
        <f t="shared" si="2"/>
        <v>282306.1401122844</v>
      </c>
      <c r="H50" s="5">
        <f t="shared" si="2"/>
        <v>335397.70986707252</v>
      </c>
    </row>
    <row r="51" spans="2:9" ht="14" customHeight="1" x14ac:dyDescent="0.3">
      <c r="B51" s="4" t="s">
        <v>153</v>
      </c>
      <c r="C51" s="30">
        <v>10</v>
      </c>
      <c r="D51" s="5">
        <f t="shared" si="2"/>
        <v>138096.77334567957</v>
      </c>
      <c r="E51" s="5">
        <f t="shared" si="2"/>
        <v>186678.91360533191</v>
      </c>
      <c r="F51" s="5">
        <f t="shared" si="2"/>
        <v>239189.72951221952</v>
      </c>
      <c r="G51" s="5">
        <f t="shared" si="2"/>
        <v>295680.30293113348</v>
      </c>
      <c r="H51" s="5">
        <f t="shared" si="2"/>
        <v>356194.07229794812</v>
      </c>
    </row>
    <row r="52" spans="2:9" ht="14" customHeight="1" x14ac:dyDescent="0.3">
      <c r="B52" s="22" t="s">
        <v>156</v>
      </c>
      <c r="C52" s="23"/>
      <c r="D52" s="23"/>
      <c r="E52" s="23"/>
      <c r="F52" s="23"/>
      <c r="G52" s="23"/>
      <c r="H52" s="23"/>
      <c r="I52" s="23"/>
    </row>
    <row r="53" spans="2:9" ht="14" customHeight="1" x14ac:dyDescent="0.3">
      <c r="B53" s="4" t="s">
        <v>150</v>
      </c>
      <c r="C53" s="30">
        <v>3</v>
      </c>
      <c r="D53" s="14">
        <f t="shared" ref="D53:H56" si="3">IFERROR(D48/$C$15,"N/A")</f>
        <v>0.65709328873027162</v>
      </c>
      <c r="E53" s="14">
        <f t="shared" si="3"/>
        <v>0.85631417055629899</v>
      </c>
      <c r="F53" s="14">
        <f t="shared" si="3"/>
        <v>1.0592284472438735</v>
      </c>
      <c r="G53" s="14">
        <f t="shared" si="3"/>
        <v>1.2657975707462756</v>
      </c>
      <c r="H53" s="14">
        <f t="shared" si="3"/>
        <v>1.4759831240609389</v>
      </c>
    </row>
    <row r="54" spans="2:9" ht="14" customHeight="1" x14ac:dyDescent="0.3">
      <c r="B54" s="4" t="s">
        <v>151</v>
      </c>
      <c r="C54" s="30">
        <v>5</v>
      </c>
      <c r="D54" s="14">
        <f t="shared" si="3"/>
        <v>0.65794518312316186</v>
      </c>
      <c r="E54" s="14">
        <f t="shared" si="3"/>
        <v>0.86612623004297595</v>
      </c>
      <c r="F54" s="14">
        <f t="shared" si="3"/>
        <v>1.0819653861042822</v>
      </c>
      <c r="G54" s="14">
        <f t="shared" si="3"/>
        <v>1.305441155377645</v>
      </c>
      <c r="H54" s="14">
        <f t="shared" si="3"/>
        <v>1.5365284479898775</v>
      </c>
    </row>
    <row r="55" spans="2:9" ht="14" customHeight="1" x14ac:dyDescent="0.3">
      <c r="B55" s="4" t="s">
        <v>152</v>
      </c>
      <c r="C55" s="30">
        <v>7</v>
      </c>
      <c r="D55" s="14">
        <f t="shared" si="3"/>
        <v>0.65846784975178618</v>
      </c>
      <c r="E55" s="14">
        <f t="shared" si="3"/>
        <v>0.87586603190682533</v>
      </c>
      <c r="F55" s="14">
        <f t="shared" si="3"/>
        <v>1.1051558710709908</v>
      </c>
      <c r="G55" s="14">
        <f t="shared" si="3"/>
        <v>1.3463858225379246</v>
      </c>
      <c r="H55" s="14">
        <f t="shared" si="3"/>
        <v>1.5995922770121307</v>
      </c>
    </row>
    <row r="56" spans="2:9" ht="14" customHeight="1" x14ac:dyDescent="0.3">
      <c r="B56" s="4" t="s">
        <v>153</v>
      </c>
      <c r="C56" s="30">
        <v>10</v>
      </c>
      <c r="D56" s="14">
        <f t="shared" si="3"/>
        <v>0.65861669780509813</v>
      </c>
      <c r="E56" s="14">
        <f t="shared" si="3"/>
        <v>0.89031659936632013</v>
      </c>
      <c r="F56" s="14">
        <f t="shared" si="3"/>
        <v>1.1407532991802607</v>
      </c>
      <c r="G56" s="14">
        <f t="shared" si="3"/>
        <v>1.4101704189354745</v>
      </c>
      <c r="H56" s="14">
        <f t="shared" si="3"/>
        <v>1.6987751269712372</v>
      </c>
    </row>
    <row r="58" spans="2:9" ht="14" customHeight="1" x14ac:dyDescent="0.3">
      <c r="B58" s="8" t="s">
        <v>157</v>
      </c>
      <c r="C58" s="9"/>
      <c r="D58" s="9"/>
      <c r="E58" s="9"/>
      <c r="F58" s="9"/>
      <c r="G58" s="9"/>
      <c r="H58" s="9"/>
      <c r="I58" s="9"/>
    </row>
    <row r="59" spans="2:9" ht="14" customHeight="1" x14ac:dyDescent="0.3">
      <c r="B59" s="1" t="s">
        <v>158</v>
      </c>
    </row>
    <row r="60" spans="2:9" ht="14" customHeight="1" x14ac:dyDescent="0.3">
      <c r="B60" s="4" t="s">
        <v>159</v>
      </c>
      <c r="C60" s="5">
        <f>F49</f>
        <v>226863.25626218755</v>
      </c>
    </row>
    <row r="62" spans="2:9" ht="14" customHeight="1" x14ac:dyDescent="0.3">
      <c r="B62" s="28" t="s">
        <v>160</v>
      </c>
      <c r="C62" s="28" t="s">
        <v>161</v>
      </c>
      <c r="D62" s="28" t="s">
        <v>162</v>
      </c>
    </row>
    <row r="63" spans="2:9" ht="14" customHeight="1" x14ac:dyDescent="0.3">
      <c r="B63" s="31">
        <v>4.3099999999999999E-2</v>
      </c>
      <c r="C63" s="5">
        <f>IFERROR($C$60/B63,"N/A")</f>
        <v>5263648.6371737253</v>
      </c>
      <c r="D63" s="14">
        <f>IFERROR(C63/'DCF Model'!C17,"N/A")</f>
        <v>2.1631169033036688</v>
      </c>
    </row>
    <row r="64" spans="2:9" ht="14" customHeight="1" x14ac:dyDescent="0.3">
      <c r="B64" s="31">
        <v>6.4600000000000005E-2</v>
      </c>
      <c r="C64" s="5">
        <f>IFERROR($C$60/B64,"N/A")</f>
        <v>3511815.1124177636</v>
      </c>
      <c r="D64" s="14">
        <f>IFERROR(C64/'DCF Model'!C17,"N/A")</f>
        <v>1.4431940949286084</v>
      </c>
    </row>
    <row r="65" spans="2:9" ht="14" customHeight="1" x14ac:dyDescent="0.3">
      <c r="B65" s="4" t="s">
        <v>163</v>
      </c>
      <c r="C65" s="5">
        <f>IFERROR($C$60/$C$18,"N/A")</f>
        <v>2632814.5378268743</v>
      </c>
      <c r="D65" s="14">
        <f>IFERROR(C65/'DCF Model'!C17,"N/A")</f>
        <v>1.0819653861042822</v>
      </c>
    </row>
    <row r="66" spans="2:9" ht="14" customHeight="1" x14ac:dyDescent="0.3">
      <c r="B66" s="31">
        <v>0.1077</v>
      </c>
      <c r="C66" s="5">
        <f>IFERROR($C$60/B66,"N/A")</f>
        <v>2106436.9197974703</v>
      </c>
      <c r="D66" s="14">
        <f>IFERROR(C66/'DCF Model'!C17,"N/A")</f>
        <v>0.8656484543397226</v>
      </c>
    </row>
    <row r="67" spans="2:9" ht="14" customHeight="1" x14ac:dyDescent="0.3">
      <c r="B67" s="31">
        <v>0.1293</v>
      </c>
      <c r="C67" s="5">
        <f>IFERROR($C$60/B67,"N/A")</f>
        <v>1754549.5457245752</v>
      </c>
      <c r="D67" s="14">
        <f>IFERROR(C67/'DCF Model'!C17,"N/A")</f>
        <v>0.72103896776788956</v>
      </c>
    </row>
    <row r="69" spans="2:9" ht="14" customHeight="1" x14ac:dyDescent="0.3">
      <c r="B69" s="8" t="s">
        <v>164</v>
      </c>
      <c r="C69" s="9"/>
      <c r="D69" s="9"/>
      <c r="E69" s="9"/>
      <c r="F69" s="9"/>
      <c r="G69" s="9"/>
      <c r="H69" s="9"/>
      <c r="I69" s="9"/>
    </row>
    <row r="70" spans="2:9" ht="13.5" customHeight="1" x14ac:dyDescent="0.25">
      <c r="B70" s="6" t="s">
        <v>165</v>
      </c>
      <c r="C70" s="14">
        <f>IFERROR(C10/'Comps Analysis'!G5,"N/A")</f>
        <v>9.6173790064039384</v>
      </c>
    </row>
    <row r="71" spans="2:9" ht="13.5" customHeight="1" x14ac:dyDescent="0.25">
      <c r="B71" s="6" t="s">
        <v>166</v>
      </c>
      <c r="C71" s="14">
        <f>IFERROR(C10/'Comps Analysis'!F5,"N/A")</f>
        <v>1.2312479600158299</v>
      </c>
    </row>
    <row r="72" spans="2:9" ht="14" customHeight="1" x14ac:dyDescent="0.3">
      <c r="B72" s="4" t="s">
        <v>167</v>
      </c>
      <c r="C72" s="14">
        <f>IFERROR(C10/(C25+'DCF Model'!G42),"N/A")</f>
        <v>9.0101765625451105</v>
      </c>
    </row>
    <row r="73" spans="2:9" ht="14" customHeight="1" x14ac:dyDescent="0.3">
      <c r="B73" s="4" t="s">
        <v>168</v>
      </c>
      <c r="C73" s="14">
        <f>IFERROR(C10/(C60+'DCF Model'!G42),"N/A")</f>
        <v>8.7615389780551336</v>
      </c>
    </row>
    <row r="74" spans="2:9" ht="14" customHeight="1" x14ac:dyDescent="0.3">
      <c r="B74" s="4" t="s">
        <v>169</v>
      </c>
      <c r="C74" s="14">
        <f>IFERROR('Comps Analysis'!D16,"N/A")</f>
        <v>11.133463435322977</v>
      </c>
    </row>
    <row r="75" spans="2:9" ht="14" customHeight="1" x14ac:dyDescent="0.3">
      <c r="B75" s="1" t="s">
        <v>170</v>
      </c>
    </row>
    <row r="77" spans="2:9" ht="14" customHeight="1" x14ac:dyDescent="0.3">
      <c r="B77" s="22" t="s">
        <v>171</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FY2025."</f>
        <v>At 2,912 yen the market is paying for a steady-state operating profit of 226,863 mn JPY - 1.08x the FY2025 cycle peak of 209,677 mn - reached in 5 years and sustained for ever, against 209,677 mn actually earned in FY2025.</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217,427 mn, or 1.04x the peak. The base case supports an EV of only 2,585,296 mn, leaving 515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172</v>
      </c>
    </row>
    <row r="4" spans="2:8" ht="14" customHeight="1" x14ac:dyDescent="0.3">
      <c r="B4" s="8" t="s">
        <v>173</v>
      </c>
      <c r="C4" s="32" t="s">
        <v>174</v>
      </c>
      <c r="D4" s="32" t="s">
        <v>81</v>
      </c>
      <c r="E4" s="32" t="s">
        <v>82</v>
      </c>
      <c r="F4" s="32" t="s">
        <v>83</v>
      </c>
      <c r="G4" s="32" t="s">
        <v>84</v>
      </c>
      <c r="H4" s="32" t="s">
        <v>85</v>
      </c>
    </row>
    <row r="5" spans="2:8" ht="14" customHeight="1" x14ac:dyDescent="0.3">
      <c r="B5" s="33" t="s">
        <v>175</v>
      </c>
      <c r="C5" s="34">
        <f>C12/C9*365</f>
        <v>80.355970317622152</v>
      </c>
      <c r="D5" s="34">
        <f>CHOOSE('DCF Model'!$D$27,D25,D26,D27,D28,D29)</f>
        <v>78</v>
      </c>
      <c r="E5" s="34">
        <f>CHOOSE('DCF Model'!$D$27,E25,E26,E27,E28,E29)</f>
        <v>78</v>
      </c>
      <c r="F5" s="34">
        <f>CHOOSE('DCF Model'!$D$27,F25,F26,F27,F28,F29)</f>
        <v>78</v>
      </c>
      <c r="G5" s="34">
        <f>CHOOSE('DCF Model'!$D$27,G25,G26,G27,G28,G29)</f>
        <v>78</v>
      </c>
      <c r="H5" s="34">
        <f>CHOOSE('DCF Model'!$D$27,H25,H26,H27,H28,H29)</f>
        <v>78</v>
      </c>
    </row>
    <row r="6" spans="2:8" ht="14" customHeight="1" x14ac:dyDescent="0.3">
      <c r="B6" s="33" t="s">
        <v>176</v>
      </c>
      <c r="C6" s="34">
        <f>C13/C10*365</f>
        <v>99.715037322795141</v>
      </c>
      <c r="D6" s="34">
        <f>CHOOSE('DCF Model'!$D$27,D32,D33,D34,D35,D36)</f>
        <v>101</v>
      </c>
      <c r="E6" s="34">
        <f>CHOOSE('DCF Model'!$D$27,E32,E33,E34,E35,E36)</f>
        <v>101</v>
      </c>
      <c r="F6" s="34">
        <f>CHOOSE('DCF Model'!$D$27,F32,F33,F34,F35,F36)</f>
        <v>101</v>
      </c>
      <c r="G6" s="34">
        <f>CHOOSE('DCF Model'!$D$27,G32,G33,G34,G35,G36)</f>
        <v>101</v>
      </c>
      <c r="H6" s="34">
        <f>CHOOSE('DCF Model'!$D$27,H32,H33,H34,H35,H36)</f>
        <v>101</v>
      </c>
    </row>
    <row r="7" spans="2:8" ht="14" customHeight="1" x14ac:dyDescent="0.3">
      <c r="B7" s="33" t="s">
        <v>177</v>
      </c>
      <c r="C7" s="34">
        <f>C15/C10*365</f>
        <v>109.17917685986703</v>
      </c>
      <c r="D7" s="34">
        <f>CHOOSE('DCF Model'!$D$27,D39,D40,D41,D42,D43)</f>
        <v>100</v>
      </c>
      <c r="E7" s="34">
        <f>CHOOSE('DCF Model'!$D$27,E39,E40,E41,E42,E43)</f>
        <v>100</v>
      </c>
      <c r="F7" s="34">
        <f>CHOOSE('DCF Model'!$D$27,F39,F40,F41,F42,F43)</f>
        <v>100</v>
      </c>
      <c r="G7" s="34">
        <f>CHOOSE('DCF Model'!$D$27,G39,G40,G41,G42,G43)</f>
        <v>100</v>
      </c>
      <c r="H7" s="34">
        <f>CHOOSE('DCF Model'!$D$27,H39,H40,H41,H42,H43)</f>
        <v>100</v>
      </c>
    </row>
    <row r="8" spans="2:8" ht="14" customHeight="1" x14ac:dyDescent="0.3">
      <c r="B8" s="8" t="s">
        <v>178</v>
      </c>
      <c r="C8" s="9"/>
      <c r="D8" s="9"/>
      <c r="E8" s="9"/>
      <c r="F8" s="9"/>
      <c r="G8" s="9"/>
      <c r="H8" s="9"/>
    </row>
    <row r="9" spans="2:8" ht="14" customHeight="1" x14ac:dyDescent="0.3">
      <c r="B9" s="33" t="s">
        <v>32</v>
      </c>
      <c r="C9" s="35">
        <v>2433363</v>
      </c>
      <c r="D9" s="35">
        <f>'DCF Model'!C33</f>
        <v>2518530.7049999996</v>
      </c>
      <c r="E9" s="35">
        <f>'DCF Model'!D33</f>
        <v>2594086.6261499994</v>
      </c>
      <c r="F9" s="35">
        <f>'DCF Model'!E33</f>
        <v>2671909.2249344997</v>
      </c>
      <c r="G9" s="35">
        <f>'DCF Model'!F33</f>
        <v>2738706.9555578618</v>
      </c>
      <c r="H9" s="35">
        <f>'DCF Model'!G33</f>
        <v>2807174.6294468082</v>
      </c>
    </row>
    <row r="10" spans="2:8" ht="14" customHeight="1" x14ac:dyDescent="0.3">
      <c r="B10" s="33" t="s">
        <v>33</v>
      </c>
      <c r="C10" s="35">
        <v>1275360</v>
      </c>
      <c r="D10" s="35">
        <f>'DCF Model'!C34</f>
        <v>1372599.2342249998</v>
      </c>
      <c r="E10" s="35">
        <f>'DCF Model'!D34</f>
        <v>1416371.2978778998</v>
      </c>
      <c r="F10" s="35">
        <f>'DCF Model'!E34</f>
        <v>1464206.255264106</v>
      </c>
      <c r="G10" s="35">
        <f>'DCF Model'!F34</f>
        <v>1503550.1186012663</v>
      </c>
      <c r="H10" s="35">
        <f>'DCF Model'!G34</f>
        <v>1543103.8938069104</v>
      </c>
    </row>
    <row r="11" spans="2:8" ht="14" customHeight="1" x14ac:dyDescent="0.3">
      <c r="B11" s="8" t="s">
        <v>179</v>
      </c>
      <c r="C11" s="9"/>
      <c r="D11" s="9"/>
      <c r="E11" s="9"/>
      <c r="F11" s="9"/>
      <c r="G11" s="9"/>
      <c r="H11" s="9"/>
    </row>
    <row r="12" spans="2:8" ht="14" customHeight="1" x14ac:dyDescent="0.3">
      <c r="B12" s="33" t="s">
        <v>180</v>
      </c>
      <c r="C12" s="35">
        <v>535713</v>
      </c>
      <c r="D12" s="35">
        <f t="shared" ref="D12:H13" si="0">D9*D5/365</f>
        <v>538206.56161643832</v>
      </c>
      <c r="E12" s="35">
        <f t="shared" si="0"/>
        <v>554352.75846493139</v>
      </c>
      <c r="F12" s="35">
        <f t="shared" si="0"/>
        <v>570983.34121887933</v>
      </c>
      <c r="G12" s="35">
        <f t="shared" si="0"/>
        <v>585257.92474935134</v>
      </c>
      <c r="H12" s="35">
        <f t="shared" si="0"/>
        <v>599889.37286808505</v>
      </c>
    </row>
    <row r="13" spans="2:8" ht="14" customHeight="1" x14ac:dyDescent="0.3">
      <c r="B13" s="33" t="s">
        <v>181</v>
      </c>
      <c r="C13" s="35">
        <v>348418</v>
      </c>
      <c r="D13" s="35">
        <f t="shared" si="0"/>
        <v>379815.13056636986</v>
      </c>
      <c r="E13" s="35">
        <f t="shared" si="0"/>
        <v>391927.40023470653</v>
      </c>
      <c r="F13" s="35">
        <f t="shared" si="0"/>
        <v>405163.92268951976</v>
      </c>
      <c r="G13" s="35">
        <f t="shared" si="0"/>
        <v>416050.85473624081</v>
      </c>
      <c r="H13" s="35">
        <f t="shared" si="0"/>
        <v>426995.87198492594</v>
      </c>
    </row>
    <row r="14" spans="2:8" ht="14" customHeight="1" x14ac:dyDescent="0.3">
      <c r="B14" s="33" t="s">
        <v>182</v>
      </c>
      <c r="C14" s="35">
        <f t="shared" ref="C14:H14" si="1">C12+C13</f>
        <v>884131</v>
      </c>
      <c r="D14" s="35">
        <f t="shared" si="1"/>
        <v>918021.69218280818</v>
      </c>
      <c r="E14" s="35">
        <f t="shared" si="1"/>
        <v>946280.15869963798</v>
      </c>
      <c r="F14" s="35">
        <f t="shared" si="1"/>
        <v>976147.26390839904</v>
      </c>
      <c r="G14" s="35">
        <f t="shared" si="1"/>
        <v>1001308.7794855922</v>
      </c>
      <c r="H14" s="35">
        <f t="shared" si="1"/>
        <v>1026885.244853011</v>
      </c>
    </row>
    <row r="15" spans="2:8" ht="14" customHeight="1" x14ac:dyDescent="0.3">
      <c r="B15" s="33" t="s">
        <v>183</v>
      </c>
      <c r="C15" s="35">
        <v>381487</v>
      </c>
      <c r="D15" s="35">
        <f>D10*D7/365</f>
        <v>376054.58471917803</v>
      </c>
      <c r="E15" s="35">
        <f>E10*E7/365</f>
        <v>388046.93092545198</v>
      </c>
      <c r="F15" s="35">
        <f>F10*F7/365</f>
        <v>401152.3987024948</v>
      </c>
      <c r="G15" s="35">
        <f>G10*G7/365</f>
        <v>411931.53934281267</v>
      </c>
      <c r="H15" s="35">
        <f>H10*H7/365</f>
        <v>422768.1900840851</v>
      </c>
    </row>
    <row r="16" spans="2:8" ht="14" customHeight="1" x14ac:dyDescent="0.3">
      <c r="B16" s="33" t="s">
        <v>184</v>
      </c>
      <c r="C16" s="35">
        <f t="shared" ref="C16:H16" si="2">C15</f>
        <v>381487</v>
      </c>
      <c r="D16" s="35">
        <f t="shared" si="2"/>
        <v>376054.58471917803</v>
      </c>
      <c r="E16" s="35">
        <f t="shared" si="2"/>
        <v>388046.93092545198</v>
      </c>
      <c r="F16" s="35">
        <f t="shared" si="2"/>
        <v>401152.3987024948</v>
      </c>
      <c r="G16" s="35">
        <f t="shared" si="2"/>
        <v>411931.53934281267</v>
      </c>
      <c r="H16" s="35">
        <f t="shared" si="2"/>
        <v>422768.1900840851</v>
      </c>
    </row>
    <row r="17" spans="2:8" ht="14" customHeight="1" x14ac:dyDescent="0.3">
      <c r="B17" s="22" t="s">
        <v>185</v>
      </c>
      <c r="C17" s="23"/>
      <c r="D17" s="23"/>
      <c r="E17" s="23"/>
      <c r="F17" s="23"/>
      <c r="G17" s="23"/>
      <c r="H17" s="23"/>
    </row>
    <row r="18" spans="2:8" ht="14" customHeight="1" x14ac:dyDescent="0.3">
      <c r="B18" s="33" t="s">
        <v>186</v>
      </c>
      <c r="C18" s="20">
        <f t="shared" ref="C18:H18" si="3">C14-C16</f>
        <v>502644</v>
      </c>
      <c r="D18" s="20">
        <f t="shared" si="3"/>
        <v>541967.10746363015</v>
      </c>
      <c r="E18" s="20">
        <f t="shared" si="3"/>
        <v>558233.22777418606</v>
      </c>
      <c r="F18" s="20">
        <f t="shared" si="3"/>
        <v>574994.86520590424</v>
      </c>
      <c r="G18" s="20">
        <f t="shared" si="3"/>
        <v>589377.24014277942</v>
      </c>
      <c r="H18" s="20">
        <f t="shared" si="3"/>
        <v>604117.05476892588</v>
      </c>
    </row>
    <row r="19" spans="2:8" ht="14" customHeight="1" x14ac:dyDescent="0.3">
      <c r="B19" s="33" t="s">
        <v>95</v>
      </c>
      <c r="C19" s="36" t="s">
        <v>42</v>
      </c>
      <c r="D19" s="24">
        <f>D18-C18</f>
        <v>39323.107463630149</v>
      </c>
      <c r="E19" s="24">
        <f>E18-D18</f>
        <v>16266.120310555911</v>
      </c>
      <c r="F19" s="24">
        <f>F18-E18</f>
        <v>16761.637431718176</v>
      </c>
      <c r="G19" s="24">
        <f>G18-F18</f>
        <v>14382.374936875189</v>
      </c>
      <c r="H19" s="24">
        <f>H18-G18</f>
        <v>14739.814626146457</v>
      </c>
    </row>
    <row r="22" spans="2:8" ht="14" customHeight="1" x14ac:dyDescent="0.3">
      <c r="B22" s="22" t="s">
        <v>187</v>
      </c>
      <c r="C22" s="23"/>
      <c r="D22" s="23"/>
      <c r="E22" s="23"/>
      <c r="F22" s="23"/>
      <c r="G22" s="23"/>
      <c r="H22" s="23"/>
    </row>
    <row r="23" spans="2:8" ht="14" customHeight="1" x14ac:dyDescent="0.3">
      <c r="D23" s="25" t="s">
        <v>81</v>
      </c>
      <c r="E23" s="25" t="s">
        <v>82</v>
      </c>
      <c r="F23" s="25" t="s">
        <v>83</v>
      </c>
      <c r="G23" s="25" t="s">
        <v>84</v>
      </c>
      <c r="H23" s="25" t="s">
        <v>85</v>
      </c>
    </row>
    <row r="24" spans="2:8" ht="14" customHeight="1" x14ac:dyDescent="0.3">
      <c r="B24" s="3" t="s">
        <v>188</v>
      </c>
    </row>
    <row r="25" spans="2:8" ht="14" customHeight="1" x14ac:dyDescent="0.3">
      <c r="B25" s="4" t="s">
        <v>79</v>
      </c>
      <c r="D25" s="30">
        <v>78</v>
      </c>
      <c r="E25" s="30">
        <v>78</v>
      </c>
      <c r="F25" s="30">
        <v>78</v>
      </c>
      <c r="G25" s="30">
        <v>78</v>
      </c>
      <c r="H25" s="30">
        <v>78</v>
      </c>
    </row>
    <row r="26" spans="2:8" ht="14" customHeight="1" x14ac:dyDescent="0.3">
      <c r="B26" s="4" t="s">
        <v>116</v>
      </c>
      <c r="D26" s="30">
        <v>75</v>
      </c>
      <c r="E26" s="30">
        <v>75</v>
      </c>
      <c r="F26" s="30">
        <v>75</v>
      </c>
      <c r="G26" s="30">
        <v>75</v>
      </c>
      <c r="H26" s="30">
        <v>75</v>
      </c>
    </row>
    <row r="27" spans="2:8" ht="14" customHeight="1" x14ac:dyDescent="0.3">
      <c r="B27" s="4" t="s">
        <v>117</v>
      </c>
      <c r="D27" s="30">
        <v>78</v>
      </c>
      <c r="E27" s="30">
        <v>78</v>
      </c>
      <c r="F27" s="30">
        <v>78</v>
      </c>
      <c r="G27" s="30">
        <v>78</v>
      </c>
      <c r="H27" s="30">
        <v>78</v>
      </c>
    </row>
    <row r="28" spans="2:8" ht="14" customHeight="1" x14ac:dyDescent="0.3">
      <c r="B28" s="4" t="s">
        <v>118</v>
      </c>
      <c r="D28" s="30">
        <v>82</v>
      </c>
      <c r="E28" s="30">
        <v>82</v>
      </c>
      <c r="F28" s="30">
        <v>82</v>
      </c>
      <c r="G28" s="30">
        <v>82</v>
      </c>
      <c r="H28" s="30">
        <v>82</v>
      </c>
    </row>
    <row r="29" spans="2:8" ht="14" customHeight="1" x14ac:dyDescent="0.3">
      <c r="B29" s="4" t="s">
        <v>119</v>
      </c>
      <c r="D29" s="30">
        <v>86</v>
      </c>
      <c r="E29" s="30">
        <v>86</v>
      </c>
      <c r="F29" s="30">
        <v>86</v>
      </c>
      <c r="G29" s="30">
        <v>86</v>
      </c>
      <c r="H29" s="30">
        <v>86</v>
      </c>
    </row>
    <row r="31" spans="2:8" ht="14" customHeight="1" x14ac:dyDescent="0.3">
      <c r="B31" s="3" t="s">
        <v>189</v>
      </c>
    </row>
    <row r="32" spans="2:8" ht="14" customHeight="1" x14ac:dyDescent="0.3">
      <c r="B32" s="4" t="s">
        <v>79</v>
      </c>
      <c r="D32" s="30">
        <v>101</v>
      </c>
      <c r="E32" s="30">
        <v>101</v>
      </c>
      <c r="F32" s="30">
        <v>101</v>
      </c>
      <c r="G32" s="30">
        <v>101</v>
      </c>
      <c r="H32" s="30">
        <v>101</v>
      </c>
    </row>
    <row r="33" spans="2:8" ht="14" customHeight="1" x14ac:dyDescent="0.3">
      <c r="B33" s="4" t="s">
        <v>116</v>
      </c>
      <c r="D33" s="30">
        <v>96</v>
      </c>
      <c r="E33" s="30">
        <v>96</v>
      </c>
      <c r="F33" s="30">
        <v>96</v>
      </c>
      <c r="G33" s="30">
        <v>96</v>
      </c>
      <c r="H33" s="30">
        <v>96</v>
      </c>
    </row>
    <row r="34" spans="2:8" ht="14" customHeight="1" x14ac:dyDescent="0.3">
      <c r="B34" s="4" t="s">
        <v>117</v>
      </c>
      <c r="D34" s="30">
        <v>101</v>
      </c>
      <c r="E34" s="30">
        <v>101</v>
      </c>
      <c r="F34" s="30">
        <v>101</v>
      </c>
      <c r="G34" s="30">
        <v>101</v>
      </c>
      <c r="H34" s="30">
        <v>101</v>
      </c>
    </row>
    <row r="35" spans="2:8" ht="14" customHeight="1" x14ac:dyDescent="0.3">
      <c r="B35" s="4" t="s">
        <v>118</v>
      </c>
      <c r="D35" s="30">
        <v>107</v>
      </c>
      <c r="E35" s="30">
        <v>107</v>
      </c>
      <c r="F35" s="30">
        <v>107</v>
      </c>
      <c r="G35" s="30">
        <v>107</v>
      </c>
      <c r="H35" s="30">
        <v>107</v>
      </c>
    </row>
    <row r="36" spans="2:8" ht="14" customHeight="1" x14ac:dyDescent="0.3">
      <c r="B36" s="4" t="s">
        <v>119</v>
      </c>
      <c r="D36" s="30">
        <v>114</v>
      </c>
      <c r="E36" s="30">
        <v>114</v>
      </c>
      <c r="F36" s="30">
        <v>114</v>
      </c>
      <c r="G36" s="30">
        <v>114</v>
      </c>
      <c r="H36" s="30">
        <v>114</v>
      </c>
    </row>
    <row r="38" spans="2:8" ht="14" customHeight="1" x14ac:dyDescent="0.3">
      <c r="B38" s="3" t="s">
        <v>190</v>
      </c>
    </row>
    <row r="39" spans="2:8" ht="14" customHeight="1" x14ac:dyDescent="0.3">
      <c r="B39" s="4" t="s">
        <v>79</v>
      </c>
      <c r="D39" s="30">
        <v>100</v>
      </c>
      <c r="E39" s="30">
        <v>100</v>
      </c>
      <c r="F39" s="30">
        <v>100</v>
      </c>
      <c r="G39" s="30">
        <v>100</v>
      </c>
      <c r="H39" s="30">
        <v>100</v>
      </c>
    </row>
    <row r="40" spans="2:8" ht="14" customHeight="1" x14ac:dyDescent="0.3">
      <c r="B40" s="4" t="s">
        <v>116</v>
      </c>
      <c r="D40" s="30">
        <v>103</v>
      </c>
      <c r="E40" s="30">
        <v>103</v>
      </c>
      <c r="F40" s="30">
        <v>103</v>
      </c>
      <c r="G40" s="30">
        <v>103</v>
      </c>
      <c r="H40" s="30">
        <v>103</v>
      </c>
    </row>
    <row r="41" spans="2:8" ht="14" customHeight="1" x14ac:dyDescent="0.3">
      <c r="B41" s="4" t="s">
        <v>117</v>
      </c>
      <c r="D41" s="30">
        <v>100</v>
      </c>
      <c r="E41" s="30">
        <v>100</v>
      </c>
      <c r="F41" s="30">
        <v>100</v>
      </c>
      <c r="G41" s="30">
        <v>100</v>
      </c>
      <c r="H41" s="30">
        <v>100</v>
      </c>
    </row>
    <row r="42" spans="2:8" ht="14" customHeight="1" x14ac:dyDescent="0.3">
      <c r="B42" s="4" t="s">
        <v>118</v>
      </c>
      <c r="D42" s="30">
        <v>96</v>
      </c>
      <c r="E42" s="30">
        <v>96</v>
      </c>
      <c r="F42" s="30">
        <v>96</v>
      </c>
      <c r="G42" s="30">
        <v>96</v>
      </c>
      <c r="H42" s="30">
        <v>96</v>
      </c>
    </row>
    <row r="43" spans="2:8" ht="14" customHeight="1" x14ac:dyDescent="0.3">
      <c r="B43" s="4" t="s">
        <v>119</v>
      </c>
      <c r="D43" s="30">
        <v>92</v>
      </c>
      <c r="E43" s="30">
        <v>92</v>
      </c>
      <c r="F43" s="30">
        <v>92</v>
      </c>
      <c r="G43" s="30">
        <v>92</v>
      </c>
      <c r="H43" s="30">
        <v>92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191</v>
      </c>
    </row>
    <row r="3" spans="2:17" ht="14" customHeight="1" x14ac:dyDescent="0.3">
      <c r="B3" s="1" t="s">
        <v>192</v>
      </c>
    </row>
    <row r="4" spans="2:17" ht="28" customHeight="1" x14ac:dyDescent="0.3">
      <c r="B4" s="10" t="s">
        <v>3</v>
      </c>
      <c r="C4" s="10" t="s">
        <v>5</v>
      </c>
      <c r="D4" s="10" t="s">
        <v>193</v>
      </c>
      <c r="E4" s="10" t="s">
        <v>194</v>
      </c>
      <c r="F4" s="10" t="s">
        <v>195</v>
      </c>
      <c r="G4" s="10" t="s">
        <v>196</v>
      </c>
      <c r="H4" s="10" t="s">
        <v>197</v>
      </c>
      <c r="I4" s="10" t="s">
        <v>198</v>
      </c>
      <c r="J4" s="10" t="s">
        <v>199</v>
      </c>
      <c r="K4" s="10" t="s">
        <v>200</v>
      </c>
      <c r="L4" s="10" t="s">
        <v>201</v>
      </c>
      <c r="M4" s="10" t="s">
        <v>202</v>
      </c>
      <c r="N4" s="10" t="s">
        <v>203</v>
      </c>
      <c r="O4" s="10" t="s">
        <v>204</v>
      </c>
      <c r="P4" s="10" t="s">
        <v>205</v>
      </c>
      <c r="Q4" s="10" t="s">
        <v>206</v>
      </c>
    </row>
    <row r="5" spans="2:17" ht="14" customHeight="1" x14ac:dyDescent="0.3">
      <c r="B5" s="4" t="s">
        <v>207</v>
      </c>
      <c r="C5" t="s">
        <v>208</v>
      </c>
      <c r="D5" s="37">
        <f>'Executive Summary'!C9*C23/1000000</f>
        <v>2320547.2297279998</v>
      </c>
      <c r="E5" s="37">
        <f>D5+C24</f>
        <v>2996073.2297279998</v>
      </c>
      <c r="F5" s="37">
        <v>2433363</v>
      </c>
      <c r="G5" s="37">
        <v>311527</v>
      </c>
      <c r="H5" s="37">
        <v>209677</v>
      </c>
      <c r="I5" s="37">
        <v>147542</v>
      </c>
      <c r="J5" s="38">
        <f t="shared" ref="J5:J10" si="0">IFERROR(E5/G5,"")</f>
        <v>9.6173790064039384</v>
      </c>
      <c r="K5" s="38">
        <f t="shared" ref="K5:K10" si="1">IFERROR(E5/F5,"")</f>
        <v>1.2312479600158299</v>
      </c>
      <c r="L5" s="38">
        <f t="shared" ref="L5:L10" si="2">IFERROR(D5/I5,"")</f>
        <v>15.728045097179107</v>
      </c>
      <c r="M5" s="38">
        <f t="shared" ref="M5:M10" si="3">IFERROR(D5/P5,"")</f>
        <v>1.8030796095139747</v>
      </c>
      <c r="N5" s="39">
        <f t="shared" ref="N5:N10" si="4">IFERROR(H5/F5,"")</f>
        <v>8.6167579600741853E-2</v>
      </c>
      <c r="O5" s="39">
        <f t="shared" ref="O5:O10" si="5">IFERROR(I5/P5,"")</f>
        <v>0.11464105032591526</v>
      </c>
      <c r="P5" s="37">
        <v>1286991</v>
      </c>
    </row>
    <row r="6" spans="2:17" ht="14" customHeight="1" x14ac:dyDescent="0.3">
      <c r="B6" s="4" t="s">
        <v>209</v>
      </c>
      <c r="C6" t="s">
        <v>210</v>
      </c>
      <c r="D6" s="37">
        <v>2397303</v>
      </c>
      <c r="E6" s="37">
        <v>3885100</v>
      </c>
      <c r="F6" s="37">
        <v>2894676</v>
      </c>
      <c r="G6" s="37">
        <v>348957</v>
      </c>
      <c r="H6" s="37">
        <v>185870</v>
      </c>
      <c r="I6" s="37">
        <v>121574</v>
      </c>
      <c r="J6" s="38">
        <f t="shared" si="0"/>
        <v>11.133463435322977</v>
      </c>
      <c r="K6" s="38">
        <f t="shared" si="1"/>
        <v>1.3421536641751961</v>
      </c>
      <c r="L6" s="38">
        <f t="shared" si="2"/>
        <v>19.718879036636125</v>
      </c>
      <c r="M6" s="38">
        <f t="shared" si="3"/>
        <v>0.79828887411872984</v>
      </c>
      <c r="N6" s="39">
        <f t="shared" si="4"/>
        <v>6.4210985961814029E-2</v>
      </c>
      <c r="O6" s="39">
        <f t="shared" si="5"/>
        <v>4.0483481471516314E-2</v>
      </c>
      <c r="P6" s="37">
        <v>3003052</v>
      </c>
    </row>
    <row r="7" spans="2:17" ht="14" customHeight="1" x14ac:dyDescent="0.3">
      <c r="B7" s="4" t="s">
        <v>211</v>
      </c>
      <c r="C7" t="s">
        <v>212</v>
      </c>
      <c r="D7" s="37">
        <v>4932560</v>
      </c>
      <c r="E7" s="37">
        <v>5247222</v>
      </c>
      <c r="F7" s="37">
        <v>1583719</v>
      </c>
      <c r="G7" s="37">
        <v>277762</v>
      </c>
      <c r="H7" s="37">
        <v>191301</v>
      </c>
      <c r="I7" s="37">
        <v>134675</v>
      </c>
      <c r="J7" s="38">
        <f t="shared" si="0"/>
        <v>18.891072212901694</v>
      </c>
      <c r="K7" s="38">
        <f t="shared" si="1"/>
        <v>3.3132279148005424</v>
      </c>
      <c r="L7" s="38">
        <f t="shared" si="2"/>
        <v>36.625654353072214</v>
      </c>
      <c r="M7" s="38">
        <f t="shared" si="3"/>
        <v>6.3991157457198122</v>
      </c>
      <c r="N7" s="39">
        <f t="shared" si="4"/>
        <v>0.12079226175855691</v>
      </c>
      <c r="O7" s="39">
        <f t="shared" si="5"/>
        <v>0.17471676230087738</v>
      </c>
      <c r="P7" s="37">
        <v>770819</v>
      </c>
    </row>
    <row r="8" spans="2:17" ht="14" customHeight="1" x14ac:dyDescent="0.3">
      <c r="B8" s="4" t="s">
        <v>213</v>
      </c>
      <c r="C8" t="s">
        <v>214</v>
      </c>
      <c r="D8" s="37">
        <v>1655551</v>
      </c>
      <c r="E8" s="37">
        <v>1605210</v>
      </c>
      <c r="F8" s="37">
        <v>745539</v>
      </c>
      <c r="G8" s="37">
        <v>102686</v>
      </c>
      <c r="H8" s="37">
        <v>75940</v>
      </c>
      <c r="I8" s="37">
        <v>61615</v>
      </c>
      <c r="J8" s="38">
        <f t="shared" si="0"/>
        <v>15.632218608184173</v>
      </c>
      <c r="K8" s="38">
        <f t="shared" si="1"/>
        <v>2.1530865588520518</v>
      </c>
      <c r="L8" s="38">
        <f t="shared" si="2"/>
        <v>26.869285076685873</v>
      </c>
      <c r="M8" s="38">
        <f t="shared" si="3"/>
        <v>2.9514711440409038</v>
      </c>
      <c r="N8" s="39">
        <f t="shared" si="4"/>
        <v>0.1018591918061966</v>
      </c>
      <c r="O8" s="39">
        <f t="shared" si="5"/>
        <v>0.10984554057234135</v>
      </c>
      <c r="P8" s="37">
        <v>560924</v>
      </c>
    </row>
    <row r="9" spans="2:17" ht="14" customHeight="1" x14ac:dyDescent="0.3">
      <c r="B9" s="4" t="s">
        <v>215</v>
      </c>
      <c r="C9" t="s">
        <v>216</v>
      </c>
      <c r="D9" s="37">
        <v>1195303</v>
      </c>
      <c r="E9" s="37">
        <v>1238638</v>
      </c>
      <c r="F9" s="37">
        <v>1173688</v>
      </c>
      <c r="G9" s="37">
        <v>148261</v>
      </c>
      <c r="H9" s="37">
        <v>93307</v>
      </c>
      <c r="I9" s="37">
        <v>35076</v>
      </c>
      <c r="J9" s="38">
        <f t="shared" si="0"/>
        <v>8.3544425034230176</v>
      </c>
      <c r="K9" s="38">
        <f t="shared" si="1"/>
        <v>1.0553383863513983</v>
      </c>
      <c r="L9" s="38">
        <f t="shared" si="2"/>
        <v>34.077517390808531</v>
      </c>
      <c r="M9" s="38">
        <f t="shared" si="3"/>
        <v>1.5471475630513147</v>
      </c>
      <c r="N9" s="39">
        <f t="shared" si="4"/>
        <v>7.9498980989837167E-2</v>
      </c>
      <c r="O9" s="39">
        <f t="shared" si="5"/>
        <v>4.5400829682170893E-2</v>
      </c>
      <c r="P9" s="37">
        <v>772585</v>
      </c>
    </row>
    <row r="10" spans="2:17" ht="14" customHeight="1" x14ac:dyDescent="0.3">
      <c r="B10" s="4" t="s">
        <v>217</v>
      </c>
      <c r="C10" t="s">
        <v>218</v>
      </c>
      <c r="D10" s="37">
        <v>854146</v>
      </c>
      <c r="E10" s="37">
        <v>931346</v>
      </c>
      <c r="F10" s="37">
        <v>788131</v>
      </c>
      <c r="G10" s="37">
        <v>85277</v>
      </c>
      <c r="H10" s="37">
        <v>49380</v>
      </c>
      <c r="I10" s="37">
        <v>45380</v>
      </c>
      <c r="J10" s="38">
        <f t="shared" si="0"/>
        <v>10.92142078168791</v>
      </c>
      <c r="K10" s="38">
        <f t="shared" si="1"/>
        <v>1.1817147149395215</v>
      </c>
      <c r="L10" s="38">
        <f t="shared" si="2"/>
        <v>18.822080211546936</v>
      </c>
      <c r="M10" s="38">
        <f t="shared" si="3"/>
        <v>1.6515832379420228</v>
      </c>
      <c r="N10" s="39">
        <f t="shared" si="4"/>
        <v>6.2654558696460361E-2</v>
      </c>
      <c r="O10" s="39">
        <f t="shared" si="5"/>
        <v>8.7747115057389469E-2</v>
      </c>
      <c r="P10" s="37">
        <v>517168</v>
      </c>
    </row>
    <row r="14" spans="2:17" ht="14" customHeight="1" x14ac:dyDescent="0.3">
      <c r="B14" s="3" t="s">
        <v>219</v>
      </c>
    </row>
    <row r="15" spans="2:17" ht="14" customHeight="1" x14ac:dyDescent="0.3">
      <c r="B15" s="4" t="s">
        <v>220</v>
      </c>
      <c r="D15" s="38">
        <f t="shared" ref="D15:I15" si="6">PERCENTILE(J6:J10,0.25)</f>
        <v>10.92142078168791</v>
      </c>
      <c r="E15" s="38">
        <f t="shared" si="6"/>
        <v>1.1817147149395215</v>
      </c>
      <c r="F15" s="38">
        <f t="shared" si="6"/>
        <v>19.718879036636125</v>
      </c>
      <c r="G15" s="38">
        <f t="shared" si="6"/>
        <v>1.5471475630513147</v>
      </c>
      <c r="H15" s="39">
        <f t="shared" si="6"/>
        <v>6.4210985961814029E-2</v>
      </c>
      <c r="I15" s="39">
        <f t="shared" si="6"/>
        <v>4.5400829682170893E-2</v>
      </c>
    </row>
    <row r="16" spans="2:17" ht="14" customHeight="1" x14ac:dyDescent="0.3">
      <c r="B16" s="4" t="s">
        <v>221</v>
      </c>
      <c r="D16" s="38">
        <f t="shared" ref="D16:I16" si="7">MEDIAN(J6:J10)</f>
        <v>11.133463435322977</v>
      </c>
      <c r="E16" s="38">
        <f t="shared" si="7"/>
        <v>1.3421536641751961</v>
      </c>
      <c r="F16" s="38">
        <f t="shared" si="7"/>
        <v>26.869285076685873</v>
      </c>
      <c r="G16" s="38">
        <f t="shared" si="7"/>
        <v>1.6515832379420228</v>
      </c>
      <c r="H16" s="39">
        <f t="shared" si="7"/>
        <v>7.9498980989837167E-2</v>
      </c>
      <c r="I16" s="39">
        <f t="shared" si="7"/>
        <v>8.7747115057389469E-2</v>
      </c>
    </row>
    <row r="17" spans="2:9" ht="14" customHeight="1" x14ac:dyDescent="0.3">
      <c r="B17" s="4" t="s">
        <v>222</v>
      </c>
      <c r="D17" s="38">
        <f t="shared" ref="D17:I17" si="8">PERCENTILE(J6:J10,0.75)</f>
        <v>15.632218608184173</v>
      </c>
      <c r="E17" s="38">
        <f t="shared" si="8"/>
        <v>2.1530865588520518</v>
      </c>
      <c r="F17" s="38">
        <f t="shared" si="8"/>
        <v>34.077517390808531</v>
      </c>
      <c r="G17" s="38">
        <f t="shared" si="8"/>
        <v>2.9514711440409038</v>
      </c>
      <c r="H17" s="39">
        <f t="shared" si="8"/>
        <v>0.1018591918061966</v>
      </c>
      <c r="I17" s="39">
        <f t="shared" si="8"/>
        <v>0.10984554057234135</v>
      </c>
    </row>
    <row r="19" spans="2:9" ht="14" customHeight="1" x14ac:dyDescent="0.3">
      <c r="B19" s="22" t="s">
        <v>223</v>
      </c>
      <c r="C19" s="23"/>
      <c r="D19" s="23"/>
      <c r="E19" s="23"/>
      <c r="F19" s="23"/>
      <c r="G19" s="23"/>
      <c r="H19" s="23"/>
      <c r="I19" s="23"/>
    </row>
    <row r="20" spans="2:9" ht="14" customHeight="1" x14ac:dyDescent="0.3">
      <c r="B20" s="3" t="s">
        <v>224</v>
      </c>
    </row>
    <row r="21" spans="2:9" ht="14" customHeight="1" x14ac:dyDescent="0.3">
      <c r="B21" s="4" t="s">
        <v>225</v>
      </c>
      <c r="C21" s="5">
        <v>311527</v>
      </c>
    </row>
    <row r="22" spans="2:9" ht="14" customHeight="1" x14ac:dyDescent="0.3">
      <c r="B22" s="4" t="s">
        <v>226</v>
      </c>
      <c r="C22" s="5">
        <v>147542</v>
      </c>
    </row>
    <row r="23" spans="2:9" ht="14" customHeight="1" x14ac:dyDescent="0.3">
      <c r="B23" s="4" t="s">
        <v>227</v>
      </c>
      <c r="C23" s="15">
        <v>796891219</v>
      </c>
    </row>
    <row r="24" spans="2:9" ht="14" customHeight="1" x14ac:dyDescent="0.3">
      <c r="B24" s="4" t="s">
        <v>68</v>
      </c>
      <c r="C24" s="5">
        <v>675526</v>
      </c>
    </row>
    <row r="26" spans="2:9" ht="14" customHeight="1" x14ac:dyDescent="0.3">
      <c r="B26" s="3" t="s">
        <v>228</v>
      </c>
    </row>
    <row r="27" spans="2:9" ht="14" customHeight="1" x14ac:dyDescent="0.3">
      <c r="B27" s="4" t="s">
        <v>229</v>
      </c>
      <c r="C27" s="24">
        <f>ROUND((C21*D16-C24)*1000000/C23,0)</f>
        <v>3505</v>
      </c>
    </row>
    <row r="28" spans="2:9" ht="14" customHeight="1" x14ac:dyDescent="0.3">
      <c r="B28" s="4" t="s">
        <v>230</v>
      </c>
      <c r="C28" s="24">
        <f>ROUND(C22*F16*1000000/C23,0)</f>
        <v>4975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231</v>
      </c>
    </row>
    <row r="3" spans="2:9" ht="14" customHeight="1" x14ac:dyDescent="0.3">
      <c r="B3" s="4" t="s">
        <v>232</v>
      </c>
      <c r="C3" s="16">
        <f>'DCF Model'!C26</f>
        <v>6.4427960653706123E-2</v>
      </c>
      <c r="E3" s="4" t="s">
        <v>233</v>
      </c>
      <c r="F3" s="16">
        <f>'DCF Model'!C13</f>
        <v>0.01</v>
      </c>
      <c r="H3" s="4" t="s">
        <v>234</v>
      </c>
      <c r="I3" s="14">
        <f>'DCF Model'!C14</f>
        <v>11.1</v>
      </c>
    </row>
    <row r="5" spans="2:9" ht="14" customHeight="1" x14ac:dyDescent="0.3">
      <c r="B5" s="3" t="s">
        <v>235</v>
      </c>
    </row>
    <row r="6" spans="2:9" ht="14" customHeight="1" x14ac:dyDescent="0.3">
      <c r="B6" s="40" t="s">
        <v>236</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4.9427960653706124E-2</v>
      </c>
      <c r="C7" s="37">
        <f>IFERROR(ROUND(('DCF Model'!C45/(1+$B7)^('DCF Model'!C19+0)+'DCF Model'!D45/(1+$B7)^('DCF Model'!C19+1)+'DCF Model'!E45/(1+$B7)^('DCF Model'!C19+2)+'DCF Model'!F45/(1+$B7)^('DCF Model'!C19+3)+'DCF Model'!G45/(1+$B7)^('DCF Model'!C19+4)+'DCF Model'!G45*(1+C$6)/($B7-C$6)/(1+$B7)^('DCF Model'!C19+4)-'DCF Model'!C16)*1000000/'DCF Model'!C15,0),"")</f>
        <v>3014</v>
      </c>
      <c r="D7" s="37">
        <f>IFERROR(ROUND(('DCF Model'!C45/(1+$B7)^('DCF Model'!C19+0)+'DCF Model'!D45/(1+$B7)^('DCF Model'!C19+1)+'DCF Model'!E45/(1+$B7)^('DCF Model'!C19+2)+'DCF Model'!F45/(1+$B7)^('DCF Model'!C19+3)+'DCF Model'!G45/(1+$B7)^('DCF Model'!C19+4)+'DCF Model'!G45*(1+D$6)/($B7-D$6)/(1+$B7)^('DCF Model'!C19+4)-'DCF Model'!C16)*1000000/'DCF Model'!C15,0),"")</f>
        <v>3203</v>
      </c>
      <c r="E7" s="37">
        <f>IFERROR(ROUND(('DCF Model'!C45/(1+$B7)^('DCF Model'!C19+0)+'DCF Model'!D45/(1+$B7)^('DCF Model'!C19+1)+'DCF Model'!E45/(1+$B7)^('DCF Model'!C19+2)+'DCF Model'!F45/(1+$B7)^('DCF Model'!C19+3)+'DCF Model'!G45/(1+$B7)^('DCF Model'!C19+4)+'DCF Model'!G45*(1+E$6)/($B7-E$6)/(1+$B7)^('DCF Model'!C19+4)-'DCF Model'!C16)*1000000/'DCF Model'!C15,0),"")</f>
        <v>3414</v>
      </c>
      <c r="F7" s="37">
        <f>IFERROR(ROUND(('DCF Model'!C45/(1+$B7)^('DCF Model'!C19+0)+'DCF Model'!D45/(1+$B7)^('DCF Model'!C19+1)+'DCF Model'!E45/(1+$B7)^('DCF Model'!C19+2)+'DCF Model'!F45/(1+$B7)^('DCF Model'!C19+3)+'DCF Model'!G45/(1+$B7)^('DCF Model'!C19+4)+'DCF Model'!G45*(1+F$6)/($B7-F$6)/(1+$B7)^('DCF Model'!C19+4)-'DCF Model'!C16)*1000000/'DCF Model'!C15,0),"")</f>
        <v>3652</v>
      </c>
      <c r="G7" s="37">
        <f>IFERROR(ROUND(('DCF Model'!C45/(1+$B7)^('DCF Model'!C19+0)+'DCF Model'!D45/(1+$B7)^('DCF Model'!C19+1)+'DCF Model'!E45/(1+$B7)^('DCF Model'!C19+2)+'DCF Model'!F45/(1+$B7)^('DCF Model'!C19+3)+'DCF Model'!G45/(1+$B7)^('DCF Model'!C19+4)+'DCF Model'!G45*(1+G$6)/($B7-G$6)/(1+$B7)^('DCF Model'!C19+4)-'DCF Model'!C16)*1000000/'DCF Model'!C15,0),"")</f>
        <v>3922</v>
      </c>
      <c r="H7" s="37">
        <f>IFERROR(ROUND(('DCF Model'!C45/(1+$B7)^('DCF Model'!C19+0)+'DCF Model'!D45/(1+$B7)^('DCF Model'!C19+1)+'DCF Model'!E45/(1+$B7)^('DCF Model'!C19+2)+'DCF Model'!F45/(1+$B7)^('DCF Model'!C19+3)+'DCF Model'!G45/(1+$B7)^('DCF Model'!C19+4)+'DCF Model'!G45*(1+H$6)/($B7-H$6)/(1+$B7)^('DCF Model'!C19+4)-'DCF Model'!C16)*1000000/'DCF Model'!C15,0),"")</f>
        <v>4231</v>
      </c>
      <c r="I7" s="37">
        <f>IFERROR(ROUND(('DCF Model'!C45/(1+$B7)^('DCF Model'!C19+0)+'DCF Model'!D45/(1+$B7)^('DCF Model'!C19+1)+'DCF Model'!E45/(1+$B7)^('DCF Model'!C19+2)+'DCF Model'!F45/(1+$B7)^('DCF Model'!C19+3)+'DCF Model'!G45/(1+$B7)^('DCF Model'!C19+4)+'DCF Model'!G45*(1+I$6)/($B7-I$6)/(1+$B7)^('DCF Model'!C19+4)-'DCF Model'!C16)*1000000/'DCF Model'!C15,0),"")</f>
        <v>4589</v>
      </c>
    </row>
    <row r="8" spans="2:9" ht="13.5" customHeight="1" x14ac:dyDescent="0.25">
      <c r="B8" s="39">
        <f>$C$3-0.01</f>
        <v>5.4427960653706121E-2</v>
      </c>
      <c r="C8" s="37">
        <f>IFERROR(ROUND(('DCF Model'!C45/(1+$B8)^('DCF Model'!C19+0)+'DCF Model'!D45/(1+$B8)^('DCF Model'!C19+1)+'DCF Model'!E45/(1+$B8)^('DCF Model'!C19+2)+'DCF Model'!F45/(1+$B8)^('DCF Model'!C19+3)+'DCF Model'!G45/(1+$B8)^('DCF Model'!C19+4)+'DCF Model'!G45*(1+C$6)/($B8-C$6)/(1+$B8)^('DCF Model'!C19+4)-'DCF Model'!C16)*1000000/'DCF Model'!C15,0),"")</f>
        <v>2636</v>
      </c>
      <c r="D8" s="37">
        <f>IFERROR(ROUND(('DCF Model'!C45/(1+$B8)^('DCF Model'!C19+0)+'DCF Model'!D45/(1+$B8)^('DCF Model'!C19+1)+'DCF Model'!E45/(1+$B8)^('DCF Model'!C19+2)+'DCF Model'!F45/(1+$B8)^('DCF Model'!C19+3)+'DCF Model'!G45/(1+$B8)^('DCF Model'!C19+4)+'DCF Model'!G45*(1+D$6)/($B8-D$6)/(1+$B8)^('DCF Model'!C19+4)-'DCF Model'!C16)*1000000/'DCF Model'!C15,0),"")</f>
        <v>2787</v>
      </c>
      <c r="E8" s="37">
        <f>IFERROR(ROUND(('DCF Model'!C45/(1+$B8)^('DCF Model'!C19+0)+'DCF Model'!D45/(1+$B8)^('DCF Model'!C19+1)+'DCF Model'!E45/(1+$B8)^('DCF Model'!C19+2)+'DCF Model'!F45/(1+$B8)^('DCF Model'!C19+3)+'DCF Model'!G45/(1+$B8)^('DCF Model'!C19+4)+'DCF Model'!G45*(1+E$6)/($B8-E$6)/(1+$B8)^('DCF Model'!C19+4)-'DCF Model'!C16)*1000000/'DCF Model'!C15,0),"")</f>
        <v>2953</v>
      </c>
      <c r="F8" s="37">
        <f>IFERROR(ROUND(('DCF Model'!C45/(1+$B8)^('DCF Model'!C19+0)+'DCF Model'!D45/(1+$B8)^('DCF Model'!C19+1)+'DCF Model'!E45/(1+$B8)^('DCF Model'!C19+2)+'DCF Model'!F45/(1+$B8)^('DCF Model'!C19+3)+'DCF Model'!G45/(1+$B8)^('DCF Model'!C19+4)+'DCF Model'!G45*(1+F$6)/($B8-F$6)/(1+$B8)^('DCF Model'!C19+4)-'DCF Model'!C16)*1000000/'DCF Model'!C15,0),"")</f>
        <v>3139</v>
      </c>
      <c r="G8" s="37">
        <f>IFERROR(ROUND(('DCF Model'!C45/(1+$B8)^('DCF Model'!C19+0)+'DCF Model'!D45/(1+$B8)^('DCF Model'!C19+1)+'DCF Model'!E45/(1+$B8)^('DCF Model'!C19+2)+'DCF Model'!F45/(1+$B8)^('DCF Model'!C19+3)+'DCF Model'!G45/(1+$B8)^('DCF Model'!C19+4)+'DCF Model'!G45*(1+G$6)/($B8-G$6)/(1+$B8)^('DCF Model'!C19+4)-'DCF Model'!C16)*1000000/'DCF Model'!C15,0),"")</f>
        <v>3347</v>
      </c>
      <c r="H8" s="37">
        <f>IFERROR(ROUND(('DCF Model'!C45/(1+$B8)^('DCF Model'!C19+0)+'DCF Model'!D45/(1+$B8)^('DCF Model'!C19+1)+'DCF Model'!E45/(1+$B8)^('DCF Model'!C19+2)+'DCF Model'!F45/(1+$B8)^('DCF Model'!C19+3)+'DCF Model'!G45/(1+$B8)^('DCF Model'!C19+4)+'DCF Model'!G45*(1+H$6)/($B8-H$6)/(1+$B8)^('DCF Model'!C19+4)-'DCF Model'!C16)*1000000/'DCF Model'!C15,0),"")</f>
        <v>3580</v>
      </c>
      <c r="I8" s="37">
        <f>IFERROR(ROUND(('DCF Model'!C45/(1+$B8)^('DCF Model'!C19+0)+'DCF Model'!D45/(1+$B8)^('DCF Model'!C19+1)+'DCF Model'!E45/(1+$B8)^('DCF Model'!C19+2)+'DCF Model'!F45/(1+$B8)^('DCF Model'!C19+3)+'DCF Model'!G45/(1+$B8)^('DCF Model'!C19+4)+'DCF Model'!G45*(1+I$6)/($B8-I$6)/(1+$B8)^('DCF Model'!C19+4)-'DCF Model'!C16)*1000000/'DCF Model'!C15,0),"")</f>
        <v>3846</v>
      </c>
    </row>
    <row r="9" spans="2:9" ht="13.5" customHeight="1" x14ac:dyDescent="0.25">
      <c r="B9" s="39">
        <f>$C$3-0.005</f>
        <v>5.9427960653706126E-2</v>
      </c>
      <c r="C9" s="37">
        <f>IFERROR(ROUND(('DCF Model'!C45/(1+$B9)^('DCF Model'!C19+0)+'DCF Model'!D45/(1+$B9)^('DCF Model'!C19+1)+'DCF Model'!E45/(1+$B9)^('DCF Model'!C19+2)+'DCF Model'!F45/(1+$B9)^('DCF Model'!C19+3)+'DCF Model'!G45/(1+$B9)^('DCF Model'!C19+4)+'DCF Model'!G45*(1+C$6)/($B9-C$6)/(1+$B9)^('DCF Model'!C19+4)-'DCF Model'!C16)*1000000/'DCF Model'!C15,0),"")</f>
        <v>2324</v>
      </c>
      <c r="D9" s="37">
        <f>IFERROR(ROUND(('DCF Model'!C45/(1+$B9)^('DCF Model'!C19+0)+'DCF Model'!D45/(1+$B9)^('DCF Model'!C19+1)+'DCF Model'!E45/(1+$B9)^('DCF Model'!C19+2)+'DCF Model'!F45/(1+$B9)^('DCF Model'!C19+3)+'DCF Model'!G45/(1+$B9)^('DCF Model'!C19+4)+'DCF Model'!G45*(1+D$6)/($B9-D$6)/(1+$B9)^('DCF Model'!C19+4)-'DCF Model'!C16)*1000000/'DCF Model'!C15,0),"")</f>
        <v>2447</v>
      </c>
      <c r="E9" s="37">
        <f>IFERROR(ROUND(('DCF Model'!C45/(1+$B9)^('DCF Model'!C19+0)+'DCF Model'!D45/(1+$B9)^('DCF Model'!C19+1)+'DCF Model'!E45/(1+$B9)^('DCF Model'!C19+2)+'DCF Model'!F45/(1+$B9)^('DCF Model'!C19+3)+'DCF Model'!G45/(1+$B9)^('DCF Model'!C19+4)+'DCF Model'!G45*(1+E$6)/($B9-E$6)/(1+$B9)^('DCF Model'!C19+4)-'DCF Model'!C16)*1000000/'DCF Model'!C15,0),"")</f>
        <v>2582</v>
      </c>
      <c r="F9" s="37">
        <f>IFERROR(ROUND(('DCF Model'!C45/(1+$B9)^('DCF Model'!C19+0)+'DCF Model'!D45/(1+$B9)^('DCF Model'!C19+1)+'DCF Model'!E45/(1+$B9)^('DCF Model'!C19+2)+'DCF Model'!F45/(1+$B9)^('DCF Model'!C19+3)+'DCF Model'!G45/(1+$B9)^('DCF Model'!C19+4)+'DCF Model'!G45*(1+F$6)/($B9-F$6)/(1+$B9)^('DCF Model'!C19+4)-'DCF Model'!C16)*1000000/'DCF Model'!C15,0),"")</f>
        <v>2730</v>
      </c>
      <c r="G9" s="37">
        <f>IFERROR(ROUND(('DCF Model'!C45/(1+$B9)^('DCF Model'!C19+0)+'DCF Model'!D45/(1+$B9)^('DCF Model'!C19+1)+'DCF Model'!E45/(1+$B9)^('DCF Model'!C19+2)+'DCF Model'!F45/(1+$B9)^('DCF Model'!C19+3)+'DCF Model'!G45/(1+$B9)^('DCF Model'!C19+4)+'DCF Model'!G45*(1+G$6)/($B9-G$6)/(1+$B9)^('DCF Model'!C19+4)-'DCF Model'!C16)*1000000/'DCF Model'!C15,0),"")</f>
        <v>2894</v>
      </c>
      <c r="H9" s="37">
        <f>IFERROR(ROUND(('DCF Model'!C45/(1+$B9)^('DCF Model'!C19+0)+'DCF Model'!D45/(1+$B9)^('DCF Model'!C19+1)+'DCF Model'!E45/(1+$B9)^('DCF Model'!C19+2)+'DCF Model'!F45/(1+$B9)^('DCF Model'!C19+3)+'DCF Model'!G45/(1+$B9)^('DCF Model'!C19+4)+'DCF Model'!G45*(1+H$6)/($B9-H$6)/(1+$B9)^('DCF Model'!C19+4)-'DCF Model'!C16)*1000000/'DCF Model'!C15,0),"")</f>
        <v>3077</v>
      </c>
      <c r="I9" s="37">
        <f>IFERROR(ROUND(('DCF Model'!C45/(1+$B9)^('DCF Model'!C19+0)+'DCF Model'!D45/(1+$B9)^('DCF Model'!C19+1)+'DCF Model'!E45/(1+$B9)^('DCF Model'!C19+2)+'DCF Model'!F45/(1+$B9)^('DCF Model'!C19+3)+'DCF Model'!G45/(1+$B9)^('DCF Model'!C19+4)+'DCF Model'!G45*(1+I$6)/($B9-I$6)/(1+$B9)^('DCF Model'!C19+4)-'DCF Model'!C16)*1000000/'DCF Model'!C15,0),"")</f>
        <v>3281</v>
      </c>
    </row>
    <row r="10" spans="2:9" ht="13.5" customHeight="1" x14ac:dyDescent="0.25">
      <c r="B10" s="39">
        <f>$C$3</f>
        <v>6.4427960653706123E-2</v>
      </c>
      <c r="C10" s="37">
        <f>IFERROR(ROUND(('DCF Model'!C45/(1+$B10)^('DCF Model'!C19+0)+'DCF Model'!D45/(1+$B10)^('DCF Model'!C19+1)+'DCF Model'!E45/(1+$B10)^('DCF Model'!C19+2)+'DCF Model'!F45/(1+$B10)^('DCF Model'!C19+3)+'DCF Model'!G45/(1+$B10)^('DCF Model'!C19+4)+'DCF Model'!G45*(1+C$6)/($B10-C$6)/(1+$B10)^('DCF Model'!C19+4)-'DCF Model'!C16)*1000000/'DCF Model'!C15,0),"")</f>
        <v>2063</v>
      </c>
      <c r="D10" s="37">
        <f>IFERROR(ROUND(('DCF Model'!C45/(1+$B10)^('DCF Model'!C19+0)+'DCF Model'!D45/(1+$B10)^('DCF Model'!C19+1)+'DCF Model'!E45/(1+$B10)^('DCF Model'!C19+2)+'DCF Model'!F45/(1+$B10)^('DCF Model'!C19+3)+'DCF Model'!G45/(1+$B10)^('DCF Model'!C19+4)+'DCF Model'!G45*(1+D$6)/($B10-D$6)/(1+$B10)^('DCF Model'!C19+4)-'DCF Model'!C16)*1000000/'DCF Model'!C15,0),"")</f>
        <v>2165</v>
      </c>
      <c r="E10" s="37">
        <f>IFERROR(ROUND(('DCF Model'!C45/(1+$B10)^('DCF Model'!C19+0)+'DCF Model'!D45/(1+$B10)^('DCF Model'!C19+1)+'DCF Model'!E45/(1+$B10)^('DCF Model'!C19+2)+'DCF Model'!F45/(1+$B10)^('DCF Model'!C19+3)+'DCF Model'!G45/(1+$B10)^('DCF Model'!C19+4)+'DCF Model'!G45*(1+E$6)/($B10-E$6)/(1+$B10)^('DCF Model'!C19+4)-'DCF Model'!C16)*1000000/'DCF Model'!C15,0),"")</f>
        <v>2276</v>
      </c>
      <c r="F10" s="37">
        <f>IFERROR(ROUND(('DCF Model'!C45/(1+$B10)^('DCF Model'!C19+0)+'DCF Model'!D45/(1+$B10)^('DCF Model'!C19+1)+'DCF Model'!E45/(1+$B10)^('DCF Model'!C19+2)+'DCF Model'!F45/(1+$B10)^('DCF Model'!C19+3)+'DCF Model'!G45/(1+$B10)^('DCF Model'!C19+4)+'DCF Model'!G45*(1+F$6)/($B10-F$6)/(1+$B10)^('DCF Model'!C19+4)-'DCF Model'!C16)*1000000/'DCF Model'!C15,0),"")</f>
        <v>2397</v>
      </c>
      <c r="G10" s="37">
        <f>IFERROR(ROUND(('DCF Model'!C45/(1+$B10)^('DCF Model'!C19+0)+'DCF Model'!D45/(1+$B10)^('DCF Model'!C19+1)+'DCF Model'!E45/(1+$B10)^('DCF Model'!C19+2)+'DCF Model'!F45/(1+$B10)^('DCF Model'!C19+3)+'DCF Model'!G45/(1+$B10)^('DCF Model'!C19+4)+'DCF Model'!G45*(1+G$6)/($B10-G$6)/(1+$B10)^('DCF Model'!C19+4)-'DCF Model'!C16)*1000000/'DCF Model'!C15,0),"")</f>
        <v>2529</v>
      </c>
      <c r="H10" s="37">
        <f>IFERROR(ROUND(('DCF Model'!C45/(1+$B10)^('DCF Model'!C19+0)+'DCF Model'!D45/(1+$B10)^('DCF Model'!C19+1)+'DCF Model'!E45/(1+$B10)^('DCF Model'!C19+2)+'DCF Model'!F45/(1+$B10)^('DCF Model'!C19+3)+'DCF Model'!G45/(1+$B10)^('DCF Model'!C19+4)+'DCF Model'!G45*(1+H$6)/($B10-H$6)/(1+$B10)^('DCF Model'!C19+4)-'DCF Model'!C16)*1000000/'DCF Model'!C15,0),"")</f>
        <v>2675</v>
      </c>
      <c r="I10" s="37">
        <f>IFERROR(ROUND(('DCF Model'!C45/(1+$B10)^('DCF Model'!C19+0)+'DCF Model'!D45/(1+$B10)^('DCF Model'!C19+1)+'DCF Model'!E45/(1+$B10)^('DCF Model'!C19+2)+'DCF Model'!F45/(1+$B10)^('DCF Model'!C19+3)+'DCF Model'!G45/(1+$B10)^('DCF Model'!C19+4)+'DCF Model'!G45*(1+I$6)/($B10-I$6)/(1+$B10)^('DCF Model'!C19+4)-'DCF Model'!C16)*1000000/'DCF Model'!C15,0),"")</f>
        <v>2836</v>
      </c>
    </row>
    <row r="11" spans="2:9" ht="13.5" customHeight="1" x14ac:dyDescent="0.25">
      <c r="B11" s="39">
        <f>$C$3+0.005</f>
        <v>6.9427960653706128E-2</v>
      </c>
      <c r="C11" s="37">
        <f>IFERROR(ROUND(('DCF Model'!C45/(1+$B11)^('DCF Model'!C19+0)+'DCF Model'!D45/(1+$B11)^('DCF Model'!C19+1)+'DCF Model'!E45/(1+$B11)^('DCF Model'!C19+2)+'DCF Model'!F45/(1+$B11)^('DCF Model'!C19+3)+'DCF Model'!G45/(1+$B11)^('DCF Model'!C19+4)+'DCF Model'!G45*(1+C$6)/($B11-C$6)/(1+$B11)^('DCF Model'!C19+4)-'DCF Model'!C16)*1000000/'DCF Model'!C15,0),"")</f>
        <v>1842</v>
      </c>
      <c r="D11" s="37">
        <f>IFERROR(ROUND(('DCF Model'!C45/(1+$B11)^('DCF Model'!C19+0)+'DCF Model'!D45/(1+$B11)^('DCF Model'!C19+1)+'DCF Model'!E45/(1+$B11)^('DCF Model'!C19+2)+'DCF Model'!F45/(1+$B11)^('DCF Model'!C19+3)+'DCF Model'!G45/(1+$B11)^('DCF Model'!C19+4)+'DCF Model'!G45*(1+D$6)/($B11-D$6)/(1+$B11)^('DCF Model'!C19+4)-'DCF Model'!C16)*1000000/'DCF Model'!C15,0),"")</f>
        <v>1927</v>
      </c>
      <c r="E11" s="37">
        <f>IFERROR(ROUND(('DCF Model'!C45/(1+$B11)^('DCF Model'!C19+0)+'DCF Model'!D45/(1+$B11)^('DCF Model'!C19+1)+'DCF Model'!E45/(1+$B11)^('DCF Model'!C19+2)+'DCF Model'!F45/(1+$B11)^('DCF Model'!C19+3)+'DCF Model'!G45/(1+$B11)^('DCF Model'!C19+4)+'DCF Model'!G45*(1+E$6)/($B11-E$6)/(1+$B11)^('DCF Model'!C19+4)-'DCF Model'!C16)*1000000/'DCF Model'!C15,0),"")</f>
        <v>2019</v>
      </c>
      <c r="F11" s="37">
        <f>IFERROR(ROUND(('DCF Model'!C45/(1+$B11)^('DCF Model'!C19+0)+'DCF Model'!D45/(1+$B11)^('DCF Model'!C19+1)+'DCF Model'!E45/(1+$B11)^('DCF Model'!C19+2)+'DCF Model'!F45/(1+$B11)^('DCF Model'!C19+3)+'DCF Model'!G45/(1+$B11)^('DCF Model'!C19+4)+'DCF Model'!G45*(1+F$6)/($B11-F$6)/(1+$B11)^('DCF Model'!C19+4)-'DCF Model'!C16)*1000000/'DCF Model'!C15,0),"")</f>
        <v>2119</v>
      </c>
      <c r="G11" s="37">
        <f>IFERROR(ROUND(('DCF Model'!C45/(1+$B11)^('DCF Model'!C19+0)+'DCF Model'!D45/(1+$B11)^('DCF Model'!C19+1)+'DCF Model'!E45/(1+$B11)^('DCF Model'!C19+2)+'DCF Model'!F45/(1+$B11)^('DCF Model'!C19+3)+'DCF Model'!G45/(1+$B11)^('DCF Model'!C19+4)+'DCF Model'!G45*(1+G$6)/($B11-G$6)/(1+$B11)^('DCF Model'!C19+4)-'DCF Model'!C16)*1000000/'DCF Model'!C15,0),"")</f>
        <v>2228</v>
      </c>
      <c r="H11" s="37">
        <f>IFERROR(ROUND(('DCF Model'!C45/(1+$B11)^('DCF Model'!C19+0)+'DCF Model'!D45/(1+$B11)^('DCF Model'!C19+1)+'DCF Model'!E45/(1+$B11)^('DCF Model'!C19+2)+'DCF Model'!F45/(1+$B11)^('DCF Model'!C19+3)+'DCF Model'!G45/(1+$B11)^('DCF Model'!C19+4)+'DCF Model'!G45*(1+H$6)/($B11-H$6)/(1+$B11)^('DCF Model'!C19+4)-'DCF Model'!C16)*1000000/'DCF Model'!C15,0),"")</f>
        <v>2347</v>
      </c>
      <c r="I11" s="37">
        <f>IFERROR(ROUND(('DCF Model'!C45/(1+$B11)^('DCF Model'!C19+0)+'DCF Model'!D45/(1+$B11)^('DCF Model'!C19+1)+'DCF Model'!E45/(1+$B11)^('DCF Model'!C19+2)+'DCF Model'!F45/(1+$B11)^('DCF Model'!C19+3)+'DCF Model'!G45/(1+$B11)^('DCF Model'!C19+4)+'DCF Model'!G45*(1+I$6)/($B11-I$6)/(1+$B11)^('DCF Model'!C19+4)-'DCF Model'!C16)*1000000/'DCF Model'!C15,0),"")</f>
        <v>2477</v>
      </c>
    </row>
    <row r="12" spans="2:9" ht="13.5" customHeight="1" x14ac:dyDescent="0.25">
      <c r="B12" s="39">
        <f>$C$3+0.01</f>
        <v>7.4427960653706118E-2</v>
      </c>
      <c r="C12" s="37">
        <f>IFERROR(ROUND(('DCF Model'!C45/(1+$B12)^('DCF Model'!C19+0)+'DCF Model'!D45/(1+$B12)^('DCF Model'!C19+1)+'DCF Model'!E45/(1+$B12)^('DCF Model'!C19+2)+'DCF Model'!F45/(1+$B12)^('DCF Model'!C19+3)+'DCF Model'!G45/(1+$B12)^('DCF Model'!C19+4)+'DCF Model'!G45*(1+C$6)/($B12-C$6)/(1+$B12)^('DCF Model'!C19+4)-'DCF Model'!C16)*1000000/'DCF Model'!C15,0),"")</f>
        <v>1651</v>
      </c>
      <c r="D12" s="37">
        <f>IFERROR(ROUND(('DCF Model'!C45/(1+$B12)^('DCF Model'!C19+0)+'DCF Model'!D45/(1+$B12)^('DCF Model'!C19+1)+'DCF Model'!E45/(1+$B12)^('DCF Model'!C19+2)+'DCF Model'!F45/(1+$B12)^('DCF Model'!C19+3)+'DCF Model'!G45/(1+$B12)^('DCF Model'!C19+4)+'DCF Model'!G45*(1+D$6)/($B12-D$6)/(1+$B12)^('DCF Model'!C19+4)-'DCF Model'!C16)*1000000/'DCF Model'!C15,0),"")</f>
        <v>1723</v>
      </c>
      <c r="E12" s="37">
        <f>IFERROR(ROUND(('DCF Model'!C45/(1+$B12)^('DCF Model'!C19+0)+'DCF Model'!D45/(1+$B12)^('DCF Model'!C19+1)+'DCF Model'!E45/(1+$B12)^('DCF Model'!C19+2)+'DCF Model'!F45/(1+$B12)^('DCF Model'!C19+3)+'DCF Model'!G45/(1+$B12)^('DCF Model'!C19+4)+'DCF Model'!G45*(1+E$6)/($B12-E$6)/(1+$B12)^('DCF Model'!C19+4)-'DCF Model'!C16)*1000000/'DCF Model'!C15,0),"")</f>
        <v>1801</v>
      </c>
      <c r="F12" s="37">
        <f>IFERROR(ROUND(('DCF Model'!C45/(1+$B12)^('DCF Model'!C19+0)+'DCF Model'!D45/(1+$B12)^('DCF Model'!C19+1)+'DCF Model'!E45/(1+$B12)^('DCF Model'!C19+2)+'DCF Model'!F45/(1+$B12)^('DCF Model'!C19+3)+'DCF Model'!G45/(1+$B12)^('DCF Model'!C19+4)+'DCF Model'!G45*(1+F$6)/($B12-F$6)/(1+$B12)^('DCF Model'!C19+4)-'DCF Model'!C16)*1000000/'DCF Model'!C15,0),"")</f>
        <v>1885</v>
      </c>
      <c r="G12" s="37">
        <f>IFERROR(ROUND(('DCF Model'!C45/(1+$B12)^('DCF Model'!C19+0)+'DCF Model'!D45/(1+$B12)^('DCF Model'!C19+1)+'DCF Model'!E45/(1+$B12)^('DCF Model'!C19+2)+'DCF Model'!F45/(1+$B12)^('DCF Model'!C19+3)+'DCF Model'!G45/(1+$B12)^('DCF Model'!C19+4)+'DCF Model'!G45*(1+G$6)/($B12-G$6)/(1+$B12)^('DCF Model'!C19+4)-'DCF Model'!C16)*1000000/'DCF Model'!C15,0),"")</f>
        <v>1976</v>
      </c>
      <c r="H12" s="37">
        <f>IFERROR(ROUND(('DCF Model'!C45/(1+$B12)^('DCF Model'!C19+0)+'DCF Model'!D45/(1+$B12)^('DCF Model'!C19+1)+'DCF Model'!E45/(1+$B12)^('DCF Model'!C19+2)+'DCF Model'!F45/(1+$B12)^('DCF Model'!C19+3)+'DCF Model'!G45/(1+$B12)^('DCF Model'!C19+4)+'DCF Model'!G45*(1+H$6)/($B12-H$6)/(1+$B12)^('DCF Model'!C19+4)-'DCF Model'!C16)*1000000/'DCF Model'!C15,0),"")</f>
        <v>2074</v>
      </c>
      <c r="I12" s="37">
        <f>IFERROR(ROUND(('DCF Model'!C45/(1+$B12)^('DCF Model'!C19+0)+'DCF Model'!D45/(1+$B12)^('DCF Model'!C19+1)+'DCF Model'!E45/(1+$B12)^('DCF Model'!C19+2)+'DCF Model'!F45/(1+$B12)^('DCF Model'!C19+3)+'DCF Model'!G45/(1+$B12)^('DCF Model'!C19+4)+'DCF Model'!G45*(1+I$6)/($B12-I$6)/(1+$B12)^('DCF Model'!C19+4)-'DCF Model'!C16)*1000000/'DCF Model'!C15,0),"")</f>
        <v>2181</v>
      </c>
    </row>
    <row r="13" spans="2:9" ht="13.5" customHeight="1" x14ac:dyDescent="0.25">
      <c r="B13" s="39">
        <f>$C$3+0.015</f>
        <v>7.9427960653706123E-2</v>
      </c>
      <c r="C13" s="37">
        <f>IFERROR(ROUND(('DCF Model'!C45/(1+$B13)^('DCF Model'!C19+0)+'DCF Model'!D45/(1+$B13)^('DCF Model'!C19+1)+'DCF Model'!E45/(1+$B13)^('DCF Model'!C19+2)+'DCF Model'!F45/(1+$B13)^('DCF Model'!C19+3)+'DCF Model'!G45/(1+$B13)^('DCF Model'!C19+4)+'DCF Model'!G45*(1+C$6)/($B13-C$6)/(1+$B13)^('DCF Model'!C19+4)-'DCF Model'!C16)*1000000/'DCF Model'!C15,0),"")</f>
        <v>1485</v>
      </c>
      <c r="D13" s="37">
        <f>IFERROR(ROUND(('DCF Model'!C45/(1+$B13)^('DCF Model'!C19+0)+'DCF Model'!D45/(1+$B13)^('DCF Model'!C19+1)+'DCF Model'!E45/(1+$B13)^('DCF Model'!C19+2)+'DCF Model'!F45/(1+$B13)^('DCF Model'!C19+3)+'DCF Model'!G45/(1+$B13)^('DCF Model'!C19+4)+'DCF Model'!G45*(1+D$6)/($B13-D$6)/(1+$B13)^('DCF Model'!C19+4)-'DCF Model'!C16)*1000000/'DCF Model'!C15,0),"")</f>
        <v>1547</v>
      </c>
      <c r="E13" s="37">
        <f>IFERROR(ROUND(('DCF Model'!C45/(1+$B13)^('DCF Model'!C19+0)+'DCF Model'!D45/(1+$B13)^('DCF Model'!C19+1)+'DCF Model'!E45/(1+$B13)^('DCF Model'!C19+2)+'DCF Model'!F45/(1+$B13)^('DCF Model'!C19+3)+'DCF Model'!G45/(1+$B13)^('DCF Model'!C19+4)+'DCF Model'!G45*(1+E$6)/($B13-E$6)/(1+$B13)^('DCF Model'!C19+4)-'DCF Model'!C16)*1000000/'DCF Model'!C15,0),"")</f>
        <v>1613</v>
      </c>
      <c r="F13" s="37">
        <f>IFERROR(ROUND(('DCF Model'!C45/(1+$B13)^('DCF Model'!C19+0)+'DCF Model'!D45/(1+$B13)^('DCF Model'!C19+1)+'DCF Model'!E45/(1+$B13)^('DCF Model'!C19+2)+'DCF Model'!F45/(1+$B13)^('DCF Model'!C19+3)+'DCF Model'!G45/(1+$B13)^('DCF Model'!C19+4)+'DCF Model'!G45*(1+F$6)/($B13-F$6)/(1+$B13)^('DCF Model'!C19+4)-'DCF Model'!C16)*1000000/'DCF Model'!C15,0),"")</f>
        <v>1685</v>
      </c>
      <c r="G13" s="37">
        <f>IFERROR(ROUND(('DCF Model'!C45/(1+$B13)^('DCF Model'!C19+0)+'DCF Model'!D45/(1+$B13)^('DCF Model'!C19+1)+'DCF Model'!E45/(1+$B13)^('DCF Model'!C19+2)+'DCF Model'!F45/(1+$B13)^('DCF Model'!C19+3)+'DCF Model'!G45/(1+$B13)^('DCF Model'!C19+4)+'DCF Model'!G45*(1+G$6)/($B13-G$6)/(1+$B13)^('DCF Model'!C19+4)-'DCF Model'!C16)*1000000/'DCF Model'!C15,0),"")</f>
        <v>1761</v>
      </c>
      <c r="H13" s="37">
        <f>IFERROR(ROUND(('DCF Model'!C45/(1+$B13)^('DCF Model'!C19+0)+'DCF Model'!D45/(1+$B13)^('DCF Model'!C19+1)+'DCF Model'!E45/(1+$B13)^('DCF Model'!C19+2)+'DCF Model'!F45/(1+$B13)^('DCF Model'!C19+3)+'DCF Model'!G45/(1+$B13)^('DCF Model'!C19+4)+'DCF Model'!G45*(1+H$6)/($B13-H$6)/(1+$B13)^('DCF Model'!C19+4)-'DCF Model'!C16)*1000000/'DCF Model'!C15,0),"")</f>
        <v>1844</v>
      </c>
      <c r="I13" s="37">
        <f>IFERROR(ROUND(('DCF Model'!C45/(1+$B13)^('DCF Model'!C19+0)+'DCF Model'!D45/(1+$B13)^('DCF Model'!C19+1)+'DCF Model'!E45/(1+$B13)^('DCF Model'!C19+2)+'DCF Model'!F45/(1+$B13)^('DCF Model'!C19+3)+'DCF Model'!G45/(1+$B13)^('DCF Model'!C19+4)+'DCF Model'!G45*(1+I$6)/($B13-I$6)/(1+$B13)^('DCF Model'!C19+4)-'DCF Model'!C16)*1000000/'DCF Model'!C15,0),"")</f>
        <v>1933</v>
      </c>
    </row>
    <row r="16" spans="2:9" ht="14" customHeight="1" x14ac:dyDescent="0.3">
      <c r="B16" s="3" t="s">
        <v>237</v>
      </c>
    </row>
    <row r="17" spans="2:9" ht="14" customHeight="1" x14ac:dyDescent="0.3">
      <c r="B17" s="40" t="s">
        <v>238</v>
      </c>
      <c r="C17" s="42">
        <f>$I$3-3</f>
        <v>8.1</v>
      </c>
      <c r="D17" s="42">
        <f>$I$3-2</f>
        <v>9.1</v>
      </c>
      <c r="E17" s="42">
        <f>$I$3-1</f>
        <v>10.1</v>
      </c>
      <c r="F17" s="42">
        <f>$I$3</f>
        <v>11.1</v>
      </c>
      <c r="G17" s="42">
        <f>$I$3+1</f>
        <v>12.1</v>
      </c>
      <c r="H17" s="42">
        <f>$I$3+2</f>
        <v>13.1</v>
      </c>
      <c r="I17" s="42">
        <f>$I$3+3</f>
        <v>14.1</v>
      </c>
    </row>
    <row r="18" spans="2:9" ht="13.5" customHeight="1" x14ac:dyDescent="0.25">
      <c r="B18" s="39">
        <f>$C$3-0.015</f>
        <v>4.9427960653706124E-2</v>
      </c>
      <c r="C18" s="37">
        <f>IFERROR(ROUND(('DCF Model'!C45/(1+$B18)^('DCF Model'!C19+0)+'DCF Model'!D45/(1+$B18)^('DCF Model'!C19+1)+'DCF Model'!E45/(1+$B18)^('DCF Model'!C19+2)+'DCF Model'!F45/(1+$B18)^('DCF Model'!C19+3)+'DCF Model'!G45/(1+$B18)^('DCF Model'!C19+4)+('DCF Model'!G39+'DCF Model'!G42)*C$17/(1+$B18)^('DCF Model'!C19+4)-'DCF Model'!C16)*1000000/'DCF Model'!C15,0),"")</f>
        <v>2597</v>
      </c>
      <c r="D18" s="37">
        <f>IFERROR(ROUND(('DCF Model'!C45/(1+$B18)^('DCF Model'!C19+0)+'DCF Model'!D45/(1+$B18)^('DCF Model'!C19+1)+'DCF Model'!E45/(1+$B18)^('DCF Model'!C19+2)+'DCF Model'!F45/(1+$B18)^('DCF Model'!C19+3)+'DCF Model'!G45/(1+$B18)^('DCF Model'!C19+4)+('DCF Model'!G39+'DCF Model'!G42)*D$17/(1+$B18)^('DCF Model'!C19+4)-'DCF Model'!C16)*1000000/'DCF Model'!C15,0),"")</f>
        <v>2941</v>
      </c>
      <c r="E18" s="37">
        <f>IFERROR(ROUND(('DCF Model'!C45/(1+$B18)^('DCF Model'!C19+0)+'DCF Model'!D45/(1+$B18)^('DCF Model'!C19+1)+'DCF Model'!E45/(1+$B18)^('DCF Model'!C19+2)+'DCF Model'!F45/(1+$B18)^('DCF Model'!C19+3)+'DCF Model'!G45/(1+$B18)^('DCF Model'!C19+4)+('DCF Model'!G39+'DCF Model'!G42)*E$17/(1+$B18)^('DCF Model'!C19+4)-'DCF Model'!C16)*1000000/'DCF Model'!C15,0),"")</f>
        <v>3285</v>
      </c>
      <c r="F18" s="37">
        <f>IFERROR(ROUND(('DCF Model'!C45/(1+$B18)^('DCF Model'!C19+0)+'DCF Model'!D45/(1+$B18)^('DCF Model'!C19+1)+'DCF Model'!E45/(1+$B18)^('DCF Model'!C19+2)+'DCF Model'!F45/(1+$B18)^('DCF Model'!C19+3)+'DCF Model'!G45/(1+$B18)^('DCF Model'!C19+4)+('DCF Model'!G39+'DCF Model'!G42)*F$17/(1+$B18)^('DCF Model'!C19+4)-'DCF Model'!C16)*1000000/'DCF Model'!C15,0),"")</f>
        <v>3629</v>
      </c>
      <c r="G18" s="37">
        <f>IFERROR(ROUND(('DCF Model'!C45/(1+$B18)^('DCF Model'!C19+0)+'DCF Model'!D45/(1+$B18)^('DCF Model'!C19+1)+'DCF Model'!E45/(1+$B18)^('DCF Model'!C19+2)+'DCF Model'!F45/(1+$B18)^('DCF Model'!C19+3)+'DCF Model'!G45/(1+$B18)^('DCF Model'!C19+4)+('DCF Model'!G39+'DCF Model'!G42)*G$17/(1+$B18)^('DCF Model'!C19+4)-'DCF Model'!C16)*1000000/'DCF Model'!C15,0),"")</f>
        <v>3973</v>
      </c>
      <c r="H18" s="37">
        <f>IFERROR(ROUND(('DCF Model'!C45/(1+$B18)^('DCF Model'!C19+0)+'DCF Model'!D45/(1+$B18)^('DCF Model'!C19+1)+'DCF Model'!E45/(1+$B18)^('DCF Model'!C19+2)+'DCF Model'!F45/(1+$B18)^('DCF Model'!C19+3)+'DCF Model'!G45/(1+$B18)^('DCF Model'!C19+4)+('DCF Model'!G39+'DCF Model'!G42)*H$17/(1+$B18)^('DCF Model'!C19+4)-'DCF Model'!C16)*1000000/'DCF Model'!C15,0),"")</f>
        <v>4317</v>
      </c>
      <c r="I18" s="37">
        <f>IFERROR(ROUND(('DCF Model'!C45/(1+$B18)^('DCF Model'!C19+0)+'DCF Model'!D45/(1+$B18)^('DCF Model'!C19+1)+'DCF Model'!E45/(1+$B18)^('DCF Model'!C19+2)+'DCF Model'!F45/(1+$B18)^('DCF Model'!C19+3)+'DCF Model'!G45/(1+$B18)^('DCF Model'!C19+4)+('DCF Model'!G39+'DCF Model'!G42)*I$17/(1+$B18)^('DCF Model'!C19+4)-'DCF Model'!C16)*1000000/'DCF Model'!C15,0),"")</f>
        <v>4661</v>
      </c>
    </row>
    <row r="19" spans="2:9" ht="13.5" customHeight="1" x14ac:dyDescent="0.25">
      <c r="B19" s="39">
        <f>$C$3-0.01</f>
        <v>5.4427960653706121E-2</v>
      </c>
      <c r="C19" s="37">
        <f>IFERROR(ROUND(('DCF Model'!C45/(1+$B19)^('DCF Model'!C19+0)+'DCF Model'!D45/(1+$B19)^('DCF Model'!C19+1)+'DCF Model'!E45/(1+$B19)^('DCF Model'!C19+2)+'DCF Model'!F45/(1+$B19)^('DCF Model'!C19+3)+'DCF Model'!G45/(1+$B19)^('DCF Model'!C19+4)+('DCF Model'!G39+'DCF Model'!G42)*C$17/(1+$B19)^('DCF Model'!C19+4)-'DCF Model'!C16)*1000000/'DCF Model'!C15,0),"")</f>
        <v>2530</v>
      </c>
      <c r="D19" s="37">
        <f>IFERROR(ROUND(('DCF Model'!C45/(1+$B19)^('DCF Model'!C19+0)+'DCF Model'!D45/(1+$B19)^('DCF Model'!C19+1)+'DCF Model'!E45/(1+$B19)^('DCF Model'!C19+2)+'DCF Model'!F45/(1+$B19)^('DCF Model'!C19+3)+'DCF Model'!G45/(1+$B19)^('DCF Model'!C19+4)+('DCF Model'!G39+'DCF Model'!G42)*D$17/(1+$B19)^('DCF Model'!C19+4)-'DCF Model'!C16)*1000000/'DCF Model'!C15,0),"")</f>
        <v>2867</v>
      </c>
      <c r="E19" s="37">
        <f>IFERROR(ROUND(('DCF Model'!C45/(1+$B19)^('DCF Model'!C19+0)+'DCF Model'!D45/(1+$B19)^('DCF Model'!C19+1)+'DCF Model'!E45/(1+$B19)^('DCF Model'!C19+2)+'DCF Model'!F45/(1+$B19)^('DCF Model'!C19+3)+'DCF Model'!G45/(1+$B19)^('DCF Model'!C19+4)+('DCF Model'!G39+'DCF Model'!G42)*E$17/(1+$B19)^('DCF Model'!C19+4)-'DCF Model'!C16)*1000000/'DCF Model'!C15,0),"")</f>
        <v>3203</v>
      </c>
      <c r="F19" s="37">
        <f>IFERROR(ROUND(('DCF Model'!C45/(1+$B19)^('DCF Model'!C19+0)+'DCF Model'!D45/(1+$B19)^('DCF Model'!C19+1)+'DCF Model'!E45/(1+$B19)^('DCF Model'!C19+2)+'DCF Model'!F45/(1+$B19)^('DCF Model'!C19+3)+'DCF Model'!G45/(1+$B19)^('DCF Model'!C19+4)+('DCF Model'!G39+'DCF Model'!G42)*F$17/(1+$B19)^('DCF Model'!C19+4)-'DCF Model'!C16)*1000000/'DCF Model'!C15,0),"")</f>
        <v>3540</v>
      </c>
      <c r="G19" s="37">
        <f>IFERROR(ROUND(('DCF Model'!C45/(1+$B19)^('DCF Model'!C19+0)+'DCF Model'!D45/(1+$B19)^('DCF Model'!C19+1)+'DCF Model'!E45/(1+$B19)^('DCF Model'!C19+2)+'DCF Model'!F45/(1+$B19)^('DCF Model'!C19+3)+'DCF Model'!G45/(1+$B19)^('DCF Model'!C19+4)+('DCF Model'!G39+'DCF Model'!G42)*G$17/(1+$B19)^('DCF Model'!C19+4)-'DCF Model'!C16)*1000000/'DCF Model'!C15,0),"")</f>
        <v>3877</v>
      </c>
      <c r="H19" s="37">
        <f>IFERROR(ROUND(('DCF Model'!C45/(1+$B19)^('DCF Model'!C19+0)+'DCF Model'!D45/(1+$B19)^('DCF Model'!C19+1)+'DCF Model'!E45/(1+$B19)^('DCF Model'!C19+2)+'DCF Model'!F45/(1+$B19)^('DCF Model'!C19+3)+'DCF Model'!G45/(1+$B19)^('DCF Model'!C19+4)+('DCF Model'!G39+'DCF Model'!G42)*H$17/(1+$B19)^('DCF Model'!C19+4)-'DCF Model'!C16)*1000000/'DCF Model'!C15,0),"")</f>
        <v>4213</v>
      </c>
      <c r="I19" s="37">
        <f>IFERROR(ROUND(('DCF Model'!C45/(1+$B19)^('DCF Model'!C19+0)+'DCF Model'!D45/(1+$B19)^('DCF Model'!C19+1)+'DCF Model'!E45/(1+$B19)^('DCF Model'!C19+2)+'DCF Model'!F45/(1+$B19)^('DCF Model'!C19+3)+'DCF Model'!G45/(1+$B19)^('DCF Model'!C19+4)+('DCF Model'!G39+'DCF Model'!G42)*I$17/(1+$B19)^('DCF Model'!C19+4)-'DCF Model'!C16)*1000000/'DCF Model'!C15,0),"")</f>
        <v>4550</v>
      </c>
    </row>
    <row r="20" spans="2:9" ht="13.5" customHeight="1" x14ac:dyDescent="0.25">
      <c r="B20" s="39">
        <f>$C$3-0.005</f>
        <v>5.9427960653706126E-2</v>
      </c>
      <c r="C20" s="37">
        <f>IFERROR(ROUND(('DCF Model'!C45/(1+$B20)^('DCF Model'!C19+0)+'DCF Model'!D45/(1+$B20)^('DCF Model'!C19+1)+'DCF Model'!E45/(1+$B20)^('DCF Model'!C19+2)+'DCF Model'!F45/(1+$B20)^('DCF Model'!C19+3)+'DCF Model'!G45/(1+$B20)^('DCF Model'!C19+4)+('DCF Model'!G39+'DCF Model'!G42)*C$17/(1+$B20)^('DCF Model'!C19+4)-'DCF Model'!C16)*1000000/'DCF Model'!C15,0),"")</f>
        <v>2464</v>
      </c>
      <c r="D20" s="37">
        <f>IFERROR(ROUND(('DCF Model'!C45/(1+$B20)^('DCF Model'!C19+0)+'DCF Model'!D45/(1+$B20)^('DCF Model'!C19+1)+'DCF Model'!E45/(1+$B20)^('DCF Model'!C19+2)+'DCF Model'!F45/(1+$B20)^('DCF Model'!C19+3)+'DCF Model'!G45/(1+$B20)^('DCF Model'!C19+4)+('DCF Model'!G39+'DCF Model'!G42)*D$17/(1+$B20)^('DCF Model'!C19+4)-'DCF Model'!C16)*1000000/'DCF Model'!C15,0),"")</f>
        <v>2794</v>
      </c>
      <c r="E20" s="37">
        <f>IFERROR(ROUND(('DCF Model'!C45/(1+$B20)^('DCF Model'!C19+0)+'DCF Model'!D45/(1+$B20)^('DCF Model'!C19+1)+'DCF Model'!E45/(1+$B20)^('DCF Model'!C19+2)+'DCF Model'!F45/(1+$B20)^('DCF Model'!C19+3)+'DCF Model'!G45/(1+$B20)^('DCF Model'!C19+4)+('DCF Model'!G39+'DCF Model'!G42)*E$17/(1+$B20)^('DCF Model'!C19+4)-'DCF Model'!C16)*1000000/'DCF Model'!C15,0),"")</f>
        <v>3123</v>
      </c>
      <c r="F20" s="37">
        <f>IFERROR(ROUND(('DCF Model'!C45/(1+$B20)^('DCF Model'!C19+0)+'DCF Model'!D45/(1+$B20)^('DCF Model'!C19+1)+'DCF Model'!E45/(1+$B20)^('DCF Model'!C19+2)+'DCF Model'!F45/(1+$B20)^('DCF Model'!C19+3)+'DCF Model'!G45/(1+$B20)^('DCF Model'!C19+4)+('DCF Model'!G39+'DCF Model'!G42)*F$17/(1+$B20)^('DCF Model'!C19+4)-'DCF Model'!C16)*1000000/'DCF Model'!C15,0),"")</f>
        <v>3453</v>
      </c>
      <c r="G20" s="37">
        <f>IFERROR(ROUND(('DCF Model'!C45/(1+$B20)^('DCF Model'!C19+0)+'DCF Model'!D45/(1+$B20)^('DCF Model'!C19+1)+'DCF Model'!E45/(1+$B20)^('DCF Model'!C19+2)+'DCF Model'!F45/(1+$B20)^('DCF Model'!C19+3)+'DCF Model'!G45/(1+$B20)^('DCF Model'!C19+4)+('DCF Model'!G39+'DCF Model'!G42)*G$17/(1+$B20)^('DCF Model'!C19+4)-'DCF Model'!C16)*1000000/'DCF Model'!C15,0),"")</f>
        <v>3783</v>
      </c>
      <c r="H20" s="37">
        <f>IFERROR(ROUND(('DCF Model'!C45/(1+$B20)^('DCF Model'!C19+0)+'DCF Model'!D45/(1+$B20)^('DCF Model'!C19+1)+'DCF Model'!E45/(1+$B20)^('DCF Model'!C19+2)+'DCF Model'!F45/(1+$B20)^('DCF Model'!C19+3)+'DCF Model'!G45/(1+$B20)^('DCF Model'!C19+4)+('DCF Model'!G39+'DCF Model'!G42)*H$17/(1+$B20)^('DCF Model'!C19+4)-'DCF Model'!C16)*1000000/'DCF Model'!C15,0),"")</f>
        <v>4112</v>
      </c>
      <c r="I20" s="37">
        <f>IFERROR(ROUND(('DCF Model'!C45/(1+$B20)^('DCF Model'!C19+0)+'DCF Model'!D45/(1+$B20)^('DCF Model'!C19+1)+'DCF Model'!E45/(1+$B20)^('DCF Model'!C19+2)+'DCF Model'!F45/(1+$B20)^('DCF Model'!C19+3)+'DCF Model'!G45/(1+$B20)^('DCF Model'!C19+4)+('DCF Model'!G39+'DCF Model'!G42)*I$17/(1+$B20)^('DCF Model'!C19+4)-'DCF Model'!C16)*1000000/'DCF Model'!C15,0),"")</f>
        <v>4442</v>
      </c>
    </row>
    <row r="21" spans="2:9" ht="13.5" customHeight="1" x14ac:dyDescent="0.25">
      <c r="B21" s="39">
        <f>$C$3</f>
        <v>6.4427960653706123E-2</v>
      </c>
      <c r="C21" s="37">
        <f>IFERROR(ROUND(('DCF Model'!C45/(1+$B21)^('DCF Model'!C19+0)+'DCF Model'!D45/(1+$B21)^('DCF Model'!C19+1)+'DCF Model'!E45/(1+$B21)^('DCF Model'!C19+2)+'DCF Model'!F45/(1+$B21)^('DCF Model'!C19+3)+'DCF Model'!G45/(1+$B21)^('DCF Model'!C19+4)+('DCF Model'!G39+'DCF Model'!G42)*C$17/(1+$B21)^('DCF Model'!C19+4)-'DCF Model'!C16)*1000000/'DCF Model'!C15,0),"")</f>
        <v>2400</v>
      </c>
      <c r="D21" s="37">
        <f>IFERROR(ROUND(('DCF Model'!C45/(1+$B21)^('DCF Model'!C19+0)+'DCF Model'!D45/(1+$B21)^('DCF Model'!C19+1)+'DCF Model'!E45/(1+$B21)^('DCF Model'!C19+2)+'DCF Model'!F45/(1+$B21)^('DCF Model'!C19+3)+'DCF Model'!G45/(1+$B21)^('DCF Model'!C19+4)+('DCF Model'!G39+'DCF Model'!G42)*D$17/(1+$B21)^('DCF Model'!C19+4)-'DCF Model'!C16)*1000000/'DCF Model'!C15,0),"")</f>
        <v>2723</v>
      </c>
      <c r="E21" s="37">
        <f>IFERROR(ROUND(('DCF Model'!C45/(1+$B21)^('DCF Model'!C19+0)+'DCF Model'!D45/(1+$B21)^('DCF Model'!C19+1)+'DCF Model'!E45/(1+$B21)^('DCF Model'!C19+2)+'DCF Model'!F45/(1+$B21)^('DCF Model'!C19+3)+'DCF Model'!G45/(1+$B21)^('DCF Model'!C19+4)+('DCF Model'!G39+'DCF Model'!G42)*E$17/(1+$B21)^('DCF Model'!C19+4)-'DCF Model'!C16)*1000000/'DCF Model'!C15,0),"")</f>
        <v>3046</v>
      </c>
      <c r="F21" s="37">
        <f>IFERROR(ROUND(('DCF Model'!C45/(1+$B21)^('DCF Model'!C19+0)+'DCF Model'!D45/(1+$B21)^('DCF Model'!C19+1)+'DCF Model'!E45/(1+$B21)^('DCF Model'!C19+2)+'DCF Model'!F45/(1+$B21)^('DCF Model'!C19+3)+'DCF Model'!G45/(1+$B21)^('DCF Model'!C19+4)+('DCF Model'!G39+'DCF Model'!G42)*F$17/(1+$B21)^('DCF Model'!C19+4)-'DCF Model'!C16)*1000000/'DCF Model'!C15,0),"")</f>
        <v>3368</v>
      </c>
      <c r="G21" s="37">
        <f>IFERROR(ROUND(('DCF Model'!C45/(1+$B21)^('DCF Model'!C19+0)+'DCF Model'!D45/(1+$B21)^('DCF Model'!C19+1)+'DCF Model'!E45/(1+$B21)^('DCF Model'!C19+2)+'DCF Model'!F45/(1+$B21)^('DCF Model'!C19+3)+'DCF Model'!G45/(1+$B21)^('DCF Model'!C19+4)+('DCF Model'!G39+'DCF Model'!G42)*G$17/(1+$B21)^('DCF Model'!C19+4)-'DCF Model'!C16)*1000000/'DCF Model'!C15,0),"")</f>
        <v>3691</v>
      </c>
      <c r="H21" s="37">
        <f>IFERROR(ROUND(('DCF Model'!C45/(1+$B21)^('DCF Model'!C19+0)+'DCF Model'!D45/(1+$B21)^('DCF Model'!C19+1)+'DCF Model'!E45/(1+$B21)^('DCF Model'!C19+2)+'DCF Model'!F45/(1+$B21)^('DCF Model'!C19+3)+'DCF Model'!G45/(1+$B21)^('DCF Model'!C19+4)+('DCF Model'!G39+'DCF Model'!G42)*H$17/(1+$B21)^('DCF Model'!C19+4)-'DCF Model'!C16)*1000000/'DCF Model'!C15,0),"")</f>
        <v>4013</v>
      </c>
      <c r="I21" s="37">
        <f>IFERROR(ROUND(('DCF Model'!C45/(1+$B21)^('DCF Model'!C19+0)+'DCF Model'!D45/(1+$B21)^('DCF Model'!C19+1)+'DCF Model'!E45/(1+$B21)^('DCF Model'!C19+2)+'DCF Model'!F45/(1+$B21)^('DCF Model'!C19+3)+'DCF Model'!G45/(1+$B21)^('DCF Model'!C19+4)+('DCF Model'!G39+'DCF Model'!G42)*I$17/(1+$B21)^('DCF Model'!C19+4)-'DCF Model'!C16)*1000000/'DCF Model'!C15,0),"")</f>
        <v>4336</v>
      </c>
    </row>
    <row r="22" spans="2:9" ht="13.5" customHeight="1" x14ac:dyDescent="0.25">
      <c r="B22" s="39">
        <f>$C$3+0.005</f>
        <v>6.9427960653706128E-2</v>
      </c>
      <c r="C22" s="37">
        <f>IFERROR(ROUND(('DCF Model'!C45/(1+$B22)^('DCF Model'!C19+0)+'DCF Model'!D45/(1+$B22)^('DCF Model'!C19+1)+'DCF Model'!E45/(1+$B22)^('DCF Model'!C19+2)+'DCF Model'!F45/(1+$B22)^('DCF Model'!C19+3)+'DCF Model'!G45/(1+$B22)^('DCF Model'!C19+4)+('DCF Model'!G39+'DCF Model'!G42)*C$17/(1+$B22)^('DCF Model'!C19+4)-'DCF Model'!C16)*1000000/'DCF Model'!C15,0),"")</f>
        <v>2338</v>
      </c>
      <c r="D22" s="37">
        <f>IFERROR(ROUND(('DCF Model'!C45/(1+$B22)^('DCF Model'!C19+0)+'DCF Model'!D45/(1+$B22)^('DCF Model'!C19+1)+'DCF Model'!E45/(1+$B22)^('DCF Model'!C19+2)+'DCF Model'!F45/(1+$B22)^('DCF Model'!C19+3)+'DCF Model'!G45/(1+$B22)^('DCF Model'!C19+4)+('DCF Model'!G39+'DCF Model'!G42)*D$17/(1+$B22)^('DCF Model'!C19+4)-'DCF Model'!C16)*1000000/'DCF Model'!C15,0),"")</f>
        <v>2654</v>
      </c>
      <c r="E22" s="37">
        <f>IFERROR(ROUND(('DCF Model'!C45/(1+$B22)^('DCF Model'!C19+0)+'DCF Model'!D45/(1+$B22)^('DCF Model'!C19+1)+'DCF Model'!E45/(1+$B22)^('DCF Model'!C19+2)+'DCF Model'!F45/(1+$B22)^('DCF Model'!C19+3)+'DCF Model'!G45/(1+$B22)^('DCF Model'!C19+4)+('DCF Model'!G39+'DCF Model'!G42)*E$17/(1+$B22)^('DCF Model'!C19+4)-'DCF Model'!C16)*1000000/'DCF Model'!C15,0),"")</f>
        <v>2970</v>
      </c>
      <c r="F22" s="37">
        <f>IFERROR(ROUND(('DCF Model'!C45/(1+$B22)^('DCF Model'!C19+0)+'DCF Model'!D45/(1+$B22)^('DCF Model'!C19+1)+'DCF Model'!E45/(1+$B22)^('DCF Model'!C19+2)+'DCF Model'!F45/(1+$B22)^('DCF Model'!C19+3)+'DCF Model'!G45/(1+$B22)^('DCF Model'!C19+4)+('DCF Model'!G39+'DCF Model'!G42)*F$17/(1+$B22)^('DCF Model'!C19+4)-'DCF Model'!C16)*1000000/'DCF Model'!C15,0),"")</f>
        <v>3286</v>
      </c>
      <c r="G22" s="37">
        <f>IFERROR(ROUND(('DCF Model'!C45/(1+$B22)^('DCF Model'!C19+0)+'DCF Model'!D45/(1+$B22)^('DCF Model'!C19+1)+'DCF Model'!E45/(1+$B22)^('DCF Model'!C19+2)+'DCF Model'!F45/(1+$B22)^('DCF Model'!C19+3)+'DCF Model'!G45/(1+$B22)^('DCF Model'!C19+4)+('DCF Model'!G39+'DCF Model'!G42)*G$17/(1+$B22)^('DCF Model'!C19+4)-'DCF Model'!C16)*1000000/'DCF Model'!C15,0),"")</f>
        <v>3602</v>
      </c>
      <c r="H22" s="37">
        <f>IFERROR(ROUND(('DCF Model'!C45/(1+$B22)^('DCF Model'!C19+0)+'DCF Model'!D45/(1+$B22)^('DCF Model'!C19+1)+'DCF Model'!E45/(1+$B22)^('DCF Model'!C19+2)+'DCF Model'!F45/(1+$B22)^('DCF Model'!C19+3)+'DCF Model'!G45/(1+$B22)^('DCF Model'!C19+4)+('DCF Model'!G39+'DCF Model'!G42)*H$17/(1+$B22)^('DCF Model'!C19+4)-'DCF Model'!C16)*1000000/'DCF Model'!C15,0),"")</f>
        <v>3917</v>
      </c>
      <c r="I22" s="37">
        <f>IFERROR(ROUND(('DCF Model'!C45/(1+$B22)^('DCF Model'!C19+0)+'DCF Model'!D45/(1+$B22)^('DCF Model'!C19+1)+'DCF Model'!E45/(1+$B22)^('DCF Model'!C19+2)+'DCF Model'!F45/(1+$B22)^('DCF Model'!C19+3)+'DCF Model'!G45/(1+$B22)^('DCF Model'!C19+4)+('DCF Model'!G39+'DCF Model'!G42)*I$17/(1+$B22)^('DCF Model'!C19+4)-'DCF Model'!C16)*1000000/'DCF Model'!C15,0),"")</f>
        <v>4233</v>
      </c>
    </row>
    <row r="23" spans="2:9" ht="13.5" customHeight="1" x14ac:dyDescent="0.25">
      <c r="B23" s="39">
        <f>$C$3+0.01</f>
        <v>7.4427960653706118E-2</v>
      </c>
      <c r="C23" s="37">
        <f>IFERROR(ROUND(('DCF Model'!C45/(1+$B23)^('DCF Model'!C19+0)+'DCF Model'!D45/(1+$B23)^('DCF Model'!C19+1)+'DCF Model'!E45/(1+$B23)^('DCF Model'!C19+2)+'DCF Model'!F45/(1+$B23)^('DCF Model'!C19+3)+'DCF Model'!G45/(1+$B23)^('DCF Model'!C19+4)+('DCF Model'!G39+'DCF Model'!G42)*C$17/(1+$B23)^('DCF Model'!C19+4)-'DCF Model'!C16)*1000000/'DCF Model'!C15,0),"")</f>
        <v>2277</v>
      </c>
      <c r="D23" s="37">
        <f>IFERROR(ROUND(('DCF Model'!C45/(1+$B23)^('DCF Model'!C19+0)+'DCF Model'!D45/(1+$B23)^('DCF Model'!C19+1)+'DCF Model'!E45/(1+$B23)^('DCF Model'!C19+2)+'DCF Model'!F45/(1+$B23)^('DCF Model'!C19+3)+'DCF Model'!G45/(1+$B23)^('DCF Model'!C19+4)+('DCF Model'!G39+'DCF Model'!G42)*D$17/(1+$B23)^('DCF Model'!C19+4)-'DCF Model'!C16)*1000000/'DCF Model'!C15,0),"")</f>
        <v>2586</v>
      </c>
      <c r="E23" s="37">
        <f>IFERROR(ROUND(('DCF Model'!C45/(1+$B23)^('DCF Model'!C19+0)+'DCF Model'!D45/(1+$B23)^('DCF Model'!C19+1)+'DCF Model'!E45/(1+$B23)^('DCF Model'!C19+2)+'DCF Model'!F45/(1+$B23)^('DCF Model'!C19+3)+'DCF Model'!G45/(1+$B23)^('DCF Model'!C19+4)+('DCF Model'!G39+'DCF Model'!G42)*E$17/(1+$B23)^('DCF Model'!C19+4)-'DCF Model'!C16)*1000000/'DCF Model'!C15,0),"")</f>
        <v>2896</v>
      </c>
      <c r="F23" s="37">
        <f>IFERROR(ROUND(('DCF Model'!C45/(1+$B23)^('DCF Model'!C19+0)+'DCF Model'!D45/(1+$B23)^('DCF Model'!C19+1)+'DCF Model'!E45/(1+$B23)^('DCF Model'!C19+2)+'DCF Model'!F45/(1+$B23)^('DCF Model'!C19+3)+'DCF Model'!G45/(1+$B23)^('DCF Model'!C19+4)+('DCF Model'!G39+'DCF Model'!G42)*F$17/(1+$B23)^('DCF Model'!C19+4)-'DCF Model'!C16)*1000000/'DCF Model'!C15,0),"")</f>
        <v>3205</v>
      </c>
      <c r="G23" s="37">
        <f>IFERROR(ROUND(('DCF Model'!C45/(1+$B23)^('DCF Model'!C19+0)+'DCF Model'!D45/(1+$B23)^('DCF Model'!C19+1)+'DCF Model'!E45/(1+$B23)^('DCF Model'!C19+2)+'DCF Model'!F45/(1+$B23)^('DCF Model'!C19+3)+'DCF Model'!G45/(1+$B23)^('DCF Model'!C19+4)+('DCF Model'!G39+'DCF Model'!G42)*G$17/(1+$B23)^('DCF Model'!C19+4)-'DCF Model'!C16)*1000000/'DCF Model'!C15,0),"")</f>
        <v>3514</v>
      </c>
      <c r="H23" s="37">
        <f>IFERROR(ROUND(('DCF Model'!C45/(1+$B23)^('DCF Model'!C19+0)+'DCF Model'!D45/(1+$B23)^('DCF Model'!C19+1)+'DCF Model'!E45/(1+$B23)^('DCF Model'!C19+2)+'DCF Model'!F45/(1+$B23)^('DCF Model'!C19+3)+'DCF Model'!G45/(1+$B23)^('DCF Model'!C19+4)+('DCF Model'!G39+'DCF Model'!G42)*H$17/(1+$B23)^('DCF Model'!C19+4)-'DCF Model'!C16)*1000000/'DCF Model'!C15,0),"")</f>
        <v>3824</v>
      </c>
      <c r="I23" s="37">
        <f>IFERROR(ROUND(('DCF Model'!C45/(1+$B23)^('DCF Model'!C19+0)+'DCF Model'!D45/(1+$B23)^('DCF Model'!C19+1)+'DCF Model'!E45/(1+$B23)^('DCF Model'!C19+2)+'DCF Model'!F45/(1+$B23)^('DCF Model'!C19+3)+'DCF Model'!G45/(1+$B23)^('DCF Model'!C19+4)+('DCF Model'!G39+'DCF Model'!G42)*I$17/(1+$B23)^('DCF Model'!C19+4)-'DCF Model'!C16)*1000000/'DCF Model'!C15,0),"")</f>
        <v>4133</v>
      </c>
    </row>
    <row r="24" spans="2:9" ht="13.5" customHeight="1" x14ac:dyDescent="0.25">
      <c r="B24" s="39">
        <f>$C$3+0.015</f>
        <v>7.9427960653706123E-2</v>
      </c>
      <c r="C24" s="37">
        <f>IFERROR(ROUND(('DCF Model'!C45/(1+$B24)^('DCF Model'!C19+0)+'DCF Model'!D45/(1+$B24)^('DCF Model'!C19+1)+'DCF Model'!E45/(1+$B24)^('DCF Model'!C19+2)+'DCF Model'!F45/(1+$B24)^('DCF Model'!C19+3)+'DCF Model'!G45/(1+$B24)^('DCF Model'!C19+4)+('DCF Model'!G39+'DCF Model'!G42)*C$17/(1+$B24)^('DCF Model'!C19+4)-'DCF Model'!C16)*1000000/'DCF Model'!C15,0),"")</f>
        <v>2218</v>
      </c>
      <c r="D24" s="37">
        <f>IFERROR(ROUND(('DCF Model'!C45/(1+$B24)^('DCF Model'!C19+0)+'DCF Model'!D45/(1+$B24)^('DCF Model'!C19+1)+'DCF Model'!E45/(1+$B24)^('DCF Model'!C19+2)+'DCF Model'!F45/(1+$B24)^('DCF Model'!C19+3)+'DCF Model'!G45/(1+$B24)^('DCF Model'!C19+4)+('DCF Model'!G39+'DCF Model'!G42)*D$17/(1+$B24)^('DCF Model'!C19+4)-'DCF Model'!C16)*1000000/'DCF Model'!C15,0),"")</f>
        <v>2521</v>
      </c>
      <c r="E24" s="37">
        <f>IFERROR(ROUND(('DCF Model'!C45/(1+$B24)^('DCF Model'!C19+0)+'DCF Model'!D45/(1+$B24)^('DCF Model'!C19+1)+'DCF Model'!E45/(1+$B24)^('DCF Model'!C19+2)+'DCF Model'!F45/(1+$B24)^('DCF Model'!C19+3)+'DCF Model'!G45/(1+$B24)^('DCF Model'!C19+4)+('DCF Model'!G39+'DCF Model'!G42)*E$17/(1+$B24)^('DCF Model'!C19+4)-'DCF Model'!C16)*1000000/'DCF Model'!C15,0),"")</f>
        <v>2824</v>
      </c>
      <c r="F24" s="37">
        <f>IFERROR(ROUND(('DCF Model'!C45/(1+$B24)^('DCF Model'!C19+0)+'DCF Model'!D45/(1+$B24)^('DCF Model'!C19+1)+'DCF Model'!E45/(1+$B24)^('DCF Model'!C19+2)+'DCF Model'!F45/(1+$B24)^('DCF Model'!C19+3)+'DCF Model'!G45/(1+$B24)^('DCF Model'!C19+4)+('DCF Model'!G39+'DCF Model'!G42)*F$17/(1+$B24)^('DCF Model'!C19+4)-'DCF Model'!C16)*1000000/'DCF Model'!C15,0),"")</f>
        <v>3126</v>
      </c>
      <c r="G24" s="37">
        <f>IFERROR(ROUND(('DCF Model'!C45/(1+$B24)^('DCF Model'!C19+0)+'DCF Model'!D45/(1+$B24)^('DCF Model'!C19+1)+'DCF Model'!E45/(1+$B24)^('DCF Model'!C19+2)+'DCF Model'!F45/(1+$B24)^('DCF Model'!C19+3)+'DCF Model'!G45/(1+$B24)^('DCF Model'!C19+4)+('DCF Model'!G39+'DCF Model'!G42)*G$17/(1+$B24)^('DCF Model'!C19+4)-'DCF Model'!C16)*1000000/'DCF Model'!C15,0),"")</f>
        <v>3429</v>
      </c>
      <c r="H24" s="37">
        <f>IFERROR(ROUND(('DCF Model'!C45/(1+$B24)^('DCF Model'!C19+0)+'DCF Model'!D45/(1+$B24)^('DCF Model'!C19+1)+'DCF Model'!E45/(1+$B24)^('DCF Model'!C19+2)+'DCF Model'!F45/(1+$B24)^('DCF Model'!C19+3)+'DCF Model'!G45/(1+$B24)^('DCF Model'!C19+4)+('DCF Model'!G39+'DCF Model'!G42)*H$17/(1+$B24)^('DCF Model'!C19+4)-'DCF Model'!C16)*1000000/'DCF Model'!C15,0),"")</f>
        <v>3732</v>
      </c>
      <c r="I24" s="37">
        <f>IFERROR(ROUND(('DCF Model'!C45/(1+$B24)^('DCF Model'!C19+0)+'DCF Model'!D45/(1+$B24)^('DCF Model'!C19+1)+'DCF Model'!E45/(1+$B24)^('DCF Model'!C19+2)+'DCF Model'!F45/(1+$B24)^('DCF Model'!C19+3)+'DCF Model'!G45/(1+$B24)^('DCF Model'!C19+4)+('DCF Model'!G39+'DCF Model'!G42)*I$17/(1+$B24)^('DCF Model'!C19+4)-'DCF Model'!C16)*1000000/'DCF Model'!C15,0),"")</f>
        <v>4035</v>
      </c>
    </row>
    <row r="26" spans="2:9" ht="14" customHeight="1" x14ac:dyDescent="0.3">
      <c r="B26" s="46" t="s">
        <v>239</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240</v>
      </c>
    </row>
    <row r="4" spans="2:7" ht="14" customHeight="1" x14ac:dyDescent="0.3">
      <c r="B4" s="10" t="s">
        <v>241</v>
      </c>
      <c r="C4" s="10" t="s">
        <v>242</v>
      </c>
      <c r="D4" s="10" t="s">
        <v>243</v>
      </c>
      <c r="E4" s="10" t="s">
        <v>244</v>
      </c>
      <c r="F4" s="10" t="s">
        <v>245</v>
      </c>
      <c r="G4" s="10" t="s">
        <v>246</v>
      </c>
    </row>
    <row r="5" spans="2:7" x14ac:dyDescent="0.2">
      <c r="B5" t="s">
        <v>247</v>
      </c>
      <c r="C5" t="s">
        <v>248</v>
      </c>
      <c r="D5" t="s">
        <v>249</v>
      </c>
      <c r="E5" t="s">
        <v>250</v>
      </c>
      <c r="F5" t="s">
        <v>248</v>
      </c>
      <c r="G5" t="s">
        <v>251</v>
      </c>
    </row>
    <row r="6" spans="2:7" ht="30" customHeight="1" x14ac:dyDescent="0.3">
      <c r="B6" s="43" t="s">
        <v>247</v>
      </c>
      <c r="C6" s="4" t="s">
        <v>252</v>
      </c>
      <c r="D6" s="43" t="s">
        <v>253</v>
      </c>
      <c r="E6" s="43" t="s">
        <v>254</v>
      </c>
      <c r="F6" s="43" t="s">
        <v>255</v>
      </c>
      <c r="G6" s="43" t="s">
        <v>256</v>
      </c>
    </row>
    <row r="7" spans="2:7" ht="30" customHeight="1" x14ac:dyDescent="0.3">
      <c r="B7" s="43" t="s">
        <v>247</v>
      </c>
      <c r="C7" s="4" t="s">
        <v>257</v>
      </c>
      <c r="D7" s="43" t="s">
        <v>258</v>
      </c>
      <c r="E7" s="43" t="s">
        <v>259</v>
      </c>
      <c r="F7" s="43" t="s">
        <v>260</v>
      </c>
      <c r="G7" s="43" t="s">
        <v>261</v>
      </c>
    </row>
    <row r="8" spans="2:7" ht="30" customHeight="1" x14ac:dyDescent="0.3">
      <c r="B8" s="43" t="s">
        <v>247</v>
      </c>
      <c r="C8" s="4" t="s">
        <v>262</v>
      </c>
      <c r="D8" s="43" t="s">
        <v>263</v>
      </c>
      <c r="E8" s="43" t="s">
        <v>264</v>
      </c>
      <c r="F8" s="43" t="s">
        <v>265</v>
      </c>
      <c r="G8" s="43" t="s">
        <v>261</v>
      </c>
    </row>
    <row r="9" spans="2:7" ht="30" customHeight="1" x14ac:dyDescent="0.3">
      <c r="B9" s="43" t="s">
        <v>247</v>
      </c>
      <c r="C9" s="4" t="s">
        <v>266</v>
      </c>
      <c r="D9" s="43" t="s">
        <v>267</v>
      </c>
      <c r="E9" s="43" t="s">
        <v>268</v>
      </c>
      <c r="F9" s="43" t="s">
        <v>269</v>
      </c>
      <c r="G9" s="43" t="s">
        <v>261</v>
      </c>
    </row>
    <row r="10" spans="2:7" ht="30" customHeight="1" x14ac:dyDescent="0.3">
      <c r="B10" s="43" t="s">
        <v>247</v>
      </c>
      <c r="C10" s="4" t="s">
        <v>270</v>
      </c>
      <c r="D10" s="43" t="s">
        <v>271</v>
      </c>
      <c r="E10" s="43" t="s">
        <v>272</v>
      </c>
      <c r="F10" s="43" t="s">
        <v>273</v>
      </c>
      <c r="G10" s="43" t="s">
        <v>274</v>
      </c>
    </row>
    <row r="11" spans="2:7" ht="30" customHeight="1" x14ac:dyDescent="0.3">
      <c r="B11" s="43" t="s">
        <v>247</v>
      </c>
      <c r="C11" s="4" t="s">
        <v>275</v>
      </c>
      <c r="D11" s="43" t="s">
        <v>276</v>
      </c>
      <c r="E11" s="43" t="s">
        <v>277</v>
      </c>
      <c r="F11" s="43" t="s">
        <v>278</v>
      </c>
      <c r="G11" s="43" t="s">
        <v>279</v>
      </c>
    </row>
    <row r="12" spans="2:7" ht="30" customHeight="1" x14ac:dyDescent="0.3">
      <c r="B12" s="43" t="s">
        <v>247</v>
      </c>
      <c r="C12" s="4" t="s">
        <v>280</v>
      </c>
      <c r="D12" s="43" t="s">
        <v>281</v>
      </c>
      <c r="E12" s="43" t="s">
        <v>259</v>
      </c>
      <c r="F12" s="43" t="s">
        <v>282</v>
      </c>
      <c r="G12" s="43" t="s">
        <v>261</v>
      </c>
    </row>
    <row r="13" spans="2:7" ht="30" customHeight="1" x14ac:dyDescent="0.3">
      <c r="B13" s="43" t="s">
        <v>247</v>
      </c>
      <c r="C13" s="4" t="s">
        <v>283</v>
      </c>
      <c r="D13" s="43" t="s">
        <v>284</v>
      </c>
      <c r="E13" s="43" t="s">
        <v>285</v>
      </c>
      <c r="F13" s="43" t="s">
        <v>286</v>
      </c>
      <c r="G13" s="43" t="s">
        <v>261</v>
      </c>
    </row>
    <row r="14" spans="2:7" ht="30" customHeight="1" x14ac:dyDescent="0.3">
      <c r="B14" s="43" t="s">
        <v>247</v>
      </c>
      <c r="C14" s="4" t="s">
        <v>287</v>
      </c>
      <c r="D14" s="43" t="s">
        <v>288</v>
      </c>
      <c r="E14" s="43" t="s">
        <v>289</v>
      </c>
      <c r="F14" s="43" t="s">
        <v>290</v>
      </c>
      <c r="G14" s="43" t="s">
        <v>261</v>
      </c>
    </row>
    <row r="15" spans="2:7" ht="30" customHeight="1" x14ac:dyDescent="0.3">
      <c r="B15" s="43" t="s">
        <v>247</v>
      </c>
      <c r="C15" s="4" t="s">
        <v>291</v>
      </c>
      <c r="D15" s="43" t="s">
        <v>292</v>
      </c>
      <c r="E15" s="43" t="s">
        <v>293</v>
      </c>
      <c r="F15" s="43" t="s">
        <v>294</v>
      </c>
      <c r="G15" s="43" t="s">
        <v>261</v>
      </c>
    </row>
    <row r="16" spans="2:7" ht="30" customHeight="1" x14ac:dyDescent="0.3">
      <c r="B16" s="43" t="s">
        <v>247</v>
      </c>
      <c r="C16" s="4" t="s">
        <v>295</v>
      </c>
      <c r="D16" s="43" t="s">
        <v>296</v>
      </c>
      <c r="E16" s="43" t="s">
        <v>297</v>
      </c>
      <c r="F16" s="43" t="s">
        <v>248</v>
      </c>
      <c r="G16" s="43" t="s">
        <v>298</v>
      </c>
    </row>
    <row r="17" spans="2:7" ht="30" customHeight="1" x14ac:dyDescent="0.3">
      <c r="B17" s="43" t="s">
        <v>247</v>
      </c>
      <c r="C17" s="4" t="s">
        <v>299</v>
      </c>
      <c r="D17" s="43" t="s">
        <v>300</v>
      </c>
      <c r="E17" s="43" t="s">
        <v>301</v>
      </c>
      <c r="F17" s="43" t="s">
        <v>265</v>
      </c>
      <c r="G17" s="43" t="s">
        <v>261</v>
      </c>
    </row>
    <row r="18" spans="2:7" ht="30" customHeight="1" x14ac:dyDescent="0.3">
      <c r="B18" s="43" t="s">
        <v>247</v>
      </c>
      <c r="C18" s="4" t="s">
        <v>302</v>
      </c>
      <c r="D18" s="43" t="s">
        <v>303</v>
      </c>
      <c r="E18" s="43" t="s">
        <v>304</v>
      </c>
      <c r="F18" s="43" t="s">
        <v>248</v>
      </c>
      <c r="G18" s="43" t="s">
        <v>305</v>
      </c>
    </row>
    <row r="19" spans="2:7" ht="30" customHeight="1" x14ac:dyDescent="0.3">
      <c r="B19" s="43" t="s">
        <v>247</v>
      </c>
      <c r="C19" s="4" t="s">
        <v>306</v>
      </c>
      <c r="D19" s="43" t="s">
        <v>307</v>
      </c>
      <c r="E19" s="43" t="s">
        <v>308</v>
      </c>
      <c r="F19" s="43" t="s">
        <v>248</v>
      </c>
      <c r="G19" s="43" t="s">
        <v>309</v>
      </c>
    </row>
    <row r="20" spans="2:7" ht="30" customHeight="1" x14ac:dyDescent="0.3">
      <c r="B20" s="43" t="s">
        <v>247</v>
      </c>
      <c r="C20" s="4" t="s">
        <v>310</v>
      </c>
      <c r="D20" s="43" t="s">
        <v>311</v>
      </c>
      <c r="E20" s="43" t="s">
        <v>312</v>
      </c>
      <c r="F20" s="43" t="s">
        <v>248</v>
      </c>
      <c r="G20" s="43" t="s">
        <v>261</v>
      </c>
    </row>
    <row r="21" spans="2:7" ht="30" customHeight="1" x14ac:dyDescent="0.3">
      <c r="B21" s="43" t="s">
        <v>247</v>
      </c>
      <c r="C21" s="4" t="s">
        <v>313</v>
      </c>
      <c r="D21" s="43" t="s">
        <v>314</v>
      </c>
      <c r="E21" s="43" t="s">
        <v>315</v>
      </c>
      <c r="F21" s="43" t="s">
        <v>248</v>
      </c>
      <c r="G21" s="43" t="s">
        <v>256</v>
      </c>
    </row>
    <row r="22" spans="2:7" ht="30" customHeight="1" x14ac:dyDescent="0.3">
      <c r="B22" s="43" t="s">
        <v>247</v>
      </c>
      <c r="C22" s="4" t="s">
        <v>316</v>
      </c>
      <c r="D22" s="43" t="s">
        <v>317</v>
      </c>
      <c r="E22" s="43" t="s">
        <v>318</v>
      </c>
      <c r="F22" s="43" t="s">
        <v>248</v>
      </c>
      <c r="G22" s="43" t="s">
        <v>319</v>
      </c>
    </row>
    <row r="23" spans="2:7" ht="30" customHeight="1" x14ac:dyDescent="0.3">
      <c r="B23" s="43" t="s">
        <v>247</v>
      </c>
      <c r="C23" s="4" t="s">
        <v>320</v>
      </c>
      <c r="D23" s="43" t="s">
        <v>321</v>
      </c>
      <c r="E23" s="43" t="s">
        <v>322</v>
      </c>
      <c r="F23" s="43" t="s">
        <v>248</v>
      </c>
      <c r="G23" s="43" t="s">
        <v>323</v>
      </c>
    </row>
    <row r="24" spans="2:7" ht="14" customHeight="1" x14ac:dyDescent="0.2"/>
    <row r="25" spans="2:7" ht="14" customHeight="1" x14ac:dyDescent="0.3">
      <c r="B25" s="8" t="s">
        <v>324</v>
      </c>
    </row>
    <row r="26" spans="2:7" ht="14" customHeight="1" x14ac:dyDescent="0.3">
      <c r="B26" s="10" t="s">
        <v>325</v>
      </c>
      <c r="C26" s="10" t="s">
        <v>326</v>
      </c>
    </row>
    <row r="27" spans="2:7" ht="14" customHeight="1" x14ac:dyDescent="0.3">
      <c r="B27" s="4" t="s">
        <v>327</v>
      </c>
      <c r="C27" t="s">
        <v>328</v>
      </c>
    </row>
    <row r="28" spans="2:7" ht="14" customHeight="1" x14ac:dyDescent="0.3">
      <c r="B28" s="4" t="s">
        <v>329</v>
      </c>
      <c r="C28" t="s">
        <v>330</v>
      </c>
    </row>
    <row r="29" spans="2:7" ht="14" customHeight="1" x14ac:dyDescent="0.3">
      <c r="B29" s="4" t="s">
        <v>331</v>
      </c>
      <c r="C29" t="s">
        <v>332</v>
      </c>
    </row>
    <row r="30" spans="2:7" ht="14" customHeight="1" x14ac:dyDescent="0.3">
      <c r="B30" s="4" t="s">
        <v>333</v>
      </c>
      <c r="C30" t="s">
        <v>42</v>
      </c>
    </row>
    <row r="31" spans="2:7" ht="14" customHeight="1" x14ac:dyDescent="0.3">
      <c r="B31" s="4" t="s">
        <v>334</v>
      </c>
      <c r="C31" t="s">
        <v>4</v>
      </c>
    </row>
    <row r="32" spans="2:7" ht="14" customHeight="1" x14ac:dyDescent="0.3">
      <c r="B32" s="4" t="s">
        <v>335</v>
      </c>
      <c r="C32" t="s">
        <v>247</v>
      </c>
    </row>
    <row r="33" spans="2:3" ht="14" customHeight="1" x14ac:dyDescent="0.3">
      <c r="B33" s="4" t="s">
        <v>336</v>
      </c>
      <c r="C33" t="s">
        <v>337</v>
      </c>
    </row>
    <row r="34" spans="2:3" ht="14" customHeight="1" x14ac:dyDescent="0.3">
      <c r="B34" s="4" t="s">
        <v>338</v>
      </c>
      <c r="C34" t="s">
        <v>339</v>
      </c>
    </row>
    <row r="35" spans="2:3" ht="14" customHeight="1" x14ac:dyDescent="0.3">
      <c r="B35" s="4" t="s">
        <v>340</v>
      </c>
      <c r="C35" t="s">
        <v>341</v>
      </c>
    </row>
    <row r="36" spans="2:3" ht="14" customHeight="1" x14ac:dyDescent="0.3">
      <c r="B36" s="4" t="s">
        <v>342</v>
      </c>
      <c r="C36" t="s">
        <v>343</v>
      </c>
    </row>
    <row r="37" spans="2:3" ht="14" customHeight="1" x14ac:dyDescent="0.3">
      <c r="B37" s="4" t="s">
        <v>344</v>
      </c>
      <c r="C37" t="s">
        <v>345</v>
      </c>
    </row>
    <row r="38" spans="2:3" ht="14" customHeight="1" x14ac:dyDescent="0.3">
      <c r="B38" s="4" t="s">
        <v>346</v>
      </c>
      <c r="C38" t="s">
        <v>341</v>
      </c>
    </row>
    <row r="39" spans="2:3" ht="14" customHeight="1" x14ac:dyDescent="0.3">
      <c r="B39" s="4" t="s">
        <v>347</v>
      </c>
      <c r="C39" t="s">
        <v>337</v>
      </c>
    </row>
    <row r="40" spans="2:3" ht="14" customHeight="1" x14ac:dyDescent="0.3">
      <c r="B40" s="4" t="s">
        <v>348</v>
      </c>
      <c r="C40" t="s">
        <v>349</v>
      </c>
    </row>
    <row r="41" spans="2:3" ht="14" customHeight="1" x14ac:dyDescent="0.3">
      <c r="B41" s="4" t="s">
        <v>350</v>
      </c>
      <c r="C41" t="s">
        <v>351</v>
      </c>
    </row>
    <row r="42" spans="2:3" ht="14" customHeight="1" x14ac:dyDescent="0.3">
      <c r="B42" s="4" t="s">
        <v>352</v>
      </c>
      <c r="C42" t="s">
        <v>353</v>
      </c>
    </row>
    <row r="43" spans="2:3" ht="14" customHeight="1" x14ac:dyDescent="0.3">
      <c r="B43" s="4" t="s">
        <v>354</v>
      </c>
      <c r="C43" t="s">
        <v>355</v>
      </c>
    </row>
    <row r="44" spans="2:3" ht="14" customHeight="1" x14ac:dyDescent="0.3">
      <c r="B44" s="4" t="s">
        <v>356</v>
      </c>
      <c r="C44" t="s">
        <v>357</v>
      </c>
    </row>
    <row r="45" spans="2:3" ht="14" customHeight="1" x14ac:dyDescent="0.3">
      <c r="B45" s="4" t="s">
        <v>358</v>
      </c>
      <c r="C45" t="s">
        <v>359</v>
      </c>
    </row>
    <row r="46" spans="2:3" ht="14" customHeight="1" x14ac:dyDescent="0.3">
      <c r="B46" s="4" t="s">
        <v>360</v>
      </c>
      <c r="C46" t="s">
        <v>361</v>
      </c>
    </row>
    <row r="47" spans="2:3" ht="14" customHeight="1" x14ac:dyDescent="0.3">
      <c r="B47" s="4" t="s">
        <v>362</v>
      </c>
      <c r="C47" t="s">
        <v>363</v>
      </c>
    </row>
    <row r="48" spans="2:3" ht="14" customHeight="1" x14ac:dyDescent="0.3">
      <c r="B48" s="4" t="s">
        <v>364</v>
      </c>
      <c r="C48" t="s">
        <v>330</v>
      </c>
    </row>
    <row r="49" spans="2:3" ht="14" customHeight="1" x14ac:dyDescent="0.3">
      <c r="B49" s="4" t="s">
        <v>365</v>
      </c>
      <c r="C49" t="s">
        <v>366</v>
      </c>
    </row>
    <row r="50" spans="2:3" ht="14" customHeight="1" x14ac:dyDescent="0.3">
      <c r="B50" s="4" t="s">
        <v>367</v>
      </c>
      <c r="C50" t="s">
        <v>368</v>
      </c>
    </row>
    <row r="51" spans="2:3" ht="14" x14ac:dyDescent="0.3">
      <c r="B51" s="4" t="s">
        <v>369</v>
      </c>
      <c r="C51" t="s">
        <v>370</v>
      </c>
    </row>
    <row r="52" spans="2:3" ht="14" x14ac:dyDescent="0.3">
      <c r="B52" s="4" t="s">
        <v>371</v>
      </c>
      <c r="C52" t="s">
        <v>372</v>
      </c>
    </row>
    <row r="53" spans="2:3" ht="14" x14ac:dyDescent="0.3">
      <c r="B53" s="4" t="s">
        <v>373</v>
      </c>
      <c r="C53" t="s">
        <v>374</v>
      </c>
    </row>
    <row r="54" spans="2:3" ht="14" x14ac:dyDescent="0.3">
      <c r="B54" s="4" t="s">
        <v>375</v>
      </c>
      <c r="C54" t="s">
        <v>376</v>
      </c>
    </row>
    <row r="55" spans="2:3" ht="14" x14ac:dyDescent="0.3">
      <c r="B55" s="4" t="s">
        <v>377</v>
      </c>
      <c r="C55" t="s">
        <v>378</v>
      </c>
    </row>
    <row r="56" spans="2:3" ht="14" x14ac:dyDescent="0.3">
      <c r="B56" s="4" t="s">
        <v>379</v>
      </c>
      <c r="C56" t="s">
        <v>380</v>
      </c>
    </row>
    <row r="57" spans="2:3" ht="14" x14ac:dyDescent="0.3">
      <c r="B57" s="4" t="s">
        <v>381</v>
      </c>
      <c r="C57" t="s">
        <v>382</v>
      </c>
    </row>
    <row r="58" spans="2:3" ht="14" x14ac:dyDescent="0.3">
      <c r="B58" s="4" t="s">
        <v>383</v>
      </c>
      <c r="C58" t="s">
        <v>384</v>
      </c>
    </row>
    <row r="59" spans="2:3" ht="14" x14ac:dyDescent="0.3">
      <c r="B59" s="4" t="s">
        <v>385</v>
      </c>
      <c r="C59" t="s">
        <v>386</v>
      </c>
    </row>
    <row r="60" spans="2:3" ht="14" x14ac:dyDescent="0.3">
      <c r="B60" s="4" t="s">
        <v>387</v>
      </c>
      <c r="C60" t="s">
        <v>388</v>
      </c>
    </row>
    <row r="61" spans="2:3" ht="14" x14ac:dyDescent="0.3">
      <c r="B61" s="4" t="s">
        <v>389</v>
      </c>
      <c r="C61" t="s">
        <v>390</v>
      </c>
    </row>
    <row r="62" spans="2:3" ht="14" x14ac:dyDescent="0.3">
      <c r="B62" s="4" t="s">
        <v>391</v>
      </c>
      <c r="C62" t="s">
        <v>392</v>
      </c>
    </row>
    <row r="63" spans="2:3" ht="14" x14ac:dyDescent="0.3">
      <c r="B63" s="4" t="s">
        <v>393</v>
      </c>
      <c r="C63" t="s">
        <v>208</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2026-09-05T13:39:38Z</dcterms:created>
  <dcterms:modified xsi:type="dcterms:W3CDTF">2026-09-05T13:51:36Z</dcterms:modified>
</cp:coreProperties>
</file>