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155E0A95-3A80-42DB-8716-8509CFC87169}"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E16" i="6" s="1"/>
  <c r="J8" i="6"/>
  <c r="O7" i="6"/>
  <c r="N7" i="6"/>
  <c r="M7" i="6"/>
  <c r="L7" i="6"/>
  <c r="K7" i="6"/>
  <c r="J7" i="6"/>
  <c r="O6" i="6"/>
  <c r="N6" i="6"/>
  <c r="M6" i="6"/>
  <c r="L6" i="6"/>
  <c r="K6" i="6"/>
  <c r="J6" i="6"/>
  <c r="O5" i="6"/>
  <c r="N5" i="6"/>
  <c r="M5" i="6"/>
  <c r="D5" i="6"/>
  <c r="L5" i="6" s="1"/>
  <c r="B30" i="1" s="1"/>
  <c r="C16" i="5"/>
  <c r="C14" i="5"/>
  <c r="C18" i="5" s="1"/>
  <c r="C7" i="5"/>
  <c r="C6" i="5"/>
  <c r="C5" i="5"/>
  <c r="C13" i="4"/>
  <c r="C12" i="4"/>
  <c r="C9" i="4"/>
  <c r="C7" i="4"/>
  <c r="C6" i="4"/>
  <c r="C8" i="4" s="1"/>
  <c r="C10" i="4" s="1"/>
  <c r="D27" i="3"/>
  <c r="D6" i="5" s="1"/>
  <c r="C25" i="3"/>
  <c r="C26" i="3" s="1"/>
  <c r="B25" i="1" s="1"/>
  <c r="C24" i="3"/>
  <c r="C23" i="3"/>
  <c r="F23" i="2"/>
  <c r="E23" i="2"/>
  <c r="D23" i="2"/>
  <c r="E22" i="2"/>
  <c r="F21" i="2"/>
  <c r="F22" i="2" s="1"/>
  <c r="E21" i="2"/>
  <c r="D21" i="2"/>
  <c r="D22" i="2" s="1"/>
  <c r="F16" i="2"/>
  <c r="E16" i="2"/>
  <c r="D16" i="2"/>
  <c r="F15" i="2"/>
  <c r="E15" i="2"/>
  <c r="D15" i="2"/>
  <c r="F14" i="2"/>
  <c r="E14" i="2"/>
  <c r="D14" i="2"/>
  <c r="C14" i="2"/>
  <c r="F13" i="2"/>
  <c r="E13" i="2"/>
  <c r="D13" i="2"/>
  <c r="C13" i="2"/>
  <c r="F8" i="2"/>
  <c r="F9" i="2" s="1"/>
  <c r="E8" i="2"/>
  <c r="E9" i="2" s="1"/>
  <c r="D8" i="2"/>
  <c r="D9" i="2" s="1"/>
  <c r="C8" i="2"/>
  <c r="C9" i="2" s="1"/>
  <c r="E15" i="6" l="1"/>
  <c r="G15" i="6"/>
  <c r="E5" i="6"/>
  <c r="J5" i="6" s="1"/>
  <c r="D16" i="6"/>
  <c r="F16" i="6"/>
  <c r="C28" i="6" s="1"/>
  <c r="C19" i="1" s="1"/>
  <c r="D19" i="1" s="1"/>
  <c r="E31" i="3"/>
  <c r="C71" i="4"/>
  <c r="C70" i="4"/>
  <c r="I16" i="6"/>
  <c r="I17" i="6"/>
  <c r="I15" i="6"/>
  <c r="B24" i="1"/>
  <c r="D17" i="6"/>
  <c r="F15" i="6"/>
  <c r="C3" i="7"/>
  <c r="G36" i="4"/>
  <c r="C11" i="4"/>
  <c r="C24" i="4" s="1"/>
  <c r="C25" i="4" s="1"/>
  <c r="G46" i="3"/>
  <c r="F36" i="4"/>
  <c r="F46" i="3"/>
  <c r="B31" i="1"/>
  <c r="E36" i="4"/>
  <c r="D36" i="4"/>
  <c r="D46" i="3"/>
  <c r="H36" i="4"/>
  <c r="E46" i="3"/>
  <c r="C46" i="3"/>
  <c r="F17" i="6"/>
  <c r="G5" i="5"/>
  <c r="E32" i="3"/>
  <c r="G30" i="3"/>
  <c r="H6" i="5"/>
  <c r="D32" i="3"/>
  <c r="F31" i="3"/>
  <c r="F5" i="5"/>
  <c r="F30" i="3"/>
  <c r="E30" i="3"/>
  <c r="C30" i="3"/>
  <c r="C33" i="3" s="1"/>
  <c r="G6" i="5"/>
  <c r="E5" i="5"/>
  <c r="H7" i="5"/>
  <c r="F6" i="5"/>
  <c r="D5" i="5"/>
  <c r="G31" i="3"/>
  <c r="D30" i="3"/>
  <c r="G7" i="5"/>
  <c r="E6" i="5"/>
  <c r="D7" i="5"/>
  <c r="H5" i="5"/>
  <c r="F32" i="3"/>
  <c r="C31" i="3"/>
  <c r="C32" i="3"/>
  <c r="E7" i="5"/>
  <c r="G17" i="6"/>
  <c r="D31" i="3"/>
  <c r="F7" i="5"/>
  <c r="H15" i="6"/>
  <c r="H16" i="6"/>
  <c r="H17" i="6"/>
  <c r="C27" i="6"/>
  <c r="C18" i="1" s="1"/>
  <c r="D18" i="1" s="1"/>
  <c r="C74" i="4"/>
  <c r="G32" i="3"/>
  <c r="D15" i="6"/>
  <c r="K5" i="6"/>
  <c r="E17" i="6"/>
  <c r="I6" i="7"/>
  <c r="C17" i="7"/>
  <c r="C6" i="7"/>
  <c r="D17" i="7"/>
  <c r="D6" i="7"/>
  <c r="E17" i="7"/>
  <c r="G16" i="6"/>
  <c r="E6" i="7"/>
  <c r="F17" i="7"/>
  <c r="F6" i="7"/>
  <c r="G17" i="7"/>
  <c r="G6" i="7"/>
  <c r="H17" i="7"/>
  <c r="G46" i="4" l="1"/>
  <c r="G40" i="4"/>
  <c r="G44" i="4"/>
  <c r="G38" i="4"/>
  <c r="G48" i="4" s="1"/>
  <c r="G53" i="4" s="1"/>
  <c r="G43" i="4"/>
  <c r="G41" i="4"/>
  <c r="G51" i="4" s="1"/>
  <c r="G56" i="4" s="1"/>
  <c r="G39" i="4"/>
  <c r="G49" i="4" s="1"/>
  <c r="G54" i="4" s="1"/>
  <c r="G45" i="4"/>
  <c r="C29" i="4"/>
  <c r="C26" i="4"/>
  <c r="C27" i="4"/>
  <c r="C42" i="3"/>
  <c r="C34" i="3"/>
  <c r="D10" i="5" s="1"/>
  <c r="C37" i="3"/>
  <c r="D9" i="5"/>
  <c r="D12" i="5" s="1"/>
  <c r="C43" i="3"/>
  <c r="D33" i="3"/>
  <c r="D45" i="4"/>
  <c r="D39" i="4"/>
  <c r="D43" i="4"/>
  <c r="D46" i="4"/>
  <c r="D40" i="4"/>
  <c r="D41" i="4"/>
  <c r="D44" i="4"/>
  <c r="D38" i="4"/>
  <c r="B13" i="7"/>
  <c r="B12" i="7"/>
  <c r="B11" i="7"/>
  <c r="B10" i="7"/>
  <c r="B9" i="7"/>
  <c r="B8" i="7"/>
  <c r="B7" i="7"/>
  <c r="B24" i="7"/>
  <c r="B23" i="7"/>
  <c r="B22" i="7"/>
  <c r="B21" i="7"/>
  <c r="B20" i="7"/>
  <c r="B19" i="7"/>
  <c r="B18" i="7"/>
  <c r="E39" i="4"/>
  <c r="E49" i="4" s="1"/>
  <c r="E54" i="4" s="1"/>
  <c r="E43" i="4"/>
  <c r="E44" i="4"/>
  <c r="E46" i="4"/>
  <c r="E40" i="4"/>
  <c r="E50" i="4" s="1"/>
  <c r="E55" i="4" s="1"/>
  <c r="E45" i="4"/>
  <c r="E38" i="4"/>
  <c r="E41" i="4"/>
  <c r="F43" i="4"/>
  <c r="F46" i="4"/>
  <c r="F38" i="4"/>
  <c r="F40" i="4"/>
  <c r="F44" i="4"/>
  <c r="F39" i="4"/>
  <c r="F41" i="4"/>
  <c r="F45" i="4"/>
  <c r="H40" i="4"/>
  <c r="H44" i="4"/>
  <c r="H45" i="4"/>
  <c r="H38" i="4"/>
  <c r="H41" i="4"/>
  <c r="H51" i="4" s="1"/>
  <c r="H56" i="4" s="1"/>
  <c r="H46" i="4"/>
  <c r="H43" i="4"/>
  <c r="H39" i="4"/>
  <c r="H49" i="4" s="1"/>
  <c r="H54" i="4" s="1"/>
  <c r="H48" i="4" l="1"/>
  <c r="H53" i="4" s="1"/>
  <c r="F50" i="4"/>
  <c r="F55" i="4" s="1"/>
  <c r="F48" i="4"/>
  <c r="F53" i="4" s="1"/>
  <c r="D15" i="5"/>
  <c r="D16" i="5" s="1"/>
  <c r="D13" i="5"/>
  <c r="D14" i="5" s="1"/>
  <c r="D18" i="5" s="1"/>
  <c r="D19" i="5" s="1"/>
  <c r="C44" i="3" s="1"/>
  <c r="D49" i="4"/>
  <c r="D54" i="4" s="1"/>
  <c r="H50" i="4"/>
  <c r="H55" i="4" s="1"/>
  <c r="D48" i="4"/>
  <c r="D53" i="4" s="1"/>
  <c r="D37" i="3"/>
  <c r="E9" i="5"/>
  <c r="E12" i="5" s="1"/>
  <c r="D43" i="3"/>
  <c r="E33" i="3"/>
  <c r="D42" i="3"/>
  <c r="D34" i="3"/>
  <c r="E10" i="5" s="1"/>
  <c r="C35" i="3"/>
  <c r="F51" i="4"/>
  <c r="F56" i="4" s="1"/>
  <c r="E51" i="4"/>
  <c r="E56" i="4" s="1"/>
  <c r="D51" i="4"/>
  <c r="D56" i="4" s="1"/>
  <c r="G50" i="4"/>
  <c r="G55" i="4" s="1"/>
  <c r="F49" i="4"/>
  <c r="E48" i="4"/>
  <c r="E53" i="4" s="1"/>
  <c r="D50" i="4"/>
  <c r="D55" i="4" s="1"/>
  <c r="C38" i="3" l="1"/>
  <c r="C39" i="3"/>
  <c r="C36" i="3"/>
  <c r="E13" i="5"/>
  <c r="E14" i="5" s="1"/>
  <c r="E15" i="5"/>
  <c r="E16" i="5" s="1"/>
  <c r="F54" i="4"/>
  <c r="B78" i="4" s="1"/>
  <c r="C60" i="4"/>
  <c r="F9" i="5"/>
  <c r="F12" i="5" s="1"/>
  <c r="E43" i="3"/>
  <c r="F33" i="3"/>
  <c r="E37" i="3"/>
  <c r="E42" i="3"/>
  <c r="E34" i="3"/>
  <c r="F10" i="5" s="1"/>
  <c r="D35" i="3"/>
  <c r="E18" i="5" l="1"/>
  <c r="E19" i="5" s="1"/>
  <c r="D44" i="3" s="1"/>
  <c r="F13" i="5"/>
  <c r="F14" i="5" s="1"/>
  <c r="F15" i="5"/>
  <c r="F16" i="5" s="1"/>
  <c r="C65" i="4"/>
  <c r="D65" i="4" s="1"/>
  <c r="C64" i="4"/>
  <c r="D64" i="4" s="1"/>
  <c r="C66" i="4"/>
  <c r="D66" i="4" s="1"/>
  <c r="C67" i="4"/>
  <c r="D67" i="4" s="1"/>
  <c r="C63" i="4"/>
  <c r="D63" i="4" s="1"/>
  <c r="F43" i="3"/>
  <c r="G33" i="3"/>
  <c r="G9" i="5"/>
  <c r="G12" i="5" s="1"/>
  <c r="F42" i="3"/>
  <c r="F34" i="3"/>
  <c r="G10" i="5" s="1"/>
  <c r="F37" i="3"/>
  <c r="E35" i="3"/>
  <c r="C40" i="3"/>
  <c r="C41" i="3" s="1"/>
  <c r="C45" i="3" s="1"/>
  <c r="D38" i="3"/>
  <c r="D39" i="3"/>
  <c r="D36" i="3"/>
  <c r="F35" i="3" l="1"/>
  <c r="F39" i="3" s="1"/>
  <c r="F18" i="5"/>
  <c r="F19" i="5" s="1"/>
  <c r="E44" i="3" s="1"/>
  <c r="C47" i="3"/>
  <c r="E36" i="3"/>
  <c r="E38" i="3"/>
  <c r="E39" i="3"/>
  <c r="D40" i="3"/>
  <c r="D41" i="3"/>
  <c r="D45" i="3" s="1"/>
  <c r="D47" i="3" s="1"/>
  <c r="G42" i="3"/>
  <c r="G34" i="3"/>
  <c r="H10" i="5" s="1"/>
  <c r="G43" i="3"/>
  <c r="G35" i="3"/>
  <c r="C16" i="4"/>
  <c r="C28" i="4" s="1"/>
  <c r="H9" i="5"/>
  <c r="H12" i="5" s="1"/>
  <c r="G37" i="3"/>
  <c r="F36" i="3"/>
  <c r="G13" i="5"/>
  <c r="G14" i="5" s="1"/>
  <c r="G15" i="5"/>
  <c r="G16" i="5" s="1"/>
  <c r="F38" i="3" l="1"/>
  <c r="G18" i="5"/>
  <c r="G19" i="5" s="1"/>
  <c r="F44" i="3" s="1"/>
  <c r="E40" i="3"/>
  <c r="E41" i="3" s="1"/>
  <c r="E45" i="3" s="1"/>
  <c r="G38" i="3"/>
  <c r="G36" i="3"/>
  <c r="G39" i="3"/>
  <c r="C72" i="4"/>
  <c r="C73" i="4"/>
  <c r="F40" i="3"/>
  <c r="F41" i="3" s="1"/>
  <c r="H15" i="5"/>
  <c r="H16" i="5" s="1"/>
  <c r="H13" i="5"/>
  <c r="H14" i="5" s="1"/>
  <c r="H18" i="5" s="1"/>
  <c r="H19" i="5" s="1"/>
  <c r="G44" i="3" s="1"/>
  <c r="F45" i="3" l="1"/>
  <c r="F47" i="3" s="1"/>
  <c r="E47" i="3"/>
  <c r="C59" i="3"/>
  <c r="C60" i="3" s="1"/>
  <c r="C61" i="3" s="1"/>
  <c r="G40" i="3"/>
  <c r="G41" i="3" s="1"/>
  <c r="G45" i="3" s="1"/>
  <c r="C51" i="3" l="1"/>
  <c r="C52" i="3" s="1"/>
  <c r="G47" i="3"/>
  <c r="I7" i="7"/>
  <c r="D7" i="7"/>
  <c r="G8" i="7"/>
  <c r="F24" i="7"/>
  <c r="E21" i="7"/>
  <c r="H10" i="7"/>
  <c r="G11" i="7"/>
  <c r="C11" i="7"/>
  <c r="C7" i="7"/>
  <c r="I13" i="7"/>
  <c r="H22" i="7"/>
  <c r="H9" i="7"/>
  <c r="I11" i="7"/>
  <c r="I22" i="7"/>
  <c r="G12" i="7"/>
  <c r="E22" i="7"/>
  <c r="F18" i="7"/>
  <c r="H21" i="7"/>
  <c r="G19" i="7"/>
  <c r="I19" i="7"/>
  <c r="D8" i="7"/>
  <c r="I8" i="7"/>
  <c r="C8" i="7"/>
  <c r="D10" i="7"/>
  <c r="F10" i="7"/>
  <c r="H23" i="7"/>
  <c r="G20" i="7"/>
  <c r="G7" i="7"/>
  <c r="E7" i="7"/>
  <c r="G22" i="7"/>
  <c r="I23" i="7"/>
  <c r="E9" i="7"/>
  <c r="C12" i="7"/>
  <c r="F19" i="7"/>
  <c r="H11" i="7"/>
  <c r="E13" i="7"/>
  <c r="E23" i="7"/>
  <c r="I18" i="7"/>
  <c r="H20" i="7"/>
  <c r="I24" i="7"/>
  <c r="D22" i="7"/>
  <c r="E8" i="7"/>
  <c r="F21" i="7"/>
  <c r="H24" i="7"/>
  <c r="D23" i="7"/>
  <c r="C22" i="7"/>
  <c r="C20" i="7"/>
  <c r="G18" i="7"/>
  <c r="D9" i="7"/>
  <c r="I10" i="7"/>
  <c r="C10" i="7"/>
  <c r="G10" i="7"/>
  <c r="D13" i="7"/>
  <c r="C23" i="7"/>
  <c r="C9" i="7"/>
  <c r="C19" i="7"/>
  <c r="F12" i="7"/>
  <c r="I9" i="7"/>
  <c r="F9" i="7"/>
  <c r="G21" i="7"/>
  <c r="D20" i="7"/>
  <c r="H8" i="7"/>
  <c r="F11" i="7"/>
  <c r="H13" i="7"/>
  <c r="E20" i="7"/>
  <c r="C13" i="7"/>
  <c r="F7" i="7"/>
  <c r="D24" i="7"/>
  <c r="E12" i="7"/>
  <c r="H7" i="7"/>
  <c r="G23" i="7"/>
  <c r="G9" i="7"/>
  <c r="E24" i="7"/>
  <c r="E18" i="7"/>
  <c r="D21" i="7"/>
  <c r="H12" i="7"/>
  <c r="I21" i="7"/>
  <c r="F23" i="7"/>
  <c r="E19" i="7"/>
  <c r="H18" i="7"/>
  <c r="F20" i="7"/>
  <c r="I12" i="7"/>
  <c r="C24" i="7"/>
  <c r="E11" i="7"/>
  <c r="E10" i="7"/>
  <c r="D11" i="7"/>
  <c r="D12" i="7"/>
  <c r="C18" i="7"/>
  <c r="G13" i="7"/>
  <c r="G24" i="7"/>
  <c r="F22" i="7"/>
  <c r="C21" i="7"/>
  <c r="F8" i="7"/>
  <c r="F13" i="7"/>
  <c r="D18" i="7"/>
  <c r="H19" i="7"/>
  <c r="D19" i="7"/>
  <c r="I20" i="7"/>
  <c r="C50" i="3"/>
  <c r="C58" i="3" l="1"/>
  <c r="C62" i="3" s="1"/>
  <c r="C53" i="3"/>
  <c r="C17" i="4" l="1"/>
  <c r="C16" i="1"/>
  <c r="C54" i="3"/>
  <c r="C55" i="3" s="1"/>
  <c r="C63" i="3"/>
  <c r="C64" i="3" s="1"/>
  <c r="C17" i="1"/>
  <c r="D17" i="1" s="1"/>
  <c r="C10" i="1" l="1"/>
  <c r="C21" i="1"/>
  <c r="D16" i="1"/>
  <c r="C19" i="4"/>
  <c r="C20" i="4" s="1"/>
  <c r="B79" i="4" s="1"/>
  <c r="C12" i="1" l="1"/>
  <c r="C11" i="1" s="1"/>
  <c r="B29" i="1"/>
  <c r="B26" i="1"/>
</calcChain>
</file>

<file path=xl/sharedStrings.xml><?xml version="1.0" encoding="utf-8"?>
<sst xmlns="http://schemas.openxmlformats.org/spreadsheetml/2006/main" count="517" uniqueCount="390">
  <si>
    <t>DISCLAIMER: This is a sample analysis for demonstration purposes only. It does not constitute investment advice.</t>
  </si>
  <si>
    <t>ファナック (6954.T)</t>
  </si>
  <si>
    <t>Equity Research Report</t>
  </si>
  <si>
    <t>Company</t>
  </si>
  <si>
    <t>ファナック</t>
  </si>
  <si>
    <t>Ticker</t>
  </si>
  <si>
    <t>6954.T (TSE Prime)</t>
  </si>
  <si>
    <t>Sector</t>
  </si>
  <si>
    <t>電気機器</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</si>
  <si>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</si>
  <si>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</si>
  <si>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</si>
  <si>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</si>
  <si>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</si>
  <si>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</si>
  <si>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</si>
  <si>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</si>
  <si>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</si>
  <si>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</si>
  <si>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</si>
  <si>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</si>
  <si>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</si>
  <si>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</si>
  <si>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</si>
  <si>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</si>
  <si>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ファナック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</si>
  <si>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</si>
  <si>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</si>
  <si>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</si>
  <si>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</si>
  <si>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</si>
  <si>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</si>
  <si>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</si>
  <si>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</si>
  <si>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</si>
  <si>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</si>
  <si>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</si>
  <si>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</si>
  <si>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</si>
  <si>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</si>
  <si>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</si>
  <si>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</si>
  <si>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</si>
  <si>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</si>
  <si>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</si>
  <si>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</si>
  <si>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</si>
  <si>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</si>
  <si>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</si>
  <si>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</si>
  <si>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</si>
  <si>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</si>
  <si>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</si>
  <si>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3/4, Cash 3/4, Debt 0/4 — blank cells are years with no year-key match in the source data (verify against 決算短信 or set hist_ocf / hist_cash / hist_debt in overrides).</t>
  </si>
  <si>
    <t>DCF Valuation Model - ファナック</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</si>
  <si>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</si>
  <si>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</si>
  <si>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</si>
  <si>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</si>
  <si>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</si>
  <si>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</si>
  <si>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</si>
  <si>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</si>
  <si>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</si>
  <si>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</si>
  <si>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</si>
  <si>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</si>
  <si>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</si>
  <si>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</si>
  <si>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</si>
  <si>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</si>
  <si>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</si>
  <si>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</si>
  <si>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</si>
  <si>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</si>
  <si>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</si>
  <si>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</si>
  <si>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</si>
  <si>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</si>
  <si>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</si>
  <si>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</si>
  <si>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</si>
  <si>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</si>
  <si>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</si>
  <si>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</si>
  <si>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</si>
  <si>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</si>
  <si>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</si>
  <si>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</si>
  <si>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</si>
  <si>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</si>
  <si>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</si>
  <si>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</si>
  <si>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</si>
  <si>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</si>
  <si>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</si>
  <si>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</si>
  <si>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</si>
  <si>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</si>
  <si>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</si>
  <si>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</si>
  <si>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</si>
  <si>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</si>
  <si>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</si>
  <si>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</si>
  <si>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</si>
  <si>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</si>
  <si>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</si>
  <si>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</si>
  <si>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</si>
  <si>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</si>
  <si>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</si>
  <si>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</si>
  <si>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</si>
  <si>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</si>
  <si>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</si>
  <si>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</si>
  <si>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</si>
  <si>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ファナック (6954.T)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</si>
  <si>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</si>
  <si>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</si>
  <si>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</si>
  <si>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</si>
  <si>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</si>
  <si>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</si>
  <si>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</si>
  <si>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</si>
  <si>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</si>
  <si>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</si>
  <si>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</si>
  <si>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</si>
  <si>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</si>
  <si>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</si>
  <si>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</si>
  <si>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</si>
  <si>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</si>
  <si>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</si>
  <si>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</si>
  <si>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</si>
  <si>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</si>
  <si>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</si>
  <si>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</si>
  <si>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</si>
  <si>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</si>
  <si>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</si>
  <si>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</si>
  <si>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</si>
  <si>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</si>
  <si>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</si>
  <si>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</si>
  <si>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</si>
  <si>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</si>
  <si>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</si>
  <si>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</si>
  <si>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</si>
  <si>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</si>
  <si>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</si>
  <si>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</si>
  <si>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</si>
  <si>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</si>
  <si>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</si>
  <si>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</si>
  <si>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</si>
  <si>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</si>
  <si>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</si>
  <si>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</si>
  <si>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</si>
  <si>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</si>
  <si>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</si>
  <si>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</si>
  <si>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ファナック</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</si>
  <si>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</si>
  <si>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</si>
  <si>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</si>
  <si>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</si>
  <si>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</si>
  <si>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</si>
  <si>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</si>
  <si>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</si>
  <si>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</si>
  <si>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</si>
  <si>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</si>
  <si>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</si>
  <si>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</si>
  <si>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</si>
  <si>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</si>
  <si>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</si>
  <si>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</si>
  <si>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</si>
  <si>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</si>
  <si>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</si>
  <si>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</si>
  <si>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</si>
  <si>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</si>
  <si>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</si>
  <si>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</si>
  <si>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</si>
  <si>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</si>
  <si>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</si>
  <si>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</si>
  <si>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</si>
  <si>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</si>
  <si>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</si>
  <si>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</si>
  <si>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</si>
  <si>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Fanuc Corporation</t>
  </si>
  <si>
    <t>6954.T</t>
  </si>
  <si>
    <t>Keyence Corporation</t>
  </si>
  <si>
    <t>6861.T</t>
  </si>
  <si>
    <t>SMC Corporation</t>
  </si>
  <si>
    <t>6273.T</t>
  </si>
  <si>
    <t>OMRON Corporation</t>
  </si>
  <si>
    <t>6645.T</t>
  </si>
  <si>
    <t>YASKAWA Electric Corporation</t>
  </si>
  <si>
    <t>6506.T</t>
  </si>
  <si>
    <t>Mitsubishi Electric Corporation</t>
  </si>
  <si>
    <t>6503.T</t>
  </si>
  <si>
    <t>Statistics</t>
  </si>
  <si>
    <t>25th Percentile</t>
  </si>
  <si>
    <t>Median (50th)</t>
  </si>
  <si>
    <t>75th Percentile</t>
  </si>
  <si>
    <t>Implied Valuation for ファナック</t>
  </si>
  <si>
    <t>ファナック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</si>
  <si>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</si>
  <si>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</si>
  <si>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</si>
  <si>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</si>
  <si>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</si>
  <si>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</si>
  <si>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</si>
  <si>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</si>
  <si>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</si>
  <si>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</si>
  <si>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</si>
  <si>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</si>
  <si>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</si>
  <si>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</si>
  <si>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</si>
  <si>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ファナック</t>
  </si>
  <si>
    <t>日付</t>
  </si>
  <si>
    <t>セル</t>
  </si>
  <si>
    <t>変更内容</t>
  </si>
  <si>
    <t>理由</t>
  </si>
  <si>
    <t>元の値</t>
  </si>
  <si>
    <t>状態</t>
  </si>
  <si>
    <t>2026-09-05</t>
  </si>
  <si>
    <t>-</t>
  </si>
  <si>
    <t>Generated by pipeline on 2026-09-05 18:00, template rev c9b5dd9</t>
  </si>
  <si>
    <t>初期生成（手修正なし）</t>
  </si>
  <si>
    <t>generated</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</si>
  <si>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</si>
  <si>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</si>
  <si>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</si>
  <si>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</si>
  <si>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</si>
  <si>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</si>
  <si>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</si>
  <si>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</si>
  <si>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</si>
  <si>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</si>
  <si>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</si>
  <si>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</si>
  <si>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5,511,079百万円。■テンプレートの自動規則(&gt;=1兆円 -&gt; 0.0%、&gt;=1,000億円 -&gt; 1.5%)とは異なる値であり、明示指定で上書きしている。</t>
  </si>
  <si>
    <t>テンプレ自動値</t>
  </si>
  <si>
    <t>DCF Model!C8</t>
  </si>
  <si>
    <t>Beta = 0.93</t>
  </si>
  <si>
    <t>yfinance実測 **0.925** はテンプレのクランプ域 [0.6, 1.75] の**内側**のため素通し（置換なし）。</t>
  </si>
  <si>
    <t>yfinance実測 0.925</t>
  </si>
  <si>
    <t>DCF Model!C6</t>
  </si>
  <si>
    <t>Effective Tax Rate = 25%</t>
  </si>
  <si>
    <t>バッチ共通の既定値(v2 §1-3)。当社の実績税負担率を個別に検証したものではない。</t>
  </si>
  <si>
    <t>テンプレ既定 30%</t>
  </si>
  <si>
    <t>推定</t>
  </si>
  <si>
    <t>DCF Model!C11</t>
  </si>
  <si>
    <t>After-tax Cost of Debt = 1.0%(テンプレ既定値のまま)</t>
  </si>
  <si>
    <t>有利子負債ゼロ・ネットキャッシュ（net_debt −718,071百万円）で D/E = 0 のため、負債コストは WACC に一切寄与しない（WACC = Ke = 10.02%）。</t>
  </si>
  <si>
    <t>テンプレ既定</t>
  </si>
  <si>
    <t>DCF Model!C13</t>
  </si>
  <si>
    <t>Terminal Growth = 1.0%</t>
  </si>
  <si>
    <t>バッチ共通の固定前提(v2 §1-3)。</t>
  </si>
  <si>
    <t>テンプレ既定 2.0%</t>
  </si>
  <si>
    <t>DCF Model!C14</t>
  </si>
  <si>
    <t>Exit Multiple (EV/EBITDA) = 15.6x</t>
  </si>
  <si>
    <t>Peer 5社の実測EV/EBITDA中央値 15.55x（6861 / 6273 / 6645 / 6506 / 6503）。 自社の現在倍率 20.70x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</si>
  <si>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</si>
  <si>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</si>
  <si>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</si>
  <si>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**CLEAN**（金融事業専用科目は1件も検出されず）。銀行・captive finance なし（有利子負債ゼロ）。NonOp/OP +23.8% は巨額現金の受取利息・為替差益。OPMレンジ4.6pt・赤字年なしで型Bにも該当しない。</t>
  </si>
  <si>
    <t>Financial Statements / hist_* / 市場データ / net_debt</t>
  </si>
  <si>
    <t>追補2 §F-2 + 追補3 §L の予防的補完を生成前適用</t>
  </si>
  <si>
    <t>【追補2 §F-2 / 追補3 §L の予防的補完（生成前適用・必須）】根本原因は scripts/generate_dcf.py:66 の _val(data_dict, key, default=0) が欠損値を None ではなく 0 に落とすこと。hist_years を直近4期に置換し hist_revenue / hist_operating_income / hist_net_income / hist_cogs / hist_sga を yfinance連結財務諸表から供給（配列長は全て4で hist_years と一致、契約遵守）。CF/BS 5系列は供給せず Step 4.6 の年度キー再マッピングに委ねる。hist_sga = 売上 − COGS − 営業利益 で逆算。**追補3 §L に従い current_price / shares_outstanding も予防的に明示指定**（プレースホルダ降格の回避＋再現性確保）。**net_debt も明示指定**（EDINET の有利子負債抽出が 0 に落ちる既知パターンの予防）。■**結果として初回生成で合格（リトライ0回）**。</t>
  </si>
  <si>
    <t>EDINET自動抽出値</t>
  </si>
  <si>
    <t>Comps Analysis / core_ebitda</t>
  </si>
  <si>
    <t>core_ebitda = 231,545百万円 を明示指定（営業利益 183,763 + D&amp;A 47,782）</t>
  </si>
  <si>
    <t>【追補2 §G】core_ebitda を明示指定（= 直近営業利益 + 直近CF計算書D&amp;A）。Peer と同一定義に揃えるため予防的に指定し、生成後に batch/check_core_ebitda.py で comps CSV 自社行との一致を確認済み（品質ゲート合格）。</t>
  </si>
  <si>
    <t>EDINET由来の自動計算値</t>
  </si>
  <si>
    <t>DCF Model!C5 / C18</t>
  </si>
  <si>
    <t>capex_method / da_method とも revenue_pct(capex 5.88% / D&amp;A 5.60%)</t>
  </si>
  <si>
    <t>実績は capex 2.5-6.8% / D&amp;A 5.6-6.2%。ターミナル比率 1.050x でレンジ内（validate チェック9 PASS）。■**直近 FY2026/3 の capex は 21,181百万円（売上比2.5%）と D&amp;A 47,782 の半分以下まで落ちている**。Base はこれが D&amp;A 水準（5.88%）へ戻ることを仮定しており、**近い将来のFCFはその分保守的に出る**。逆に会社が過少投資を続ければ報告FCFは本モデルより高くなるが、それは持続的な姿ではない。</t>
  </si>
  <si>
    <t>DCF Model シナリオ5本</t>
  </si>
  <si>
    <t>実績OPM分布からの導出(min 17.85 / p25 19.41 / med 20.67 / p75 21.68 / max 22.46%、直近 21.42%)</t>
  </si>
  <si>
    <t>直近が中央値を上回るため Base 到達OPM = (直近実績 + p75)/2 = 21.55%(実質横ばい)。Upside は max(p75 21.68, 直近+1.0pt = 22.42) = 22.42%。Downside 1 は min(p25 19.41, 直近 21.42) = 19.41%。Downside 2 は実績トラフ 17.85%(FY2024/3実績、直近と乖離した実在の谷)を起点に売上-12%を重ねた。■SGA% は yfinance から取得できないため COGS% を直近実績 61.7% に固定し逆算した。既存銘柄からの流用なし。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</si>
  <si>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</si>
  <si>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</si>
  <si>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</si>
  <si>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</si>
  <si>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</si>
  <si>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</si>
  <si>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71 / DIH 230 / DPO 32 日</t>
  </si>
  <si>
    <t>実績4期平均。DPO 32日が短く、在庫230日との差が大きいため運転資本の資金拘束が重い。</t>
  </si>
  <si>
    <t>Comps Analysis</t>
  </si>
  <si>
    <t>Peer 5社 = 6861 キーエンス / 6273 SMC / 6645 オムロン / 6506 安川電機 / 6503 三菱電機</t>
  </si>
  <si>
    <t>■選定理由: ファクトリーオートメーション（FA）機器。■時価総額バンド（1.65〜16.5兆円）から外れる 6645 オムロン(1.22兆) / 6506 安川電機(1.19兆) を FA としての事業比較可能性を優先して採用した。6861(18.8兆) も僅かに上限外。■海外Peer（ABB / Siemens / Rockwell）は真の比較対象だが v2 §5 により不使用。■D&amp;A取得状況: 全6社で減価償却費を取得でき統一。**D&amp;A欠損による除外はゼロ**（validate チェック12 PASS）。</t>
  </si>
  <si>
    <t>Executive Summary!C10 / Target</t>
  </si>
  <si>
    <t>Target Price = 3,290円 = PGM 2,401円 と Exit 4,178円 の2本平均。Comps 2本(EV/EBITDA 4,648円 / PER 6,029円)は [参考・Target不算入]</t>
  </si>
  <si>
    <t>メモ§2 の規約どおり。validate チェック14 PASS(C10 が C16:C17 のみを平均)。EV&lt;net_debt による INVALID 化は発生していない（ネットキャッシュのため）。自社の実測 EV/EBITDA 20.70x は Peer中央値 15.55x の 1.33倍で、Exit 法は保守側に振れている。</t>
  </si>
  <si>
    <t>全体(納品状態)</t>
  </si>
  <si>
    <t>本ファイルは DRAFT。_FINAL は付けない</t>
  </si>
  <si>
    <t>バッチモードでの機械生成物であり人間の検証を経ていない。FINAL化は手順書v2 §6 に従い検証後に行う。</t>
  </si>
  <si>
    <t>DRAFT</t>
  </si>
  <si>
    <t>全体(未解決)</t>
  </si>
  <si>
    <t>**直近 capex が D&amp;A の半分以下（売上比2.5%）まで落ちている**</t>
  </si>
  <si>
    <t>Base は5年で D&amp;A 水準（5.88%）へ戻ると仮定しており、近い将来のFCFはその分保守的に出る。過少投資が一時的な需要低迷への対応なのか構造的な資産効率改善なのかで Target が変わる。</t>
  </si>
  <si>
    <t>未解決</t>
  </si>
  <si>
    <t>売上が3年間ほぼ横ばい（3年CAGR 0.23%）</t>
  </si>
  <si>
    <t>マージンは回復したが売上は伸びていない。Base の成長パス（Y1 +5.0%）は設備投資回復を前提としており、報告売上はまだそれを示していない。</t>
  </si>
  <si>
    <t>中国向け需要への依存</t>
  </si>
  <si>
    <t>工作機械・ロボットの受注は中国の設備投資動向に大きく左右されるが、その集中も為替感応度も本モデルの WACC 10.02% には織り込まれていない。</t>
  </si>
  <si>
    <t>Pipeline Metadata (do not edit — read by scripts/validate_output.py)</t>
  </si>
  <si>
    <t>key</t>
  </si>
  <si>
    <t>value</t>
  </si>
  <si>
    <t>auto_log_entries</t>
  </si>
  <si>
    <t>0</t>
  </si>
  <si>
    <t>capex_pct_basis</t>
  </si>
  <si>
    <t>assumption</t>
  </si>
  <si>
    <t>capex_pct_c5</t>
  </si>
  <si>
    <t>0.0588</t>
  </si>
  <si>
    <t>capex_pct_hist3yr</t>
  </si>
  <si>
    <t>0.047879</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</si>
  <si>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</si>
  <si>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</si>
  <si>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</si>
  <si>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</si>
  <si>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</si>
  <si>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</si>
  <si>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</si>
  <si>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</si>
  <si>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</si>
  <si>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</si>
  <si>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</si>
  <si>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</si>
  <si>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</si>
  <si>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</si>
  <si>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</si>
  <si>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</si>
  <si>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</si>
  <si>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</si>
  <si>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cost_of_debt_at_c11</t>
  </si>
  <si>
    <t>0.01</t>
  </si>
  <si>
    <t>cost_of_debt_basis</t>
  </si>
  <si>
    <t>da_pct_basis</t>
  </si>
  <si>
    <t>da_pct_c18</t>
  </si>
  <si>
    <t>0.056</t>
  </si>
  <si>
    <t>da_pct_hist3yr</t>
  </si>
  <si>
    <t>0.058528</t>
  </si>
  <si>
    <t>fs_year_coverage</t>
  </si>
  <si>
    <t>OCF 3/4, Cash 3/4, Debt 0/4</t>
  </si>
  <si>
    <t>fs_year_map</t>
  </si>
  <si>
    <t>FY2023&lt;-BLANK[]; FY2024&lt;-FY2024[ocf+cash]; FY2025&lt;-FY2025[ocf+cash]; FY2026&lt;-FY2026[ocf+cash]</t>
  </si>
  <si>
    <t>fs_year_sources</t>
  </si>
  <si>
    <t>overrides: none | EDINET year-key match: hist_ocf, hist_cash, hist_debt, hist_capex, hist_depreciation</t>
  </si>
  <si>
    <t>fx_sensitivity</t>
  </si>
  <si>
    <t>not enabled</t>
  </si>
  <si>
    <t>generated_at</t>
  </si>
  <si>
    <t>2026-09-05 18:00:20</t>
  </si>
  <si>
    <t>ltm_revenue_c20</t>
  </si>
  <si>
    <t>857831.0</t>
  </si>
  <si>
    <t>ltm_revenue_source</t>
  </si>
  <si>
    <t>latest FY (no LTM)</t>
  </si>
  <si>
    <t>narrative_tokens_used</t>
  </si>
  <si>
    <t>pb,per,price,target_price,upside_pct,wacc</t>
  </si>
  <si>
    <t>reverse_dcf_sheet</t>
  </si>
  <si>
    <t>op0=183,763(FY2026) peak=191,359(FY2023) peak_opm=0.2246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</si>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</sst>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5931</v>
      </c>
    </row>
    <row r="10" spans="2:5" ht="14" customHeight="1" x14ac:dyDescent="0.3">
      <c r="B10" s="4" t="s">
        <v>10</v>
      </c>
      <c r="C10" s="5">
        <f>IF(COUNT(C16:C17)=0,"N/A",ROUND(AVERAGE(C16:C17),0))</f>
        <v>3290</v>
      </c>
    </row>
    <row r="11" spans="2:5" ht="14" customHeight="1" x14ac:dyDescent="0.3">
      <c r="B11" s="4" t="s">
        <v>11</v>
      </c>
      <c r="C11" s="6" t="str">
        <f>IF(NOT(ISNUMBER(C12)),"N/A",IF(C12&gt;0.15,"BUY",IF(C12&gt;0.05,"HOLD","SELL")))</f>
        <v>SELL</v>
      </c>
    </row>
    <row r="12" spans="2:5" ht="14" customHeight="1" x14ac:dyDescent="0.3">
      <c r="B12" s="4" t="s">
        <v>12</v>
      </c>
      <c r="C12" s="7">
        <f>IF(ISNUMBER(C10),(C10-C9)/C9,"N/A")</f>
        <v>-0.44528747260158491</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2401</v>
      </c>
      <c r="D16" s="7">
        <f>IF(ISNUMBER(C16),(C16-C9)/C9,"N/A")</f>
        <v>-0.59517787894115659</v>
      </c>
    </row>
    <row r="17" spans="2:5" ht="13.5" customHeight="1" x14ac:dyDescent="0.25">
      <c r="B17" t="s">
        <v>18</v>
      </c>
      <c r="C17" s="11">
        <f>IF('DCF Model'!C62&lt;'DCF Model'!C16,"INVALID (EV &lt; net debt)",'DCF Model'!C64)</f>
        <v>4178</v>
      </c>
      <c r="D17" s="7">
        <f>IF(ISNUMBER(C17),(C17-C9)/C9,"N/A")</f>
        <v>-0.29556567189344124</v>
      </c>
    </row>
    <row r="18" spans="2:5" ht="13.5" customHeight="1" x14ac:dyDescent="0.25">
      <c r="B18" t="s">
        <v>19</v>
      </c>
      <c r="C18" s="11">
        <f>'Comps Analysis'!C27</f>
        <v>4648</v>
      </c>
      <c r="D18" s="7">
        <f>IF(ISNUMBER(C18),(C18-C9)/C9,"N/A")</f>
        <v>-0.21632102512223908</v>
      </c>
    </row>
    <row r="19" spans="2:5" ht="13.5" customHeight="1" x14ac:dyDescent="0.25">
      <c r="B19" t="s">
        <v>20</v>
      </c>
      <c r="C19" s="11">
        <f>'Comps Analysis'!C28</f>
        <v>6029</v>
      </c>
      <c r="D19" s="7">
        <f>IF(ISNUMBER(C19),(C19-C9)/C9,"N/A")</f>
        <v>1.652335187995279E-2</v>
      </c>
    </row>
    <row r="20" spans="2:5" ht="14" customHeight="1" x14ac:dyDescent="0.3">
      <c r="B20" s="46" t="s">
        <v>21</v>
      </c>
      <c r="C20" s="45"/>
      <c r="D20" s="45"/>
      <c r="E20" s="45"/>
    </row>
    <row r="21" spans="2:5" ht="14" customHeight="1" x14ac:dyDescent="0.3">
      <c r="B21" s="4" t="s">
        <v>22</v>
      </c>
      <c r="C21" s="6" t="str">
        <f>IF(COUNT(C16:C17)=0,"N/A",MIN(C16:C17)&amp;" - "&amp;MAX(C16:C17))</f>
        <v>2401 - 4178</v>
      </c>
    </row>
    <row r="23" spans="2:5" ht="14" customHeight="1" x14ac:dyDescent="0.3">
      <c r="B23" s="8" t="s">
        <v>23</v>
      </c>
      <c r="C23" s="9"/>
      <c r="D23" s="9"/>
    </row>
    <row r="24" spans="2:5" x14ac:dyDescent="0.2">
      <c r="B24" t="str">
        <f>"Fanuc supplies CNC controls and industrial robots with an installed base that generates recurring service revenue, and the operating margin has recovered to the upper half of its four-year range; the shares trade at "&amp;TEXT('Comps Analysis'!L5,"0.0""x""")&amp;" earnings and "&amp;TEXT('Comps Analysis'!M5,"0.00""x""")&amp;" book."</f>
        <v>Fanuc supplies CNC controls and industrial robots with an installed base that generates recurring service revenue, and the operating margin has recovered to the upper half of its four-year range; the shares trade at 33.1x earnings and 2.96x book.</v>
      </c>
    </row>
    <row r="25" spans="2:5" x14ac:dyDescent="0.2">
      <c r="B25" t="str">
        <f>"The balance sheet holds substantial net cash with no interest-bearing debt, so the "&amp;TEXT('DCF Model'!C26,"0.00%")&amp;" discount rate is the cost of equity with no leverage assumed."</f>
        <v>The balance sheet holds substantial net cash with no interest-bearing debt, so the 10.02% discount rate is the cost of equity with no leverage assumed.</v>
      </c>
    </row>
    <row r="26" spans="2:5" x14ac:dyDescent="0.2">
      <c r="B26" t="str">
        <f>"At "&amp;TEXT(C9,"#,##0")&amp;" the shares are valued above the automation peer median on EV/EBITDA; this model values the exit on the peer median rather than on that premium, which is why "&amp;TEXT(C10,"#,##0")&amp;" sits "&amp;TEXT(C12,"+0.0%;-0.0%")&amp;" from here."</f>
        <v>At 5,931 the shares are valued above the automation peer median on EV/EBITDA; this model values the exit on the peer median rather than on that premium, which is why 3,290 sits -44.5% from here.</v>
      </c>
    </row>
    <row r="28" spans="2:5" ht="14" customHeight="1" x14ac:dyDescent="0.3">
      <c r="B28" s="8" t="s">
        <v>24</v>
      </c>
      <c r="C28" s="9"/>
      <c r="D28" s="9"/>
    </row>
    <row r="29" spans="2:5" x14ac:dyDescent="0.2">
      <c r="B29" t="str">
        <f>"Revenue has been essentially flat for three years while the margin recovered, so the base-case growth path behind "&amp;TEXT(C10,"#,##0")&amp;" rests on a capital-spending recovery the filings have not yet shown."</f>
        <v>Revenue has been essentially flat for three years while the margin recovered, so the base-case growth path behind 3,290 rests on a capital-spending recovery the filings have not yet shown.</v>
      </c>
    </row>
    <row r="30" spans="2:5" x14ac:dyDescent="0.2">
      <c r="B30" t="str">
        <f>"Capital expenditure fell to half of depreciation in the latest year; the base case assumes it returns to the depreciation level, and if the company keeps under-investing the reported free cash flow flatters the "&amp;TEXT('Comps Analysis'!L5,"0.0""x""")&amp;" the market pays."</f>
        <v>Capital expenditure fell to half of depreciation in the latest year; the base case assumes it returns to the depreciation level, and if the company keeps under-investing the reported free cash flow flatters the 33.1x the market pays.</v>
      </c>
    </row>
    <row r="31" spans="2:5" x14ac:dyDescent="0.2">
      <c r="B31" t="str">
        <f>"Chinese machine-tool and robot demand drives a large share of orders, and neither that concentration nor the currency exposure is reflected in the "&amp;TEXT('DCF Model'!C26,"0.00%")&amp;" used here."</f>
        <v>Chinese machine-tool and robot demand drives a large share of orders, and neither that concentration nor the currency exposure is reflected in the 10.02% used here.</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25</v>
      </c>
    </row>
    <row r="4" spans="2:6" ht="14" customHeight="1" x14ac:dyDescent="0.3">
      <c r="C4" s="10" t="s">
        <v>26</v>
      </c>
      <c r="D4" s="10" t="s">
        <v>27</v>
      </c>
      <c r="E4" s="10" t="s">
        <v>28</v>
      </c>
      <c r="F4" s="10" t="s">
        <v>29</v>
      </c>
    </row>
    <row r="5" spans="2:6" ht="14" customHeight="1" x14ac:dyDescent="0.3">
      <c r="B5" s="3" t="s">
        <v>30</v>
      </c>
    </row>
    <row r="6" spans="2:6" ht="14" customHeight="1" x14ac:dyDescent="0.3">
      <c r="B6" s="4" t="s">
        <v>31</v>
      </c>
      <c r="C6" s="5">
        <v>851956</v>
      </c>
      <c r="D6" s="5">
        <v>795274</v>
      </c>
      <c r="E6" s="5">
        <v>797129</v>
      </c>
      <c r="F6" s="5">
        <v>857831</v>
      </c>
    </row>
    <row r="7" spans="2:6" ht="14" customHeight="1" x14ac:dyDescent="0.3">
      <c r="B7" s="4" t="s">
        <v>32</v>
      </c>
      <c r="C7" s="5">
        <v>526549</v>
      </c>
      <c r="D7" s="5">
        <v>519430</v>
      </c>
      <c r="E7" s="5">
        <v>502204</v>
      </c>
      <c r="F7" s="5">
        <v>529365</v>
      </c>
    </row>
    <row r="8" spans="2:6" ht="14" customHeight="1" x14ac:dyDescent="0.3">
      <c r="B8" s="4" t="s">
        <v>33</v>
      </c>
      <c r="C8" s="5">
        <f>C6-C7</f>
        <v>325407</v>
      </c>
      <c r="D8" s="5">
        <f>D6-D7</f>
        <v>275844</v>
      </c>
      <c r="E8" s="5">
        <f>E6-E7</f>
        <v>294925</v>
      </c>
      <c r="F8" s="5">
        <f>F6-F7</f>
        <v>328466</v>
      </c>
    </row>
    <row r="9" spans="2:6" ht="13.5" customHeight="1" x14ac:dyDescent="0.25">
      <c r="B9" t="s">
        <v>34</v>
      </c>
      <c r="C9" s="7">
        <f>C8/C6</f>
        <v>0.38195282385475304</v>
      </c>
      <c r="D9" s="7">
        <f>D8/D6</f>
        <v>0.34685404024273397</v>
      </c>
      <c r="E9" s="7">
        <f>E8/E6</f>
        <v>0.36998403018833842</v>
      </c>
      <c r="F9" s="7">
        <f>F8/F6</f>
        <v>0.38290292610082871</v>
      </c>
    </row>
    <row r="10" spans="2:6" ht="14" customHeight="1" x14ac:dyDescent="0.3">
      <c r="B10" s="4" t="s">
        <v>35</v>
      </c>
      <c r="C10" s="5">
        <v>134048</v>
      </c>
      <c r="D10" s="5">
        <v>133925</v>
      </c>
      <c r="E10" s="5">
        <v>136079</v>
      </c>
      <c r="F10" s="5">
        <v>144703</v>
      </c>
    </row>
    <row r="11" spans="2:6" ht="14" customHeight="1" x14ac:dyDescent="0.3">
      <c r="B11" s="4" t="s">
        <v>36</v>
      </c>
      <c r="C11" s="5">
        <v>191359</v>
      </c>
      <c r="D11" s="5">
        <v>141919</v>
      </c>
      <c r="E11" s="5">
        <v>158846</v>
      </c>
      <c r="F11" s="5">
        <v>183763</v>
      </c>
    </row>
    <row r="12" spans="2:6" ht="14" customHeight="1" x14ac:dyDescent="0.3">
      <c r="B12" s="4" t="s">
        <v>37</v>
      </c>
      <c r="C12" s="5">
        <v>170587</v>
      </c>
      <c r="D12" s="5">
        <v>133159</v>
      </c>
      <c r="E12" s="5">
        <v>147557</v>
      </c>
      <c r="F12" s="5">
        <v>166543</v>
      </c>
    </row>
    <row r="13" spans="2:6" ht="13.5" customHeight="1" x14ac:dyDescent="0.25">
      <c r="B13" t="s">
        <v>38</v>
      </c>
      <c r="C13" s="7">
        <f>C11/C6</f>
        <v>0.22461136490616887</v>
      </c>
      <c r="D13" s="7">
        <f>D11/D6</f>
        <v>0.17845296086631776</v>
      </c>
      <c r="E13" s="7">
        <f>E11/E6</f>
        <v>0.19927263968567197</v>
      </c>
      <c r="F13" s="7">
        <f>F11/F6</f>
        <v>0.21421818516700841</v>
      </c>
    </row>
    <row r="14" spans="2:6" ht="13.5" customHeight="1" x14ac:dyDescent="0.25">
      <c r="B14" t="s">
        <v>39</v>
      </c>
      <c r="C14" s="7">
        <f>C12/C6</f>
        <v>0.20022982407542173</v>
      </c>
      <c r="D14" s="7">
        <f>D12/D6</f>
        <v>0.16743788933122419</v>
      </c>
      <c r="E14" s="7">
        <f>E12/E6</f>
        <v>0.18511056554208918</v>
      </c>
      <c r="F14" s="7">
        <f>F12/F6</f>
        <v>0.19414430115022657</v>
      </c>
    </row>
    <row r="15" spans="2:6" ht="13.5" customHeight="1" x14ac:dyDescent="0.25">
      <c r="B15" t="s">
        <v>40</v>
      </c>
      <c r="C15" t="s">
        <v>41</v>
      </c>
      <c r="D15" s="7">
        <f>(D6-C6)/C6</f>
        <v>-6.6531604918563872E-2</v>
      </c>
      <c r="E15" s="7">
        <f>(E6-D6)/D6</f>
        <v>2.3325294175340827E-3</v>
      </c>
      <c r="F15" s="7">
        <f>(F6-E6)/E6</f>
        <v>7.615078613373745E-2</v>
      </c>
    </row>
    <row r="16" spans="2:6" ht="13.5" customHeight="1" x14ac:dyDescent="0.25">
      <c r="B16" t="s">
        <v>42</v>
      </c>
      <c r="C16" t="s">
        <v>41</v>
      </c>
      <c r="D16" s="7">
        <f>(D11-C11)/C11</f>
        <v>-0.25836255415214338</v>
      </c>
      <c r="E16" s="7">
        <f>(E11-D11)/D11</f>
        <v>0.11927226093757706</v>
      </c>
      <c r="F16" s="7">
        <f>(F11-E11)/E11</f>
        <v>0.15686262165871348</v>
      </c>
    </row>
    <row r="18" spans="2:6" ht="14" customHeight="1" x14ac:dyDescent="0.3">
      <c r="B18" s="3" t="s">
        <v>43</v>
      </c>
    </row>
    <row r="19" spans="2:6" ht="14" customHeight="1" x14ac:dyDescent="0.3">
      <c r="B19" s="4" t="s">
        <v>44</v>
      </c>
      <c r="C19" s="5"/>
      <c r="D19" s="5">
        <v>171764</v>
      </c>
      <c r="E19" s="5">
        <v>255273</v>
      </c>
      <c r="F19" s="5">
        <v>250896</v>
      </c>
    </row>
    <row r="20" spans="2:6" ht="14" customHeight="1" x14ac:dyDescent="0.3">
      <c r="B20" s="4" t="s">
        <v>45</v>
      </c>
      <c r="C20" s="5"/>
      <c r="D20" s="5">
        <v>53884</v>
      </c>
      <c r="E20" s="5">
        <v>40805</v>
      </c>
      <c r="F20" s="5">
        <v>21181</v>
      </c>
    </row>
    <row r="21" spans="2:6" ht="14" customHeight="1" x14ac:dyDescent="0.3">
      <c r="B21" s="4" t="s">
        <v>46</v>
      </c>
      <c r="D21" s="5">
        <f>D19-D20</f>
        <v>117880</v>
      </c>
      <c r="E21" s="5">
        <f>E19-E20</f>
        <v>214468</v>
      </c>
      <c r="F21" s="5">
        <f>F19-F20</f>
        <v>229715</v>
      </c>
    </row>
    <row r="22" spans="2:6" ht="13.5" customHeight="1" x14ac:dyDescent="0.25">
      <c r="B22" t="s">
        <v>47</v>
      </c>
      <c r="D22" s="7">
        <f>D21/D6</f>
        <v>0.14822564298593943</v>
      </c>
      <c r="E22" s="7">
        <f>E21/E6</f>
        <v>0.2690505551799019</v>
      </c>
      <c r="F22" s="7">
        <f>F21/F6</f>
        <v>0.26778584593002586</v>
      </c>
    </row>
    <row r="23" spans="2:6" ht="13.5" customHeight="1" x14ac:dyDescent="0.25">
      <c r="B23" t="s">
        <v>48</v>
      </c>
      <c r="D23" s="7">
        <f>D20/D6</f>
        <v>6.7755264223399739E-2</v>
      </c>
      <c r="E23" s="7">
        <f>E20/E6</f>
        <v>5.1189957961634815E-2</v>
      </c>
      <c r="F23" s="7">
        <f>F20/F6</f>
        <v>2.4691343632953344E-2</v>
      </c>
    </row>
    <row r="25" spans="2:6" ht="14" customHeight="1" x14ac:dyDescent="0.3">
      <c r="B25" s="3" t="s">
        <v>49</v>
      </c>
    </row>
    <row r="26" spans="2:6" ht="14" customHeight="1" x14ac:dyDescent="0.3">
      <c r="B26" s="4" t="s">
        <v>50</v>
      </c>
      <c r="C26" s="5"/>
      <c r="D26" s="5">
        <v>526881</v>
      </c>
      <c r="E26" s="5">
        <v>590504</v>
      </c>
      <c r="F26" s="5">
        <v>718071</v>
      </c>
    </row>
    <row r="27" spans="2:6" ht="14" customHeight="1" x14ac:dyDescent="0.3">
      <c r="B27" s="4" t="s">
        <v>51</v>
      </c>
      <c r="C27" s="5"/>
      <c r="D27" s="5"/>
      <c r="E27" s="5"/>
      <c r="F27" s="5"/>
    </row>
    <row r="28" spans="2:6" ht="14" customHeight="1" x14ac:dyDescent="0.3">
      <c r="B28" s="4" t="s">
        <v>52</v>
      </c>
    </row>
    <row r="30" spans="2:6" ht="14" customHeight="1" x14ac:dyDescent="0.3">
      <c r="B30" s="1" t="s">
        <v>53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54</v>
      </c>
    </row>
    <row r="4" spans="2:7" ht="14" customHeight="1" x14ac:dyDescent="0.3">
      <c r="B4" s="8" t="s">
        <v>55</v>
      </c>
      <c r="C4" s="9"/>
      <c r="D4" s="9"/>
      <c r="E4" s="9"/>
      <c r="F4" s="9"/>
      <c r="G4" s="9"/>
    </row>
    <row r="5" spans="2:7" ht="14" customHeight="1" x14ac:dyDescent="0.3">
      <c r="B5" s="4" t="s">
        <v>48</v>
      </c>
      <c r="C5" s="7">
        <v>5.8799999999999998E-2</v>
      </c>
    </row>
    <row r="6" spans="2:7" ht="14" customHeight="1" x14ac:dyDescent="0.3">
      <c r="B6" s="4" t="s">
        <v>56</v>
      </c>
      <c r="C6" s="7">
        <v>0.25</v>
      </c>
    </row>
    <row r="7" spans="2:7" ht="14" customHeight="1" x14ac:dyDescent="0.3">
      <c r="B7" s="4" t="s">
        <v>57</v>
      </c>
      <c r="C7" s="7">
        <v>2.9700000000000001E-2</v>
      </c>
    </row>
    <row r="8" spans="2:7" ht="14" customHeight="1" x14ac:dyDescent="0.3">
      <c r="B8" s="4" t="s">
        <v>58</v>
      </c>
      <c r="C8" s="12">
        <v>0.93</v>
      </c>
    </row>
    <row r="9" spans="2:7" ht="14" customHeight="1" x14ac:dyDescent="0.3">
      <c r="B9" s="4" t="s">
        <v>59</v>
      </c>
      <c r="C9" s="7">
        <v>6.5000000000000002E-2</v>
      </c>
    </row>
    <row r="10" spans="2:7" ht="14" customHeight="1" x14ac:dyDescent="0.3">
      <c r="B10" s="4" t="s">
        <v>60</v>
      </c>
      <c r="C10" s="7">
        <v>0.01</v>
      </c>
    </row>
    <row r="11" spans="2:7" ht="14" customHeight="1" x14ac:dyDescent="0.3">
      <c r="B11" s="4" t="s">
        <v>61</v>
      </c>
      <c r="C11" s="7">
        <v>0.01</v>
      </c>
    </row>
    <row r="12" spans="2:7" ht="14" customHeight="1" x14ac:dyDescent="0.3">
      <c r="B12" s="4" t="s">
        <v>62</v>
      </c>
      <c r="C12" s="13">
        <v>0</v>
      </c>
    </row>
    <row r="13" spans="2:7" ht="14" customHeight="1" x14ac:dyDescent="0.3">
      <c r="B13" s="4" t="s">
        <v>63</v>
      </c>
      <c r="C13" s="7">
        <v>0.01</v>
      </c>
    </row>
    <row r="14" spans="2:7" ht="14" customHeight="1" x14ac:dyDescent="0.3">
      <c r="B14" s="4" t="s">
        <v>64</v>
      </c>
      <c r="C14" s="14">
        <v>15.6</v>
      </c>
    </row>
    <row r="15" spans="2:7" ht="14" customHeight="1" x14ac:dyDescent="0.3">
      <c r="B15" s="4" t="s">
        <v>65</v>
      </c>
      <c r="C15" s="15">
        <v>929200798</v>
      </c>
    </row>
    <row r="16" spans="2:7" ht="14" customHeight="1" x14ac:dyDescent="0.3">
      <c r="B16" s="4" t="s">
        <v>66</v>
      </c>
      <c r="C16" s="5">
        <v>-718071</v>
      </c>
    </row>
    <row r="17" spans="2:7" ht="14" customHeight="1" x14ac:dyDescent="0.3">
      <c r="B17" s="4" t="s">
        <v>67</v>
      </c>
      <c r="C17" s="5">
        <v>857831</v>
      </c>
    </row>
    <row r="18" spans="2:7" ht="14" customHeight="1" x14ac:dyDescent="0.3">
      <c r="B18" s="4" t="s">
        <v>68</v>
      </c>
      <c r="C18" s="7">
        <v>5.6000000000000001E-2</v>
      </c>
    </row>
    <row r="19" spans="2:7" ht="14" customHeight="1" x14ac:dyDescent="0.3">
      <c r="B19" s="4" t="s">
        <v>69</v>
      </c>
      <c r="C19" s="12">
        <v>1</v>
      </c>
    </row>
    <row r="20" spans="2:7" ht="14" customHeight="1" x14ac:dyDescent="0.3">
      <c r="B20" s="4" t="s">
        <v>70</v>
      </c>
      <c r="C20" s="5">
        <v>857831</v>
      </c>
    </row>
    <row r="22" spans="2:7" ht="14" customHeight="1" x14ac:dyDescent="0.3">
      <c r="B22" s="8" t="s">
        <v>71</v>
      </c>
      <c r="C22" s="9"/>
      <c r="D22" s="9"/>
      <c r="E22" s="9"/>
      <c r="F22" s="9"/>
      <c r="G22" s="9"/>
    </row>
    <row r="23" spans="2:7" ht="14" customHeight="1" x14ac:dyDescent="0.3">
      <c r="B23" s="4" t="s">
        <v>72</v>
      </c>
      <c r="C23" s="16">
        <f>C7+C8*C9+C10</f>
        <v>0.10015</v>
      </c>
    </row>
    <row r="24" spans="2:7" ht="14" customHeight="1" x14ac:dyDescent="0.3">
      <c r="B24" s="4" t="s">
        <v>73</v>
      </c>
      <c r="C24" s="16">
        <f>1/(1+C12)</f>
        <v>1</v>
      </c>
    </row>
    <row r="25" spans="2:7" ht="14" customHeight="1" x14ac:dyDescent="0.3">
      <c r="B25" s="4" t="s">
        <v>74</v>
      </c>
      <c r="C25" s="16">
        <f>C12/(1+C12)</f>
        <v>0</v>
      </c>
    </row>
    <row r="26" spans="2:7" ht="14" customHeight="1" x14ac:dyDescent="0.3">
      <c r="B26" s="4" t="s">
        <v>75</v>
      </c>
      <c r="C26" s="16">
        <f>C23*C24+C11*C25</f>
        <v>0.10015</v>
      </c>
    </row>
    <row r="27" spans="2:7" ht="14" customHeight="1" x14ac:dyDescent="0.3">
      <c r="B27" s="4" t="s">
        <v>76</v>
      </c>
      <c r="C27" s="17" t="s">
        <v>77</v>
      </c>
      <c r="D27" s="6">
        <f>MATCH(C27,B69:B73,0)</f>
        <v>1</v>
      </c>
    </row>
    <row r="28" spans="2:7" ht="14" customHeight="1" x14ac:dyDescent="0.3">
      <c r="B28" s="8" t="s">
        <v>78</v>
      </c>
      <c r="C28" s="9"/>
      <c r="D28" s="9"/>
      <c r="E28" s="9"/>
      <c r="F28" s="9"/>
      <c r="G28" s="9"/>
    </row>
    <row r="29" spans="2:7" ht="14" customHeight="1" x14ac:dyDescent="0.3">
      <c r="C29" s="10" t="s">
        <v>79</v>
      </c>
      <c r="D29" s="10" t="s">
        <v>80</v>
      </c>
      <c r="E29" s="10" t="s">
        <v>81</v>
      </c>
      <c r="F29" s="10" t="s">
        <v>82</v>
      </c>
      <c r="G29" s="10" t="s">
        <v>83</v>
      </c>
    </row>
    <row r="30" spans="2:7" ht="14" customHeight="1" x14ac:dyDescent="0.3">
      <c r="B30" s="4" t="s">
        <v>40</v>
      </c>
      <c r="C30" s="18">
        <f>CHOOSE($D$27,C69,C70,C71,C72,C73)</f>
        <v>0.05</v>
      </c>
      <c r="D30" s="18">
        <f>CHOOSE($D$27,D69,D70,D71,D72,D73)</f>
        <v>0.04</v>
      </c>
      <c r="E30" s="18">
        <f>CHOOSE($D$27,E69,E70,E71,E72,E73)</f>
        <v>3.5000000000000003E-2</v>
      </c>
      <c r="F30" s="18">
        <f>CHOOSE($D$27,F69,F70,F71,F72,F73)</f>
        <v>0.03</v>
      </c>
      <c r="G30" s="18">
        <f>CHOOSE($D$27,G69,G70,G71,G72,G73)</f>
        <v>2.5000000000000001E-2</v>
      </c>
    </row>
    <row r="31" spans="2:7" ht="14" customHeight="1" x14ac:dyDescent="0.3">
      <c r="B31" s="4" t="s">
        <v>84</v>
      </c>
      <c r="C31" s="18">
        <f>CHOOSE($D$27,C76,C77,C78,C79,C80)</f>
        <v>0.61699999999999999</v>
      </c>
      <c r="D31" s="18">
        <f>CHOOSE($D$27,D76,D77,D78,D79,D80)</f>
        <v>0.61699999999999999</v>
      </c>
      <c r="E31" s="18">
        <f>CHOOSE($D$27,E76,E77,E78,E79,E80)</f>
        <v>0.61699999999999999</v>
      </c>
      <c r="F31" s="18">
        <f>CHOOSE($D$27,F76,F77,F78,F79,F80)</f>
        <v>0.61699999999999999</v>
      </c>
      <c r="G31" s="18">
        <f>CHOOSE($D$27,G76,G77,G78,G79,G80)</f>
        <v>0.61699999999999999</v>
      </c>
    </row>
    <row r="32" spans="2:7" ht="14" customHeight="1" x14ac:dyDescent="0.3">
      <c r="B32" s="4" t="s">
        <v>85</v>
      </c>
      <c r="C32" s="18">
        <f>CHOOSE($D$27,C83,C84,C85,C86,C87)</f>
        <v>0.16850000000000001</v>
      </c>
      <c r="D32" s="18">
        <f>CHOOSE($D$27,D83,D84,D85,D86,D87)</f>
        <v>0.16819999999999999</v>
      </c>
      <c r="E32" s="18">
        <f>CHOOSE($D$27,E83,E84,E85,E86,E87)</f>
        <v>0.16789999999999999</v>
      </c>
      <c r="F32" s="18">
        <f>CHOOSE($D$27,F83,F84,F85,F86,F87)</f>
        <v>0.16769999999999999</v>
      </c>
      <c r="G32" s="18">
        <f>CHOOSE($D$27,G83,G84,G85,G86,G87)</f>
        <v>0.16750000000000001</v>
      </c>
    </row>
    <row r="33" spans="2:7" ht="14" customHeight="1" x14ac:dyDescent="0.3">
      <c r="B33" s="4" t="s">
        <v>31</v>
      </c>
      <c r="C33" s="5">
        <f>C17*(1+C30)</f>
        <v>900722.55</v>
      </c>
      <c r="D33" s="5">
        <f>C33*(1+D30)</f>
        <v>936751.45200000005</v>
      </c>
      <c r="E33" s="5">
        <f>D33*(1+E30)</f>
        <v>969537.75281999994</v>
      </c>
      <c r="F33" s="5">
        <f>E33*(1+F30)</f>
        <v>998623.88540459995</v>
      </c>
      <c r="G33" s="5">
        <f>F33*(1+G30)</f>
        <v>1023589.4825397149</v>
      </c>
    </row>
    <row r="34" spans="2:7" ht="14" customHeight="1" x14ac:dyDescent="0.3">
      <c r="B34" s="4" t="s">
        <v>32</v>
      </c>
      <c r="C34" s="5">
        <f>C33*C31</f>
        <v>555745.81335000007</v>
      </c>
      <c r="D34" s="5">
        <f>D33*D31</f>
        <v>577975.645884</v>
      </c>
      <c r="E34" s="5">
        <f>E33*E31</f>
        <v>598204.79348994</v>
      </c>
      <c r="F34" s="5">
        <f>F33*F31</f>
        <v>616150.93729463813</v>
      </c>
      <c r="G34" s="5">
        <f>G33*G31</f>
        <v>631554.7107270041</v>
      </c>
    </row>
    <row r="35" spans="2:7" ht="14" customHeight="1" x14ac:dyDescent="0.3">
      <c r="B35" s="4" t="s">
        <v>33</v>
      </c>
      <c r="C35" s="19">
        <f>C33-C34</f>
        <v>344976.73664999998</v>
      </c>
      <c r="D35" s="19">
        <f>D33-D34</f>
        <v>358775.80611600005</v>
      </c>
      <c r="E35" s="19">
        <f>E33-E34</f>
        <v>371332.95933005994</v>
      </c>
      <c r="F35" s="19">
        <f>F33-F34</f>
        <v>382472.94810996181</v>
      </c>
      <c r="G35" s="19">
        <f>G33-G34</f>
        <v>392034.77181271079</v>
      </c>
    </row>
    <row r="36" spans="2:7" ht="14" customHeight="1" x14ac:dyDescent="0.3">
      <c r="B36" s="4" t="s">
        <v>34</v>
      </c>
      <c r="C36" s="7">
        <f>C35/C33</f>
        <v>0.38299999999999995</v>
      </c>
      <c r="D36" s="7">
        <f>D35/D33</f>
        <v>0.38300000000000001</v>
      </c>
      <c r="E36" s="7">
        <f>E35/E33</f>
        <v>0.38299999999999995</v>
      </c>
      <c r="F36" s="7">
        <f>F35/F33</f>
        <v>0.38300000000000001</v>
      </c>
      <c r="G36" s="7">
        <f>G35/G33</f>
        <v>0.38300000000000001</v>
      </c>
    </row>
    <row r="37" spans="2:7" ht="14" customHeight="1" x14ac:dyDescent="0.3">
      <c r="B37" s="4" t="s">
        <v>86</v>
      </c>
      <c r="C37" s="5">
        <f>C33*C32</f>
        <v>151771.74967500003</v>
      </c>
      <c r="D37" s="5">
        <f>D33*D32</f>
        <v>157561.59422639999</v>
      </c>
      <c r="E37" s="5">
        <f>E33*E32</f>
        <v>162785.388698478</v>
      </c>
      <c r="F37" s="5">
        <f>F33*F32</f>
        <v>167469.22558235141</v>
      </c>
      <c r="G37" s="5">
        <f>G33*G32</f>
        <v>171451.23832540226</v>
      </c>
    </row>
    <row r="38" spans="2:7" ht="14" customHeight="1" x14ac:dyDescent="0.3">
      <c r="B38" s="4" t="s">
        <v>87</v>
      </c>
      <c r="C38" s="7">
        <f>(C35-C37)/C33</f>
        <v>0.21449999999999994</v>
      </c>
      <c r="D38" s="7">
        <f>(D35-D37)/D33</f>
        <v>0.21480000000000005</v>
      </c>
      <c r="E38" s="7">
        <f>(E35-E37)/E33</f>
        <v>0.21509999999999996</v>
      </c>
      <c r="F38" s="7">
        <f>(F35-F37)/F33</f>
        <v>0.21530000000000002</v>
      </c>
      <c r="G38" s="7">
        <f>(G35-G37)/G33</f>
        <v>0.21549999999999997</v>
      </c>
    </row>
    <row r="39" spans="2:7" ht="14" customHeight="1" x14ac:dyDescent="0.3">
      <c r="B39" s="4" t="s">
        <v>88</v>
      </c>
      <c r="C39" s="19">
        <f>C35-C37</f>
        <v>193204.98697499995</v>
      </c>
      <c r="D39" s="19">
        <f>D35-D37</f>
        <v>201214.21188960006</v>
      </c>
      <c r="E39" s="19">
        <f>E35-E37</f>
        <v>208547.57063158194</v>
      </c>
      <c r="F39" s="19">
        <f>F35-F37</f>
        <v>215003.7225276104</v>
      </c>
      <c r="G39" s="19">
        <f>G35-G37</f>
        <v>220583.53348730854</v>
      </c>
    </row>
    <row r="40" spans="2:7" ht="14" customHeight="1" x14ac:dyDescent="0.3">
      <c r="B40" s="4" t="s">
        <v>89</v>
      </c>
      <c r="C40" s="5">
        <f>MAX(0,C39*C6)</f>
        <v>48301.246743749987</v>
      </c>
      <c r="D40" s="5">
        <f>MAX(0,D39*C6)</f>
        <v>50303.552972400015</v>
      </c>
      <c r="E40" s="5">
        <f>MAX(0,E39*C6)</f>
        <v>52136.892657895485</v>
      </c>
      <c r="F40" s="5">
        <f>MAX(0,F39*C6)</f>
        <v>53750.9306319026</v>
      </c>
      <c r="G40" s="5">
        <f>MAX(0,G39*C6)</f>
        <v>55145.883371827134</v>
      </c>
    </row>
    <row r="41" spans="2:7" ht="14" customHeight="1" x14ac:dyDescent="0.3">
      <c r="B41" s="4" t="s">
        <v>90</v>
      </c>
      <c r="C41" s="19">
        <f>C39-C40</f>
        <v>144903.74023124995</v>
      </c>
      <c r="D41" s="19">
        <f>D39-D40</f>
        <v>150910.65891720005</v>
      </c>
      <c r="E41" s="19">
        <f>E39-E40</f>
        <v>156410.67797368646</v>
      </c>
      <c r="F41" s="19">
        <f>F39-F40</f>
        <v>161252.79189570781</v>
      </c>
      <c r="G41" s="19">
        <f>G39-G40</f>
        <v>165437.6501154814</v>
      </c>
    </row>
    <row r="42" spans="2:7" ht="14" customHeight="1" x14ac:dyDescent="0.3">
      <c r="B42" s="4" t="s">
        <v>91</v>
      </c>
      <c r="C42" s="5">
        <f>C33*C18</f>
        <v>50440.462800000001</v>
      </c>
      <c r="D42" s="5">
        <f>D33*C18</f>
        <v>52458.081312000002</v>
      </c>
      <c r="E42" s="5">
        <f>E33*C18</f>
        <v>54294.114157919998</v>
      </c>
      <c r="F42" s="5">
        <f>F33*C18</f>
        <v>55922.9375826576</v>
      </c>
      <c r="G42" s="5">
        <f>G33*C18</f>
        <v>57321.011022224033</v>
      </c>
    </row>
    <row r="43" spans="2:7" ht="14" customHeight="1" x14ac:dyDescent="0.3">
      <c r="B43" s="4" t="s">
        <v>92</v>
      </c>
      <c r="C43" s="5">
        <f>C33*C5</f>
        <v>52962.485939999999</v>
      </c>
      <c r="D43" s="5">
        <f>D33*C5</f>
        <v>55080.985377600002</v>
      </c>
      <c r="E43" s="5">
        <f>E33*C5</f>
        <v>57008.819865815996</v>
      </c>
      <c r="F43" s="5">
        <f>F33*C5</f>
        <v>58719.084461790473</v>
      </c>
      <c r="G43" s="5">
        <f>G33*C5</f>
        <v>60187.061573335232</v>
      </c>
    </row>
    <row r="44" spans="2:7" ht="14" customHeight="1" x14ac:dyDescent="0.3">
      <c r="B44" s="4" t="s">
        <v>93</v>
      </c>
      <c r="C44" s="5">
        <f>'NWC Schedule'!D19</f>
        <v>59983.115324109676</v>
      </c>
      <c r="D44" s="5">
        <f>'NWC Schedule'!E19</f>
        <v>19067.284612964315</v>
      </c>
      <c r="E44" s="5">
        <f>'NWC Schedule'!F19</f>
        <v>17351.228997797589</v>
      </c>
      <c r="F44" s="5">
        <f>'NWC Schedule'!G19</f>
        <v>15393.018868046056</v>
      </c>
      <c r="G44" s="5">
        <f>'NWC Schedule'!H19</f>
        <v>13212.341195072979</v>
      </c>
    </row>
    <row r="45" spans="2:7" ht="14" customHeight="1" x14ac:dyDescent="0.3">
      <c r="B45" s="4" t="s">
        <v>94</v>
      </c>
      <c r="C45" s="20">
        <f>C41+C42-C43-C44</f>
        <v>82398.601767140266</v>
      </c>
      <c r="D45" s="20">
        <f>D41+D42-D43-D44</f>
        <v>129220.47023863572</v>
      </c>
      <c r="E45" s="20">
        <f>E41+E42-E43-E44</f>
        <v>136344.74326799286</v>
      </c>
      <c r="F45" s="20">
        <f>F41+F42-F43-F44</f>
        <v>143063.62614852886</v>
      </c>
      <c r="G45" s="20">
        <f>G41+G42-G43-G44</f>
        <v>149359.25836929723</v>
      </c>
    </row>
    <row r="46" spans="2:7" ht="14" customHeight="1" x14ac:dyDescent="0.3">
      <c r="B46" s="4" t="s">
        <v>95</v>
      </c>
      <c r="C46" s="21">
        <f>1/(1+C26)^(C19+0)</f>
        <v>0.90896695905103853</v>
      </c>
      <c r="D46" s="21">
        <f>1/(1+C26)^(C19+1)</f>
        <v>0.82622093264649232</v>
      </c>
      <c r="E46" s="21">
        <f>1/(1+C26)^(C19+2)</f>
        <v>0.75100752865199505</v>
      </c>
      <c r="F46" s="21">
        <f>1/(1+C26)^(C19+3)</f>
        <v>0.68264102954323957</v>
      </c>
      <c r="G46" s="21">
        <f>1/(1+C26)^(C19+4)</f>
        <v>0.62049814074738863</v>
      </c>
    </row>
    <row r="47" spans="2:7" ht="14" customHeight="1" x14ac:dyDescent="0.3">
      <c r="B47" s="4" t="s">
        <v>96</v>
      </c>
      <c r="C47" s="19">
        <f>C45*C46</f>
        <v>74897.606478335016</v>
      </c>
      <c r="D47" s="19">
        <f>D45*D46</f>
        <v>106764.65743758391</v>
      </c>
      <c r="E47" s="19">
        <f>E45*E46</f>
        <v>102395.92868638606</v>
      </c>
      <c r="F47" s="19">
        <f>F45*F46</f>
        <v>97661.101044220864</v>
      </c>
      <c r="G47" s="19">
        <f>G45*G46</f>
        <v>92677.142121557772</v>
      </c>
    </row>
    <row r="49" spans="2:7" ht="14" customHeight="1" x14ac:dyDescent="0.3">
      <c r="B49" s="22" t="s">
        <v>97</v>
      </c>
      <c r="C49" s="23"/>
      <c r="D49" s="23"/>
      <c r="E49" s="23"/>
      <c r="F49" s="23"/>
      <c r="G49" s="23"/>
    </row>
    <row r="50" spans="2:7" ht="14" customHeight="1" x14ac:dyDescent="0.3">
      <c r="B50" s="4" t="s">
        <v>98</v>
      </c>
      <c r="C50" s="5">
        <f>SUM(C47:G47)</f>
        <v>474396.43576808361</v>
      </c>
    </row>
    <row r="51" spans="2:7" ht="14" customHeight="1" x14ac:dyDescent="0.3">
      <c r="B51" s="4" t="s">
        <v>99</v>
      </c>
      <c r="C51" s="5">
        <f>G45*(1+C13)/(C26-C13)</f>
        <v>1673353.8652577947</v>
      </c>
    </row>
    <row r="52" spans="2:7" ht="14" customHeight="1" x14ac:dyDescent="0.3">
      <c r="B52" s="4" t="s">
        <v>100</v>
      </c>
      <c r="C52" s="5">
        <f>C51*G46</f>
        <v>1038312.9622049179</v>
      </c>
    </row>
    <row r="53" spans="2:7" ht="14" customHeight="1" x14ac:dyDescent="0.3">
      <c r="B53" s="4" t="s">
        <v>101</v>
      </c>
      <c r="C53" s="5">
        <f>C50+C52</f>
        <v>1512709.3979730015</v>
      </c>
    </row>
    <row r="54" spans="2:7" ht="14" customHeight="1" x14ac:dyDescent="0.3">
      <c r="B54" s="4" t="s">
        <v>102</v>
      </c>
      <c r="C54" s="5">
        <f>C53-C16</f>
        <v>2230780.3979730015</v>
      </c>
    </row>
    <row r="55" spans="2:7" ht="14" customHeight="1" x14ac:dyDescent="0.3">
      <c r="B55" s="4" t="s">
        <v>103</v>
      </c>
      <c r="C55" s="24">
        <f>ROUND(C54*1000000/C15,0)</f>
        <v>2401</v>
      </c>
    </row>
    <row r="57" spans="2:7" ht="14" customHeight="1" x14ac:dyDescent="0.3">
      <c r="B57" s="22" t="s">
        <v>104</v>
      </c>
      <c r="C57" s="23"/>
      <c r="D57" s="23"/>
      <c r="E57" s="23"/>
      <c r="F57" s="23"/>
      <c r="G57" s="23"/>
    </row>
    <row r="58" spans="2:7" ht="14" customHeight="1" x14ac:dyDescent="0.3">
      <c r="B58" s="4" t="s">
        <v>98</v>
      </c>
      <c r="C58" s="5">
        <f>C50</f>
        <v>474396.43576808361</v>
      </c>
    </row>
    <row r="59" spans="2:7" ht="14" customHeight="1" x14ac:dyDescent="0.3">
      <c r="B59" s="4" t="s">
        <v>105</v>
      </c>
      <c r="C59" s="5">
        <f>G39+G42</f>
        <v>277904.54450953257</v>
      </c>
    </row>
    <row r="60" spans="2:7" ht="14" customHeight="1" x14ac:dyDescent="0.3">
      <c r="B60" s="4" t="s">
        <v>106</v>
      </c>
      <c r="C60" s="5">
        <f>C59*C14</f>
        <v>4335310.894348708</v>
      </c>
    </row>
    <row r="61" spans="2:7" ht="14" customHeight="1" x14ac:dyDescent="0.3">
      <c r="B61" s="4" t="s">
        <v>100</v>
      </c>
      <c r="C61" s="5">
        <f>C60*G46</f>
        <v>2690052.3495052718</v>
      </c>
    </row>
    <row r="62" spans="2:7" ht="14" customHeight="1" x14ac:dyDescent="0.3">
      <c r="B62" s="4" t="s">
        <v>101</v>
      </c>
      <c r="C62" s="5">
        <f>C58+C61</f>
        <v>3164448.7852733554</v>
      </c>
    </row>
    <row r="63" spans="2:7" ht="14" customHeight="1" x14ac:dyDescent="0.3">
      <c r="B63" s="4" t="s">
        <v>102</v>
      </c>
      <c r="C63" s="5">
        <f>C62-C16</f>
        <v>3882519.7852733554</v>
      </c>
    </row>
    <row r="64" spans="2:7" ht="14" customHeight="1" x14ac:dyDescent="0.3">
      <c r="B64" s="4" t="s">
        <v>107</v>
      </c>
      <c r="C64" s="24">
        <f>ROUND(C63*1000000/C15,0)</f>
        <v>4178</v>
      </c>
    </row>
    <row r="66" spans="2:7" ht="14" customHeight="1" x14ac:dyDescent="0.3">
      <c r="B66" s="22" t="s">
        <v>108</v>
      </c>
      <c r="C66" s="23"/>
      <c r="D66" s="23"/>
      <c r="E66" s="23"/>
      <c r="F66" s="23"/>
      <c r="G66" s="23"/>
    </row>
    <row r="67" spans="2:7" ht="14" customHeight="1" x14ac:dyDescent="0.3">
      <c r="C67" s="25" t="s">
        <v>109</v>
      </c>
      <c r="D67" s="25" t="s">
        <v>110</v>
      </c>
      <c r="E67" s="25" t="s">
        <v>111</v>
      </c>
      <c r="F67" s="25" t="s">
        <v>112</v>
      </c>
      <c r="G67" s="25" t="s">
        <v>113</v>
      </c>
    </row>
    <row r="68" spans="2:7" ht="14" customHeight="1" x14ac:dyDescent="0.3">
      <c r="B68" s="3" t="s">
        <v>40</v>
      </c>
    </row>
    <row r="69" spans="2:7" ht="14" customHeight="1" x14ac:dyDescent="0.3">
      <c r="B69" s="4" t="s">
        <v>77</v>
      </c>
      <c r="C69" s="26">
        <v>0.05</v>
      </c>
      <c r="D69" s="26">
        <v>0.04</v>
      </c>
      <c r="E69" s="26">
        <v>3.5000000000000003E-2</v>
      </c>
      <c r="F69" s="26">
        <v>0.03</v>
      </c>
      <c r="G69" s="26">
        <v>2.5000000000000001E-2</v>
      </c>
    </row>
    <row r="70" spans="2:7" ht="14" customHeight="1" x14ac:dyDescent="0.3">
      <c r="B70" s="4" t="s">
        <v>114</v>
      </c>
      <c r="C70" s="26">
        <v>7.0000000000000007E-2</v>
      </c>
      <c r="D70" s="26">
        <v>0.06</v>
      </c>
      <c r="E70" s="26">
        <v>0.05</v>
      </c>
      <c r="F70" s="26">
        <v>0.04</v>
      </c>
      <c r="G70" s="26">
        <v>3.5000000000000003E-2</v>
      </c>
    </row>
    <row r="71" spans="2:7" ht="14" customHeight="1" x14ac:dyDescent="0.3">
      <c r="B71" s="4" t="s">
        <v>115</v>
      </c>
      <c r="C71" s="26">
        <v>0.05</v>
      </c>
      <c r="D71" s="26">
        <v>0.04</v>
      </c>
      <c r="E71" s="26">
        <v>3.5000000000000003E-2</v>
      </c>
      <c r="F71" s="26">
        <v>0.03</v>
      </c>
      <c r="G71" s="26">
        <v>2.5000000000000001E-2</v>
      </c>
    </row>
    <row r="72" spans="2:7" ht="14" customHeight="1" x14ac:dyDescent="0.3">
      <c r="B72" s="4" t="s">
        <v>116</v>
      </c>
      <c r="C72" s="26">
        <v>0.01</v>
      </c>
      <c r="D72" s="26">
        <v>0.01</v>
      </c>
      <c r="E72" s="26">
        <v>0.01</v>
      </c>
      <c r="F72" s="26">
        <v>0.01</v>
      </c>
      <c r="G72" s="26">
        <v>0.01</v>
      </c>
    </row>
    <row r="73" spans="2:7" ht="14" customHeight="1" x14ac:dyDescent="0.3">
      <c r="B73" s="4" t="s">
        <v>117</v>
      </c>
      <c r="C73" s="26">
        <v>-0.12</v>
      </c>
      <c r="D73" s="26">
        <v>-0.03</v>
      </c>
      <c r="E73" s="26">
        <v>0.02</v>
      </c>
      <c r="F73" s="26">
        <v>3.5000000000000003E-2</v>
      </c>
      <c r="G73" s="26">
        <v>0.04</v>
      </c>
    </row>
    <row r="75" spans="2:7" ht="14" customHeight="1" x14ac:dyDescent="0.3">
      <c r="B75" s="3" t="s">
        <v>84</v>
      </c>
    </row>
    <row r="76" spans="2:7" ht="14" customHeight="1" x14ac:dyDescent="0.3">
      <c r="B76" s="4" t="s">
        <v>77</v>
      </c>
      <c r="C76" s="26">
        <v>0.61699999999999999</v>
      </c>
      <c r="D76" s="26">
        <v>0.61699999999999999</v>
      </c>
      <c r="E76" s="26">
        <v>0.61699999999999999</v>
      </c>
      <c r="F76" s="26">
        <v>0.61699999999999999</v>
      </c>
      <c r="G76" s="26">
        <v>0.61699999999999999</v>
      </c>
    </row>
    <row r="77" spans="2:7" ht="14" customHeight="1" x14ac:dyDescent="0.3">
      <c r="B77" s="4" t="s">
        <v>114</v>
      </c>
      <c r="C77" s="26">
        <v>0.61199999999999999</v>
      </c>
      <c r="D77" s="26">
        <v>0.61199999999999999</v>
      </c>
      <c r="E77" s="26">
        <v>0.61199999999999999</v>
      </c>
      <c r="F77" s="26">
        <v>0.61199999999999999</v>
      </c>
      <c r="G77" s="26">
        <v>0.61199999999999999</v>
      </c>
    </row>
    <row r="78" spans="2:7" ht="14" customHeight="1" x14ac:dyDescent="0.3">
      <c r="B78" s="4" t="s">
        <v>115</v>
      </c>
      <c r="C78" s="26">
        <v>0.61699999999999999</v>
      </c>
      <c r="D78" s="26">
        <v>0.61699999999999999</v>
      </c>
      <c r="E78" s="26">
        <v>0.61699999999999999</v>
      </c>
      <c r="F78" s="26">
        <v>0.61699999999999999</v>
      </c>
      <c r="G78" s="26">
        <v>0.61699999999999999</v>
      </c>
    </row>
    <row r="79" spans="2:7" ht="14" customHeight="1" x14ac:dyDescent="0.3">
      <c r="B79" s="4" t="s">
        <v>116</v>
      </c>
      <c r="C79" s="26">
        <v>0.625</v>
      </c>
      <c r="D79" s="26">
        <v>0.625</v>
      </c>
      <c r="E79" s="26">
        <v>0.625</v>
      </c>
      <c r="F79" s="26">
        <v>0.625</v>
      </c>
      <c r="G79" s="26">
        <v>0.625</v>
      </c>
    </row>
    <row r="80" spans="2:7" ht="14" customHeight="1" x14ac:dyDescent="0.3">
      <c r="B80" s="4" t="s">
        <v>117</v>
      </c>
      <c r="C80" s="26">
        <v>0.65</v>
      </c>
      <c r="D80" s="26">
        <v>0.65</v>
      </c>
      <c r="E80" s="26">
        <v>0.65</v>
      </c>
      <c r="F80" s="26">
        <v>0.65</v>
      </c>
      <c r="G80" s="26">
        <v>0.65</v>
      </c>
    </row>
    <row r="82" spans="2:7" ht="14" customHeight="1" x14ac:dyDescent="0.3">
      <c r="B82" s="3" t="s">
        <v>85</v>
      </c>
    </row>
    <row r="83" spans="2:7" ht="14" customHeight="1" x14ac:dyDescent="0.3">
      <c r="B83" s="4" t="s">
        <v>77</v>
      </c>
      <c r="C83" s="26">
        <v>0.16850000000000001</v>
      </c>
      <c r="D83" s="26">
        <v>0.16819999999999999</v>
      </c>
      <c r="E83" s="26">
        <v>0.16789999999999999</v>
      </c>
      <c r="F83" s="26">
        <v>0.16769999999999999</v>
      </c>
      <c r="G83" s="26">
        <v>0.16750000000000001</v>
      </c>
    </row>
    <row r="84" spans="2:7" ht="14" customHeight="1" x14ac:dyDescent="0.3">
      <c r="B84" s="4" t="s">
        <v>114</v>
      </c>
      <c r="C84" s="26">
        <v>0.17100000000000001</v>
      </c>
      <c r="D84" s="26">
        <v>0.16900000000000001</v>
      </c>
      <c r="E84" s="26">
        <v>0.16700000000000001</v>
      </c>
      <c r="F84" s="26">
        <v>0.16500000000000001</v>
      </c>
      <c r="G84" s="26">
        <v>0.1638</v>
      </c>
    </row>
    <row r="85" spans="2:7" ht="14" customHeight="1" x14ac:dyDescent="0.3">
      <c r="B85" s="4" t="s">
        <v>115</v>
      </c>
      <c r="C85" s="26">
        <v>0.16850000000000001</v>
      </c>
      <c r="D85" s="26">
        <v>0.16819999999999999</v>
      </c>
      <c r="E85" s="26">
        <v>0.16789999999999999</v>
      </c>
      <c r="F85" s="26">
        <v>0.16769999999999999</v>
      </c>
      <c r="G85" s="26">
        <v>0.16750000000000001</v>
      </c>
    </row>
    <row r="86" spans="2:7" ht="14" customHeight="1" x14ac:dyDescent="0.3">
      <c r="B86" s="4" t="s">
        <v>116</v>
      </c>
      <c r="C86" s="26">
        <v>0.16700000000000001</v>
      </c>
      <c r="D86" s="26">
        <v>0.17299999999999999</v>
      </c>
      <c r="E86" s="26">
        <v>0.17699999999999999</v>
      </c>
      <c r="F86" s="26">
        <v>0.18</v>
      </c>
      <c r="G86" s="26">
        <v>0.18090000000000001</v>
      </c>
    </row>
    <row r="87" spans="2:7" ht="14" customHeight="1" x14ac:dyDescent="0.3">
      <c r="B87" s="4" t="s">
        <v>117</v>
      </c>
      <c r="C87" s="26">
        <v>0.2</v>
      </c>
      <c r="D87" s="26">
        <v>0.215</v>
      </c>
      <c r="E87" s="26">
        <v>0.2</v>
      </c>
      <c r="F87" s="26">
        <v>0.185</v>
      </c>
      <c r="G87" s="26">
        <v>0.17150000000000001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118</v>
      </c>
    </row>
    <row r="3" spans="2:9" ht="14" customHeight="1" x14ac:dyDescent="0.3">
      <c r="B3" s="1" t="s">
        <v>119</v>
      </c>
    </row>
    <row r="5" spans="2:9" ht="14" customHeight="1" x14ac:dyDescent="0.3">
      <c r="B5" s="8" t="s">
        <v>120</v>
      </c>
      <c r="C5" s="9"/>
      <c r="D5" s="9"/>
      <c r="E5" s="9"/>
      <c r="F5" s="9"/>
      <c r="G5" s="9"/>
      <c r="H5" s="9"/>
      <c r="I5" s="9"/>
    </row>
    <row r="6" spans="2:9" ht="14" customHeight="1" x14ac:dyDescent="0.3">
      <c r="B6" s="4" t="s">
        <v>121</v>
      </c>
      <c r="C6" s="15">
        <f>'Executive Summary'!C9</f>
        <v>5931</v>
      </c>
    </row>
    <row r="7" spans="2:9" ht="14" customHeight="1" x14ac:dyDescent="0.3">
      <c r="B7" s="4" t="s">
        <v>65</v>
      </c>
      <c r="C7" s="15">
        <f>'DCF Model'!C15</f>
        <v>929200798</v>
      </c>
    </row>
    <row r="8" spans="2:9" ht="14" customHeight="1" x14ac:dyDescent="0.3">
      <c r="B8" s="4" t="s">
        <v>122</v>
      </c>
      <c r="C8" s="5">
        <f>C6*C7/1000000</f>
        <v>5511089.9329380002</v>
      </c>
    </row>
    <row r="9" spans="2:9" ht="14" customHeight="1" x14ac:dyDescent="0.3">
      <c r="B9" s="4" t="s">
        <v>66</v>
      </c>
      <c r="C9" s="5">
        <f>'DCF Model'!C16</f>
        <v>-718071</v>
      </c>
    </row>
    <row r="10" spans="2:9" ht="14" customHeight="1" x14ac:dyDescent="0.3">
      <c r="B10" s="4" t="s">
        <v>123</v>
      </c>
      <c r="C10" s="5">
        <f>C8+C9</f>
        <v>4793018.9329380002</v>
      </c>
    </row>
    <row r="11" spans="2:9" ht="14" customHeight="1" x14ac:dyDescent="0.3">
      <c r="B11" s="4" t="s">
        <v>124</v>
      </c>
      <c r="C11" s="16">
        <f>'DCF Model'!C26</f>
        <v>0.10015</v>
      </c>
    </row>
    <row r="12" spans="2:9" ht="14" customHeight="1" x14ac:dyDescent="0.3">
      <c r="B12" s="4" t="s">
        <v>125</v>
      </c>
      <c r="C12" s="16">
        <f>'DCF Model'!C13</f>
        <v>0.01</v>
      </c>
    </row>
    <row r="13" spans="2:9" ht="14" customHeight="1" x14ac:dyDescent="0.3">
      <c r="B13" s="4" t="s">
        <v>126</v>
      </c>
      <c r="C13" s="16">
        <f>'DCF Model'!C6</f>
        <v>0.25</v>
      </c>
    </row>
    <row r="14" spans="2:9" ht="14" customHeight="1" x14ac:dyDescent="0.3">
      <c r="B14" s="4" t="s">
        <v>127</v>
      </c>
      <c r="C14" s="27">
        <v>183763</v>
      </c>
    </row>
    <row r="15" spans="2:9" ht="14" customHeight="1" x14ac:dyDescent="0.3">
      <c r="B15" s="4" t="s">
        <v>128</v>
      </c>
      <c r="C15" s="27">
        <v>191359</v>
      </c>
    </row>
    <row r="16" spans="2:9" ht="14" customHeight="1" x14ac:dyDescent="0.3">
      <c r="B16" s="4" t="s">
        <v>129</v>
      </c>
      <c r="C16" s="5">
        <f>'DCF Model'!G33</f>
        <v>1023589.4825397149</v>
      </c>
    </row>
    <row r="17" spans="2:9" ht="14" customHeight="1" x14ac:dyDescent="0.3">
      <c r="B17" s="4" t="s">
        <v>130</v>
      </c>
      <c r="C17" s="5">
        <f>'DCF Model'!C53</f>
        <v>1512709.3979730015</v>
      </c>
    </row>
    <row r="18" spans="2:9" ht="14" customHeight="1" x14ac:dyDescent="0.3">
      <c r="B18" s="4" t="s">
        <v>131</v>
      </c>
      <c r="C18" s="26">
        <v>0.2246113649061689</v>
      </c>
    </row>
    <row r="19" spans="2:9" ht="14" customHeight="1" x14ac:dyDescent="0.3">
      <c r="B19" s="4" t="s">
        <v>132</v>
      </c>
      <c r="C19" s="5">
        <f>C10-C17</f>
        <v>3280309.5349649987</v>
      </c>
    </row>
    <row r="20" spans="2:9" ht="14" customHeight="1" x14ac:dyDescent="0.3">
      <c r="B20" s="4" t="s">
        <v>133</v>
      </c>
      <c r="C20" s="15">
        <f>IFERROR(ROUND(C19*1000000/C7,0),"N/A")</f>
        <v>3530</v>
      </c>
    </row>
    <row r="22" spans="2:9" ht="14" customHeight="1" x14ac:dyDescent="0.3">
      <c r="B22" s="8" t="s">
        <v>134</v>
      </c>
      <c r="C22" s="9"/>
      <c r="D22" s="9"/>
      <c r="E22" s="9"/>
      <c r="F22" s="9"/>
      <c r="G22" s="9"/>
      <c r="H22" s="9"/>
      <c r="I22" s="9"/>
    </row>
    <row r="23" spans="2:9" ht="14" customHeight="1" x14ac:dyDescent="0.3">
      <c r="B23" s="1" t="s">
        <v>135</v>
      </c>
    </row>
    <row r="24" spans="2:9" ht="14" customHeight="1" x14ac:dyDescent="0.3">
      <c r="B24" s="4" t="s">
        <v>136</v>
      </c>
      <c r="C24" s="5">
        <f>C10*(C11-C12)</f>
        <v>432090.65680436074</v>
      </c>
    </row>
    <row r="25" spans="2:9" ht="14" customHeight="1" x14ac:dyDescent="0.3">
      <c r="B25" s="4" t="s">
        <v>137</v>
      </c>
      <c r="C25" s="5">
        <f>IFERROR(C24/(1-C13),"N/A")</f>
        <v>576120.87573914765</v>
      </c>
    </row>
    <row r="26" spans="2:9" ht="13.5" customHeight="1" x14ac:dyDescent="0.25">
      <c r="B26" s="6" t="s">
        <v>138</v>
      </c>
      <c r="C26" s="14">
        <f>IFERROR(C25/C15,"N/A")</f>
        <v>3.01068084458608</v>
      </c>
    </row>
    <row r="27" spans="2:9" ht="13.5" customHeight="1" x14ac:dyDescent="0.25">
      <c r="B27" s="6" t="s">
        <v>139</v>
      </c>
      <c r="C27" s="14">
        <f>IFERROR(C25/C14,"N/A")</f>
        <v>3.1351298995943018</v>
      </c>
    </row>
    <row r="28" spans="2:9" ht="13.5" customHeight="1" x14ac:dyDescent="0.25">
      <c r="B28" s="6" t="s">
        <v>140</v>
      </c>
      <c r="C28" s="7">
        <f>IFERROR(C25/C16,"N/A")</f>
        <v>0.5628436844717134</v>
      </c>
    </row>
    <row r="29" spans="2:9" ht="13.5" customHeight="1" x14ac:dyDescent="0.25">
      <c r="B29" s="6" t="s">
        <v>141</v>
      </c>
      <c r="C29" s="5">
        <f>IFERROR(C25/C18,"N/A")</f>
        <v>2564967.6096301777</v>
      </c>
    </row>
    <row r="32" spans="2:9" ht="14" customHeight="1" x14ac:dyDescent="0.3">
      <c r="B32" s="8" t="s">
        <v>142</v>
      </c>
      <c r="C32" s="9"/>
      <c r="D32" s="9"/>
      <c r="E32" s="9"/>
      <c r="F32" s="9"/>
      <c r="G32" s="9"/>
      <c r="H32" s="9"/>
      <c r="I32" s="9"/>
    </row>
    <row r="33" spans="2:9" ht="14" customHeight="1" x14ac:dyDescent="0.3">
      <c r="B33" s="1" t="s">
        <v>143</v>
      </c>
    </row>
    <row r="34" spans="2:9" ht="14" customHeight="1" x14ac:dyDescent="0.3">
      <c r="B34" s="1" t="s">
        <v>144</v>
      </c>
    </row>
    <row r="36" spans="2:9" ht="14" customHeight="1" x14ac:dyDescent="0.3">
      <c r="B36" s="28" t="s">
        <v>145</v>
      </c>
      <c r="C36" s="28" t="s">
        <v>146</v>
      </c>
      <c r="D36" s="29">
        <f>'DCF Model'!C26-0.02</f>
        <v>8.0149999999999999E-2</v>
      </c>
      <c r="E36" s="29">
        <f>'DCF Model'!C26-0.01</f>
        <v>9.0150000000000008E-2</v>
      </c>
      <c r="F36" s="29">
        <f>'DCF Model'!C26</f>
        <v>0.10015</v>
      </c>
      <c r="G36" s="29">
        <f>'DCF Model'!C26+0.01</f>
        <v>0.11015</v>
      </c>
      <c r="H36" s="29">
        <f>'DCF Model'!C26+0.02</f>
        <v>0.12015000000000001</v>
      </c>
    </row>
    <row r="37" spans="2:9" ht="14" customHeight="1" x14ac:dyDescent="0.3">
      <c r="B37" s="3" t="s">
        <v>147</v>
      </c>
    </row>
    <row r="38" spans="2:9" ht="14" customHeight="1" x14ac:dyDescent="0.3">
      <c r="B38" s="4" t="s">
        <v>148</v>
      </c>
      <c r="C38" s="30">
        <v>3</v>
      </c>
      <c r="D38" s="13">
        <f t="shared" ref="D38:H41" si="0">IFERROR((1-(1+D$36)^(-$C38))/D$36-(1+D$36)/(D$36^2*$C38)*(1-($C38+1)/(1+D$36)^$C38+$C38/(1+D$36)^($C38+1)),"N/A")</f>
        <v>0.90289846871936508</v>
      </c>
      <c r="E38" s="13">
        <f t="shared" si="0"/>
        <v>0.89201943403305894</v>
      </c>
      <c r="F38" s="13">
        <f t="shared" si="0"/>
        <v>0.88138495024953278</v>
      </c>
      <c r="G38" s="13">
        <f t="shared" si="0"/>
        <v>0.87098715608565946</v>
      </c>
      <c r="H38" s="13">
        <f t="shared" si="0"/>
        <v>0.86081851531444764</v>
      </c>
    </row>
    <row r="39" spans="2:9" ht="14" customHeight="1" x14ac:dyDescent="0.3">
      <c r="B39" s="4" t="s">
        <v>149</v>
      </c>
      <c r="C39" s="30">
        <v>5</v>
      </c>
      <c r="D39" s="13">
        <f t="shared" si="0"/>
        <v>1.7192232632131419</v>
      </c>
      <c r="E39" s="13">
        <f t="shared" si="0"/>
        <v>1.6890659858921344</v>
      </c>
      <c r="F39" s="13">
        <f t="shared" si="0"/>
        <v>1.6598373441981713</v>
      </c>
      <c r="G39" s="13">
        <f t="shared" si="0"/>
        <v>1.6314982290661568</v>
      </c>
      <c r="H39" s="13">
        <f t="shared" si="0"/>
        <v>1.6040115794066723</v>
      </c>
    </row>
    <row r="40" spans="2:9" ht="14" customHeight="1" x14ac:dyDescent="0.3">
      <c r="B40" s="4" t="s">
        <v>150</v>
      </c>
      <c r="C40" s="30">
        <v>7</v>
      </c>
      <c r="D40" s="13">
        <f t="shared" si="0"/>
        <v>2.4582893063808462</v>
      </c>
      <c r="E40" s="13">
        <f t="shared" si="0"/>
        <v>2.4024829881455201</v>
      </c>
      <c r="F40" s="13">
        <f t="shared" si="0"/>
        <v>2.3488383157661676</v>
      </c>
      <c r="G40" s="13">
        <f t="shared" si="0"/>
        <v>2.2972434877671035</v>
      </c>
      <c r="H40" s="13">
        <f t="shared" si="0"/>
        <v>2.2475937502888872</v>
      </c>
    </row>
    <row r="41" spans="2:9" ht="14" customHeight="1" x14ac:dyDescent="0.3">
      <c r="B41" s="4" t="s">
        <v>151</v>
      </c>
      <c r="C41" s="30">
        <v>10</v>
      </c>
      <c r="D41" s="13">
        <f t="shared" si="0"/>
        <v>3.4398087793962175</v>
      </c>
      <c r="E41" s="13">
        <f t="shared" si="0"/>
        <v>3.3371129107381696</v>
      </c>
      <c r="F41" s="13">
        <f t="shared" si="0"/>
        <v>3.2395489604281824</v>
      </c>
      <c r="G41" s="13">
        <f t="shared" si="0"/>
        <v>3.1467809730308822</v>
      </c>
      <c r="H41" s="13">
        <f t="shared" si="0"/>
        <v>3.058499334140405</v>
      </c>
    </row>
    <row r="42" spans="2:9" ht="14" customHeight="1" x14ac:dyDescent="0.3">
      <c r="B42" s="3" t="s">
        <v>152</v>
      </c>
    </row>
    <row r="43" spans="2:9" ht="14" customHeight="1" x14ac:dyDescent="0.3">
      <c r="B43" s="4" t="s">
        <v>148</v>
      </c>
      <c r="C43" s="30">
        <v>3</v>
      </c>
      <c r="D43" s="13">
        <f t="shared" ref="D43:H46" si="1">IFERROR((1+D$36)/(D$36^2*$C43)*(1-($C43+1)/(1+D$36)^$C43+$C43/(1+D$36)^($C43+1))+(1+$C$12)/((D$36-$C$12)*(1+D$36)^$C43),"N/A")</f>
        <v>13.098113924267601</v>
      </c>
      <c r="E43" s="13">
        <f t="shared" si="1"/>
        <v>11.365154197399782</v>
      </c>
      <c r="F43" s="13">
        <f t="shared" si="1"/>
        <v>10.018760596983132</v>
      </c>
      <c r="G43" s="13">
        <f t="shared" si="1"/>
        <v>8.9430735234678611</v>
      </c>
      <c r="H43" s="13">
        <f t="shared" si="1"/>
        <v>8.0643092226651323</v>
      </c>
    </row>
    <row r="44" spans="2:9" ht="14" customHeight="1" x14ac:dyDescent="0.3">
      <c r="B44" s="4" t="s">
        <v>149</v>
      </c>
      <c r="C44" s="30">
        <v>5</v>
      </c>
      <c r="D44" s="13">
        <f t="shared" si="1"/>
        <v>12.063952606028863</v>
      </c>
      <c r="E44" s="13">
        <f t="shared" si="1"/>
        <v>10.383466327662561</v>
      </c>
      <c r="F44" s="13">
        <f t="shared" si="1"/>
        <v>9.0812789675164396</v>
      </c>
      <c r="G44" s="13">
        <f t="shared" si="1"/>
        <v>8.0438435232711569</v>
      </c>
      <c r="H44" s="13">
        <f t="shared" si="1"/>
        <v>7.1988581397334599</v>
      </c>
    </row>
    <row r="45" spans="2:9" ht="14" customHeight="1" x14ac:dyDescent="0.3">
      <c r="B45" s="4" t="s">
        <v>150</v>
      </c>
      <c r="C45" s="30">
        <v>7</v>
      </c>
      <c r="D45" s="13">
        <f t="shared" si="1"/>
        <v>11.138178721465907</v>
      </c>
      <c r="E45" s="13">
        <f t="shared" si="1"/>
        <v>9.5146831864856978</v>
      </c>
      <c r="F45" s="13">
        <f t="shared" si="1"/>
        <v>8.2608847126606619</v>
      </c>
      <c r="G45" s="13">
        <f t="shared" si="1"/>
        <v>7.265541294184251</v>
      </c>
      <c r="H45" s="13">
        <f t="shared" si="1"/>
        <v>6.4578387257601779</v>
      </c>
    </row>
    <row r="46" spans="2:9" ht="14" customHeight="1" x14ac:dyDescent="0.3">
      <c r="B46" s="4" t="s">
        <v>151</v>
      </c>
      <c r="C46" s="30">
        <v>10</v>
      </c>
      <c r="D46" s="13">
        <f t="shared" si="1"/>
        <v>9.925409572234015</v>
      </c>
      <c r="E46" s="13">
        <f t="shared" si="1"/>
        <v>8.3919460149050558</v>
      </c>
      <c r="F46" s="13">
        <f t="shared" si="1"/>
        <v>7.214628331182336</v>
      </c>
      <c r="G46" s="13">
        <f t="shared" si="1"/>
        <v>6.2856882473179461</v>
      </c>
      <c r="H46" s="13">
        <f t="shared" si="1"/>
        <v>5.5365789182399565</v>
      </c>
    </row>
    <row r="47" spans="2:9" ht="14" customHeight="1" x14ac:dyDescent="0.3">
      <c r="B47" s="22" t="s">
        <v>153</v>
      </c>
      <c r="C47" s="23"/>
      <c r="D47" s="23"/>
      <c r="E47" s="23"/>
      <c r="F47" s="23"/>
      <c r="G47" s="23"/>
      <c r="H47" s="23"/>
      <c r="I47" s="23"/>
    </row>
    <row r="48" spans="2:9" ht="14" customHeight="1" x14ac:dyDescent="0.3">
      <c r="B48" s="4" t="s">
        <v>148</v>
      </c>
      <c r="C48" s="30">
        <v>3</v>
      </c>
      <c r="D48" s="5">
        <f t="shared" ref="D48:H51" si="2">IFERROR(($C$10/(1-$C$13)-$C$14*D38)/D43,"N/A")</f>
        <v>475241.90240426466</v>
      </c>
      <c r="E48" s="5">
        <f t="shared" si="2"/>
        <v>547882.73306070908</v>
      </c>
      <c r="F48" s="5">
        <f t="shared" si="2"/>
        <v>621706.23877836752</v>
      </c>
      <c r="G48" s="5">
        <f t="shared" si="2"/>
        <v>696699.7063671879</v>
      </c>
      <c r="H48" s="5">
        <f t="shared" si="2"/>
        <v>772850.4879546921</v>
      </c>
    </row>
    <row r="49" spans="2:9" ht="14" customHeight="1" x14ac:dyDescent="0.3">
      <c r="B49" s="4" t="s">
        <v>149</v>
      </c>
      <c r="C49" s="30">
        <v>5</v>
      </c>
      <c r="D49" s="5">
        <f t="shared" si="2"/>
        <v>503546.59740874229</v>
      </c>
      <c r="E49" s="5">
        <f t="shared" si="2"/>
        <v>585575.55694286642</v>
      </c>
      <c r="F49" s="5">
        <f t="shared" si="2"/>
        <v>670134.15648505627</v>
      </c>
      <c r="G49" s="5">
        <f t="shared" si="2"/>
        <v>757210.51558187953</v>
      </c>
      <c r="H49" s="5">
        <f t="shared" si="2"/>
        <v>846791.7845292053</v>
      </c>
    </row>
    <row r="50" spans="2:9" ht="14" customHeight="1" x14ac:dyDescent="0.3">
      <c r="B50" s="4" t="s">
        <v>150</v>
      </c>
      <c r="C50" s="30">
        <v>7</v>
      </c>
      <c r="D50" s="5">
        <f t="shared" si="2"/>
        <v>533206.50002946856</v>
      </c>
      <c r="E50" s="5">
        <f t="shared" si="2"/>
        <v>625265.63550570386</v>
      </c>
      <c r="F50" s="5">
        <f t="shared" si="2"/>
        <v>721358.85470365919</v>
      </c>
      <c r="G50" s="5">
        <f t="shared" si="2"/>
        <v>821486.42666431644</v>
      </c>
      <c r="H50" s="5">
        <f t="shared" si="2"/>
        <v>925645.18782497291</v>
      </c>
    </row>
    <row r="51" spans="2:9" ht="14" customHeight="1" x14ac:dyDescent="0.3">
      <c r="B51" s="4" t="s">
        <v>151</v>
      </c>
      <c r="C51" s="30">
        <v>10</v>
      </c>
      <c r="D51" s="5">
        <f t="shared" si="2"/>
        <v>580185.86416476406</v>
      </c>
      <c r="E51" s="5">
        <f t="shared" si="2"/>
        <v>688452.23986267345</v>
      </c>
      <c r="F51" s="5">
        <f t="shared" si="2"/>
        <v>803282.22174947243</v>
      </c>
      <c r="G51" s="5">
        <f t="shared" si="2"/>
        <v>924708.60309005051</v>
      </c>
      <c r="H51" s="5">
        <f t="shared" si="2"/>
        <v>1052753.5114224018</v>
      </c>
    </row>
    <row r="52" spans="2:9" ht="14" customHeight="1" x14ac:dyDescent="0.3">
      <c r="B52" s="22" t="s">
        <v>154</v>
      </c>
      <c r="C52" s="23"/>
      <c r="D52" s="23"/>
      <c r="E52" s="23"/>
      <c r="F52" s="23"/>
      <c r="G52" s="23"/>
      <c r="H52" s="23"/>
      <c r="I52" s="23"/>
    </row>
    <row r="53" spans="2:9" ht="14" customHeight="1" x14ac:dyDescent="0.3">
      <c r="B53" s="4" t="s">
        <v>148</v>
      </c>
      <c r="C53" s="30">
        <v>3</v>
      </c>
      <c r="D53" s="14">
        <f t="shared" ref="D53:H56" si="3">IFERROR(D48/$C$15,"N/A")</f>
        <v>2.4835095417736541</v>
      </c>
      <c r="E53" s="14">
        <f t="shared" si="3"/>
        <v>2.8631145285077215</v>
      </c>
      <c r="F53" s="14">
        <f t="shared" si="3"/>
        <v>3.2488999147067426</v>
      </c>
      <c r="G53" s="14">
        <f t="shared" si="3"/>
        <v>3.640799264038733</v>
      </c>
      <c r="H53" s="14">
        <f t="shared" si="3"/>
        <v>4.0387464815069691</v>
      </c>
    </row>
    <row r="54" spans="2:9" ht="14" customHeight="1" x14ac:dyDescent="0.3">
      <c r="B54" s="4" t="s">
        <v>149</v>
      </c>
      <c r="C54" s="30">
        <v>5</v>
      </c>
      <c r="D54" s="14">
        <f t="shared" si="3"/>
        <v>2.6314236456542011</v>
      </c>
      <c r="E54" s="14">
        <f t="shared" si="3"/>
        <v>3.0600889267965781</v>
      </c>
      <c r="F54" s="14">
        <f t="shared" si="3"/>
        <v>3.5019735496373636</v>
      </c>
      <c r="G54" s="14">
        <f t="shared" si="3"/>
        <v>3.9570154295427939</v>
      </c>
      <c r="H54" s="14">
        <f t="shared" si="3"/>
        <v>4.4251474167883682</v>
      </c>
    </row>
    <row r="55" spans="2:9" ht="14" customHeight="1" x14ac:dyDescent="0.3">
      <c r="B55" s="4" t="s">
        <v>150</v>
      </c>
      <c r="C55" s="30">
        <v>7</v>
      </c>
      <c r="D55" s="14">
        <f t="shared" si="3"/>
        <v>2.7864197661435761</v>
      </c>
      <c r="E55" s="14">
        <f t="shared" si="3"/>
        <v>3.2675005382851281</v>
      </c>
      <c r="F55" s="14">
        <f t="shared" si="3"/>
        <v>3.769662543719706</v>
      </c>
      <c r="G55" s="14">
        <f t="shared" si="3"/>
        <v>4.2929071883962422</v>
      </c>
      <c r="H55" s="14">
        <f t="shared" si="3"/>
        <v>4.8372179402326143</v>
      </c>
    </row>
    <row r="56" spans="2:9" ht="14" customHeight="1" x14ac:dyDescent="0.3">
      <c r="B56" s="4" t="s">
        <v>151</v>
      </c>
      <c r="C56" s="30">
        <v>10</v>
      </c>
      <c r="D56" s="14">
        <f t="shared" si="3"/>
        <v>3.031923579056977</v>
      </c>
      <c r="E56" s="14">
        <f t="shared" si="3"/>
        <v>3.5976998200381138</v>
      </c>
      <c r="F56" s="14">
        <f t="shared" si="3"/>
        <v>4.1977760217678419</v>
      </c>
      <c r="G56" s="14">
        <f t="shared" si="3"/>
        <v>4.832323554627953</v>
      </c>
      <c r="H56" s="14">
        <f t="shared" si="3"/>
        <v>5.5014580522598973</v>
      </c>
    </row>
    <row r="58" spans="2:9" ht="14" customHeight="1" x14ac:dyDescent="0.3">
      <c r="B58" s="8" t="s">
        <v>155</v>
      </c>
      <c r="C58" s="9"/>
      <c r="D58" s="9"/>
      <c r="E58" s="9"/>
      <c r="F58" s="9"/>
      <c r="G58" s="9"/>
      <c r="H58" s="9"/>
      <c r="I58" s="9"/>
    </row>
    <row r="59" spans="2:9" ht="14" customHeight="1" x14ac:dyDescent="0.3">
      <c r="B59" s="1" t="s">
        <v>156</v>
      </c>
    </row>
    <row r="60" spans="2:9" ht="14" customHeight="1" x14ac:dyDescent="0.3">
      <c r="B60" s="4" t="s">
        <v>157</v>
      </c>
      <c r="C60" s="5">
        <f>F49</f>
        <v>670134.15648505627</v>
      </c>
    </row>
    <row r="62" spans="2:9" ht="14" customHeight="1" x14ac:dyDescent="0.3">
      <c r="B62" s="28" t="s">
        <v>158</v>
      </c>
      <c r="C62" s="28" t="s">
        <v>159</v>
      </c>
      <c r="D62" s="28" t="s">
        <v>160</v>
      </c>
    </row>
    <row r="63" spans="2:9" ht="14" customHeight="1" x14ac:dyDescent="0.3">
      <c r="B63" s="31">
        <v>0.1123</v>
      </c>
      <c r="C63" s="5">
        <f>IFERROR($C$60/B63,"N/A")</f>
        <v>5967356.6917636357</v>
      </c>
      <c r="D63" s="14">
        <f>IFERROR(C63/'DCF Model'!C17,"N/A")</f>
        <v>6.9563313656928178</v>
      </c>
    </row>
    <row r="64" spans="2:9" ht="14" customHeight="1" x14ac:dyDescent="0.3">
      <c r="B64" s="31">
        <v>0.16850000000000001</v>
      </c>
      <c r="C64" s="5">
        <f>IFERROR($C$60/B64,"N/A")</f>
        <v>3977057.3085166542</v>
      </c>
      <c r="D64" s="14">
        <f>IFERROR(C64/'DCF Model'!C17,"N/A")</f>
        <v>4.6361781149394856</v>
      </c>
    </row>
    <row r="65" spans="2:9" ht="14" customHeight="1" x14ac:dyDescent="0.3">
      <c r="B65" s="4" t="s">
        <v>161</v>
      </c>
      <c r="C65" s="5">
        <f>IFERROR($C$60/$C$18,"N/A")</f>
        <v>2983527.3774548494</v>
      </c>
      <c r="D65" s="14">
        <f>IFERROR(C65/'DCF Model'!C17,"N/A")</f>
        <v>3.4779896943044135</v>
      </c>
    </row>
    <row r="66" spans="2:9" ht="14" customHeight="1" x14ac:dyDescent="0.3">
      <c r="B66" s="31">
        <v>0.28079999999999999</v>
      </c>
      <c r="C66" s="5">
        <f>IFERROR($C$60/B66,"N/A")</f>
        <v>2386517.6513000578</v>
      </c>
      <c r="D66" s="14">
        <f>IFERROR(C66/'DCF Model'!C17,"N/A")</f>
        <v>2.7820370810801403</v>
      </c>
    </row>
    <row r="67" spans="2:9" ht="14" customHeight="1" x14ac:dyDescent="0.3">
      <c r="B67" s="31">
        <v>0.33689999999999998</v>
      </c>
      <c r="C67" s="5">
        <f>IFERROR($C$60/B67,"N/A")</f>
        <v>1989118.8972545452</v>
      </c>
      <c r="D67" s="14">
        <f>IFERROR(C67/'DCF Model'!C17,"N/A")</f>
        <v>2.3187771218976061</v>
      </c>
    </row>
    <row r="69" spans="2:9" ht="14" customHeight="1" x14ac:dyDescent="0.3">
      <c r="B69" s="8" t="s">
        <v>162</v>
      </c>
      <c r="C69" s="9"/>
      <c r="D69" s="9"/>
      <c r="E69" s="9"/>
      <c r="F69" s="9"/>
      <c r="G69" s="9"/>
      <c r="H69" s="9"/>
      <c r="I69" s="9"/>
    </row>
    <row r="70" spans="2:9" ht="13.5" customHeight="1" x14ac:dyDescent="0.25">
      <c r="B70" s="6" t="s">
        <v>163</v>
      </c>
      <c r="C70" s="14">
        <f>IFERROR(C10/'Comps Analysis'!G5,"N/A")</f>
        <v>20.700161665931031</v>
      </c>
    </row>
    <row r="71" spans="2:9" ht="13.5" customHeight="1" x14ac:dyDescent="0.25">
      <c r="B71" s="6" t="s">
        <v>164</v>
      </c>
      <c r="C71" s="14">
        <f>IFERROR(C10/'Comps Analysis'!F5,"N/A")</f>
        <v>5.5873696951240976</v>
      </c>
    </row>
    <row r="72" spans="2:9" ht="14" customHeight="1" x14ac:dyDescent="0.3">
      <c r="B72" s="4" t="s">
        <v>165</v>
      </c>
      <c r="C72" s="14">
        <f>IFERROR(C10/(C25+'DCF Model'!G42),"N/A")</f>
        <v>7.5666277098338011</v>
      </c>
    </row>
    <row r="73" spans="2:9" ht="14" customHeight="1" x14ac:dyDescent="0.3">
      <c r="B73" s="4" t="s">
        <v>166</v>
      </c>
      <c r="C73" s="14">
        <f>IFERROR(C10/(C60+'DCF Model'!G42),"N/A")</f>
        <v>6.5887482102325317</v>
      </c>
    </row>
    <row r="74" spans="2:9" ht="14" customHeight="1" x14ac:dyDescent="0.3">
      <c r="B74" s="4" t="s">
        <v>167</v>
      </c>
      <c r="C74" s="14">
        <f>IFERROR('Comps Analysis'!D16,"N/A")</f>
        <v>15.552094158010673</v>
      </c>
    </row>
    <row r="75" spans="2:9" ht="14" customHeight="1" x14ac:dyDescent="0.3">
      <c r="B75" s="1" t="s">
        <v>168</v>
      </c>
    </row>
    <row r="77" spans="2:9" ht="14" customHeight="1" x14ac:dyDescent="0.3">
      <c r="B77" s="22" t="s">
        <v>169</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FY2026."</f>
        <v>At 5,931 yen the market is paying for a steady-state operating profit of 670,134 mn JPY - 3.50x the FY2023 cycle peak of 191,359 mn - reached in 5 years and sustained for ever, against 183,763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576,121 mn, or 3.01x the peak. The base case supports an EV of only 1,512,709 mn, leaving 3,530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170</v>
      </c>
    </row>
    <row r="4" spans="2:8" ht="14" customHeight="1" x14ac:dyDescent="0.3">
      <c r="B4" s="8" t="s">
        <v>171</v>
      </c>
      <c r="C4" s="32" t="s">
        <v>172</v>
      </c>
      <c r="D4" s="32" t="s">
        <v>79</v>
      </c>
      <c r="E4" s="32" t="s">
        <v>80</v>
      </c>
      <c r="F4" s="32" t="s">
        <v>81</v>
      </c>
      <c r="G4" s="32" t="s">
        <v>82</v>
      </c>
      <c r="H4" s="32" t="s">
        <v>83</v>
      </c>
    </row>
    <row r="5" spans="2:8" ht="14" customHeight="1" x14ac:dyDescent="0.3">
      <c r="B5" s="33" t="s">
        <v>173</v>
      </c>
      <c r="C5" s="34">
        <f>C12/C9*365</f>
        <v>72.663350939753869</v>
      </c>
      <c r="D5" s="34">
        <f>CHOOSE('DCF Model'!$D$27,D25,D26,D27,D28,D29)</f>
        <v>71</v>
      </c>
      <c r="E5" s="34">
        <f>CHOOSE('DCF Model'!$D$27,E25,E26,E27,E28,E29)</f>
        <v>71</v>
      </c>
      <c r="F5" s="34">
        <f>CHOOSE('DCF Model'!$D$27,F25,F26,F27,F28,F29)</f>
        <v>71</v>
      </c>
      <c r="G5" s="34">
        <f>CHOOSE('DCF Model'!$D$27,G25,G26,G27,G28,G29)</f>
        <v>71</v>
      </c>
      <c r="H5" s="34">
        <f>CHOOSE('DCF Model'!$D$27,H25,H26,H27,H28,H29)</f>
        <v>71</v>
      </c>
    </row>
    <row r="6" spans="2:8" ht="14" customHeight="1" x14ac:dyDescent="0.3">
      <c r="B6" s="33" t="s">
        <v>174</v>
      </c>
      <c r="C6" s="34">
        <f>C13/C10*365</f>
        <v>201.46381041436439</v>
      </c>
      <c r="D6" s="34">
        <f>CHOOSE('DCF Model'!$D$27,D32,D33,D34,D35,D36)</f>
        <v>230</v>
      </c>
      <c r="E6" s="34">
        <f>CHOOSE('DCF Model'!$D$27,E32,E33,E34,E35,E36)</f>
        <v>230</v>
      </c>
      <c r="F6" s="34">
        <f>CHOOSE('DCF Model'!$D$27,F32,F33,F34,F35,F36)</f>
        <v>230</v>
      </c>
      <c r="G6" s="34">
        <f>CHOOSE('DCF Model'!$D$27,G32,G33,G34,G35,G36)</f>
        <v>230</v>
      </c>
      <c r="H6" s="34">
        <f>CHOOSE('DCF Model'!$D$27,H32,H33,H34,H35,H36)</f>
        <v>230</v>
      </c>
    </row>
    <row r="7" spans="2:8" ht="14" customHeight="1" x14ac:dyDescent="0.3">
      <c r="B7" s="33" t="s">
        <v>175</v>
      </c>
      <c r="C7" s="34">
        <f>C15/C10*365</f>
        <v>31.897896536416269</v>
      </c>
      <c r="D7" s="34">
        <f>CHOOSE('DCF Model'!$D$27,D39,D40,D41,D42,D43)</f>
        <v>32</v>
      </c>
      <c r="E7" s="34">
        <f>CHOOSE('DCF Model'!$D$27,E39,E40,E41,E42,E43)</f>
        <v>32</v>
      </c>
      <c r="F7" s="34">
        <f>CHOOSE('DCF Model'!$D$27,F39,F40,F41,F42,F43)</f>
        <v>32</v>
      </c>
      <c r="G7" s="34">
        <f>CHOOSE('DCF Model'!$D$27,G39,G40,G41,G42,G43)</f>
        <v>32</v>
      </c>
      <c r="H7" s="34">
        <f>CHOOSE('DCF Model'!$D$27,H39,H40,H41,H42,H43)</f>
        <v>32</v>
      </c>
    </row>
    <row r="8" spans="2:8" ht="14" customHeight="1" x14ac:dyDescent="0.3">
      <c r="B8" s="8" t="s">
        <v>176</v>
      </c>
      <c r="C8" s="9"/>
      <c r="D8" s="9"/>
      <c r="E8" s="9"/>
      <c r="F8" s="9"/>
      <c r="G8" s="9"/>
      <c r="H8" s="9"/>
    </row>
    <row r="9" spans="2:8" ht="14" customHeight="1" x14ac:dyDescent="0.3">
      <c r="B9" s="33" t="s">
        <v>31</v>
      </c>
      <c r="C9" s="35">
        <v>857831</v>
      </c>
      <c r="D9" s="35">
        <f>'DCF Model'!C33</f>
        <v>900722.55</v>
      </c>
      <c r="E9" s="35">
        <f>'DCF Model'!D33</f>
        <v>936751.45200000005</v>
      </c>
      <c r="F9" s="35">
        <f>'DCF Model'!E33</f>
        <v>969537.75281999994</v>
      </c>
      <c r="G9" s="35">
        <f>'DCF Model'!F33</f>
        <v>998623.88540459995</v>
      </c>
      <c r="H9" s="35">
        <f>'DCF Model'!G33</f>
        <v>1023589.4825397149</v>
      </c>
    </row>
    <row r="10" spans="2:8" ht="14" customHeight="1" x14ac:dyDescent="0.3">
      <c r="B10" s="33" t="s">
        <v>32</v>
      </c>
      <c r="C10" s="35">
        <v>529365</v>
      </c>
      <c r="D10" s="35">
        <f>'DCF Model'!C34</f>
        <v>555745.81335000007</v>
      </c>
      <c r="E10" s="35">
        <f>'DCF Model'!D34</f>
        <v>577975.645884</v>
      </c>
      <c r="F10" s="35">
        <f>'DCF Model'!E34</f>
        <v>598204.79348994</v>
      </c>
      <c r="G10" s="35">
        <f>'DCF Model'!F34</f>
        <v>616150.93729463813</v>
      </c>
      <c r="H10" s="35">
        <f>'DCF Model'!G34</f>
        <v>631554.7107270041</v>
      </c>
    </row>
    <row r="11" spans="2:8" ht="14" customHeight="1" x14ac:dyDescent="0.3">
      <c r="B11" s="8" t="s">
        <v>177</v>
      </c>
      <c r="C11" s="9"/>
      <c r="D11" s="9"/>
      <c r="E11" s="9"/>
      <c r="F11" s="9"/>
      <c r="G11" s="9"/>
      <c r="H11" s="9"/>
    </row>
    <row r="12" spans="2:8" ht="14" customHeight="1" x14ac:dyDescent="0.3">
      <c r="B12" s="33" t="s">
        <v>178</v>
      </c>
      <c r="C12" s="35">
        <v>170775</v>
      </c>
      <c r="D12" s="35">
        <f t="shared" ref="D12:H13" si="0">D9*D5/365</f>
        <v>175209.04397260275</v>
      </c>
      <c r="E12" s="35">
        <f t="shared" si="0"/>
        <v>182217.40573150685</v>
      </c>
      <c r="F12" s="35">
        <f t="shared" si="0"/>
        <v>188595.01493210957</v>
      </c>
      <c r="G12" s="35">
        <f t="shared" si="0"/>
        <v>194252.86538007288</v>
      </c>
      <c r="H12" s="35">
        <f t="shared" si="0"/>
        <v>199109.18701457468</v>
      </c>
    </row>
    <row r="13" spans="2:8" ht="14" customHeight="1" x14ac:dyDescent="0.3">
      <c r="B13" s="33" t="s">
        <v>179</v>
      </c>
      <c r="C13" s="35">
        <v>292186</v>
      </c>
      <c r="D13" s="35">
        <f t="shared" si="0"/>
        <v>350195.99197397265</v>
      </c>
      <c r="E13" s="35">
        <f t="shared" si="0"/>
        <v>364203.83165293152</v>
      </c>
      <c r="F13" s="35">
        <f t="shared" si="0"/>
        <v>376950.96576078411</v>
      </c>
      <c r="G13" s="35">
        <f t="shared" si="0"/>
        <v>388259.49473360763</v>
      </c>
      <c r="H13" s="35">
        <f t="shared" si="0"/>
        <v>397965.98210194783</v>
      </c>
    </row>
    <row r="14" spans="2:8" ht="14" customHeight="1" x14ac:dyDescent="0.3">
      <c r="B14" s="33" t="s">
        <v>180</v>
      </c>
      <c r="C14" s="35">
        <f t="shared" ref="C14:H14" si="1">C12+C13</f>
        <v>462961</v>
      </c>
      <c r="D14" s="35">
        <f t="shared" si="1"/>
        <v>525405.03594657546</v>
      </c>
      <c r="E14" s="35">
        <f t="shared" si="1"/>
        <v>546421.2373844384</v>
      </c>
      <c r="F14" s="35">
        <f t="shared" si="1"/>
        <v>565545.98069289373</v>
      </c>
      <c r="G14" s="35">
        <f t="shared" si="1"/>
        <v>582512.36011368048</v>
      </c>
      <c r="H14" s="35">
        <f t="shared" si="1"/>
        <v>597075.16911652253</v>
      </c>
    </row>
    <row r="15" spans="2:8" ht="14" customHeight="1" x14ac:dyDescent="0.3">
      <c r="B15" s="33" t="s">
        <v>181</v>
      </c>
      <c r="C15" s="35">
        <v>46262</v>
      </c>
      <c r="D15" s="35">
        <f>D10*D7/365</f>
        <v>48722.920622465761</v>
      </c>
      <c r="E15" s="35">
        <f>E10*E7/365</f>
        <v>50671.837447364385</v>
      </c>
      <c r="F15" s="35">
        <f>F10*F7/365</f>
        <v>52445.351758022138</v>
      </c>
      <c r="G15" s="35">
        <f>G10*G7/365</f>
        <v>54018.712310762792</v>
      </c>
      <c r="H15" s="35">
        <f>H10*H7/365</f>
        <v>55369.180118531869</v>
      </c>
    </row>
    <row r="16" spans="2:8" ht="14" customHeight="1" x14ac:dyDescent="0.3">
      <c r="B16" s="33" t="s">
        <v>182</v>
      </c>
      <c r="C16" s="35">
        <f t="shared" ref="C16:H16" si="2">C15</f>
        <v>46262</v>
      </c>
      <c r="D16" s="35">
        <f t="shared" si="2"/>
        <v>48722.920622465761</v>
      </c>
      <c r="E16" s="35">
        <f t="shared" si="2"/>
        <v>50671.837447364385</v>
      </c>
      <c r="F16" s="35">
        <f t="shared" si="2"/>
        <v>52445.351758022138</v>
      </c>
      <c r="G16" s="35">
        <f t="shared" si="2"/>
        <v>54018.712310762792</v>
      </c>
      <c r="H16" s="35">
        <f t="shared" si="2"/>
        <v>55369.180118531869</v>
      </c>
    </row>
    <row r="17" spans="2:8" ht="14" customHeight="1" x14ac:dyDescent="0.3">
      <c r="B17" s="22" t="s">
        <v>183</v>
      </c>
      <c r="C17" s="23"/>
      <c r="D17" s="23"/>
      <c r="E17" s="23"/>
      <c r="F17" s="23"/>
      <c r="G17" s="23"/>
      <c r="H17" s="23"/>
    </row>
    <row r="18" spans="2:8" ht="14" customHeight="1" x14ac:dyDescent="0.3">
      <c r="B18" s="33" t="s">
        <v>184</v>
      </c>
      <c r="C18" s="20">
        <f t="shared" ref="C18:H18" si="3">C14-C16</f>
        <v>416699</v>
      </c>
      <c r="D18" s="20">
        <f t="shared" si="3"/>
        <v>476682.11532410968</v>
      </c>
      <c r="E18" s="20">
        <f t="shared" si="3"/>
        <v>495749.39993707399</v>
      </c>
      <c r="F18" s="20">
        <f t="shared" si="3"/>
        <v>513100.62893487158</v>
      </c>
      <c r="G18" s="20">
        <f t="shared" si="3"/>
        <v>528493.64780291764</v>
      </c>
      <c r="H18" s="20">
        <f t="shared" si="3"/>
        <v>541705.98899799061</v>
      </c>
    </row>
    <row r="19" spans="2:8" ht="14" customHeight="1" x14ac:dyDescent="0.3">
      <c r="B19" s="33" t="s">
        <v>93</v>
      </c>
      <c r="C19" s="36" t="s">
        <v>41</v>
      </c>
      <c r="D19" s="24">
        <f>D18-C18</f>
        <v>59983.115324109676</v>
      </c>
      <c r="E19" s="24">
        <f>E18-D18</f>
        <v>19067.284612964315</v>
      </c>
      <c r="F19" s="24">
        <f>F18-E18</f>
        <v>17351.228997797589</v>
      </c>
      <c r="G19" s="24">
        <f>G18-F18</f>
        <v>15393.018868046056</v>
      </c>
      <c r="H19" s="24">
        <f>H18-G18</f>
        <v>13212.341195072979</v>
      </c>
    </row>
    <row r="22" spans="2:8" ht="14" customHeight="1" x14ac:dyDescent="0.3">
      <c r="B22" s="22" t="s">
        <v>185</v>
      </c>
      <c r="C22" s="23"/>
      <c r="D22" s="23"/>
      <c r="E22" s="23"/>
      <c r="F22" s="23"/>
      <c r="G22" s="23"/>
      <c r="H22" s="23"/>
    </row>
    <row r="23" spans="2:8" ht="14" customHeight="1" x14ac:dyDescent="0.3">
      <c r="D23" s="25" t="s">
        <v>79</v>
      </c>
      <c r="E23" s="25" t="s">
        <v>80</v>
      </c>
      <c r="F23" s="25" t="s">
        <v>81</v>
      </c>
      <c r="G23" s="25" t="s">
        <v>82</v>
      </c>
      <c r="H23" s="25" t="s">
        <v>83</v>
      </c>
    </row>
    <row r="24" spans="2:8" ht="14" customHeight="1" x14ac:dyDescent="0.3">
      <c r="B24" s="3" t="s">
        <v>186</v>
      </c>
    </row>
    <row r="25" spans="2:8" ht="14" customHeight="1" x14ac:dyDescent="0.3">
      <c r="B25" s="4" t="s">
        <v>77</v>
      </c>
      <c r="D25" s="30">
        <v>71</v>
      </c>
      <c r="E25" s="30">
        <v>71</v>
      </c>
      <c r="F25" s="30">
        <v>71</v>
      </c>
      <c r="G25" s="30">
        <v>71</v>
      </c>
      <c r="H25" s="30">
        <v>71</v>
      </c>
    </row>
    <row r="26" spans="2:8" ht="14" customHeight="1" x14ac:dyDescent="0.3">
      <c r="B26" s="4" t="s">
        <v>114</v>
      </c>
      <c r="D26" s="30">
        <v>68</v>
      </c>
      <c r="E26" s="30">
        <v>68</v>
      </c>
      <c r="F26" s="30">
        <v>68</v>
      </c>
      <c r="G26" s="30">
        <v>68</v>
      </c>
      <c r="H26" s="30">
        <v>68</v>
      </c>
    </row>
    <row r="27" spans="2:8" ht="14" customHeight="1" x14ac:dyDescent="0.3">
      <c r="B27" s="4" t="s">
        <v>115</v>
      </c>
      <c r="D27" s="30">
        <v>71</v>
      </c>
      <c r="E27" s="30">
        <v>71</v>
      </c>
      <c r="F27" s="30">
        <v>71</v>
      </c>
      <c r="G27" s="30">
        <v>71</v>
      </c>
      <c r="H27" s="30">
        <v>71</v>
      </c>
    </row>
    <row r="28" spans="2:8" ht="14" customHeight="1" x14ac:dyDescent="0.3">
      <c r="B28" s="4" t="s">
        <v>116</v>
      </c>
      <c r="D28" s="30">
        <v>75</v>
      </c>
      <c r="E28" s="30">
        <v>75</v>
      </c>
      <c r="F28" s="30">
        <v>75</v>
      </c>
      <c r="G28" s="30">
        <v>75</v>
      </c>
      <c r="H28" s="30">
        <v>75</v>
      </c>
    </row>
    <row r="29" spans="2:8" ht="14" customHeight="1" x14ac:dyDescent="0.3">
      <c r="B29" s="4" t="s">
        <v>117</v>
      </c>
      <c r="D29" s="30">
        <v>78</v>
      </c>
      <c r="E29" s="30">
        <v>78</v>
      </c>
      <c r="F29" s="30">
        <v>78</v>
      </c>
      <c r="G29" s="30">
        <v>78</v>
      </c>
      <c r="H29" s="30">
        <v>78</v>
      </c>
    </row>
    <row r="31" spans="2:8" ht="14" customHeight="1" x14ac:dyDescent="0.3">
      <c r="B31" s="3" t="s">
        <v>187</v>
      </c>
    </row>
    <row r="32" spans="2:8" ht="14" customHeight="1" x14ac:dyDescent="0.3">
      <c r="B32" s="4" t="s">
        <v>77</v>
      </c>
      <c r="D32" s="30">
        <v>230</v>
      </c>
      <c r="E32" s="30">
        <v>230</v>
      </c>
      <c r="F32" s="30">
        <v>230</v>
      </c>
      <c r="G32" s="30">
        <v>230</v>
      </c>
      <c r="H32" s="30">
        <v>230</v>
      </c>
    </row>
    <row r="33" spans="2:8" ht="14" customHeight="1" x14ac:dyDescent="0.3">
      <c r="B33" s="4" t="s">
        <v>114</v>
      </c>
      <c r="D33" s="30">
        <v>219</v>
      </c>
      <c r="E33" s="30">
        <v>219</v>
      </c>
      <c r="F33" s="30">
        <v>219</v>
      </c>
      <c r="G33" s="30">
        <v>219</v>
      </c>
      <c r="H33" s="30">
        <v>219</v>
      </c>
    </row>
    <row r="34" spans="2:8" ht="14" customHeight="1" x14ac:dyDescent="0.3">
      <c r="B34" s="4" t="s">
        <v>115</v>
      </c>
      <c r="D34" s="30">
        <v>230</v>
      </c>
      <c r="E34" s="30">
        <v>230</v>
      </c>
      <c r="F34" s="30">
        <v>230</v>
      </c>
      <c r="G34" s="30">
        <v>230</v>
      </c>
      <c r="H34" s="30">
        <v>230</v>
      </c>
    </row>
    <row r="35" spans="2:8" ht="14" customHeight="1" x14ac:dyDescent="0.3">
      <c r="B35" s="4" t="s">
        <v>116</v>
      </c>
      <c r="D35" s="30">
        <v>242</v>
      </c>
      <c r="E35" s="30">
        <v>242</v>
      </c>
      <c r="F35" s="30">
        <v>242</v>
      </c>
      <c r="G35" s="30">
        <v>242</v>
      </c>
      <c r="H35" s="30">
        <v>242</v>
      </c>
    </row>
    <row r="36" spans="2:8" ht="14" customHeight="1" x14ac:dyDescent="0.3">
      <c r="B36" s="4" t="s">
        <v>117</v>
      </c>
      <c r="D36" s="30">
        <v>253</v>
      </c>
      <c r="E36" s="30">
        <v>253</v>
      </c>
      <c r="F36" s="30">
        <v>253</v>
      </c>
      <c r="G36" s="30">
        <v>253</v>
      </c>
      <c r="H36" s="30">
        <v>253</v>
      </c>
    </row>
    <row r="38" spans="2:8" ht="14" customHeight="1" x14ac:dyDescent="0.3">
      <c r="B38" s="3" t="s">
        <v>188</v>
      </c>
    </row>
    <row r="39" spans="2:8" ht="14" customHeight="1" x14ac:dyDescent="0.3">
      <c r="B39" s="4" t="s">
        <v>77</v>
      </c>
      <c r="D39" s="30">
        <v>32</v>
      </c>
      <c r="E39" s="30">
        <v>32</v>
      </c>
      <c r="F39" s="30">
        <v>32</v>
      </c>
      <c r="G39" s="30">
        <v>32</v>
      </c>
      <c r="H39" s="30">
        <v>32</v>
      </c>
    </row>
    <row r="40" spans="2:8" ht="14" customHeight="1" x14ac:dyDescent="0.3">
      <c r="B40" s="4" t="s">
        <v>114</v>
      </c>
      <c r="D40" s="30">
        <v>34</v>
      </c>
      <c r="E40" s="30">
        <v>34</v>
      </c>
      <c r="F40" s="30">
        <v>34</v>
      </c>
      <c r="G40" s="30">
        <v>34</v>
      </c>
      <c r="H40" s="30">
        <v>34</v>
      </c>
    </row>
    <row r="41" spans="2:8" ht="14" customHeight="1" x14ac:dyDescent="0.3">
      <c r="B41" s="4" t="s">
        <v>115</v>
      </c>
      <c r="D41" s="30">
        <v>32</v>
      </c>
      <c r="E41" s="30">
        <v>32</v>
      </c>
      <c r="F41" s="30">
        <v>32</v>
      </c>
      <c r="G41" s="30">
        <v>32</v>
      </c>
      <c r="H41" s="30">
        <v>32</v>
      </c>
    </row>
    <row r="42" spans="2:8" ht="14" customHeight="1" x14ac:dyDescent="0.3">
      <c r="B42" s="4" t="s">
        <v>116</v>
      </c>
      <c r="D42" s="30">
        <v>30</v>
      </c>
      <c r="E42" s="30">
        <v>30</v>
      </c>
      <c r="F42" s="30">
        <v>30</v>
      </c>
      <c r="G42" s="30">
        <v>30</v>
      </c>
      <c r="H42" s="30">
        <v>30</v>
      </c>
    </row>
    <row r="43" spans="2:8" ht="14" customHeight="1" x14ac:dyDescent="0.3">
      <c r="B43" s="4" t="s">
        <v>117</v>
      </c>
      <c r="D43" s="30">
        <v>29</v>
      </c>
      <c r="E43" s="30">
        <v>29</v>
      </c>
      <c r="F43" s="30">
        <v>29</v>
      </c>
      <c r="G43" s="30">
        <v>29</v>
      </c>
      <c r="H43" s="30">
        <v>29</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189</v>
      </c>
    </row>
    <row r="3" spans="2:17" ht="14" customHeight="1" x14ac:dyDescent="0.3">
      <c r="B3" s="1" t="s">
        <v>190</v>
      </c>
    </row>
    <row r="4" spans="2:17" ht="28" customHeight="1" x14ac:dyDescent="0.3">
      <c r="B4" s="10" t="s">
        <v>3</v>
      </c>
      <c r="C4" s="10" t="s">
        <v>5</v>
      </c>
      <c r="D4" s="10" t="s">
        <v>191</v>
      </c>
      <c r="E4" s="10" t="s">
        <v>192</v>
      </c>
      <c r="F4" s="10" t="s">
        <v>193</v>
      </c>
      <c r="G4" s="10" t="s">
        <v>194</v>
      </c>
      <c r="H4" s="10" t="s">
        <v>195</v>
      </c>
      <c r="I4" s="10" t="s">
        <v>196</v>
      </c>
      <c r="J4" s="10" t="s">
        <v>197</v>
      </c>
      <c r="K4" s="10" t="s">
        <v>198</v>
      </c>
      <c r="L4" s="10" t="s">
        <v>199</v>
      </c>
      <c r="M4" s="10" t="s">
        <v>200</v>
      </c>
      <c r="N4" s="10" t="s">
        <v>201</v>
      </c>
      <c r="O4" s="10" t="s">
        <v>202</v>
      </c>
      <c r="P4" s="10" t="s">
        <v>203</v>
      </c>
      <c r="Q4" s="10" t="s">
        <v>204</v>
      </c>
    </row>
    <row r="5" spans="2:17" ht="14" customHeight="1" x14ac:dyDescent="0.3">
      <c r="B5" s="4" t="s">
        <v>205</v>
      </c>
      <c r="C5" t="s">
        <v>206</v>
      </c>
      <c r="D5" s="37">
        <f>'Executive Summary'!C9*C23/1000000</f>
        <v>5511089.9329380002</v>
      </c>
      <c r="E5" s="37">
        <f>D5+C24</f>
        <v>4793018.9329380002</v>
      </c>
      <c r="F5" s="37">
        <v>857831</v>
      </c>
      <c r="G5" s="37">
        <v>231545</v>
      </c>
      <c r="H5" s="37">
        <v>183763</v>
      </c>
      <c r="I5" s="37">
        <v>166543</v>
      </c>
      <c r="J5" s="38">
        <f t="shared" ref="J5:J10" si="0">IFERROR(E5/G5,"")</f>
        <v>20.700161665931031</v>
      </c>
      <c r="K5" s="38">
        <f t="shared" ref="K5:K10" si="1">IFERROR(E5/F5,"")</f>
        <v>5.5873696951240976</v>
      </c>
      <c r="L5" s="38">
        <f t="shared" ref="L5:L10" si="2">IFERROR(D5/I5,"")</f>
        <v>33.091093188774074</v>
      </c>
      <c r="M5" s="38">
        <f t="shared" ref="M5:M10" si="3">IFERROR(D5/P5,"")</f>
        <v>2.955212415731705</v>
      </c>
      <c r="N5" s="39">
        <f t="shared" ref="N5:N10" si="4">IFERROR(H5/F5,"")</f>
        <v>0.21421818516700841</v>
      </c>
      <c r="O5" s="39">
        <f t="shared" ref="O5:O10" si="5">IFERROR(I5/P5,"")</f>
        <v>8.9305372864932744E-2</v>
      </c>
      <c r="P5" s="37">
        <v>1864871</v>
      </c>
    </row>
    <row r="6" spans="2:17" ht="14" customHeight="1" x14ac:dyDescent="0.3">
      <c r="B6" s="4" t="s">
        <v>207</v>
      </c>
      <c r="C6" t="s">
        <v>208</v>
      </c>
      <c r="D6" s="37">
        <v>18849053</v>
      </c>
      <c r="E6" s="37">
        <v>18252077</v>
      </c>
      <c r="F6" s="37">
        <v>1169289</v>
      </c>
      <c r="G6" s="37">
        <v>612986</v>
      </c>
      <c r="H6" s="37">
        <v>595759</v>
      </c>
      <c r="I6" s="37">
        <v>445185</v>
      </c>
      <c r="J6" s="38">
        <f t="shared" si="0"/>
        <v>29.775683294561375</v>
      </c>
      <c r="K6" s="38">
        <f t="shared" si="1"/>
        <v>15.609551616409631</v>
      </c>
      <c r="L6" s="38">
        <f t="shared" si="2"/>
        <v>42.339820524051795</v>
      </c>
      <c r="M6" s="38">
        <f t="shared" si="3"/>
        <v>5.4297019908851318</v>
      </c>
      <c r="N6" s="39">
        <f t="shared" si="4"/>
        <v>0.50950534897702793</v>
      </c>
      <c r="O6" s="39">
        <f t="shared" si="5"/>
        <v>0.12824102520228456</v>
      </c>
      <c r="P6" s="37">
        <v>3471471</v>
      </c>
    </row>
    <row r="7" spans="2:17" ht="14" customHeight="1" x14ac:dyDescent="0.3">
      <c r="B7" s="4" t="s">
        <v>209</v>
      </c>
      <c r="C7" t="s">
        <v>210</v>
      </c>
      <c r="D7" s="37">
        <v>4194759</v>
      </c>
      <c r="E7" s="37">
        <v>3535981</v>
      </c>
      <c r="F7" s="37">
        <v>842541</v>
      </c>
      <c r="G7" s="37">
        <v>235405</v>
      </c>
      <c r="H7" s="37">
        <v>190559</v>
      </c>
      <c r="I7" s="37">
        <v>167304</v>
      </c>
      <c r="J7" s="38">
        <f t="shared" si="0"/>
        <v>15.020840678830101</v>
      </c>
      <c r="K7" s="38">
        <f t="shared" si="1"/>
        <v>4.1968058527715568</v>
      </c>
      <c r="L7" s="38">
        <f t="shared" si="2"/>
        <v>25.07267608664467</v>
      </c>
      <c r="M7" s="38">
        <f t="shared" si="3"/>
        <v>1.9832531948995078</v>
      </c>
      <c r="N7" s="39">
        <f t="shared" si="4"/>
        <v>0.22617178273816943</v>
      </c>
      <c r="O7" s="39">
        <f t="shared" si="5"/>
        <v>7.9100180134178688E-2</v>
      </c>
      <c r="P7" s="37">
        <v>2115090</v>
      </c>
    </row>
    <row r="8" spans="2:17" ht="14" customHeight="1" x14ac:dyDescent="0.3">
      <c r="B8" s="4" t="s">
        <v>211</v>
      </c>
      <c r="C8" t="s">
        <v>212</v>
      </c>
      <c r="D8" s="37">
        <v>1222445</v>
      </c>
      <c r="E8" s="37">
        <v>1297113</v>
      </c>
      <c r="F8" s="37">
        <v>767351</v>
      </c>
      <c r="G8" s="37">
        <v>88966</v>
      </c>
      <c r="H8" s="37">
        <v>55188</v>
      </c>
      <c r="I8" s="37">
        <v>28487</v>
      </c>
      <c r="J8" s="38">
        <f t="shared" si="0"/>
        <v>14.579873209990334</v>
      </c>
      <c r="K8" s="38">
        <f t="shared" si="1"/>
        <v>1.690377675926662</v>
      </c>
      <c r="L8" s="38">
        <f t="shared" si="2"/>
        <v>42.912381086109455</v>
      </c>
      <c r="M8" s="38">
        <f t="shared" si="3"/>
        <v>1.4624559598509363</v>
      </c>
      <c r="N8" s="39">
        <f t="shared" si="4"/>
        <v>7.1920151273667465E-2</v>
      </c>
      <c r="O8" s="39">
        <f t="shared" si="5"/>
        <v>3.4080046896403211E-2</v>
      </c>
      <c r="P8" s="37">
        <v>835885</v>
      </c>
    </row>
    <row r="9" spans="2:17" ht="14" customHeight="1" x14ac:dyDescent="0.3">
      <c r="B9" s="4" t="s">
        <v>213</v>
      </c>
      <c r="C9" t="s">
        <v>214</v>
      </c>
      <c r="D9" s="37">
        <v>1185311</v>
      </c>
      <c r="E9" s="37">
        <v>1248939</v>
      </c>
      <c r="F9" s="37">
        <v>542122</v>
      </c>
      <c r="G9" s="37">
        <v>68402</v>
      </c>
      <c r="H9" s="37">
        <v>47308</v>
      </c>
      <c r="I9" s="37">
        <v>35240</v>
      </c>
      <c r="J9" s="38">
        <f t="shared" si="0"/>
        <v>18.258808221981813</v>
      </c>
      <c r="K9" s="38">
        <f t="shared" si="1"/>
        <v>2.3037969313180429</v>
      </c>
      <c r="L9" s="38">
        <f t="shared" si="2"/>
        <v>33.635385925085131</v>
      </c>
      <c r="M9" s="38">
        <f t="shared" si="3"/>
        <v>2.4513092968139274</v>
      </c>
      <c r="N9" s="39">
        <f t="shared" si="4"/>
        <v>8.7264490280785506E-2</v>
      </c>
      <c r="O9" s="39">
        <f t="shared" si="5"/>
        <v>7.2878881255402844E-2</v>
      </c>
      <c r="P9" s="37">
        <v>483542</v>
      </c>
    </row>
    <row r="10" spans="2:17" ht="14" customHeight="1" x14ac:dyDescent="0.3">
      <c r="B10" s="4" t="s">
        <v>215</v>
      </c>
      <c r="C10" t="s">
        <v>216</v>
      </c>
      <c r="D10" s="37">
        <v>10739696</v>
      </c>
      <c r="E10" s="37">
        <v>10371365</v>
      </c>
      <c r="F10" s="37">
        <v>5894747</v>
      </c>
      <c r="G10" s="37">
        <v>666879</v>
      </c>
      <c r="H10" s="37">
        <v>433095</v>
      </c>
      <c r="I10" s="37">
        <v>407758</v>
      </c>
      <c r="J10" s="38">
        <f t="shared" si="0"/>
        <v>15.552094158010673</v>
      </c>
      <c r="K10" s="38">
        <f t="shared" si="1"/>
        <v>1.7594249592052043</v>
      </c>
      <c r="L10" s="38">
        <f t="shared" si="2"/>
        <v>26.338406603917029</v>
      </c>
      <c r="M10" s="38">
        <f t="shared" si="3"/>
        <v>2.3949730011555959</v>
      </c>
      <c r="N10" s="39">
        <f t="shared" si="4"/>
        <v>7.3471346607411656E-2</v>
      </c>
      <c r="O10" s="39">
        <f t="shared" si="5"/>
        <v>9.0930823461409294E-2</v>
      </c>
      <c r="P10" s="37">
        <v>4484266</v>
      </c>
    </row>
    <row r="14" spans="2:17" ht="14" customHeight="1" x14ac:dyDescent="0.3">
      <c r="B14" s="3" t="s">
        <v>217</v>
      </c>
    </row>
    <row r="15" spans="2:17" ht="14" customHeight="1" x14ac:dyDescent="0.3">
      <c r="B15" s="4" t="s">
        <v>218</v>
      </c>
      <c r="D15" s="38">
        <f t="shared" ref="D15:I15" si="6">PERCENTILE(J6:J10,0.25)</f>
        <v>15.020840678830101</v>
      </c>
      <c r="E15" s="38">
        <f t="shared" si="6"/>
        <v>1.7594249592052043</v>
      </c>
      <c r="F15" s="38">
        <f t="shared" si="6"/>
        <v>26.338406603917029</v>
      </c>
      <c r="G15" s="38">
        <f t="shared" si="6"/>
        <v>1.9832531948995078</v>
      </c>
      <c r="H15" s="39">
        <f t="shared" si="6"/>
        <v>7.3471346607411656E-2</v>
      </c>
      <c r="I15" s="39">
        <f t="shared" si="6"/>
        <v>7.2878881255402844E-2</v>
      </c>
    </row>
    <row r="16" spans="2:17" ht="14" customHeight="1" x14ac:dyDescent="0.3">
      <c r="B16" s="4" t="s">
        <v>219</v>
      </c>
      <c r="D16" s="38">
        <f t="shared" ref="D16:I16" si="7">MEDIAN(J6:J10)</f>
        <v>15.552094158010673</v>
      </c>
      <c r="E16" s="38">
        <f t="shared" si="7"/>
        <v>2.3037969313180429</v>
      </c>
      <c r="F16" s="38">
        <f t="shared" si="7"/>
        <v>33.635385925085131</v>
      </c>
      <c r="G16" s="38">
        <f t="shared" si="7"/>
        <v>2.3949730011555959</v>
      </c>
      <c r="H16" s="39">
        <f t="shared" si="7"/>
        <v>8.7264490280785506E-2</v>
      </c>
      <c r="I16" s="39">
        <f t="shared" si="7"/>
        <v>7.9100180134178688E-2</v>
      </c>
    </row>
    <row r="17" spans="2:9" ht="14" customHeight="1" x14ac:dyDescent="0.3">
      <c r="B17" s="4" t="s">
        <v>220</v>
      </c>
      <c r="D17" s="38">
        <f t="shared" ref="D17:I17" si="8">PERCENTILE(J6:J10,0.75)</f>
        <v>18.258808221981813</v>
      </c>
      <c r="E17" s="38">
        <f t="shared" si="8"/>
        <v>4.1968058527715568</v>
      </c>
      <c r="F17" s="38">
        <f t="shared" si="8"/>
        <v>42.339820524051795</v>
      </c>
      <c r="G17" s="38">
        <f t="shared" si="8"/>
        <v>2.4513092968139274</v>
      </c>
      <c r="H17" s="39">
        <f t="shared" si="8"/>
        <v>0.22617178273816943</v>
      </c>
      <c r="I17" s="39">
        <f t="shared" si="8"/>
        <v>9.0930823461409294E-2</v>
      </c>
    </row>
    <row r="19" spans="2:9" ht="14" customHeight="1" x14ac:dyDescent="0.3">
      <c r="B19" s="22" t="s">
        <v>221</v>
      </c>
      <c r="C19" s="23"/>
      <c r="D19" s="23"/>
      <c r="E19" s="23"/>
      <c r="F19" s="23"/>
      <c r="G19" s="23"/>
      <c r="H19" s="23"/>
      <c r="I19" s="23"/>
    </row>
    <row r="20" spans="2:9" ht="14" customHeight="1" x14ac:dyDescent="0.3">
      <c r="B20" s="3" t="s">
        <v>222</v>
      </c>
    </row>
    <row r="21" spans="2:9" ht="14" customHeight="1" x14ac:dyDescent="0.3">
      <c r="B21" s="4" t="s">
        <v>223</v>
      </c>
      <c r="C21" s="5">
        <v>231545</v>
      </c>
    </row>
    <row r="22" spans="2:9" ht="14" customHeight="1" x14ac:dyDescent="0.3">
      <c r="B22" s="4" t="s">
        <v>224</v>
      </c>
      <c r="C22" s="5">
        <v>166543</v>
      </c>
    </row>
    <row r="23" spans="2:9" ht="14" customHeight="1" x14ac:dyDescent="0.3">
      <c r="B23" s="4" t="s">
        <v>225</v>
      </c>
      <c r="C23" s="15">
        <v>929200798</v>
      </c>
    </row>
    <row r="24" spans="2:9" ht="14" customHeight="1" x14ac:dyDescent="0.3">
      <c r="B24" s="4" t="s">
        <v>66</v>
      </c>
      <c r="C24" s="5">
        <v>-718071</v>
      </c>
    </row>
    <row r="26" spans="2:9" ht="14" customHeight="1" x14ac:dyDescent="0.3">
      <c r="B26" s="3" t="s">
        <v>226</v>
      </c>
    </row>
    <row r="27" spans="2:9" ht="14" customHeight="1" x14ac:dyDescent="0.3">
      <c r="B27" s="4" t="s">
        <v>227</v>
      </c>
      <c r="C27" s="24">
        <f>ROUND((C21*D16-C24)*1000000/C23,0)</f>
        <v>4648</v>
      </c>
    </row>
    <row r="28" spans="2:9" ht="14" customHeight="1" x14ac:dyDescent="0.3">
      <c r="B28" s="4" t="s">
        <v>228</v>
      </c>
      <c r="C28" s="24">
        <f>ROUND(C22*F16*1000000/C23,0)</f>
        <v>6029</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229</v>
      </c>
    </row>
    <row r="3" spans="2:9" ht="14" customHeight="1" x14ac:dyDescent="0.3">
      <c r="B3" s="4" t="s">
        <v>230</v>
      </c>
      <c r="C3" s="16">
        <f>'DCF Model'!C26</f>
        <v>0.10015</v>
      </c>
      <c r="E3" s="4" t="s">
        <v>231</v>
      </c>
      <c r="F3" s="16">
        <f>'DCF Model'!C13</f>
        <v>0.01</v>
      </c>
      <c r="H3" s="4" t="s">
        <v>232</v>
      </c>
      <c r="I3" s="14">
        <f>'DCF Model'!C14</f>
        <v>15.6</v>
      </c>
    </row>
    <row r="5" spans="2:9" ht="14" customHeight="1" x14ac:dyDescent="0.3">
      <c r="B5" s="3" t="s">
        <v>233</v>
      </c>
    </row>
    <row r="6" spans="2:9" ht="14" customHeight="1" x14ac:dyDescent="0.3">
      <c r="B6" s="40" t="s">
        <v>234</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8.5150000000000003E-2</v>
      </c>
      <c r="C7" s="37">
        <f>IFERROR(ROUND(('DCF Model'!C45/(1+$B7)^('DCF Model'!C19+0)+'DCF Model'!D45/(1+$B7)^('DCF Model'!C19+1)+'DCF Model'!E45/(1+$B7)^('DCF Model'!C19+2)+'DCF Model'!F45/(1+$B7)^('DCF Model'!C19+3)+'DCF Model'!G45/(1+$B7)^('DCF Model'!C19+4)+'DCF Model'!G45*(1+C$6)/($B7-C$6)/(1+$B7)^('DCF Model'!C19+4)-'DCF Model'!C16)*1000000/'DCF Model'!C15,0),"")</f>
        <v>2601</v>
      </c>
      <c r="D7" s="37">
        <f>IFERROR(ROUND(('DCF Model'!C45/(1+$B7)^('DCF Model'!C19+0)+'DCF Model'!D45/(1+$B7)^('DCF Model'!C19+1)+'DCF Model'!E45/(1+$B7)^('DCF Model'!C19+2)+'DCF Model'!F45/(1+$B7)^('DCF Model'!C19+3)+'DCF Model'!G45/(1+$B7)^('DCF Model'!C19+4)+'DCF Model'!G45*(1+D$6)/($B7-D$6)/(1+$B7)^('DCF Model'!C19+4)-'DCF Model'!C16)*1000000/'DCF Model'!C15,0),"")</f>
        <v>2645</v>
      </c>
      <c r="E7" s="37">
        <f>IFERROR(ROUND(('DCF Model'!C45/(1+$B7)^('DCF Model'!C19+0)+'DCF Model'!D45/(1+$B7)^('DCF Model'!C19+1)+'DCF Model'!E45/(1+$B7)^('DCF Model'!C19+2)+'DCF Model'!F45/(1+$B7)^('DCF Model'!C19+3)+'DCF Model'!G45/(1+$B7)^('DCF Model'!C19+4)+'DCF Model'!G45*(1+E$6)/($B7-E$6)/(1+$B7)^('DCF Model'!C19+4)-'DCF Model'!C16)*1000000/'DCF Model'!C15,0),"")</f>
        <v>2691</v>
      </c>
      <c r="F7" s="37">
        <f>IFERROR(ROUND(('DCF Model'!C45/(1+$B7)^('DCF Model'!C19+0)+'DCF Model'!D45/(1+$B7)^('DCF Model'!C19+1)+'DCF Model'!E45/(1+$B7)^('DCF Model'!C19+2)+'DCF Model'!F45/(1+$B7)^('DCF Model'!C19+3)+'DCF Model'!G45/(1+$B7)^('DCF Model'!C19+4)+'DCF Model'!G45*(1+F$6)/($B7-F$6)/(1+$B7)^('DCF Model'!C19+4)-'DCF Model'!C16)*1000000/'DCF Model'!C15,0),"")</f>
        <v>2741</v>
      </c>
      <c r="G7" s="37">
        <f>IFERROR(ROUND(('DCF Model'!C45/(1+$B7)^('DCF Model'!C19+0)+'DCF Model'!D45/(1+$B7)^('DCF Model'!C19+1)+'DCF Model'!E45/(1+$B7)^('DCF Model'!C19+2)+'DCF Model'!F45/(1+$B7)^('DCF Model'!C19+3)+'DCF Model'!G45/(1+$B7)^('DCF Model'!C19+4)+'DCF Model'!G45*(1+G$6)/($B7-G$6)/(1+$B7)^('DCF Model'!C19+4)-'DCF Model'!C16)*1000000/'DCF Model'!C15,0),"")</f>
        <v>2794</v>
      </c>
      <c r="H7" s="37">
        <f>IFERROR(ROUND(('DCF Model'!C45/(1+$B7)^('DCF Model'!C19+0)+'DCF Model'!D45/(1+$B7)^('DCF Model'!C19+1)+'DCF Model'!E45/(1+$B7)^('DCF Model'!C19+2)+'DCF Model'!F45/(1+$B7)^('DCF Model'!C19+3)+'DCF Model'!G45/(1+$B7)^('DCF Model'!C19+4)+'DCF Model'!G45*(1+H$6)/($B7-H$6)/(1+$B7)^('DCF Model'!C19+4)-'DCF Model'!C16)*1000000/'DCF Model'!C15,0),"")</f>
        <v>2851</v>
      </c>
      <c r="I7" s="37">
        <f>IFERROR(ROUND(('DCF Model'!C45/(1+$B7)^('DCF Model'!C19+0)+'DCF Model'!D45/(1+$B7)^('DCF Model'!C19+1)+'DCF Model'!E45/(1+$B7)^('DCF Model'!C19+2)+'DCF Model'!F45/(1+$B7)^('DCF Model'!C19+3)+'DCF Model'!G45/(1+$B7)^('DCF Model'!C19+4)+'DCF Model'!G45*(1+I$6)/($B7-I$6)/(1+$B7)^('DCF Model'!C19+4)-'DCF Model'!C16)*1000000/'DCF Model'!C15,0),"")</f>
        <v>2912</v>
      </c>
    </row>
    <row r="8" spans="2:9" ht="13.5" customHeight="1" x14ac:dyDescent="0.25">
      <c r="B8" s="39">
        <f>$C$3-0.01</f>
        <v>9.0150000000000008E-2</v>
      </c>
      <c r="C8" s="37">
        <f>IFERROR(ROUND(('DCF Model'!C45/(1+$B8)^('DCF Model'!C19+0)+'DCF Model'!D45/(1+$B8)^('DCF Model'!C19+1)+'DCF Model'!E45/(1+$B8)^('DCF Model'!C19+2)+'DCF Model'!F45/(1+$B8)^('DCF Model'!C19+3)+'DCF Model'!G45/(1+$B8)^('DCF Model'!C19+4)+'DCF Model'!G45*(1+C$6)/($B8-C$6)/(1+$B8)^('DCF Model'!C19+4)-'DCF Model'!C16)*1000000/'DCF Model'!C15,0),"")</f>
        <v>2492</v>
      </c>
      <c r="D8" s="37">
        <f>IFERROR(ROUND(('DCF Model'!C45/(1+$B8)^('DCF Model'!C19+0)+'DCF Model'!D45/(1+$B8)^('DCF Model'!C19+1)+'DCF Model'!E45/(1+$B8)^('DCF Model'!C19+2)+'DCF Model'!F45/(1+$B8)^('DCF Model'!C19+3)+'DCF Model'!G45/(1+$B8)^('DCF Model'!C19+4)+'DCF Model'!G45*(1+D$6)/($B8-D$6)/(1+$B8)^('DCF Model'!C19+4)-'DCF Model'!C16)*1000000/'DCF Model'!C15,0),"")</f>
        <v>2530</v>
      </c>
      <c r="E8" s="37">
        <f>IFERROR(ROUND(('DCF Model'!C45/(1+$B8)^('DCF Model'!C19+0)+'DCF Model'!D45/(1+$B8)^('DCF Model'!C19+1)+'DCF Model'!E45/(1+$B8)^('DCF Model'!C19+2)+'DCF Model'!F45/(1+$B8)^('DCF Model'!C19+3)+'DCF Model'!G45/(1+$B8)^('DCF Model'!C19+4)+'DCF Model'!G45*(1+E$6)/($B8-E$6)/(1+$B8)^('DCF Model'!C19+4)-'DCF Model'!C16)*1000000/'DCF Model'!C15,0),"")</f>
        <v>2570</v>
      </c>
      <c r="F8" s="37">
        <f>IFERROR(ROUND(('DCF Model'!C45/(1+$B8)^('DCF Model'!C19+0)+'DCF Model'!D45/(1+$B8)^('DCF Model'!C19+1)+'DCF Model'!E45/(1+$B8)^('DCF Model'!C19+2)+'DCF Model'!F45/(1+$B8)^('DCF Model'!C19+3)+'DCF Model'!G45/(1+$B8)^('DCF Model'!C19+4)+'DCF Model'!G45*(1+F$6)/($B8-F$6)/(1+$B8)^('DCF Model'!C19+4)-'DCF Model'!C16)*1000000/'DCF Model'!C15,0),"")</f>
        <v>2613</v>
      </c>
      <c r="G8" s="37">
        <f>IFERROR(ROUND(('DCF Model'!C45/(1+$B8)^('DCF Model'!C19+0)+'DCF Model'!D45/(1+$B8)^('DCF Model'!C19+1)+'DCF Model'!E45/(1+$B8)^('DCF Model'!C19+2)+'DCF Model'!F45/(1+$B8)^('DCF Model'!C19+3)+'DCF Model'!G45/(1+$B8)^('DCF Model'!C19+4)+'DCF Model'!G45*(1+G$6)/($B8-G$6)/(1+$B8)^('DCF Model'!C19+4)-'DCF Model'!C16)*1000000/'DCF Model'!C15,0),"")</f>
        <v>2659</v>
      </c>
      <c r="H8" s="37">
        <f>IFERROR(ROUND(('DCF Model'!C45/(1+$B8)^('DCF Model'!C19+0)+'DCF Model'!D45/(1+$B8)^('DCF Model'!C19+1)+'DCF Model'!E45/(1+$B8)^('DCF Model'!C19+2)+'DCF Model'!F45/(1+$B8)^('DCF Model'!C19+3)+'DCF Model'!G45/(1+$B8)^('DCF Model'!C19+4)+'DCF Model'!G45*(1+H$6)/($B8-H$6)/(1+$B8)^('DCF Model'!C19+4)-'DCF Model'!C16)*1000000/'DCF Model'!C15,0),"")</f>
        <v>2708</v>
      </c>
      <c r="I8" s="37">
        <f>IFERROR(ROUND(('DCF Model'!C45/(1+$B8)^('DCF Model'!C19+0)+'DCF Model'!D45/(1+$B8)^('DCF Model'!C19+1)+'DCF Model'!E45/(1+$B8)^('DCF Model'!C19+2)+'DCF Model'!F45/(1+$B8)^('DCF Model'!C19+3)+'DCF Model'!G45/(1+$B8)^('DCF Model'!C19+4)+'DCF Model'!G45*(1+I$6)/($B8-I$6)/(1+$B8)^('DCF Model'!C19+4)-'DCF Model'!C16)*1000000/'DCF Model'!C15,0),"")</f>
        <v>2760</v>
      </c>
    </row>
    <row r="9" spans="2:9" ht="13.5" customHeight="1" x14ac:dyDescent="0.25">
      <c r="B9" s="39">
        <f>$C$3-0.005</f>
        <v>9.5149999999999998E-2</v>
      </c>
      <c r="C9" s="37">
        <f>IFERROR(ROUND(('DCF Model'!C45/(1+$B9)^('DCF Model'!C19+0)+'DCF Model'!D45/(1+$B9)^('DCF Model'!C19+1)+'DCF Model'!E45/(1+$B9)^('DCF Model'!C19+2)+'DCF Model'!F45/(1+$B9)^('DCF Model'!C19+3)+'DCF Model'!G45/(1+$B9)^('DCF Model'!C19+4)+'DCF Model'!G45*(1+C$6)/($B9-C$6)/(1+$B9)^('DCF Model'!C19+4)-'DCF Model'!C16)*1000000/'DCF Model'!C15,0),"")</f>
        <v>2395</v>
      </c>
      <c r="D9" s="37">
        <f>IFERROR(ROUND(('DCF Model'!C45/(1+$B9)^('DCF Model'!C19+0)+'DCF Model'!D45/(1+$B9)^('DCF Model'!C19+1)+'DCF Model'!E45/(1+$B9)^('DCF Model'!C19+2)+'DCF Model'!F45/(1+$B9)^('DCF Model'!C19+3)+'DCF Model'!G45/(1+$B9)^('DCF Model'!C19+4)+'DCF Model'!G45*(1+D$6)/($B9-D$6)/(1+$B9)^('DCF Model'!C19+4)-'DCF Model'!C16)*1000000/'DCF Model'!C15,0),"")</f>
        <v>2428</v>
      </c>
      <c r="E9" s="37">
        <f>IFERROR(ROUND(('DCF Model'!C45/(1+$B9)^('DCF Model'!C19+0)+'DCF Model'!D45/(1+$B9)^('DCF Model'!C19+1)+'DCF Model'!E45/(1+$B9)^('DCF Model'!C19+2)+'DCF Model'!F45/(1+$B9)^('DCF Model'!C19+3)+'DCF Model'!G45/(1+$B9)^('DCF Model'!C19+4)+'DCF Model'!G45*(1+E$6)/($B9-E$6)/(1+$B9)^('DCF Model'!C19+4)-'DCF Model'!C16)*1000000/'DCF Model'!C15,0),"")</f>
        <v>2463</v>
      </c>
      <c r="F9" s="37">
        <f>IFERROR(ROUND(('DCF Model'!C45/(1+$B9)^('DCF Model'!C19+0)+'DCF Model'!D45/(1+$B9)^('DCF Model'!C19+1)+'DCF Model'!E45/(1+$B9)^('DCF Model'!C19+2)+'DCF Model'!F45/(1+$B9)^('DCF Model'!C19+3)+'DCF Model'!G45/(1+$B9)^('DCF Model'!C19+4)+'DCF Model'!G45*(1+F$6)/($B9-F$6)/(1+$B9)^('DCF Model'!C19+4)-'DCF Model'!C16)*1000000/'DCF Model'!C15,0),"")</f>
        <v>2501</v>
      </c>
      <c r="G9" s="37">
        <f>IFERROR(ROUND(('DCF Model'!C45/(1+$B9)^('DCF Model'!C19+0)+'DCF Model'!D45/(1+$B9)^('DCF Model'!C19+1)+'DCF Model'!E45/(1+$B9)^('DCF Model'!C19+2)+'DCF Model'!F45/(1+$B9)^('DCF Model'!C19+3)+'DCF Model'!G45/(1+$B9)^('DCF Model'!C19+4)+'DCF Model'!G45*(1+G$6)/($B9-G$6)/(1+$B9)^('DCF Model'!C19+4)-'DCF Model'!C16)*1000000/'DCF Model'!C15,0),"")</f>
        <v>2540</v>
      </c>
      <c r="H9" s="37">
        <f>IFERROR(ROUND(('DCF Model'!C45/(1+$B9)^('DCF Model'!C19+0)+'DCF Model'!D45/(1+$B9)^('DCF Model'!C19+1)+'DCF Model'!E45/(1+$B9)^('DCF Model'!C19+2)+'DCF Model'!F45/(1+$B9)^('DCF Model'!C19+3)+'DCF Model'!G45/(1+$B9)^('DCF Model'!C19+4)+'DCF Model'!G45*(1+H$6)/($B9-H$6)/(1+$B9)^('DCF Model'!C19+4)-'DCF Model'!C16)*1000000/'DCF Model'!C15,0),"")</f>
        <v>2583</v>
      </c>
      <c r="I9" s="37">
        <f>IFERROR(ROUND(('DCF Model'!C45/(1+$B9)^('DCF Model'!C19+0)+'DCF Model'!D45/(1+$B9)^('DCF Model'!C19+1)+'DCF Model'!E45/(1+$B9)^('DCF Model'!C19+2)+'DCF Model'!F45/(1+$B9)^('DCF Model'!C19+3)+'DCF Model'!G45/(1+$B9)^('DCF Model'!C19+4)+'DCF Model'!G45*(1+I$6)/($B9-I$6)/(1+$B9)^('DCF Model'!C19+4)-'DCF Model'!C16)*1000000/'DCF Model'!C15,0),"")</f>
        <v>2628</v>
      </c>
    </row>
    <row r="10" spans="2:9" ht="13.5" customHeight="1" x14ac:dyDescent="0.25">
      <c r="B10" s="39">
        <f>$C$3</f>
        <v>0.10015</v>
      </c>
      <c r="C10" s="37">
        <f>IFERROR(ROUND(('DCF Model'!C45/(1+$B10)^('DCF Model'!C19+0)+'DCF Model'!D45/(1+$B10)^('DCF Model'!C19+1)+'DCF Model'!E45/(1+$B10)^('DCF Model'!C19+2)+'DCF Model'!F45/(1+$B10)^('DCF Model'!C19+3)+'DCF Model'!G45/(1+$B10)^('DCF Model'!C19+4)+'DCF Model'!G45*(1+C$6)/($B10-C$6)/(1+$B10)^('DCF Model'!C19+4)-'DCF Model'!C16)*1000000/'DCF Model'!C15,0),"")</f>
        <v>2307</v>
      </c>
      <c r="D10" s="37">
        <f>IFERROR(ROUND(('DCF Model'!C45/(1+$B10)^('DCF Model'!C19+0)+'DCF Model'!D45/(1+$B10)^('DCF Model'!C19+1)+'DCF Model'!E45/(1+$B10)^('DCF Model'!C19+2)+'DCF Model'!F45/(1+$B10)^('DCF Model'!C19+3)+'DCF Model'!G45/(1+$B10)^('DCF Model'!C19+4)+'DCF Model'!G45*(1+D$6)/($B10-D$6)/(1+$B10)^('DCF Model'!C19+4)-'DCF Model'!C16)*1000000/'DCF Model'!C15,0),"")</f>
        <v>2337</v>
      </c>
      <c r="E10" s="37">
        <f>IFERROR(ROUND(('DCF Model'!C45/(1+$B10)^('DCF Model'!C19+0)+'DCF Model'!D45/(1+$B10)^('DCF Model'!C19+1)+'DCF Model'!E45/(1+$B10)^('DCF Model'!C19+2)+'DCF Model'!F45/(1+$B10)^('DCF Model'!C19+3)+'DCF Model'!G45/(1+$B10)^('DCF Model'!C19+4)+'DCF Model'!G45*(1+E$6)/($B10-E$6)/(1+$B10)^('DCF Model'!C19+4)-'DCF Model'!C16)*1000000/'DCF Model'!C15,0),"")</f>
        <v>2368</v>
      </c>
      <c r="F10" s="37">
        <f>IFERROR(ROUND(('DCF Model'!C45/(1+$B10)^('DCF Model'!C19+0)+'DCF Model'!D45/(1+$B10)^('DCF Model'!C19+1)+'DCF Model'!E45/(1+$B10)^('DCF Model'!C19+2)+'DCF Model'!F45/(1+$B10)^('DCF Model'!C19+3)+'DCF Model'!G45/(1+$B10)^('DCF Model'!C19+4)+'DCF Model'!G45*(1+F$6)/($B10-F$6)/(1+$B10)^('DCF Model'!C19+4)-'DCF Model'!C16)*1000000/'DCF Model'!C15,0),"")</f>
        <v>2401</v>
      </c>
      <c r="G10" s="37">
        <f>IFERROR(ROUND(('DCF Model'!C45/(1+$B10)^('DCF Model'!C19+0)+'DCF Model'!D45/(1+$B10)^('DCF Model'!C19+1)+'DCF Model'!E45/(1+$B10)^('DCF Model'!C19+2)+'DCF Model'!F45/(1+$B10)^('DCF Model'!C19+3)+'DCF Model'!G45/(1+$B10)^('DCF Model'!C19+4)+'DCF Model'!G45*(1+G$6)/($B10-G$6)/(1+$B10)^('DCF Model'!C19+4)-'DCF Model'!C16)*1000000/'DCF Model'!C15,0),"")</f>
        <v>2435</v>
      </c>
      <c r="H10" s="37">
        <f>IFERROR(ROUND(('DCF Model'!C45/(1+$B10)^('DCF Model'!C19+0)+'DCF Model'!D45/(1+$B10)^('DCF Model'!C19+1)+'DCF Model'!E45/(1+$B10)^('DCF Model'!C19+2)+'DCF Model'!F45/(1+$B10)^('DCF Model'!C19+3)+'DCF Model'!G45/(1+$B10)^('DCF Model'!C19+4)+'DCF Model'!G45*(1+H$6)/($B10-H$6)/(1+$B10)^('DCF Model'!C19+4)-'DCF Model'!C16)*1000000/'DCF Model'!C15,0),"")</f>
        <v>2472</v>
      </c>
      <c r="I10" s="37">
        <f>IFERROR(ROUND(('DCF Model'!C45/(1+$B10)^('DCF Model'!C19+0)+'DCF Model'!D45/(1+$B10)^('DCF Model'!C19+1)+'DCF Model'!E45/(1+$B10)^('DCF Model'!C19+2)+'DCF Model'!F45/(1+$B10)^('DCF Model'!C19+3)+'DCF Model'!G45/(1+$B10)^('DCF Model'!C19+4)+'DCF Model'!G45*(1+I$6)/($B10-I$6)/(1+$B10)^('DCF Model'!C19+4)-'DCF Model'!C16)*1000000/'DCF Model'!C15,0),"")</f>
        <v>2511</v>
      </c>
    </row>
    <row r="11" spans="2:9" ht="13.5" customHeight="1" x14ac:dyDescent="0.25">
      <c r="B11" s="39">
        <f>$C$3+0.005</f>
        <v>0.10515000000000001</v>
      </c>
      <c r="C11" s="37">
        <f>IFERROR(ROUND(('DCF Model'!C45/(1+$B11)^('DCF Model'!C19+0)+'DCF Model'!D45/(1+$B11)^('DCF Model'!C19+1)+'DCF Model'!E45/(1+$B11)^('DCF Model'!C19+2)+'DCF Model'!F45/(1+$B11)^('DCF Model'!C19+3)+'DCF Model'!G45/(1+$B11)^('DCF Model'!C19+4)+'DCF Model'!G45*(1+C$6)/($B11-C$6)/(1+$B11)^('DCF Model'!C19+4)-'DCF Model'!C16)*1000000/'DCF Model'!C15,0),"")</f>
        <v>2229</v>
      </c>
      <c r="D11" s="37">
        <f>IFERROR(ROUND(('DCF Model'!C45/(1+$B11)^('DCF Model'!C19+0)+'DCF Model'!D45/(1+$B11)^('DCF Model'!C19+1)+'DCF Model'!E45/(1+$B11)^('DCF Model'!C19+2)+'DCF Model'!F45/(1+$B11)^('DCF Model'!C19+3)+'DCF Model'!G45/(1+$B11)^('DCF Model'!C19+4)+'DCF Model'!G45*(1+D$6)/($B11-D$6)/(1+$B11)^('DCF Model'!C19+4)-'DCF Model'!C16)*1000000/'DCF Model'!C15,0),"")</f>
        <v>2255</v>
      </c>
      <c r="E11" s="37">
        <f>IFERROR(ROUND(('DCF Model'!C45/(1+$B11)^('DCF Model'!C19+0)+'DCF Model'!D45/(1+$B11)^('DCF Model'!C19+1)+'DCF Model'!E45/(1+$B11)^('DCF Model'!C19+2)+'DCF Model'!F45/(1+$B11)^('DCF Model'!C19+3)+'DCF Model'!G45/(1+$B11)^('DCF Model'!C19+4)+'DCF Model'!G45*(1+E$6)/($B11-E$6)/(1+$B11)^('DCF Model'!C19+4)-'DCF Model'!C16)*1000000/'DCF Model'!C15,0),"")</f>
        <v>2282</v>
      </c>
      <c r="F11" s="37">
        <f>IFERROR(ROUND(('DCF Model'!C45/(1+$B11)^('DCF Model'!C19+0)+'DCF Model'!D45/(1+$B11)^('DCF Model'!C19+1)+'DCF Model'!E45/(1+$B11)^('DCF Model'!C19+2)+'DCF Model'!F45/(1+$B11)^('DCF Model'!C19+3)+'DCF Model'!G45/(1+$B11)^('DCF Model'!C19+4)+'DCF Model'!G45*(1+F$6)/($B11-F$6)/(1+$B11)^('DCF Model'!C19+4)-'DCF Model'!C16)*1000000/'DCF Model'!C15,0),"")</f>
        <v>2311</v>
      </c>
      <c r="G11" s="37">
        <f>IFERROR(ROUND(('DCF Model'!C45/(1+$B11)^('DCF Model'!C19+0)+'DCF Model'!D45/(1+$B11)^('DCF Model'!C19+1)+'DCF Model'!E45/(1+$B11)^('DCF Model'!C19+2)+'DCF Model'!F45/(1+$B11)^('DCF Model'!C19+3)+'DCF Model'!G45/(1+$B11)^('DCF Model'!C19+4)+'DCF Model'!G45*(1+G$6)/($B11-G$6)/(1+$B11)^('DCF Model'!C19+4)-'DCF Model'!C16)*1000000/'DCF Model'!C15,0),"")</f>
        <v>2342</v>
      </c>
      <c r="H11" s="37">
        <f>IFERROR(ROUND(('DCF Model'!C45/(1+$B11)^('DCF Model'!C19+0)+'DCF Model'!D45/(1+$B11)^('DCF Model'!C19+1)+'DCF Model'!E45/(1+$B11)^('DCF Model'!C19+2)+'DCF Model'!F45/(1+$B11)^('DCF Model'!C19+3)+'DCF Model'!G45/(1+$B11)^('DCF Model'!C19+4)+'DCF Model'!G45*(1+H$6)/($B11-H$6)/(1+$B11)^('DCF Model'!C19+4)-'DCF Model'!C16)*1000000/'DCF Model'!C15,0),"")</f>
        <v>2374</v>
      </c>
      <c r="I11" s="37">
        <f>IFERROR(ROUND(('DCF Model'!C45/(1+$B11)^('DCF Model'!C19+0)+'DCF Model'!D45/(1+$B11)^('DCF Model'!C19+1)+'DCF Model'!E45/(1+$B11)^('DCF Model'!C19+2)+'DCF Model'!F45/(1+$B11)^('DCF Model'!C19+3)+'DCF Model'!G45/(1+$B11)^('DCF Model'!C19+4)+'DCF Model'!G45*(1+I$6)/($B11-I$6)/(1+$B11)^('DCF Model'!C19+4)-'DCF Model'!C16)*1000000/'DCF Model'!C15,0),"")</f>
        <v>2408</v>
      </c>
    </row>
    <row r="12" spans="2:9" ht="13.5" customHeight="1" x14ac:dyDescent="0.25">
      <c r="B12" s="39">
        <f>$C$3+0.01</f>
        <v>0.11015</v>
      </c>
      <c r="C12" s="37">
        <f>IFERROR(ROUND(('DCF Model'!C45/(1+$B12)^('DCF Model'!C19+0)+'DCF Model'!D45/(1+$B12)^('DCF Model'!C19+1)+'DCF Model'!E45/(1+$B12)^('DCF Model'!C19+2)+'DCF Model'!F45/(1+$B12)^('DCF Model'!C19+3)+'DCF Model'!G45/(1+$B12)^('DCF Model'!C19+4)+'DCF Model'!G45*(1+C$6)/($B12-C$6)/(1+$B12)^('DCF Model'!C19+4)-'DCF Model'!C16)*1000000/'DCF Model'!C15,0),"")</f>
        <v>2157</v>
      </c>
      <c r="D12" s="37">
        <f>IFERROR(ROUND(('DCF Model'!C45/(1+$B12)^('DCF Model'!C19+0)+'DCF Model'!D45/(1+$B12)^('DCF Model'!C19+1)+'DCF Model'!E45/(1+$B12)^('DCF Model'!C19+2)+'DCF Model'!F45/(1+$B12)^('DCF Model'!C19+3)+'DCF Model'!G45/(1+$B12)^('DCF Model'!C19+4)+'DCF Model'!G45*(1+D$6)/($B12-D$6)/(1+$B12)^('DCF Model'!C19+4)-'DCF Model'!C16)*1000000/'DCF Model'!C15,0),"")</f>
        <v>2181</v>
      </c>
      <c r="E12" s="37">
        <f>IFERROR(ROUND(('DCF Model'!C45/(1+$B12)^('DCF Model'!C19+0)+'DCF Model'!D45/(1+$B12)^('DCF Model'!C19+1)+'DCF Model'!E45/(1+$B12)^('DCF Model'!C19+2)+'DCF Model'!F45/(1+$B12)^('DCF Model'!C19+3)+'DCF Model'!G45/(1+$B12)^('DCF Model'!C19+4)+'DCF Model'!G45*(1+E$6)/($B12-E$6)/(1+$B12)^('DCF Model'!C19+4)-'DCF Model'!C16)*1000000/'DCF Model'!C15,0),"")</f>
        <v>2205</v>
      </c>
      <c r="F12" s="37">
        <f>IFERROR(ROUND(('DCF Model'!C45/(1+$B12)^('DCF Model'!C19+0)+'DCF Model'!D45/(1+$B12)^('DCF Model'!C19+1)+'DCF Model'!E45/(1+$B12)^('DCF Model'!C19+2)+'DCF Model'!F45/(1+$B12)^('DCF Model'!C19+3)+'DCF Model'!G45/(1+$B12)^('DCF Model'!C19+4)+'DCF Model'!G45*(1+F$6)/($B12-F$6)/(1+$B12)^('DCF Model'!C19+4)-'DCF Model'!C16)*1000000/'DCF Model'!C15,0),"")</f>
        <v>2231</v>
      </c>
      <c r="G12" s="37">
        <f>IFERROR(ROUND(('DCF Model'!C45/(1+$B12)^('DCF Model'!C19+0)+'DCF Model'!D45/(1+$B12)^('DCF Model'!C19+1)+'DCF Model'!E45/(1+$B12)^('DCF Model'!C19+2)+'DCF Model'!F45/(1+$B12)^('DCF Model'!C19+3)+'DCF Model'!G45/(1+$B12)^('DCF Model'!C19+4)+'DCF Model'!G45*(1+G$6)/($B12-G$6)/(1+$B12)^('DCF Model'!C19+4)-'DCF Model'!C16)*1000000/'DCF Model'!C15,0),"")</f>
        <v>2258</v>
      </c>
      <c r="H12" s="37">
        <f>IFERROR(ROUND(('DCF Model'!C45/(1+$B12)^('DCF Model'!C19+0)+'DCF Model'!D45/(1+$B12)^('DCF Model'!C19+1)+'DCF Model'!E45/(1+$B12)^('DCF Model'!C19+2)+'DCF Model'!F45/(1+$B12)^('DCF Model'!C19+3)+'DCF Model'!G45/(1+$B12)^('DCF Model'!C19+4)+'DCF Model'!G45*(1+H$6)/($B12-H$6)/(1+$B12)^('DCF Model'!C19+4)-'DCF Model'!C16)*1000000/'DCF Model'!C15,0),"")</f>
        <v>2286</v>
      </c>
      <c r="I12" s="37">
        <f>IFERROR(ROUND(('DCF Model'!C45/(1+$B12)^('DCF Model'!C19+0)+'DCF Model'!D45/(1+$B12)^('DCF Model'!C19+1)+'DCF Model'!E45/(1+$B12)^('DCF Model'!C19+2)+'DCF Model'!F45/(1+$B12)^('DCF Model'!C19+3)+'DCF Model'!G45/(1+$B12)^('DCF Model'!C19+4)+'DCF Model'!G45*(1+I$6)/($B12-I$6)/(1+$B12)^('DCF Model'!C19+4)-'DCF Model'!C16)*1000000/'DCF Model'!C15,0),"")</f>
        <v>2316</v>
      </c>
    </row>
    <row r="13" spans="2:9" ht="13.5" customHeight="1" x14ac:dyDescent="0.25">
      <c r="B13" s="39">
        <f>$C$3+0.015</f>
        <v>0.11515</v>
      </c>
      <c r="C13" s="37">
        <f>IFERROR(ROUND(('DCF Model'!C45/(1+$B13)^('DCF Model'!C19+0)+'DCF Model'!D45/(1+$B13)^('DCF Model'!C19+1)+'DCF Model'!E45/(1+$B13)^('DCF Model'!C19+2)+'DCF Model'!F45/(1+$B13)^('DCF Model'!C19+3)+'DCF Model'!G45/(1+$B13)^('DCF Model'!C19+4)+'DCF Model'!G45*(1+C$6)/($B13-C$6)/(1+$B13)^('DCF Model'!C19+4)-'DCF Model'!C16)*1000000/'DCF Model'!C15,0),"")</f>
        <v>2092</v>
      </c>
      <c r="D13" s="37">
        <f>IFERROR(ROUND(('DCF Model'!C45/(1+$B13)^('DCF Model'!C19+0)+'DCF Model'!D45/(1+$B13)^('DCF Model'!C19+1)+'DCF Model'!E45/(1+$B13)^('DCF Model'!C19+2)+'DCF Model'!F45/(1+$B13)^('DCF Model'!C19+3)+'DCF Model'!G45/(1+$B13)^('DCF Model'!C19+4)+'DCF Model'!G45*(1+D$6)/($B13-D$6)/(1+$B13)^('DCF Model'!C19+4)-'DCF Model'!C16)*1000000/'DCF Model'!C15,0),"")</f>
        <v>2113</v>
      </c>
      <c r="E13" s="37">
        <f>IFERROR(ROUND(('DCF Model'!C45/(1+$B13)^('DCF Model'!C19+0)+'DCF Model'!D45/(1+$B13)^('DCF Model'!C19+1)+'DCF Model'!E45/(1+$B13)^('DCF Model'!C19+2)+'DCF Model'!F45/(1+$B13)^('DCF Model'!C19+3)+'DCF Model'!G45/(1+$B13)^('DCF Model'!C19+4)+'DCF Model'!G45*(1+E$6)/($B13-E$6)/(1+$B13)^('DCF Model'!C19+4)-'DCF Model'!C16)*1000000/'DCF Model'!C15,0),"")</f>
        <v>2135</v>
      </c>
      <c r="F13" s="37">
        <f>IFERROR(ROUND(('DCF Model'!C45/(1+$B13)^('DCF Model'!C19+0)+'DCF Model'!D45/(1+$B13)^('DCF Model'!C19+1)+'DCF Model'!E45/(1+$B13)^('DCF Model'!C19+2)+'DCF Model'!F45/(1+$B13)^('DCF Model'!C19+3)+'DCF Model'!G45/(1+$B13)^('DCF Model'!C19+4)+'DCF Model'!G45*(1+F$6)/($B13-F$6)/(1+$B13)^('DCF Model'!C19+4)-'DCF Model'!C16)*1000000/'DCF Model'!C15,0),"")</f>
        <v>2158</v>
      </c>
      <c r="G13" s="37">
        <f>IFERROR(ROUND(('DCF Model'!C45/(1+$B13)^('DCF Model'!C19+0)+'DCF Model'!D45/(1+$B13)^('DCF Model'!C19+1)+'DCF Model'!E45/(1+$B13)^('DCF Model'!C19+2)+'DCF Model'!F45/(1+$B13)^('DCF Model'!C19+3)+'DCF Model'!G45/(1+$B13)^('DCF Model'!C19+4)+'DCF Model'!G45*(1+G$6)/($B13-G$6)/(1+$B13)^('DCF Model'!C19+4)-'DCF Model'!C16)*1000000/'DCF Model'!C15,0),"")</f>
        <v>2182</v>
      </c>
      <c r="H13" s="37">
        <f>IFERROR(ROUND(('DCF Model'!C45/(1+$B13)^('DCF Model'!C19+0)+'DCF Model'!D45/(1+$B13)^('DCF Model'!C19+1)+'DCF Model'!E45/(1+$B13)^('DCF Model'!C19+2)+'DCF Model'!F45/(1+$B13)^('DCF Model'!C19+3)+'DCF Model'!G45/(1+$B13)^('DCF Model'!C19+4)+'DCF Model'!G45*(1+H$6)/($B13-H$6)/(1+$B13)^('DCF Model'!C19+4)-'DCF Model'!C16)*1000000/'DCF Model'!C15,0),"")</f>
        <v>2207</v>
      </c>
      <c r="I13" s="37">
        <f>IFERROR(ROUND(('DCF Model'!C45/(1+$B13)^('DCF Model'!C19+0)+'DCF Model'!D45/(1+$B13)^('DCF Model'!C19+1)+'DCF Model'!E45/(1+$B13)^('DCF Model'!C19+2)+'DCF Model'!F45/(1+$B13)^('DCF Model'!C19+3)+'DCF Model'!G45/(1+$B13)^('DCF Model'!C19+4)+'DCF Model'!G45*(1+I$6)/($B13-I$6)/(1+$B13)^('DCF Model'!C19+4)-'DCF Model'!C16)*1000000/'DCF Model'!C15,0),"")</f>
        <v>2234</v>
      </c>
    </row>
    <row r="16" spans="2:9" ht="14" customHeight="1" x14ac:dyDescent="0.3">
      <c r="B16" s="3" t="s">
        <v>235</v>
      </c>
    </row>
    <row r="17" spans="2:9" ht="14" customHeight="1" x14ac:dyDescent="0.3">
      <c r="B17" s="40" t="s">
        <v>236</v>
      </c>
      <c r="C17" s="42">
        <f>$I$3-3</f>
        <v>12.6</v>
      </c>
      <c r="D17" s="42">
        <f>$I$3-2</f>
        <v>13.6</v>
      </c>
      <c r="E17" s="42">
        <f>$I$3-1</f>
        <v>14.6</v>
      </c>
      <c r="F17" s="42">
        <f>$I$3</f>
        <v>15.6</v>
      </c>
      <c r="G17" s="42">
        <f>$I$3+1</f>
        <v>16.600000000000001</v>
      </c>
      <c r="H17" s="42">
        <f>$I$3+2</f>
        <v>17.600000000000001</v>
      </c>
      <c r="I17" s="42">
        <f>$I$3+3</f>
        <v>18.600000000000001</v>
      </c>
    </row>
    <row r="18" spans="2:9" ht="13.5" customHeight="1" x14ac:dyDescent="0.25">
      <c r="B18" s="39">
        <f>$C$3-0.015</f>
        <v>8.5150000000000003E-2</v>
      </c>
      <c r="C18" s="37">
        <f>IFERROR(ROUND(('DCF Model'!C45/(1+$B18)^('DCF Model'!C19+0)+'DCF Model'!D45/(1+$B18)^('DCF Model'!C19+1)+'DCF Model'!E45/(1+$B18)^('DCF Model'!C19+2)+'DCF Model'!F45/(1+$B18)^('DCF Model'!C19+3)+'DCF Model'!G45/(1+$B18)^('DCF Model'!C19+4)+('DCF Model'!G39+'DCF Model'!G42)*C$17/(1+$B18)^('DCF Model'!C19+4)-'DCF Model'!C16)*1000000/'DCF Model'!C15,0),"")</f>
        <v>3810</v>
      </c>
      <c r="D18" s="37">
        <f>IFERROR(ROUND(('DCF Model'!C45/(1+$B18)^('DCF Model'!C19+0)+'DCF Model'!D45/(1+$B18)^('DCF Model'!C19+1)+'DCF Model'!E45/(1+$B18)^('DCF Model'!C19+2)+'DCF Model'!F45/(1+$B18)^('DCF Model'!C19+3)+'DCF Model'!G45/(1+$B18)^('DCF Model'!C19+4)+('DCF Model'!G39+'DCF Model'!G42)*D$17/(1+$B18)^('DCF Model'!C19+4)-'DCF Model'!C16)*1000000/'DCF Model'!C15,0),"")</f>
        <v>4008</v>
      </c>
      <c r="E18" s="37">
        <f>IFERROR(ROUND(('DCF Model'!C45/(1+$B18)^('DCF Model'!C19+0)+'DCF Model'!D45/(1+$B18)^('DCF Model'!C19+1)+'DCF Model'!E45/(1+$B18)^('DCF Model'!C19+2)+'DCF Model'!F45/(1+$B18)^('DCF Model'!C19+3)+'DCF Model'!G45/(1+$B18)^('DCF Model'!C19+4)+('DCF Model'!G39+'DCF Model'!G42)*E$17/(1+$B18)^('DCF Model'!C19+4)-'DCF Model'!C16)*1000000/'DCF Model'!C15,0),"")</f>
        <v>4207</v>
      </c>
      <c r="F18" s="37">
        <f>IFERROR(ROUND(('DCF Model'!C45/(1+$B18)^('DCF Model'!C19+0)+'DCF Model'!D45/(1+$B18)^('DCF Model'!C19+1)+'DCF Model'!E45/(1+$B18)^('DCF Model'!C19+2)+'DCF Model'!F45/(1+$B18)^('DCF Model'!C19+3)+'DCF Model'!G45/(1+$B18)^('DCF Model'!C19+4)+('DCF Model'!G39+'DCF Model'!G42)*F$17/(1+$B18)^('DCF Model'!C19+4)-'DCF Model'!C16)*1000000/'DCF Model'!C15,0),"")</f>
        <v>4406</v>
      </c>
      <c r="G18" s="37">
        <f>IFERROR(ROUND(('DCF Model'!C45/(1+$B18)^('DCF Model'!C19+0)+'DCF Model'!D45/(1+$B18)^('DCF Model'!C19+1)+'DCF Model'!E45/(1+$B18)^('DCF Model'!C19+2)+'DCF Model'!F45/(1+$B18)^('DCF Model'!C19+3)+'DCF Model'!G45/(1+$B18)^('DCF Model'!C19+4)+('DCF Model'!G39+'DCF Model'!G42)*G$17/(1+$B18)^('DCF Model'!C19+4)-'DCF Model'!C16)*1000000/'DCF Model'!C15,0),"")</f>
        <v>4605</v>
      </c>
      <c r="H18" s="37">
        <f>IFERROR(ROUND(('DCF Model'!C45/(1+$B18)^('DCF Model'!C19+0)+'DCF Model'!D45/(1+$B18)^('DCF Model'!C19+1)+'DCF Model'!E45/(1+$B18)^('DCF Model'!C19+2)+'DCF Model'!F45/(1+$B18)^('DCF Model'!C19+3)+'DCF Model'!G45/(1+$B18)^('DCF Model'!C19+4)+('DCF Model'!G39+'DCF Model'!G42)*H$17/(1+$B18)^('DCF Model'!C19+4)-'DCF Model'!C16)*1000000/'DCF Model'!C15,0),"")</f>
        <v>4804</v>
      </c>
      <c r="I18" s="37">
        <f>IFERROR(ROUND(('DCF Model'!C45/(1+$B18)^('DCF Model'!C19+0)+'DCF Model'!D45/(1+$B18)^('DCF Model'!C19+1)+'DCF Model'!E45/(1+$B18)^('DCF Model'!C19+2)+'DCF Model'!F45/(1+$B18)^('DCF Model'!C19+3)+'DCF Model'!G45/(1+$B18)^('DCF Model'!C19+4)+('DCF Model'!G39+'DCF Model'!G42)*I$17/(1+$B18)^('DCF Model'!C19+4)-'DCF Model'!C16)*1000000/'DCF Model'!C15,0),"")</f>
        <v>5002</v>
      </c>
    </row>
    <row r="19" spans="2:9" ht="13.5" customHeight="1" x14ac:dyDescent="0.25">
      <c r="B19" s="39">
        <f>$C$3-0.01</f>
        <v>9.0150000000000008E-2</v>
      </c>
      <c r="C19" s="37">
        <f>IFERROR(ROUND(('DCF Model'!C45/(1+$B19)^('DCF Model'!C19+0)+'DCF Model'!D45/(1+$B19)^('DCF Model'!C19+1)+'DCF Model'!E45/(1+$B19)^('DCF Model'!C19+2)+'DCF Model'!F45/(1+$B19)^('DCF Model'!C19+3)+'DCF Model'!G45/(1+$B19)^('DCF Model'!C19+4)+('DCF Model'!G39+'DCF Model'!G42)*C$17/(1+$B19)^('DCF Model'!C19+4)-'DCF Model'!C16)*1000000/'DCF Model'!C15,0),"")</f>
        <v>3745</v>
      </c>
      <c r="D19" s="37">
        <f>IFERROR(ROUND(('DCF Model'!C45/(1+$B19)^('DCF Model'!C19+0)+'DCF Model'!D45/(1+$B19)^('DCF Model'!C19+1)+'DCF Model'!E45/(1+$B19)^('DCF Model'!C19+2)+'DCF Model'!F45/(1+$B19)^('DCF Model'!C19+3)+'DCF Model'!G45/(1+$B19)^('DCF Model'!C19+4)+('DCF Model'!G39+'DCF Model'!G42)*D$17/(1+$B19)^('DCF Model'!C19+4)-'DCF Model'!C16)*1000000/'DCF Model'!C15,0),"")</f>
        <v>3940</v>
      </c>
      <c r="E19" s="37">
        <f>IFERROR(ROUND(('DCF Model'!C45/(1+$B19)^('DCF Model'!C19+0)+'DCF Model'!D45/(1+$B19)^('DCF Model'!C19+1)+'DCF Model'!E45/(1+$B19)^('DCF Model'!C19+2)+'DCF Model'!F45/(1+$B19)^('DCF Model'!C19+3)+'DCF Model'!G45/(1+$B19)^('DCF Model'!C19+4)+('DCF Model'!G39+'DCF Model'!G42)*E$17/(1+$B19)^('DCF Model'!C19+4)-'DCF Model'!C16)*1000000/'DCF Model'!C15,0),"")</f>
        <v>4134</v>
      </c>
      <c r="F19" s="37">
        <f>IFERROR(ROUND(('DCF Model'!C45/(1+$B19)^('DCF Model'!C19+0)+'DCF Model'!D45/(1+$B19)^('DCF Model'!C19+1)+'DCF Model'!E45/(1+$B19)^('DCF Model'!C19+2)+'DCF Model'!F45/(1+$B19)^('DCF Model'!C19+3)+'DCF Model'!G45/(1+$B19)^('DCF Model'!C19+4)+('DCF Model'!G39+'DCF Model'!G42)*F$17/(1+$B19)^('DCF Model'!C19+4)-'DCF Model'!C16)*1000000/'DCF Model'!C15,0),"")</f>
        <v>4328</v>
      </c>
      <c r="G19" s="37">
        <f>IFERROR(ROUND(('DCF Model'!C45/(1+$B19)^('DCF Model'!C19+0)+'DCF Model'!D45/(1+$B19)^('DCF Model'!C19+1)+'DCF Model'!E45/(1+$B19)^('DCF Model'!C19+2)+'DCF Model'!F45/(1+$B19)^('DCF Model'!C19+3)+'DCF Model'!G45/(1+$B19)^('DCF Model'!C19+4)+('DCF Model'!G39+'DCF Model'!G42)*G$17/(1+$B19)^('DCF Model'!C19+4)-'DCF Model'!C16)*1000000/'DCF Model'!C15,0),"")</f>
        <v>4522</v>
      </c>
      <c r="H19" s="37">
        <f>IFERROR(ROUND(('DCF Model'!C45/(1+$B19)^('DCF Model'!C19+0)+'DCF Model'!D45/(1+$B19)^('DCF Model'!C19+1)+'DCF Model'!E45/(1+$B19)^('DCF Model'!C19+2)+'DCF Model'!F45/(1+$B19)^('DCF Model'!C19+3)+'DCF Model'!G45/(1+$B19)^('DCF Model'!C19+4)+('DCF Model'!G39+'DCF Model'!G42)*H$17/(1+$B19)^('DCF Model'!C19+4)-'DCF Model'!C16)*1000000/'DCF Model'!C15,0),"")</f>
        <v>4717</v>
      </c>
      <c r="I19" s="37">
        <f>IFERROR(ROUND(('DCF Model'!C45/(1+$B19)^('DCF Model'!C19+0)+'DCF Model'!D45/(1+$B19)^('DCF Model'!C19+1)+'DCF Model'!E45/(1+$B19)^('DCF Model'!C19+2)+'DCF Model'!F45/(1+$B19)^('DCF Model'!C19+3)+'DCF Model'!G45/(1+$B19)^('DCF Model'!C19+4)+('DCF Model'!G39+'DCF Model'!G42)*I$17/(1+$B19)^('DCF Model'!C19+4)-'DCF Model'!C16)*1000000/'DCF Model'!C15,0),"")</f>
        <v>4911</v>
      </c>
    </row>
    <row r="20" spans="2:9" ht="13.5" customHeight="1" x14ac:dyDescent="0.25">
      <c r="B20" s="39">
        <f>$C$3-0.005</f>
        <v>9.5149999999999998E-2</v>
      </c>
      <c r="C20" s="37">
        <f>IFERROR(ROUND(('DCF Model'!C45/(1+$B20)^('DCF Model'!C19+0)+'DCF Model'!D45/(1+$B20)^('DCF Model'!C19+1)+'DCF Model'!E45/(1+$B20)^('DCF Model'!C19+2)+'DCF Model'!F45/(1+$B20)^('DCF Model'!C19+3)+'DCF Model'!G45/(1+$B20)^('DCF Model'!C19+4)+('DCF Model'!G39+'DCF Model'!G42)*C$17/(1+$B20)^('DCF Model'!C19+4)-'DCF Model'!C16)*1000000/'DCF Model'!C15,0),"")</f>
        <v>3683</v>
      </c>
      <c r="D20" s="37">
        <f>IFERROR(ROUND(('DCF Model'!C45/(1+$B20)^('DCF Model'!C19+0)+'DCF Model'!D45/(1+$B20)^('DCF Model'!C19+1)+'DCF Model'!E45/(1+$B20)^('DCF Model'!C19+2)+'DCF Model'!F45/(1+$B20)^('DCF Model'!C19+3)+'DCF Model'!G45/(1+$B20)^('DCF Model'!C19+4)+('DCF Model'!G39+'DCF Model'!G42)*D$17/(1+$B20)^('DCF Model'!C19+4)-'DCF Model'!C16)*1000000/'DCF Model'!C15,0),"")</f>
        <v>3872</v>
      </c>
      <c r="E20" s="37">
        <f>IFERROR(ROUND(('DCF Model'!C45/(1+$B20)^('DCF Model'!C19+0)+'DCF Model'!D45/(1+$B20)^('DCF Model'!C19+1)+'DCF Model'!E45/(1+$B20)^('DCF Model'!C19+2)+'DCF Model'!F45/(1+$B20)^('DCF Model'!C19+3)+'DCF Model'!G45/(1+$B20)^('DCF Model'!C19+4)+('DCF Model'!G39+'DCF Model'!G42)*E$17/(1+$B20)^('DCF Model'!C19+4)-'DCF Model'!C16)*1000000/'DCF Model'!C15,0),"")</f>
        <v>4062</v>
      </c>
      <c r="F20" s="37">
        <f>IFERROR(ROUND(('DCF Model'!C45/(1+$B20)^('DCF Model'!C19+0)+'DCF Model'!D45/(1+$B20)^('DCF Model'!C19+1)+'DCF Model'!E45/(1+$B20)^('DCF Model'!C19+2)+'DCF Model'!F45/(1+$B20)^('DCF Model'!C19+3)+'DCF Model'!G45/(1+$B20)^('DCF Model'!C19+4)+('DCF Model'!G39+'DCF Model'!G42)*F$17/(1+$B20)^('DCF Model'!C19+4)-'DCF Model'!C16)*1000000/'DCF Model'!C15,0),"")</f>
        <v>4252</v>
      </c>
      <c r="G20" s="37">
        <f>IFERROR(ROUND(('DCF Model'!C45/(1+$B20)^('DCF Model'!C19+0)+'DCF Model'!D45/(1+$B20)^('DCF Model'!C19+1)+'DCF Model'!E45/(1+$B20)^('DCF Model'!C19+2)+'DCF Model'!F45/(1+$B20)^('DCF Model'!C19+3)+'DCF Model'!G45/(1+$B20)^('DCF Model'!C19+4)+('DCF Model'!G39+'DCF Model'!G42)*G$17/(1+$B20)^('DCF Model'!C19+4)-'DCF Model'!C16)*1000000/'DCF Model'!C15,0),"")</f>
        <v>4442</v>
      </c>
      <c r="H20" s="37">
        <f>IFERROR(ROUND(('DCF Model'!C45/(1+$B20)^('DCF Model'!C19+0)+'DCF Model'!D45/(1+$B20)^('DCF Model'!C19+1)+'DCF Model'!E45/(1+$B20)^('DCF Model'!C19+2)+'DCF Model'!F45/(1+$B20)^('DCF Model'!C19+3)+'DCF Model'!G45/(1+$B20)^('DCF Model'!C19+4)+('DCF Model'!G39+'DCF Model'!G42)*H$17/(1+$B20)^('DCF Model'!C19+4)-'DCF Model'!C16)*1000000/'DCF Model'!C15,0),"")</f>
        <v>4632</v>
      </c>
      <c r="I20" s="37">
        <f>IFERROR(ROUND(('DCF Model'!C45/(1+$B20)^('DCF Model'!C19+0)+'DCF Model'!D45/(1+$B20)^('DCF Model'!C19+1)+'DCF Model'!E45/(1+$B20)^('DCF Model'!C19+2)+'DCF Model'!F45/(1+$B20)^('DCF Model'!C19+3)+'DCF Model'!G45/(1+$B20)^('DCF Model'!C19+4)+('DCF Model'!G39+'DCF Model'!G42)*I$17/(1+$B20)^('DCF Model'!C19+4)-'DCF Model'!C16)*1000000/'DCF Model'!C15,0),"")</f>
        <v>4822</v>
      </c>
    </row>
    <row r="21" spans="2:9" ht="13.5" customHeight="1" x14ac:dyDescent="0.25">
      <c r="B21" s="39">
        <f>$C$3</f>
        <v>0.10015</v>
      </c>
      <c r="C21" s="37">
        <f>IFERROR(ROUND(('DCF Model'!C45/(1+$B21)^('DCF Model'!C19+0)+'DCF Model'!D45/(1+$B21)^('DCF Model'!C19+1)+'DCF Model'!E45/(1+$B21)^('DCF Model'!C19+2)+'DCF Model'!F45/(1+$B21)^('DCF Model'!C19+3)+'DCF Model'!G45/(1+$B21)^('DCF Model'!C19+4)+('DCF Model'!G39+'DCF Model'!G42)*C$17/(1+$B21)^('DCF Model'!C19+4)-'DCF Model'!C16)*1000000/'DCF Model'!C15,0),"")</f>
        <v>3622</v>
      </c>
      <c r="D21" s="37">
        <f>IFERROR(ROUND(('DCF Model'!C45/(1+$B21)^('DCF Model'!C19+0)+'DCF Model'!D45/(1+$B21)^('DCF Model'!C19+1)+'DCF Model'!E45/(1+$B21)^('DCF Model'!C19+2)+'DCF Model'!F45/(1+$B21)^('DCF Model'!C19+3)+'DCF Model'!G45/(1+$B21)^('DCF Model'!C19+4)+('DCF Model'!G39+'DCF Model'!G42)*D$17/(1+$B21)^('DCF Model'!C19+4)-'DCF Model'!C16)*1000000/'DCF Model'!C15,0),"")</f>
        <v>3807</v>
      </c>
      <c r="E21" s="37">
        <f>IFERROR(ROUND(('DCF Model'!C45/(1+$B21)^('DCF Model'!C19+0)+'DCF Model'!D45/(1+$B21)^('DCF Model'!C19+1)+'DCF Model'!E45/(1+$B21)^('DCF Model'!C19+2)+'DCF Model'!F45/(1+$B21)^('DCF Model'!C19+3)+'DCF Model'!G45/(1+$B21)^('DCF Model'!C19+4)+('DCF Model'!G39+'DCF Model'!G42)*E$17/(1+$B21)^('DCF Model'!C19+4)-'DCF Model'!C16)*1000000/'DCF Model'!C15,0),"")</f>
        <v>3993</v>
      </c>
      <c r="F21" s="37">
        <f>IFERROR(ROUND(('DCF Model'!C45/(1+$B21)^('DCF Model'!C19+0)+'DCF Model'!D45/(1+$B21)^('DCF Model'!C19+1)+'DCF Model'!E45/(1+$B21)^('DCF Model'!C19+2)+'DCF Model'!F45/(1+$B21)^('DCF Model'!C19+3)+'DCF Model'!G45/(1+$B21)^('DCF Model'!C19+4)+('DCF Model'!G39+'DCF Model'!G42)*F$17/(1+$B21)^('DCF Model'!C19+4)-'DCF Model'!C16)*1000000/'DCF Model'!C15,0),"")</f>
        <v>4178</v>
      </c>
      <c r="G21" s="37">
        <f>IFERROR(ROUND(('DCF Model'!C45/(1+$B21)^('DCF Model'!C19+0)+'DCF Model'!D45/(1+$B21)^('DCF Model'!C19+1)+'DCF Model'!E45/(1+$B21)^('DCF Model'!C19+2)+'DCF Model'!F45/(1+$B21)^('DCF Model'!C19+3)+'DCF Model'!G45/(1+$B21)^('DCF Model'!C19+4)+('DCF Model'!G39+'DCF Model'!G42)*G$17/(1+$B21)^('DCF Model'!C19+4)-'DCF Model'!C16)*1000000/'DCF Model'!C15,0),"")</f>
        <v>4364</v>
      </c>
      <c r="H21" s="37">
        <f>IFERROR(ROUND(('DCF Model'!C45/(1+$B21)^('DCF Model'!C19+0)+'DCF Model'!D45/(1+$B21)^('DCF Model'!C19+1)+'DCF Model'!E45/(1+$B21)^('DCF Model'!C19+2)+'DCF Model'!F45/(1+$B21)^('DCF Model'!C19+3)+'DCF Model'!G45/(1+$B21)^('DCF Model'!C19+4)+('DCF Model'!G39+'DCF Model'!G42)*H$17/(1+$B21)^('DCF Model'!C19+4)-'DCF Model'!C16)*1000000/'DCF Model'!C15,0),"")</f>
        <v>4549</v>
      </c>
      <c r="I21" s="37">
        <f>IFERROR(ROUND(('DCF Model'!C45/(1+$B21)^('DCF Model'!C19+0)+'DCF Model'!D45/(1+$B21)^('DCF Model'!C19+1)+'DCF Model'!E45/(1+$B21)^('DCF Model'!C19+2)+'DCF Model'!F45/(1+$B21)^('DCF Model'!C19+3)+'DCF Model'!G45/(1+$B21)^('DCF Model'!C19+4)+('DCF Model'!G39+'DCF Model'!G42)*I$17/(1+$B21)^('DCF Model'!C19+4)-'DCF Model'!C16)*1000000/'DCF Model'!C15,0),"")</f>
        <v>4735</v>
      </c>
    </row>
    <row r="22" spans="2:9" ht="13.5" customHeight="1" x14ac:dyDescent="0.25">
      <c r="B22" s="39">
        <f>$C$3+0.005</f>
        <v>0.10515000000000001</v>
      </c>
      <c r="C22" s="37">
        <f>IFERROR(ROUND(('DCF Model'!C45/(1+$B22)^('DCF Model'!C19+0)+'DCF Model'!D45/(1+$B22)^('DCF Model'!C19+1)+'DCF Model'!E45/(1+$B22)^('DCF Model'!C19+2)+'DCF Model'!F45/(1+$B22)^('DCF Model'!C19+3)+'DCF Model'!G45/(1+$B22)^('DCF Model'!C19+4)+('DCF Model'!G39+'DCF Model'!G42)*C$17/(1+$B22)^('DCF Model'!C19+4)-'DCF Model'!C16)*1000000/'DCF Model'!C15,0),"")</f>
        <v>3562</v>
      </c>
      <c r="D22" s="37">
        <f>IFERROR(ROUND(('DCF Model'!C45/(1+$B22)^('DCF Model'!C19+0)+'DCF Model'!D45/(1+$B22)^('DCF Model'!C19+1)+'DCF Model'!E45/(1+$B22)^('DCF Model'!C19+2)+'DCF Model'!F45/(1+$B22)^('DCF Model'!C19+3)+'DCF Model'!G45/(1+$B22)^('DCF Model'!C19+4)+('DCF Model'!G39+'DCF Model'!G42)*D$17/(1+$B22)^('DCF Model'!C19+4)-'DCF Model'!C16)*1000000/'DCF Model'!C15,0),"")</f>
        <v>3744</v>
      </c>
      <c r="E22" s="37">
        <f>IFERROR(ROUND(('DCF Model'!C45/(1+$B22)^('DCF Model'!C19+0)+'DCF Model'!D45/(1+$B22)^('DCF Model'!C19+1)+'DCF Model'!E45/(1+$B22)^('DCF Model'!C19+2)+'DCF Model'!F45/(1+$B22)^('DCF Model'!C19+3)+'DCF Model'!G45/(1+$B22)^('DCF Model'!C19+4)+('DCF Model'!G39+'DCF Model'!G42)*E$17/(1+$B22)^('DCF Model'!C19+4)-'DCF Model'!C16)*1000000/'DCF Model'!C15,0),"")</f>
        <v>3925</v>
      </c>
      <c r="F22" s="37">
        <f>IFERROR(ROUND(('DCF Model'!C45/(1+$B22)^('DCF Model'!C19+0)+'DCF Model'!D45/(1+$B22)^('DCF Model'!C19+1)+'DCF Model'!E45/(1+$B22)^('DCF Model'!C19+2)+'DCF Model'!F45/(1+$B22)^('DCF Model'!C19+3)+'DCF Model'!G45/(1+$B22)^('DCF Model'!C19+4)+('DCF Model'!G39+'DCF Model'!G42)*F$17/(1+$B22)^('DCF Model'!C19+4)-'DCF Model'!C16)*1000000/'DCF Model'!C15,0),"")</f>
        <v>4106</v>
      </c>
      <c r="G22" s="37">
        <f>IFERROR(ROUND(('DCF Model'!C45/(1+$B22)^('DCF Model'!C19+0)+'DCF Model'!D45/(1+$B22)^('DCF Model'!C19+1)+'DCF Model'!E45/(1+$B22)^('DCF Model'!C19+2)+'DCF Model'!F45/(1+$B22)^('DCF Model'!C19+3)+'DCF Model'!G45/(1+$B22)^('DCF Model'!C19+4)+('DCF Model'!G39+'DCF Model'!G42)*G$17/(1+$B22)^('DCF Model'!C19+4)-'DCF Model'!C16)*1000000/'DCF Model'!C15,0),"")</f>
        <v>4288</v>
      </c>
      <c r="H22" s="37">
        <f>IFERROR(ROUND(('DCF Model'!C45/(1+$B22)^('DCF Model'!C19+0)+'DCF Model'!D45/(1+$B22)^('DCF Model'!C19+1)+'DCF Model'!E45/(1+$B22)^('DCF Model'!C19+2)+'DCF Model'!F45/(1+$B22)^('DCF Model'!C19+3)+'DCF Model'!G45/(1+$B22)^('DCF Model'!C19+4)+('DCF Model'!G39+'DCF Model'!G42)*H$17/(1+$B22)^('DCF Model'!C19+4)-'DCF Model'!C16)*1000000/'DCF Model'!C15,0),"")</f>
        <v>4469</v>
      </c>
      <c r="I22" s="37">
        <f>IFERROR(ROUND(('DCF Model'!C45/(1+$B22)^('DCF Model'!C19+0)+'DCF Model'!D45/(1+$B22)^('DCF Model'!C19+1)+'DCF Model'!E45/(1+$B22)^('DCF Model'!C19+2)+'DCF Model'!F45/(1+$B22)^('DCF Model'!C19+3)+'DCF Model'!G45/(1+$B22)^('DCF Model'!C19+4)+('DCF Model'!G39+'DCF Model'!G42)*I$17/(1+$B22)^('DCF Model'!C19+4)-'DCF Model'!C16)*1000000/'DCF Model'!C15,0),"")</f>
        <v>4651</v>
      </c>
    </row>
    <row r="23" spans="2:9" ht="13.5" customHeight="1" x14ac:dyDescent="0.25">
      <c r="B23" s="39">
        <f>$C$3+0.01</f>
        <v>0.11015</v>
      </c>
      <c r="C23" s="37">
        <f>IFERROR(ROUND(('DCF Model'!C45/(1+$B23)^('DCF Model'!C19+0)+'DCF Model'!D45/(1+$B23)^('DCF Model'!C19+1)+'DCF Model'!E45/(1+$B23)^('DCF Model'!C19+2)+'DCF Model'!F45/(1+$B23)^('DCF Model'!C19+3)+'DCF Model'!G45/(1+$B23)^('DCF Model'!C19+4)+('DCF Model'!G39+'DCF Model'!G42)*C$17/(1+$B23)^('DCF Model'!C19+4)-'DCF Model'!C16)*1000000/'DCF Model'!C15,0),"")</f>
        <v>3504</v>
      </c>
      <c r="D23" s="37">
        <f>IFERROR(ROUND(('DCF Model'!C45/(1+$B23)^('DCF Model'!C19+0)+'DCF Model'!D45/(1+$B23)^('DCF Model'!C19+1)+'DCF Model'!E45/(1+$B23)^('DCF Model'!C19+2)+'DCF Model'!F45/(1+$B23)^('DCF Model'!C19+3)+'DCF Model'!G45/(1+$B23)^('DCF Model'!C19+4)+('DCF Model'!G39+'DCF Model'!G42)*D$17/(1+$B23)^('DCF Model'!C19+4)-'DCF Model'!C16)*1000000/'DCF Model'!C15,0),"")</f>
        <v>3682</v>
      </c>
      <c r="E23" s="37">
        <f>IFERROR(ROUND(('DCF Model'!C45/(1+$B23)^('DCF Model'!C19+0)+'DCF Model'!D45/(1+$B23)^('DCF Model'!C19+1)+'DCF Model'!E45/(1+$B23)^('DCF Model'!C19+2)+'DCF Model'!F45/(1+$B23)^('DCF Model'!C19+3)+'DCF Model'!G45/(1+$B23)^('DCF Model'!C19+4)+('DCF Model'!G39+'DCF Model'!G42)*E$17/(1+$B23)^('DCF Model'!C19+4)-'DCF Model'!C16)*1000000/'DCF Model'!C15,0),"")</f>
        <v>3859</v>
      </c>
      <c r="F23" s="37">
        <f>IFERROR(ROUND(('DCF Model'!C45/(1+$B23)^('DCF Model'!C19+0)+'DCF Model'!D45/(1+$B23)^('DCF Model'!C19+1)+'DCF Model'!E45/(1+$B23)^('DCF Model'!C19+2)+'DCF Model'!F45/(1+$B23)^('DCF Model'!C19+3)+'DCF Model'!G45/(1+$B23)^('DCF Model'!C19+4)+('DCF Model'!G39+'DCF Model'!G42)*F$17/(1+$B23)^('DCF Model'!C19+4)-'DCF Model'!C16)*1000000/'DCF Model'!C15,0),"")</f>
        <v>4036</v>
      </c>
      <c r="G23" s="37">
        <f>IFERROR(ROUND(('DCF Model'!C45/(1+$B23)^('DCF Model'!C19+0)+'DCF Model'!D45/(1+$B23)^('DCF Model'!C19+1)+'DCF Model'!E45/(1+$B23)^('DCF Model'!C19+2)+'DCF Model'!F45/(1+$B23)^('DCF Model'!C19+3)+'DCF Model'!G45/(1+$B23)^('DCF Model'!C19+4)+('DCF Model'!G39+'DCF Model'!G42)*G$17/(1+$B23)^('DCF Model'!C19+4)-'DCF Model'!C16)*1000000/'DCF Model'!C15,0),"")</f>
        <v>4214</v>
      </c>
      <c r="H23" s="37">
        <f>IFERROR(ROUND(('DCF Model'!C45/(1+$B23)^('DCF Model'!C19+0)+'DCF Model'!D45/(1+$B23)^('DCF Model'!C19+1)+'DCF Model'!E45/(1+$B23)^('DCF Model'!C19+2)+'DCF Model'!F45/(1+$B23)^('DCF Model'!C19+3)+'DCF Model'!G45/(1+$B23)^('DCF Model'!C19+4)+('DCF Model'!G39+'DCF Model'!G42)*H$17/(1+$B23)^('DCF Model'!C19+4)-'DCF Model'!C16)*1000000/'DCF Model'!C15,0),"")</f>
        <v>4391</v>
      </c>
      <c r="I23" s="37">
        <f>IFERROR(ROUND(('DCF Model'!C45/(1+$B23)^('DCF Model'!C19+0)+'DCF Model'!D45/(1+$B23)^('DCF Model'!C19+1)+'DCF Model'!E45/(1+$B23)^('DCF Model'!C19+2)+'DCF Model'!F45/(1+$B23)^('DCF Model'!C19+3)+'DCF Model'!G45/(1+$B23)^('DCF Model'!C19+4)+('DCF Model'!G39+'DCF Model'!G42)*I$17/(1+$B23)^('DCF Model'!C19+4)-'DCF Model'!C16)*1000000/'DCF Model'!C15,0),"")</f>
        <v>4569</v>
      </c>
    </row>
    <row r="24" spans="2:9" ht="13.5" customHeight="1" x14ac:dyDescent="0.25">
      <c r="B24" s="39">
        <f>$C$3+0.015</f>
        <v>0.11515</v>
      </c>
      <c r="C24" s="37">
        <f>IFERROR(ROUND(('DCF Model'!C45/(1+$B24)^('DCF Model'!C19+0)+'DCF Model'!D45/(1+$B24)^('DCF Model'!C19+1)+'DCF Model'!E45/(1+$B24)^('DCF Model'!C19+2)+'DCF Model'!F45/(1+$B24)^('DCF Model'!C19+3)+'DCF Model'!G45/(1+$B24)^('DCF Model'!C19+4)+('DCF Model'!G39+'DCF Model'!G42)*C$17/(1+$B24)^('DCF Model'!C19+4)-'DCF Model'!C16)*1000000/'DCF Model'!C15,0),"")</f>
        <v>3448</v>
      </c>
      <c r="D24" s="37">
        <f>IFERROR(ROUND(('DCF Model'!C45/(1+$B24)^('DCF Model'!C19+0)+'DCF Model'!D45/(1+$B24)^('DCF Model'!C19+1)+'DCF Model'!E45/(1+$B24)^('DCF Model'!C19+2)+'DCF Model'!F45/(1+$B24)^('DCF Model'!C19+3)+'DCF Model'!G45/(1+$B24)^('DCF Model'!C19+4)+('DCF Model'!G39+'DCF Model'!G42)*D$17/(1+$B24)^('DCF Model'!C19+4)-'DCF Model'!C16)*1000000/'DCF Model'!C15,0),"")</f>
        <v>3621</v>
      </c>
      <c r="E24" s="37">
        <f>IFERROR(ROUND(('DCF Model'!C45/(1+$B24)^('DCF Model'!C19+0)+'DCF Model'!D45/(1+$B24)^('DCF Model'!C19+1)+'DCF Model'!E45/(1+$B24)^('DCF Model'!C19+2)+'DCF Model'!F45/(1+$B24)^('DCF Model'!C19+3)+'DCF Model'!G45/(1+$B24)^('DCF Model'!C19+4)+('DCF Model'!G39+'DCF Model'!G42)*E$17/(1+$B24)^('DCF Model'!C19+4)-'DCF Model'!C16)*1000000/'DCF Model'!C15,0),"")</f>
        <v>3795</v>
      </c>
      <c r="F24" s="37">
        <f>IFERROR(ROUND(('DCF Model'!C45/(1+$B24)^('DCF Model'!C19+0)+'DCF Model'!D45/(1+$B24)^('DCF Model'!C19+1)+'DCF Model'!E45/(1+$B24)^('DCF Model'!C19+2)+'DCF Model'!F45/(1+$B24)^('DCF Model'!C19+3)+'DCF Model'!G45/(1+$B24)^('DCF Model'!C19+4)+('DCF Model'!G39+'DCF Model'!G42)*F$17/(1+$B24)^('DCF Model'!C19+4)-'DCF Model'!C16)*1000000/'DCF Model'!C15,0),"")</f>
        <v>3968</v>
      </c>
      <c r="G24" s="37">
        <f>IFERROR(ROUND(('DCF Model'!C45/(1+$B24)^('DCF Model'!C19+0)+'DCF Model'!D45/(1+$B24)^('DCF Model'!C19+1)+'DCF Model'!E45/(1+$B24)^('DCF Model'!C19+2)+'DCF Model'!F45/(1+$B24)^('DCF Model'!C19+3)+'DCF Model'!G45/(1+$B24)^('DCF Model'!C19+4)+('DCF Model'!G39+'DCF Model'!G42)*G$17/(1+$B24)^('DCF Model'!C19+4)-'DCF Model'!C16)*1000000/'DCF Model'!C15,0),"")</f>
        <v>4142</v>
      </c>
      <c r="H24" s="37">
        <f>IFERROR(ROUND(('DCF Model'!C45/(1+$B24)^('DCF Model'!C19+0)+'DCF Model'!D45/(1+$B24)^('DCF Model'!C19+1)+'DCF Model'!E45/(1+$B24)^('DCF Model'!C19+2)+'DCF Model'!F45/(1+$B24)^('DCF Model'!C19+3)+'DCF Model'!G45/(1+$B24)^('DCF Model'!C19+4)+('DCF Model'!G39+'DCF Model'!G42)*H$17/(1+$B24)^('DCF Model'!C19+4)-'DCF Model'!C16)*1000000/'DCF Model'!C15,0),"")</f>
        <v>4315</v>
      </c>
      <c r="I24" s="37">
        <f>IFERROR(ROUND(('DCF Model'!C45/(1+$B24)^('DCF Model'!C19+0)+'DCF Model'!D45/(1+$B24)^('DCF Model'!C19+1)+'DCF Model'!E45/(1+$B24)^('DCF Model'!C19+2)+'DCF Model'!F45/(1+$B24)^('DCF Model'!C19+3)+'DCF Model'!G45/(1+$B24)^('DCF Model'!C19+4)+('DCF Model'!G39+'DCF Model'!G42)*I$17/(1+$B24)^('DCF Model'!C19+4)-'DCF Model'!C16)*1000000/'DCF Model'!C15,0),"")</f>
        <v>4488</v>
      </c>
    </row>
    <row r="26" spans="2:9" ht="14" customHeight="1" x14ac:dyDescent="0.3">
      <c r="B26" s="46" t="s">
        <v>237</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2"/>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238</v>
      </c>
    </row>
    <row r="4" spans="2:7" ht="14" customHeight="1" x14ac:dyDescent="0.3">
      <c r="B4" s="10" t="s">
        <v>239</v>
      </c>
      <c r="C4" s="10" t="s">
        <v>240</v>
      </c>
      <c r="D4" s="10" t="s">
        <v>241</v>
      </c>
      <c r="E4" s="10" t="s">
        <v>242</v>
      </c>
      <c r="F4" s="10" t="s">
        <v>243</v>
      </c>
      <c r="G4" s="10" t="s">
        <v>244</v>
      </c>
    </row>
    <row r="5" spans="2:7" x14ac:dyDescent="0.2">
      <c r="B5" t="s">
        <v>245</v>
      </c>
      <c r="C5" t="s">
        <v>246</v>
      </c>
      <c r="D5" t="s">
        <v>247</v>
      </c>
      <c r="E5" t="s">
        <v>248</v>
      </c>
      <c r="F5" t="s">
        <v>246</v>
      </c>
      <c r="G5" t="s">
        <v>249</v>
      </c>
    </row>
    <row r="6" spans="2:7" ht="30" customHeight="1" x14ac:dyDescent="0.3">
      <c r="B6" s="43" t="s">
        <v>245</v>
      </c>
      <c r="C6" s="4" t="s">
        <v>250</v>
      </c>
      <c r="D6" s="43" t="s">
        <v>251</v>
      </c>
      <c r="E6" s="43" t="s">
        <v>252</v>
      </c>
      <c r="F6" s="43" t="s">
        <v>253</v>
      </c>
      <c r="G6" s="43" t="s">
        <v>254</v>
      </c>
    </row>
    <row r="7" spans="2:7" ht="30" customHeight="1" x14ac:dyDescent="0.3">
      <c r="B7" s="43" t="s">
        <v>245</v>
      </c>
      <c r="C7" s="4" t="s">
        <v>255</v>
      </c>
      <c r="D7" s="43" t="s">
        <v>256</v>
      </c>
      <c r="E7" s="43" t="s">
        <v>257</v>
      </c>
      <c r="F7" s="43" t="s">
        <v>258</v>
      </c>
      <c r="G7" s="43" t="s">
        <v>259</v>
      </c>
    </row>
    <row r="8" spans="2:7" ht="30" customHeight="1" x14ac:dyDescent="0.3">
      <c r="B8" s="43" t="s">
        <v>245</v>
      </c>
      <c r="C8" s="4" t="s">
        <v>260</v>
      </c>
      <c r="D8" s="43" t="s">
        <v>261</v>
      </c>
      <c r="E8" s="43" t="s">
        <v>262</v>
      </c>
      <c r="F8" s="43" t="s">
        <v>263</v>
      </c>
      <c r="G8" s="43" t="s">
        <v>259</v>
      </c>
    </row>
    <row r="9" spans="2:7" ht="30" customHeight="1" x14ac:dyDescent="0.3">
      <c r="B9" s="43" t="s">
        <v>245</v>
      </c>
      <c r="C9" s="4" t="s">
        <v>264</v>
      </c>
      <c r="D9" s="43" t="s">
        <v>265</v>
      </c>
      <c r="E9" s="43" t="s">
        <v>266</v>
      </c>
      <c r="F9" s="43" t="s">
        <v>267</v>
      </c>
      <c r="G9" s="43" t="s">
        <v>254</v>
      </c>
    </row>
    <row r="10" spans="2:7" ht="30" customHeight="1" x14ac:dyDescent="0.3">
      <c r="B10" s="43" t="s">
        <v>245</v>
      </c>
      <c r="C10" s="4" t="s">
        <v>268</v>
      </c>
      <c r="D10" s="43" t="s">
        <v>269</v>
      </c>
      <c r="E10" s="43" t="s">
        <v>270</v>
      </c>
      <c r="F10" s="43" t="s">
        <v>271</v>
      </c>
      <c r="G10" s="43" t="s">
        <v>272</v>
      </c>
    </row>
    <row r="11" spans="2:7" ht="30" customHeight="1" x14ac:dyDescent="0.3">
      <c r="B11" s="43" t="s">
        <v>245</v>
      </c>
      <c r="C11" s="4" t="s">
        <v>273</v>
      </c>
      <c r="D11" s="43" t="s">
        <v>274</v>
      </c>
      <c r="E11" s="43" t="s">
        <v>275</v>
      </c>
      <c r="F11" s="43" t="s">
        <v>276</v>
      </c>
      <c r="G11" s="43" t="s">
        <v>259</v>
      </c>
    </row>
    <row r="12" spans="2:7" ht="30" customHeight="1" x14ac:dyDescent="0.3">
      <c r="B12" s="43" t="s">
        <v>245</v>
      </c>
      <c r="C12" s="4" t="s">
        <v>277</v>
      </c>
      <c r="D12" s="43" t="s">
        <v>278</v>
      </c>
      <c r="E12" s="43" t="s">
        <v>279</v>
      </c>
      <c r="F12" s="43" t="s">
        <v>280</v>
      </c>
      <c r="G12" s="43" t="s">
        <v>259</v>
      </c>
    </row>
    <row r="13" spans="2:7" ht="30" customHeight="1" x14ac:dyDescent="0.3">
      <c r="B13" s="43" t="s">
        <v>245</v>
      </c>
      <c r="C13" s="4" t="s">
        <v>281</v>
      </c>
      <c r="D13" s="43" t="s">
        <v>282</v>
      </c>
      <c r="E13" s="43" t="s">
        <v>283</v>
      </c>
      <c r="F13" s="43" t="s">
        <v>284</v>
      </c>
      <c r="G13" s="43" t="s">
        <v>259</v>
      </c>
    </row>
    <row r="14" spans="2:7" ht="30" customHeight="1" x14ac:dyDescent="0.3">
      <c r="B14" s="43" t="s">
        <v>245</v>
      </c>
      <c r="C14" s="4" t="s">
        <v>285</v>
      </c>
      <c r="D14" s="43" t="s">
        <v>286</v>
      </c>
      <c r="E14" s="43" t="s">
        <v>287</v>
      </c>
      <c r="F14" s="43" t="s">
        <v>246</v>
      </c>
      <c r="G14" s="43" t="s">
        <v>259</v>
      </c>
    </row>
    <row r="15" spans="2:7" ht="30" customHeight="1" x14ac:dyDescent="0.3">
      <c r="B15" s="43" t="s">
        <v>245</v>
      </c>
      <c r="C15" s="4" t="s">
        <v>288</v>
      </c>
      <c r="D15" s="43" t="s">
        <v>289</v>
      </c>
      <c r="E15" s="43" t="s">
        <v>290</v>
      </c>
      <c r="F15" s="43" t="s">
        <v>291</v>
      </c>
      <c r="G15" s="43" t="s">
        <v>259</v>
      </c>
    </row>
    <row r="16" spans="2:7" ht="30" customHeight="1" x14ac:dyDescent="0.3">
      <c r="B16" s="43" t="s">
        <v>245</v>
      </c>
      <c r="C16" s="4" t="s">
        <v>292</v>
      </c>
      <c r="D16" s="43" t="s">
        <v>293</v>
      </c>
      <c r="E16" s="43" t="s">
        <v>294</v>
      </c>
      <c r="F16" s="43" t="s">
        <v>295</v>
      </c>
      <c r="G16" s="43" t="s">
        <v>259</v>
      </c>
    </row>
    <row r="17" spans="2:7" ht="30" customHeight="1" x14ac:dyDescent="0.3">
      <c r="B17" s="43" t="s">
        <v>245</v>
      </c>
      <c r="C17" s="4" t="s">
        <v>296</v>
      </c>
      <c r="D17" s="43" t="s">
        <v>297</v>
      </c>
      <c r="E17" s="43" t="s">
        <v>298</v>
      </c>
      <c r="F17" s="43" t="s">
        <v>263</v>
      </c>
      <c r="G17" s="43" t="s">
        <v>259</v>
      </c>
    </row>
    <row r="18" spans="2:7" ht="30" customHeight="1" x14ac:dyDescent="0.3">
      <c r="B18" s="43" t="s">
        <v>245</v>
      </c>
      <c r="C18" s="4" t="s">
        <v>299</v>
      </c>
      <c r="D18" s="43" t="s">
        <v>300</v>
      </c>
      <c r="E18" s="43" t="s">
        <v>301</v>
      </c>
      <c r="F18" s="43" t="s">
        <v>302</v>
      </c>
      <c r="G18" s="43" t="s">
        <v>259</v>
      </c>
    </row>
    <row r="19" spans="2:7" ht="30" customHeight="1" x14ac:dyDescent="0.3">
      <c r="B19" s="43" t="s">
        <v>245</v>
      </c>
      <c r="C19" s="4" t="s">
        <v>303</v>
      </c>
      <c r="D19" s="43" t="s">
        <v>304</v>
      </c>
      <c r="E19" s="43" t="s">
        <v>305</v>
      </c>
      <c r="F19" s="43" t="s">
        <v>246</v>
      </c>
      <c r="G19" s="43" t="s">
        <v>306</v>
      </c>
    </row>
    <row r="20" spans="2:7" ht="30" customHeight="1" x14ac:dyDescent="0.3">
      <c r="B20" s="43" t="s">
        <v>245</v>
      </c>
      <c r="C20" s="4" t="s">
        <v>307</v>
      </c>
      <c r="D20" s="43" t="s">
        <v>308</v>
      </c>
      <c r="E20" s="43" t="s">
        <v>309</v>
      </c>
      <c r="F20" s="43" t="s">
        <v>263</v>
      </c>
      <c r="G20" s="43" t="s">
        <v>259</v>
      </c>
    </row>
    <row r="21" spans="2:7" ht="30" customHeight="1" x14ac:dyDescent="0.3">
      <c r="B21" s="43" t="s">
        <v>245</v>
      </c>
      <c r="C21" s="4" t="s">
        <v>310</v>
      </c>
      <c r="D21" s="43" t="s">
        <v>311</v>
      </c>
      <c r="E21" s="43" t="s">
        <v>312</v>
      </c>
      <c r="F21" s="43" t="s">
        <v>246</v>
      </c>
      <c r="G21" s="43" t="s">
        <v>259</v>
      </c>
    </row>
    <row r="22" spans="2:7" ht="30" customHeight="1" x14ac:dyDescent="0.3">
      <c r="B22" s="43" t="s">
        <v>245</v>
      </c>
      <c r="C22" s="4" t="s">
        <v>313</v>
      </c>
      <c r="D22" s="43" t="s">
        <v>314</v>
      </c>
      <c r="E22" s="43" t="s">
        <v>315</v>
      </c>
      <c r="F22" s="43" t="s">
        <v>246</v>
      </c>
      <c r="G22" s="43" t="s">
        <v>254</v>
      </c>
    </row>
    <row r="23" spans="2:7" ht="30" customHeight="1" x14ac:dyDescent="0.3">
      <c r="B23" s="43" t="s">
        <v>245</v>
      </c>
      <c r="C23" s="4" t="s">
        <v>316</v>
      </c>
      <c r="D23" s="43" t="s">
        <v>317</v>
      </c>
      <c r="E23" s="43" t="s">
        <v>318</v>
      </c>
      <c r="F23" s="43" t="s">
        <v>246</v>
      </c>
      <c r="G23" s="43" t="s">
        <v>319</v>
      </c>
    </row>
    <row r="24" spans="2:7" ht="30" customHeight="1" x14ac:dyDescent="0.3">
      <c r="B24" s="43" t="s">
        <v>245</v>
      </c>
      <c r="C24" s="4" t="s">
        <v>320</v>
      </c>
      <c r="D24" s="43" t="s">
        <v>321</v>
      </c>
      <c r="E24" s="43" t="s">
        <v>322</v>
      </c>
      <c r="F24" s="43" t="s">
        <v>246</v>
      </c>
      <c r="G24" s="43" t="s">
        <v>323</v>
      </c>
    </row>
    <row r="25" spans="2:7" ht="30" customHeight="1" x14ac:dyDescent="0.3">
      <c r="B25" s="43" t="s">
        <v>245</v>
      </c>
      <c r="C25" s="4" t="s">
        <v>320</v>
      </c>
      <c r="D25" s="43" t="s">
        <v>324</v>
      </c>
      <c r="E25" s="43" t="s">
        <v>325</v>
      </c>
      <c r="F25" s="43" t="s">
        <v>246</v>
      </c>
      <c r="G25" s="43" t="s">
        <v>323</v>
      </c>
    </row>
    <row r="26" spans="2:7" ht="30" customHeight="1" x14ac:dyDescent="0.3">
      <c r="B26" s="43" t="s">
        <v>245</v>
      </c>
      <c r="C26" s="4" t="s">
        <v>320</v>
      </c>
      <c r="D26" s="43" t="s">
        <v>326</v>
      </c>
      <c r="E26" s="43" t="s">
        <v>327</v>
      </c>
      <c r="F26" s="43" t="s">
        <v>246</v>
      </c>
      <c r="G26" s="43" t="s">
        <v>323</v>
      </c>
    </row>
    <row r="27" spans="2:7" ht="14" customHeight="1" x14ac:dyDescent="0.2"/>
    <row r="28" spans="2:7" ht="14" customHeight="1" x14ac:dyDescent="0.3">
      <c r="B28" s="8" t="s">
        <v>328</v>
      </c>
    </row>
    <row r="29" spans="2:7" ht="14" customHeight="1" x14ac:dyDescent="0.3">
      <c r="B29" s="10" t="s">
        <v>329</v>
      </c>
      <c r="C29" s="10" t="s">
        <v>330</v>
      </c>
    </row>
    <row r="30" spans="2:7" ht="14" customHeight="1" x14ac:dyDescent="0.3">
      <c r="B30" s="4" t="s">
        <v>331</v>
      </c>
      <c r="C30" t="s">
        <v>332</v>
      </c>
    </row>
    <row r="31" spans="2:7" ht="14" customHeight="1" x14ac:dyDescent="0.3">
      <c r="B31" s="4" t="s">
        <v>333</v>
      </c>
      <c r="C31" t="s">
        <v>334</v>
      </c>
    </row>
    <row r="32" spans="2:7" ht="14" customHeight="1" x14ac:dyDescent="0.3">
      <c r="B32" s="4" t="s">
        <v>335</v>
      </c>
      <c r="C32" t="s">
        <v>336</v>
      </c>
    </row>
    <row r="33" spans="2:3" ht="14" customHeight="1" x14ac:dyDescent="0.3">
      <c r="B33" s="4" t="s">
        <v>337</v>
      </c>
      <c r="C33" t="s">
        <v>338</v>
      </c>
    </row>
    <row r="34" spans="2:3" ht="14" customHeight="1" x14ac:dyDescent="0.3">
      <c r="B34" s="4" t="s">
        <v>339</v>
      </c>
      <c r="C34" t="s">
        <v>4</v>
      </c>
    </row>
    <row r="35" spans="2:3" ht="14" customHeight="1" x14ac:dyDescent="0.3">
      <c r="B35" s="4" t="s">
        <v>340</v>
      </c>
      <c r="C35" t="s">
        <v>245</v>
      </c>
    </row>
    <row r="36" spans="2:3" ht="14" customHeight="1" x14ac:dyDescent="0.3">
      <c r="B36" s="4" t="s">
        <v>341</v>
      </c>
      <c r="C36" t="s">
        <v>342</v>
      </c>
    </row>
    <row r="37" spans="2:3" ht="14" customHeight="1" x14ac:dyDescent="0.3">
      <c r="B37" s="4" t="s">
        <v>343</v>
      </c>
      <c r="C37" t="s">
        <v>344</v>
      </c>
    </row>
    <row r="38" spans="2:3" ht="14" customHeight="1" x14ac:dyDescent="0.3">
      <c r="B38" s="4" t="s">
        <v>345</v>
      </c>
      <c r="C38" t="s">
        <v>346</v>
      </c>
    </row>
    <row r="39" spans="2:3" ht="14" customHeight="1" x14ac:dyDescent="0.3">
      <c r="B39" s="4" t="s">
        <v>347</v>
      </c>
      <c r="C39" t="s">
        <v>348</v>
      </c>
    </row>
    <row r="40" spans="2:3" ht="14" customHeight="1" x14ac:dyDescent="0.3">
      <c r="B40" s="4" t="s">
        <v>349</v>
      </c>
      <c r="C40" t="s">
        <v>350</v>
      </c>
    </row>
    <row r="41" spans="2:3" ht="14" customHeight="1" x14ac:dyDescent="0.3">
      <c r="B41" s="4" t="s">
        <v>351</v>
      </c>
      <c r="C41" t="s">
        <v>346</v>
      </c>
    </row>
    <row r="42" spans="2:3" ht="14" customHeight="1" x14ac:dyDescent="0.3">
      <c r="B42" s="4" t="s">
        <v>352</v>
      </c>
      <c r="C42" t="s">
        <v>342</v>
      </c>
    </row>
    <row r="43" spans="2:3" ht="14" customHeight="1" x14ac:dyDescent="0.3">
      <c r="B43" s="4" t="s">
        <v>353</v>
      </c>
      <c r="C43" t="s">
        <v>354</v>
      </c>
    </row>
    <row r="44" spans="2:3" ht="14" customHeight="1" x14ac:dyDescent="0.3">
      <c r="B44" s="4" t="s">
        <v>355</v>
      </c>
      <c r="C44" t="s">
        <v>356</v>
      </c>
    </row>
    <row r="45" spans="2:3" ht="14" customHeight="1" x14ac:dyDescent="0.3">
      <c r="B45" s="4" t="s">
        <v>357</v>
      </c>
      <c r="C45" t="s">
        <v>358</v>
      </c>
    </row>
    <row r="46" spans="2:3" ht="14" customHeight="1" x14ac:dyDescent="0.3">
      <c r="B46" s="4" t="s">
        <v>359</v>
      </c>
      <c r="C46" t="s">
        <v>334</v>
      </c>
    </row>
    <row r="47" spans="2:3" ht="14" x14ac:dyDescent="0.3">
      <c r="B47" s="4" t="s">
        <v>360</v>
      </c>
      <c r="C47" t="s">
        <v>334</v>
      </c>
    </row>
    <row r="48" spans="2:3" ht="14" x14ac:dyDescent="0.3">
      <c r="B48" s="4" t="s">
        <v>361</v>
      </c>
      <c r="C48" t="s">
        <v>362</v>
      </c>
    </row>
    <row r="49" spans="2:3" ht="14" x14ac:dyDescent="0.3">
      <c r="B49" s="4" t="s">
        <v>363</v>
      </c>
      <c r="C49" t="s">
        <v>364</v>
      </c>
    </row>
    <row r="50" spans="2:3" ht="14" x14ac:dyDescent="0.3">
      <c r="B50" s="4" t="s">
        <v>365</v>
      </c>
      <c r="C50" t="s">
        <v>366</v>
      </c>
    </row>
    <row r="51" spans="2:3" ht="14" x14ac:dyDescent="0.3">
      <c r="B51" s="4" t="s">
        <v>367</v>
      </c>
      <c r="C51" t="s">
        <v>368</v>
      </c>
    </row>
    <row r="52" spans="2:3" ht="14" x14ac:dyDescent="0.3">
      <c r="B52" s="4" t="s">
        <v>369</v>
      </c>
      <c r="C52" t="s">
        <v>370</v>
      </c>
    </row>
    <row r="53" spans="2:3" ht="14" x14ac:dyDescent="0.3">
      <c r="B53" s="4" t="s">
        <v>371</v>
      </c>
      <c r="C53" t="s">
        <v>372</v>
      </c>
    </row>
    <row r="54" spans="2:3" ht="14" x14ac:dyDescent="0.3">
      <c r="B54" s="4" t="s">
        <v>373</v>
      </c>
      <c r="C54" t="s">
        <v>374</v>
      </c>
    </row>
    <row r="55" spans="2:3" ht="14" x14ac:dyDescent="0.3">
      <c r="B55" s="4" t="s">
        <v>375</v>
      </c>
      <c r="C55" t="s">
        <v>376</v>
      </c>
    </row>
    <row r="56" spans="2:3" ht="14" x14ac:dyDescent="0.3">
      <c r="B56" s="4" t="s">
        <v>377</v>
      </c>
      <c r="C56" t="s">
        <v>378</v>
      </c>
    </row>
    <row r="57" spans="2:3" ht="14" x14ac:dyDescent="0.3">
      <c r="B57" s="4" t="s">
        <v>379</v>
      </c>
      <c r="C57" t="s">
        <v>380</v>
      </c>
    </row>
    <row r="58" spans="2:3" ht="14" x14ac:dyDescent="0.3">
      <c r="B58" s="4" t="s">
        <v>381</v>
      </c>
      <c r="C58" t="s">
        <v>382</v>
      </c>
    </row>
    <row r="59" spans="2:3" ht="14" x14ac:dyDescent="0.3">
      <c r="B59" s="4" t="s">
        <v>383</v>
      </c>
      <c r="C59" t="s">
        <v>384</v>
      </c>
    </row>
    <row r="60" spans="2:3" ht="14" x14ac:dyDescent="0.3">
      <c r="B60" s="4" t="s">
        <v>385</v>
      </c>
      <c r="C60" t="s">
        <v>386</v>
      </c>
    </row>
    <row r="61" spans="2:3" ht="14" x14ac:dyDescent="0.3">
      <c r="B61" s="4" t="s">
        <v>387</v>
      </c>
      <c r="C61" t="s">
        <v>388</v>
      </c>
    </row>
    <row r="62" spans="2:3" ht="14" x14ac:dyDescent="0.3">
      <c r="B62" s="4" t="s">
        <v>389</v>
      </c>
      <c r="C62" t="s">
        <v>206</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2026-09-05T09:00:20Z</dcterms:created>
  <dcterms:modified xsi:type="dcterms:W3CDTF">2026-09-05T09:10:24Z</dcterms:modified>
</cp:coreProperties>
</file>