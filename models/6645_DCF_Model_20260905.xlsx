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6E74498-5A58-4A31-BD5F-684D7ED844EF}"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H17" i="7" l="1"/>
  <c r="D17" i="7"/>
  <c r="G6" i="7"/>
  <c r="I3" i="7"/>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O5" i="6"/>
  <c r="N5" i="6"/>
  <c r="D5" i="6"/>
  <c r="M5" i="6" s="1"/>
  <c r="C18" i="5"/>
  <c r="C16" i="5"/>
  <c r="C14" i="5"/>
  <c r="G7" i="5"/>
  <c r="E7" i="5"/>
  <c r="C7" i="5"/>
  <c r="F6" i="5"/>
  <c r="C6" i="5"/>
  <c r="D5" i="5"/>
  <c r="C5" i="5"/>
  <c r="C13" i="4"/>
  <c r="C12" i="4"/>
  <c r="C9" i="4"/>
  <c r="C7" i="4"/>
  <c r="C6" i="4"/>
  <c r="C8" i="4" s="1"/>
  <c r="E32" i="3"/>
  <c r="C32" i="3"/>
  <c r="G31" i="3"/>
  <c r="C31" i="3"/>
  <c r="D30" i="3"/>
  <c r="D27" i="3"/>
  <c r="G5" i="5" s="1"/>
  <c r="C25" i="3"/>
  <c r="C24" i="3"/>
  <c r="C23" i="3"/>
  <c r="C26" i="3" s="1"/>
  <c r="F28" i="2"/>
  <c r="E28" i="2"/>
  <c r="D28" i="2"/>
  <c r="F16" i="2"/>
  <c r="E16" i="2"/>
  <c r="D16" i="2"/>
  <c r="F15" i="2"/>
  <c r="E15" i="2"/>
  <c r="D15" i="2"/>
  <c r="F14" i="2"/>
  <c r="E14" i="2"/>
  <c r="D14" i="2"/>
  <c r="C14" i="2"/>
  <c r="F13" i="2"/>
  <c r="E13" i="2"/>
  <c r="D13" i="2"/>
  <c r="C13" i="2"/>
  <c r="F8" i="2"/>
  <c r="F9" i="2" s="1"/>
  <c r="E8" i="2"/>
  <c r="E9" i="2" s="1"/>
  <c r="D8" i="2"/>
  <c r="D9" i="2" s="1"/>
  <c r="C8" i="2"/>
  <c r="C9" i="2" s="1"/>
  <c r="E5" i="6" l="1"/>
  <c r="J5" i="6" s="1"/>
  <c r="D32" i="3"/>
  <c r="F7" i="5"/>
  <c r="L5" i="6"/>
  <c r="E30" i="3"/>
  <c r="F32" i="3"/>
  <c r="H7" i="5"/>
  <c r="F30" i="3"/>
  <c r="C10" i="4"/>
  <c r="D6" i="5"/>
  <c r="E16" i="6"/>
  <c r="G16" i="6"/>
  <c r="G30" i="3"/>
  <c r="E6" i="5"/>
  <c r="D17" i="6"/>
  <c r="F15" i="6"/>
  <c r="C6" i="7"/>
  <c r="C3" i="7"/>
  <c r="G36" i="4"/>
  <c r="C11" i="4"/>
  <c r="G46" i="3"/>
  <c r="F36" i="4"/>
  <c r="F46" i="3"/>
  <c r="E36" i="4"/>
  <c r="H36" i="4"/>
  <c r="E46" i="3"/>
  <c r="D46" i="3"/>
  <c r="D36" i="4"/>
  <c r="C46" i="3"/>
  <c r="C71" i="4"/>
  <c r="C70" i="4"/>
  <c r="H15" i="6"/>
  <c r="H16" i="6"/>
  <c r="H17" i="6"/>
  <c r="I16" i="6"/>
  <c r="I17" i="6"/>
  <c r="I15" i="6"/>
  <c r="D16" i="6"/>
  <c r="F16" i="6"/>
  <c r="C28" i="6" s="1"/>
  <c r="C19" i="1" s="1"/>
  <c r="D19" i="1" s="1"/>
  <c r="D15" i="6"/>
  <c r="E15" i="6"/>
  <c r="E17" i="6"/>
  <c r="G17" i="6"/>
  <c r="F17" i="6"/>
  <c r="G32" i="3"/>
  <c r="F5" i="5"/>
  <c r="H6" i="5"/>
  <c r="G15" i="6"/>
  <c r="C30" i="3"/>
  <c r="C33" i="3" s="1"/>
  <c r="F31" i="3"/>
  <c r="H5" i="5"/>
  <c r="D7" i="5"/>
  <c r="K5" i="6"/>
  <c r="I6" i="7"/>
  <c r="C17" i="7"/>
  <c r="D6" i="7"/>
  <c r="E17" i="7"/>
  <c r="E6" i="7"/>
  <c r="F17" i="7"/>
  <c r="E5" i="5"/>
  <c r="G6" i="5"/>
  <c r="F6" i="7"/>
  <c r="G17" i="7"/>
  <c r="D31" i="3"/>
  <c r="E31" i="3"/>
  <c r="C24" i="4" l="1"/>
  <c r="C25" i="4" s="1"/>
  <c r="C26" i="4"/>
  <c r="C27" i="4"/>
  <c r="C29" i="4"/>
  <c r="H40" i="4"/>
  <c r="H44" i="4"/>
  <c r="H38" i="4"/>
  <c r="H46" i="4"/>
  <c r="H39" i="4"/>
  <c r="H43" i="4"/>
  <c r="H41" i="4"/>
  <c r="H45" i="4"/>
  <c r="C27" i="6"/>
  <c r="C18" i="1" s="1"/>
  <c r="D18" i="1" s="1"/>
  <c r="C74" i="4"/>
  <c r="F43" i="4"/>
  <c r="F40" i="4"/>
  <c r="F39" i="4"/>
  <c r="F46" i="4"/>
  <c r="F38" i="4"/>
  <c r="F41" i="4"/>
  <c r="F45" i="4"/>
  <c r="F44" i="4"/>
  <c r="E39" i="4"/>
  <c r="E46" i="4"/>
  <c r="E45" i="4"/>
  <c r="E43" i="4"/>
  <c r="E38" i="4"/>
  <c r="E48" i="4" s="1"/>
  <c r="E53" i="4" s="1"/>
  <c r="E41" i="4"/>
  <c r="E40" i="4"/>
  <c r="E50" i="4" s="1"/>
  <c r="E55" i="4" s="1"/>
  <c r="E44" i="4"/>
  <c r="D45" i="4"/>
  <c r="D43" i="4"/>
  <c r="D41" i="4"/>
  <c r="D39" i="4"/>
  <c r="D40" i="4"/>
  <c r="D44" i="4"/>
  <c r="D46" i="4"/>
  <c r="D38" i="4"/>
  <c r="G46" i="4"/>
  <c r="G44" i="4"/>
  <c r="G43" i="4"/>
  <c r="G40" i="4"/>
  <c r="G41" i="4"/>
  <c r="G39" i="4"/>
  <c r="G38" i="4"/>
  <c r="G48" i="4" s="1"/>
  <c r="G53" i="4" s="1"/>
  <c r="G45" i="4"/>
  <c r="D9" i="5"/>
  <c r="D12" i="5" s="1"/>
  <c r="D33" i="3"/>
  <c r="C37" i="3"/>
  <c r="C34" i="3"/>
  <c r="D10" i="5" s="1"/>
  <c r="C35" i="3"/>
  <c r="C42" i="3"/>
  <c r="B13" i="7"/>
  <c r="B12" i="7"/>
  <c r="B11" i="7"/>
  <c r="B10" i="7"/>
  <c r="B9" i="7"/>
  <c r="B8" i="7"/>
  <c r="B7" i="7"/>
  <c r="B24" i="7"/>
  <c r="B23" i="7"/>
  <c r="B22" i="7"/>
  <c r="B21" i="7"/>
  <c r="B20" i="7"/>
  <c r="B19" i="7"/>
  <c r="B18" i="7"/>
  <c r="E49" i="4" l="1"/>
  <c r="E54" i="4" s="1"/>
  <c r="H48" i="4"/>
  <c r="H53" i="4" s="1"/>
  <c r="E51" i="4"/>
  <c r="E56" i="4" s="1"/>
  <c r="F51" i="4"/>
  <c r="F56" i="4" s="1"/>
  <c r="D48" i="4"/>
  <c r="D53" i="4" s="1"/>
  <c r="H50" i="4"/>
  <c r="H55" i="4" s="1"/>
  <c r="G49" i="4"/>
  <c r="G54" i="4" s="1"/>
  <c r="E9" i="5"/>
  <c r="E12" i="5" s="1"/>
  <c r="D35" i="3"/>
  <c r="D42" i="3"/>
  <c r="D37" i="3"/>
  <c r="D34" i="3"/>
  <c r="E10" i="5" s="1"/>
  <c r="E33" i="3"/>
  <c r="D50" i="4"/>
  <c r="D55" i="4" s="1"/>
  <c r="F48" i="4"/>
  <c r="F53" i="4" s="1"/>
  <c r="H51" i="4"/>
  <c r="H56" i="4" s="1"/>
  <c r="C36" i="3"/>
  <c r="C38" i="3"/>
  <c r="C39" i="3"/>
  <c r="D15" i="5"/>
  <c r="D16" i="5" s="1"/>
  <c r="D13" i="5"/>
  <c r="D14" i="5" s="1"/>
  <c r="D18" i="5" s="1"/>
  <c r="D19" i="5" s="1"/>
  <c r="C44" i="3" s="1"/>
  <c r="G50" i="4"/>
  <c r="G55" i="4" s="1"/>
  <c r="D49" i="4"/>
  <c r="D54" i="4" s="1"/>
  <c r="G51" i="4"/>
  <c r="G56" i="4" s="1"/>
  <c r="D51" i="4"/>
  <c r="D56" i="4" s="1"/>
  <c r="F49" i="4"/>
  <c r="H49" i="4"/>
  <c r="H54" i="4" s="1"/>
  <c r="F50" i="4"/>
  <c r="F55" i="4" s="1"/>
  <c r="F54" i="4" l="1"/>
  <c r="B78" i="4" s="1"/>
  <c r="C60" i="4"/>
  <c r="D36" i="3"/>
  <c r="D39" i="3"/>
  <c r="D38" i="3"/>
  <c r="E14" i="5"/>
  <c r="F9" i="5"/>
  <c r="F12" i="5" s="1"/>
  <c r="E42" i="3"/>
  <c r="E34" i="3"/>
  <c r="F10" i="5" s="1"/>
  <c r="F33" i="3"/>
  <c r="E37" i="3"/>
  <c r="E13" i="5"/>
  <c r="E15" i="5"/>
  <c r="E16" i="5" s="1"/>
  <c r="C40" i="3"/>
  <c r="C41" i="3" s="1"/>
  <c r="C45" i="3" s="1"/>
  <c r="C47" i="3" l="1"/>
  <c r="F13" i="5"/>
  <c r="F14" i="5" s="1"/>
  <c r="F15" i="5"/>
  <c r="F16" i="5" s="1"/>
  <c r="C65" i="4"/>
  <c r="D65" i="4" s="1"/>
  <c r="C66" i="4"/>
  <c r="D66" i="4" s="1"/>
  <c r="C67" i="4"/>
  <c r="D67" i="4" s="1"/>
  <c r="C64" i="4"/>
  <c r="D64" i="4" s="1"/>
  <c r="C63" i="4"/>
  <c r="D63" i="4" s="1"/>
  <c r="E18" i="5"/>
  <c r="E19" i="5" s="1"/>
  <c r="D44" i="3" s="1"/>
  <c r="E35" i="3"/>
  <c r="D40" i="3"/>
  <c r="D41" i="3" s="1"/>
  <c r="D45" i="3" s="1"/>
  <c r="D47" i="3" s="1"/>
  <c r="F42" i="3"/>
  <c r="F34" i="3"/>
  <c r="G10" i="5" s="1"/>
  <c r="G9" i="5"/>
  <c r="G12" i="5" s="1"/>
  <c r="F37" i="3"/>
  <c r="G33" i="3"/>
  <c r="G13" i="5" l="1"/>
  <c r="G14" i="5" s="1"/>
  <c r="G15" i="5"/>
  <c r="G16" i="5" s="1"/>
  <c r="G37" i="3"/>
  <c r="G42" i="3"/>
  <c r="G34" i="3"/>
  <c r="H10" i="5" s="1"/>
  <c r="H9" i="5"/>
  <c r="H12" i="5" s="1"/>
  <c r="C16" i="4"/>
  <c r="C28" i="4" s="1"/>
  <c r="F35" i="3"/>
  <c r="E39" i="3"/>
  <c r="E36" i="3"/>
  <c r="E38" i="3"/>
  <c r="F18" i="5"/>
  <c r="F19" i="5" s="1"/>
  <c r="E44" i="3" s="1"/>
  <c r="G18" i="5" l="1"/>
  <c r="G19" i="5" s="1"/>
  <c r="F44" i="3" s="1"/>
  <c r="H13" i="5"/>
  <c r="H15" i="5"/>
  <c r="H16" i="5" s="1"/>
  <c r="F39" i="3"/>
  <c r="F36" i="3"/>
  <c r="F38" i="3"/>
  <c r="C72" i="4"/>
  <c r="C73" i="4"/>
  <c r="E40" i="3"/>
  <c r="E41" i="3" s="1"/>
  <c r="E45" i="3" s="1"/>
  <c r="G35" i="3"/>
  <c r="H14" i="5"/>
  <c r="H18" i="5" s="1"/>
  <c r="H19" i="5" s="1"/>
  <c r="G44" i="3" s="1"/>
  <c r="E47" i="3" l="1"/>
  <c r="G36" i="3"/>
  <c r="G38" i="3"/>
  <c r="G39" i="3"/>
  <c r="F40" i="3"/>
  <c r="F41" i="3" s="1"/>
  <c r="F45" i="3" s="1"/>
  <c r="F47" i="3" s="1"/>
  <c r="G40" i="3" l="1"/>
  <c r="G41" i="3" s="1"/>
  <c r="G45" i="3" s="1"/>
  <c r="C59" i="3"/>
  <c r="C60" i="3" s="1"/>
  <c r="C61" i="3" s="1"/>
  <c r="C51" i="3" l="1"/>
  <c r="C52" i="3" s="1"/>
  <c r="G47" i="3"/>
  <c r="C50" i="3" s="1"/>
  <c r="C22" i="7"/>
  <c r="E12" i="7"/>
  <c r="I10" i="7"/>
  <c r="G11" i="7"/>
  <c r="I11" i="7"/>
  <c r="C21" i="7"/>
  <c r="E8" i="7"/>
  <c r="I21" i="7"/>
  <c r="H11" i="7"/>
  <c r="F18" i="7"/>
  <c r="I19" i="7"/>
  <c r="G19" i="7"/>
  <c r="G13" i="7"/>
  <c r="D9" i="7"/>
  <c r="E13" i="7"/>
  <c r="H13" i="7"/>
  <c r="G9" i="7"/>
  <c r="G18" i="7"/>
  <c r="G10" i="7"/>
  <c r="C23" i="7"/>
  <c r="F22" i="7"/>
  <c r="E22" i="7"/>
  <c r="H9" i="7"/>
  <c r="H22" i="7"/>
  <c r="C9" i="7"/>
  <c r="G22" i="7"/>
  <c r="D23" i="7"/>
  <c r="I13" i="7"/>
  <c r="D18" i="7"/>
  <c r="D22" i="7"/>
  <c r="F20" i="7"/>
  <c r="I23" i="7"/>
  <c r="I20" i="7"/>
  <c r="I24" i="7"/>
  <c r="I7" i="7"/>
  <c r="I18" i="7"/>
  <c r="F10" i="7"/>
  <c r="H7" i="7"/>
  <c r="H23" i="7"/>
  <c r="D11" i="7"/>
  <c r="G23" i="7"/>
  <c r="H19" i="7"/>
  <c r="E23" i="7"/>
  <c r="H21" i="7"/>
  <c r="H12" i="7"/>
  <c r="C7" i="7"/>
  <c r="H8" i="7"/>
  <c r="C8" i="7"/>
  <c r="I8" i="7"/>
  <c r="F12" i="7"/>
  <c r="I22" i="7"/>
  <c r="G21" i="7"/>
  <c r="H10" i="7"/>
  <c r="F13" i="7"/>
  <c r="E18" i="7"/>
  <c r="H20" i="7"/>
  <c r="F21" i="7"/>
  <c r="F19" i="7"/>
  <c r="C13" i="7"/>
  <c r="D20" i="7"/>
  <c r="C10" i="7"/>
  <c r="E19" i="7"/>
  <c r="C24" i="7"/>
  <c r="E10" i="7"/>
  <c r="G20" i="7"/>
  <c r="I9" i="7"/>
  <c r="F8" i="7"/>
  <c r="E20" i="7"/>
  <c r="D12" i="7"/>
  <c r="C12" i="7"/>
  <c r="F9" i="7"/>
  <c r="G8" i="7"/>
  <c r="H24" i="7"/>
  <c r="E21" i="7"/>
  <c r="D19" i="7"/>
  <c r="D24" i="7"/>
  <c r="C19" i="7"/>
  <c r="H18" i="7"/>
  <c r="G24" i="7"/>
  <c r="E9" i="7"/>
  <c r="I12" i="7"/>
  <c r="D10" i="7"/>
  <c r="C11" i="7"/>
  <c r="E11" i="7"/>
  <c r="D13" i="7"/>
  <c r="D7" i="7"/>
  <c r="F7" i="7"/>
  <c r="F24" i="7"/>
  <c r="G12" i="7"/>
  <c r="G7" i="7"/>
  <c r="C18" i="7"/>
  <c r="D21" i="7"/>
  <c r="D8" i="7"/>
  <c r="C20" i="7"/>
  <c r="F23" i="7"/>
  <c r="E24" i="7"/>
  <c r="F11" i="7"/>
  <c r="E7" i="7"/>
  <c r="C53" i="3" l="1"/>
  <c r="C58" i="3"/>
  <c r="C62" i="3" s="1"/>
  <c r="C63" i="3" l="1"/>
  <c r="C64" i="3" s="1"/>
  <c r="C17" i="1" s="1"/>
  <c r="C17" i="4"/>
  <c r="C54" i="3"/>
  <c r="C55" i="3" s="1"/>
  <c r="C16" i="1" s="1"/>
  <c r="C10" i="1" l="1"/>
  <c r="C12" i="1" s="1"/>
  <c r="C11" i="1" s="1"/>
  <c r="D17" i="1"/>
  <c r="C21" i="1"/>
  <c r="D16" i="1"/>
  <c r="C19" i="4"/>
  <c r="C20" i="4" s="1"/>
  <c r="B79" i="4"/>
</calcChain>
</file>

<file path=xl/sharedStrings.xml><?xml version="1.0" encoding="utf-8"?>
<sst xmlns="http://schemas.openxmlformats.org/spreadsheetml/2006/main" count="511" uniqueCount="391">
  <si>
    <t>DISCLAIMER: This is a sample analysis for demonstration purposes only. It does not constitute investment advice.</t>
  </si>
  <si>
    <t>オムロン (6645.T)</t>
  </si>
  <si>
    <t>Equity Research Report</t>
  </si>
  <si>
    <t>Company</t>
  </si>
  <si>
    <t>オムロン</t>
  </si>
  <si>
    <t>Ticker</t>
  </si>
  <si>
    <t>6645.T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</si>
  <si>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</si>
  <si>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</si>
  <si>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</si>
  <si>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</si>
  <si>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</si>
  <si>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</si>
  <si>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</si>
  <si>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</si>
  <si>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</si>
  <si>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</si>
  <si>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</si>
  <si>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</si>
  <si>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</si>
  <si>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</si>
  <si>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**3.73倍** で 3.0倍を超えたため、**乖離そのものを裁定トリガーとする追補6 §X により中点平均を禁止**し、どちらの脚を落とすかを判定した。■**観測倍率バンドテスト**: Peer の実測 EV/EBITDA の第1〜第3四分位バンドは **15.02〜18.26倍**。これに対し **PGM逆算 4.19倍 / 仮定Exit 15.60倍**。**PGM法のみがバンドの外にあるため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 ■【追補8 §AF】**本銘柄の Target は「相対評価（Peer倍率準拠）」である。** Target = Exit 単独であり、これは**内在価値としての判定ではなく、当社が Peer 並みの EV/EBITDA 倍率へ再評価されることに依存した判定**である。■**Reverse DCF の Block F を併記する場合の但し書き**: **Block F は PGM脚を基準に計算される**ため、Exit脚を採用した銘柄では Block F は構造的に Target と逆を向きやすい。Block F が Target と逆を指していても、それは矛盾ではなく『どちらの脚を採ったか』の帰結である。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</si>
  <si>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</si>
  <si>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</si>
  <si>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</si>
  <si>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</si>
  <si>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</si>
  <si>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</si>
  <si>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</si>
  <si>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</si>
  <si>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</si>
  <si>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オムロン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</si>
  <si>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</si>
  <si>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</si>
  <si>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</si>
  <si>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</si>
  <si>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</si>
  <si>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</si>
  <si>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</si>
  <si>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</si>
  <si>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</si>
  <si>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</si>
  <si>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</si>
  <si>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</si>
  <si>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</si>
  <si>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</si>
  <si>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</si>
  <si>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</si>
  <si>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</si>
  <si>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</si>
  <si>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</si>
  <si>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</si>
  <si>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</si>
  <si>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</si>
  <si>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</si>
  <si>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</si>
  <si>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</si>
  <si>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</si>
  <si>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</si>
  <si>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0/4, Cash 4/4, Debt 3/4 — blank cells are years with no year-key match in the source data (verify against 決算短信 or set hist_ocf / hist_cash / hist_debt in overrides).</t>
  </si>
  <si>
    <t>DCF Valuation Model - オムロン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</si>
  <si>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</si>
  <si>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</si>
  <si>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</si>
  <si>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</si>
  <si>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</si>
  <si>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</si>
  <si>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</si>
  <si>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</si>
  <si>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</si>
  <si>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</si>
  <si>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</si>
  <si>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</si>
  <si>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</si>
  <si>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</si>
  <si>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</si>
  <si>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</si>
  <si>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</si>
  <si>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</si>
  <si>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</si>
  <si>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</si>
  <si>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</si>
  <si>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</si>
  <si>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</si>
  <si>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</si>
  <si>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</si>
  <si>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</si>
  <si>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</si>
  <si>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</si>
  <si>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</si>
  <si>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</si>
  <si>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</si>
  <si>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</si>
  <si>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</si>
  <si>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</si>
  <si>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</si>
  <si>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</si>
  <si>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</si>
  <si>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</si>
  <si>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</si>
  <si>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</si>
  <si>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</si>
  <si>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</si>
  <si>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</si>
  <si>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</si>
  <si>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</si>
  <si>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</si>
  <si>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</si>
  <si>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</si>
  <si>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</si>
  <si>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</si>
  <si>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</si>
  <si>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</si>
  <si>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</si>
  <si>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</si>
  <si>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</si>
  <si>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</si>
  <si>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</si>
  <si>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</si>
  <si>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</si>
  <si>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</si>
  <si>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</si>
  <si>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</si>
  <si>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</si>
  <si>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</si>
  <si>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オムロン (6645.T)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</si>
  <si>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</si>
  <si>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</si>
  <si>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</si>
  <si>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</si>
  <si>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</si>
  <si>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</si>
  <si>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</si>
  <si>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</si>
  <si>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</si>
  <si>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</si>
  <si>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</si>
  <si>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</si>
  <si>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</si>
  <si>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</si>
  <si>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</si>
  <si>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</si>
  <si>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</si>
  <si>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</si>
  <si>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</si>
  <si>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</si>
  <si>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</si>
  <si>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</si>
  <si>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</si>
  <si>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</si>
  <si>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</si>
  <si>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</si>
  <si>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</si>
  <si>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</si>
  <si>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</si>
  <si>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</si>
  <si>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</si>
  <si>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</si>
  <si>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</si>
  <si>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</si>
  <si>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</si>
  <si>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</si>
  <si>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</si>
  <si>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</si>
  <si>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</si>
  <si>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</si>
  <si>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</si>
  <si>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</si>
  <si>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</si>
  <si>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</si>
  <si>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</si>
  <si>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</si>
  <si>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</si>
  <si>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</si>
  <si>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</si>
  <si>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</si>
  <si>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</si>
  <si>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オムロン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</si>
  <si>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</si>
  <si>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</si>
  <si>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</si>
  <si>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</si>
  <si>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</si>
  <si>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</si>
  <si>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</si>
  <si>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</si>
  <si>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</si>
  <si>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</si>
  <si>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</si>
  <si>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</si>
  <si>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</si>
  <si>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</si>
  <si>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</si>
  <si>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</si>
  <si>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</si>
  <si>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</si>
  <si>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</si>
  <si>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</si>
  <si>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</si>
  <si>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</si>
  <si>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</si>
  <si>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</si>
  <si>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</si>
  <si>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</si>
  <si>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</si>
  <si>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</si>
  <si>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</si>
  <si>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</si>
  <si>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</si>
  <si>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</si>
  <si>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</si>
  <si>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</si>
  <si>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OMRON Corporation</t>
  </si>
  <si>
    <t>6645.T</t>
  </si>
  <si>
    <t>YASKAWA Electric Corporation</t>
  </si>
  <si>
    <t>6506.T</t>
  </si>
  <si>
    <t>Fanuc Corporation</t>
  </si>
  <si>
    <t>6954.T</t>
  </si>
  <si>
    <t>SMC Corporation</t>
  </si>
  <si>
    <t>6273.T</t>
  </si>
  <si>
    <t>Mitsubishi Electric Corporation</t>
  </si>
  <si>
    <t>6503.T</t>
  </si>
  <si>
    <t>Hitachi, Ltd.</t>
  </si>
  <si>
    <t>6501.T</t>
  </si>
  <si>
    <t>Statistics</t>
  </si>
  <si>
    <t>25th Percentile</t>
  </si>
  <si>
    <t>Median (50th)</t>
  </si>
  <si>
    <t>75th Percentile</t>
  </si>
  <si>
    <t>Implied Valuation for オムロン</t>
  </si>
  <si>
    <t>オムロン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</si>
  <si>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</si>
  <si>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</si>
  <si>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</si>
  <si>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</si>
  <si>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</si>
  <si>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</si>
  <si>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</si>
  <si>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</si>
  <si>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</si>
  <si>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</si>
  <si>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</si>
  <si>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</si>
  <si>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</si>
  <si>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</si>
  <si>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</si>
  <si>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オムロン</t>
  </si>
  <si>
    <t>日付</t>
  </si>
  <si>
    <t>セル</t>
  </si>
  <si>
    <t>変更内容</t>
  </si>
  <si>
    <t>理由</t>
  </si>
  <si>
    <t>元の値</t>
  </si>
  <si>
    <t>状態</t>
  </si>
  <si>
    <t>2026-09-05</t>
  </si>
  <si>
    <t>-</t>
  </si>
  <si>
    <t>Generated by pipeline on 2026-09-05 21:58,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</si>
  <si>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</si>
  <si>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</si>
  <si>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</si>
  <si>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</si>
  <si>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</si>
  <si>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</si>
  <si>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</si>
  <si>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</si>
  <si>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</si>
  <si>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</si>
  <si>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</si>
  <si>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</si>
  <si>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</si>
  <si>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</si>
  <si>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1,222,444百万円。■テンプレートの自動規則(&gt;=1兆円 -&gt; 0.0%、&gt;=1,000億円 -&gt; 1.5%)とは異なる値であり、明示指定で上書きしている。</t>
  </si>
  <si>
    <t>テンプレ自動値</t>
  </si>
  <si>
    <t>DCF Model!C8</t>
  </si>
  <si>
    <t>Beta = 1.14</t>
  </si>
  <si>
    <t>yfinance実測 **1.144** はテンプレのクランプ域 [0.6, 1.75] の**内側**のため素通し（置換なし）。</t>
  </si>
  <si>
    <t>yfinance実測 1.144</t>
  </si>
  <si>
    <t>DCF Model!C6</t>
  </si>
  <si>
    <t>Effective Tax Rate = 25%</t>
  </si>
  <si>
    <t>バッチ共通の既定値(v2 §1-3)。当社の実績税負担率を個別に検証したものではない。</t>
  </si>
  <si>
    <t>テンプレ既定 30%</t>
  </si>
  <si>
    <t>推定</t>
  </si>
  <si>
    <t>DCF Model!C11</t>
  </si>
  <si>
    <t>After-tax Cost of Debt = テンプレ既定（実績Kd 算出不可）</t>
  </si>
  <si>
    <t>■**フォールバック使用（サイレントではない）**: yfinance の損益計算書に `Interest Expense` 行が存在せず支払利息の実額が取得できないため `interest_expense` を明示指定できず、**テンプレートの既定 Kd（税引後 1.00%）をそのまま使用している**。有利子負債 241,209百万円 は株主資本 835,885百万円 に対して小さく WACC への影響は限定的だが、**実績ベースではない**。解除には有報から支払利息の実額を取得する必要がある（追補3 §O）。</t>
  </si>
  <si>
    <t>テンプレ既定 1.00%（採用値）</t>
  </si>
  <si>
    <t>フォールバック使用(実績Kd 算出不可)</t>
  </si>
  <si>
    <t>DCF Model!C13</t>
  </si>
  <si>
    <t>Terminal Growth = 1.0%</t>
  </si>
  <si>
    <t>バッチ共通の固定前提(v2 §1-3)。</t>
  </si>
  <si>
    <t>テンプレ既定 2.0%</t>
  </si>
  <si>
    <t>DCF Model!C14</t>
  </si>
  <si>
    <t>Exit Multiple (EV/EBITDA) = 15.6x</t>
  </si>
  <si>
    <t>Peer 5社の実測EV/EBITDA中央値 15.55x。 自社の現在倍率 14.58x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</si>
  <si>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</si>
  <si>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</si>
  <si>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</si>
  <si>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CLEAN。赤字年なし。追補5 §U の第1条件（直近OPM ≤ p25）を満たさないため型B疑いにも該当しない。</t>
  </si>
  <si>
    <t>DCF Model シナリオ5本</t>
  </si>
  <si>
    <t>実績OPM分布からの導出（min 4.27 / p25 6.46 / med 7.57 / p75 8.78 / max 11.23 %）</t>
  </si>
  <si>
    <t>直近 7.19% ≤ 中央値 7.57% のため**型A規則により中央値へ収束**（到達 **7.57%**、パス 7.25 → 7.35 → 7.45 → 7.52 → 7.57%）。直近 7.19% は p25 6.46% を**上回る**ため追補5 §U の第1条件には該当しない。■Upside = max(p75 8.78, 直近+1.0pt = 8.19) = **8.78%**。■Downside 1 = min(p25 6.46, 直近 7.19) = **6.46%**。■Downside 2 は FY2024 の実績トラフ **4.27%**（構造改革費用の年）が直近と別年で機能するため、売上 −8% + OPM 4.3〜4.6%。■COGS% は直近実績 **54.3%** 固定・SGA% 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</si>
  <si>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</si>
  <si>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</si>
  <si>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</si>
  <si>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</si>
  <si>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</si>
  <si>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</si>
  <si>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78 / DIH 134 / DPO 71 日</t>
  </si>
  <si>
    <t>実績4期の平均（DSO 78 / DIH 134 / DPO 71）。Downside では運転資本の悪化を織り込み DSO/DIH を延ばし DPO を縮めた。</t>
  </si>
  <si>
    <t>Comps Analysis</t>
  </si>
  <si>
    <t>Peer 5社 = 6506 安川電機 / 6954 ファナック / 6273 SMC / 6503 三菱電機 / 6501 日立製作所</t>
  </si>
  <si>
    <t>制御機器・FA で事業比較可能性を優先。**自社倍率 14.58x と Peer中央値 15.55x が近く、Peer選定の妥当性の傍証になっている**。</t>
  </si>
  <si>
    <t>Executive Summary!C10 / C16 / Target</t>
  </si>
  <si>
    <t>**Target Price = 5,165円 = Exit 単独**（PGM 1,536円 は [参考・Target不算入 — 追補6 §X] に降格）／ −16.9%</t>
  </si>
  <si>
    <t>【追補6 §X の裁定】PGM 1,536円 と Exit 5,165円 の乖離が **3.73倍** で 3.0倍を超えたため、**乖離そのものを単独の裁定トリガーとする追補6 §X により中点平均（3,351円）を禁止**し、どちらの脚を落とすかを判定した。■**レジーム判定**: 仮定Exit 15.60倍 ≤ 25倍 のため成長プレミアム・レジーム（§Q）ではない。■**観測倍率バンドテスト**: Peer の実測 EV/EBITDA の第1〜第3四分位バンドは **15.02〜18.26倍**。これに対し **PGM逆算 4.19倍 / 仮定Exit 15.60倍**。**PGM法のみがバンドの外にあるため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仮定Exit 15.60倍 は Peer バンド 15.02〜18.26倍 の下端寄りにあり、自社の現在倍率 14.58倍 とも近い。**Exit法は同業内で保守的な水準を採っている**。■降格処理は `batch/demote_dcf_leg.py --leg pgm --rule x` で機械適用（B16ラベル / C10数式 / B20注記の3点）。裁定の全件走査は `batch/arbitrate_divergence.py` による。</t>
  </si>
  <si>
    <t>PGM 1,536円 と Exit 5,165円 の2本平均 3,351円</t>
  </si>
  <si>
    <t>設計判断(追補6 §X)</t>
  </si>
  <si>
    <t>全体(納品状態)</t>
  </si>
  <si>
    <t>本ファイルは DRAFT。_FINAL は付けない</t>
  </si>
  <si>
    <t>バッチモードでの機械生成物であり人間の検証を経ていない。FINAL化は手順書v2 §6 に従い検証後に行う。</t>
  </si>
  <si>
    <t>DRAFT</t>
  </si>
  <si>
    <t>全体(未解決)</t>
  </si>
  <si>
    <t>**乖離 3.73倍だが降格ルールが発火せず、2本平均のまま Target を出している**</t>
  </si>
  <si>
    <t>PGM 1,536円 と Exit 5,165円 は **3.73倍**開いており、追補5 §U で処理した 6506（3.40倍）・6752（4.41倍）より**大きい**か同等である。にもかかわらず §U の第1条件（直近OPM ≤ p25）を満たさないため型B疑いに分類されず、§Q も仮定Exit 15.60倍 ≤ 25倍で非該当となり、**結果として『どちらの世界観にも属さない中点』3,351円 がそのまま Target になっている**。■**これは §U / §Q の判定条件が乖離の大きさではなく分母の位置（トラフか否か）と倍率の高さで切っていることの帰結であり、ルール設計上の穴である**（バッチレポートで報告済み）。目視レビューでは Exit 単独 5,165円（−16.9%）と PGM 単独 1,536円（−75.3%）の両端を必ず併せて見ること。</t>
  </si>
  <si>
    <t>未解決</t>
  </si>
  <si>
    <t>実績Kd が算出できていない</t>
  </si>
  <si>
    <t>yfinance に `Interest Expense` 行がなく、テンプレ既定の税引後 1.00% を使用している。有報から支払利息の実額を取得して再計算すべき（追補3 §O）。有利子負債が株主資本比 29% あるため、Kd を実勢（仮に税引前 2.5%）に置くと WACC は数十bp 動く。</t>
  </si>
  <si>
    <t>FY2024 の OPM 4.27% への落ち込みの内訳</t>
  </si>
  <si>
    <t>構造改革費用の年と判断して Downside 2 の設計に使ったが、費用の内訳（減損か一過性か）を一次ソースで確認していない。恒常的なコスト増だった場合、Base の中央値 7.57% への収束が楽観になる。</t>
  </si>
  <si>
    <t>Executive Summary!B16 / B20（手順書§6-4 の除外注記）</t>
  </si>
  <si>
    <t>PGM行のラベルに `[参考・Target不算入 — 追補6 §X]` を付し、B20 に銘柄固有の除外理由文を追記した</t>
  </si>
  <si>
    <t>手順書§6-4 は『Targetから除外した手法は、その銘柄固有の理由を Exec Summary の注記に明記する』ことを求めている。テンプレート既定の総称文だけでは PGM 降格の理由が読み取れないため、`batch/demote_dcf_leg.py --rule x` が追補6 §X のバンドテストの数値（Peerバンド・PGM逆算・仮定Exit）を追記した。■手順書§5-5 に従いラベルは `=` で始まらないことをスクリプト内で assert している。</t>
  </si>
  <si>
    <t>テンプレート既定の総称注記のみ</t>
  </si>
  <si>
    <t>Pipeline Metadata (do not edit — read by scripts/validate_output.py)</t>
  </si>
  <si>
    <t>key</t>
  </si>
  <si>
    <t>value</t>
  </si>
  <si>
    <t>auto_log_entries</t>
  </si>
  <si>
    <t>0</t>
  </si>
  <si>
    <t>capex_pct_basis</t>
  </si>
  <si>
    <t>assumption</t>
  </si>
  <si>
    <t>capex_pct_c5</t>
  </si>
  <si>
    <t>0.0462</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</si>
  <si>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</si>
  <si>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</si>
  <si>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</si>
  <si>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</si>
  <si>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</si>
  <si>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</si>
  <si>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</si>
  <si>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</si>
  <si>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</si>
  <si>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</si>
  <si>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</si>
  <si>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</si>
  <si>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</si>
  <si>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</si>
  <si>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</si>
  <si>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</si>
  <si>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</si>
  <si>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</si>
  <si>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</si>
  <si>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</si>
  <si>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</si>
  <si>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</si>
  <si>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</si>
  <si>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</si>
  <si>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0.044</t>
  </si>
  <si>
    <t>da_pct_hist3yr</t>
  </si>
  <si>
    <t>0.00665</t>
  </si>
  <si>
    <t>fs_year_coverage</t>
  </si>
  <si>
    <t>OCF 0/4, Cash 4/4, Debt 3/4</t>
  </si>
  <si>
    <t>fs_year_map</t>
  </si>
  <si>
    <t>FY2023&lt;-FY2023[cash]; FY2024&lt;-FY2024[cash+debt]; FY2025&lt;-FY2025[cash+debt]; FY2026&lt;-FY2026[cash+debt]</t>
  </si>
  <si>
    <t>fs_year_sources</t>
  </si>
  <si>
    <t>overrides: none | EDINET year-key match: hist_ocf, hist_cash, hist_debt, hist_capex, hist_depreciation</t>
  </si>
  <si>
    <t>fx_sensitivity</t>
  </si>
  <si>
    <t>not enabled</t>
  </si>
  <si>
    <t>generated_at</t>
  </si>
  <si>
    <t>2026-09-05 21:58:55</t>
  </si>
  <si>
    <t>ltm_revenue_c20</t>
  </si>
  <si>
    <t>293308.0</t>
  </si>
  <si>
    <t>ltm_revenue_source</t>
  </si>
  <si>
    <t>latest FY (no LTM)</t>
  </si>
  <si>
    <t>narrative_tokens_used</t>
  </si>
  <si>
    <t>reverse_dcf_sheet</t>
  </si>
  <si>
    <t>op0=55,188(FY2026) peak=98,409(FY2023) peak_opm=0.1123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</si>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</sst>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6217</v>
      </c>
    </row>
    <row r="10" spans="2:5" ht="14" customHeight="1" x14ac:dyDescent="0.3">
      <c r="B10" s="4" t="s">
        <v>10</v>
      </c>
      <c r="C10" s="5">
        <f>IF(ISNUMBER(C17),ROUND(C17,0),"N/A")</f>
        <v>5165</v>
      </c>
    </row>
    <row r="11" spans="2:5" ht="14" customHeight="1" x14ac:dyDescent="0.3">
      <c r="B11" s="4" t="s">
        <v>11</v>
      </c>
      <c r="C11" s="6" t="str">
        <f>IF(NOT(ISNUMBER(C12)),"N/A",IF(C12&gt;0.15,"BUY",IF(C12&gt;0.05,"HOLD","SELL")))</f>
        <v>SELL</v>
      </c>
    </row>
    <row r="12" spans="2:5" ht="14" customHeight="1" x14ac:dyDescent="0.3">
      <c r="B12" s="4" t="s">
        <v>12</v>
      </c>
      <c r="C12" s="7">
        <f>IF(ISNUMBER(C10),(C10-C9)/C9,"N/A")</f>
        <v>-0.16921344700016086</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1536</v>
      </c>
      <c r="D16" s="7">
        <f>IF(ISNUMBER(C16),(C16-C9)/C9,"N/A")</f>
        <v>-0.75293549943702753</v>
      </c>
    </row>
    <row r="17" spans="2:5" ht="13.5" customHeight="1" x14ac:dyDescent="0.25">
      <c r="B17" t="s">
        <v>18</v>
      </c>
      <c r="C17" s="11">
        <f>IF('DCF Model'!C62&lt;'DCF Model'!C16,"INVALID (EV &lt; net debt)",'DCF Model'!C64)</f>
        <v>5165</v>
      </c>
      <c r="D17" s="7">
        <f>IF(ISNUMBER(C17),(C17-C9)/C9,"N/A")</f>
        <v>-0.16921344700016086</v>
      </c>
    </row>
    <row r="18" spans="2:5" ht="13.5" customHeight="1" x14ac:dyDescent="0.25">
      <c r="B18" t="s">
        <v>19</v>
      </c>
      <c r="C18" s="11">
        <f>'Comps Analysis'!C27</f>
        <v>6657</v>
      </c>
      <c r="D18" s="7">
        <f>IF(ISNUMBER(C18),(C18-C9)/C9,"N/A")</f>
        <v>7.0773685057101493E-2</v>
      </c>
    </row>
    <row r="19" spans="2:5" ht="13.5" customHeight="1" x14ac:dyDescent="0.25">
      <c r="B19" t="s">
        <v>20</v>
      </c>
      <c r="C19" s="11">
        <f>'Comps Analysis'!C28</f>
        <v>4156</v>
      </c>
      <c r="D19" s="7">
        <f>IF(ISNUMBER(C19),(C19-C9)/C9,"N/A")</f>
        <v>-0.33151037477883222</v>
      </c>
    </row>
    <row r="20" spans="2:5" ht="14" customHeight="1" x14ac:dyDescent="0.3">
      <c r="B20" s="46" t="s">
        <v>21</v>
      </c>
      <c r="C20" s="45"/>
      <c r="D20" s="45"/>
      <c r="E20" s="45"/>
    </row>
    <row r="21" spans="2:5" ht="14" customHeight="1" x14ac:dyDescent="0.3">
      <c r="B21" s="4" t="s">
        <v>22</v>
      </c>
      <c r="C21" s="6" t="str">
        <f>IF(COUNT(C16:C17)=0,"N/A",MIN(C16:C17)&amp;" - "&amp;MAX(C16:C17))</f>
        <v>1536 - 5165</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876082</v>
      </c>
      <c r="D6" s="5">
        <v>818761</v>
      </c>
      <c r="E6" s="5">
        <v>715379</v>
      </c>
      <c r="F6" s="5">
        <v>767351</v>
      </c>
    </row>
    <row r="7" spans="2:6" ht="14" customHeight="1" x14ac:dyDescent="0.3">
      <c r="B7" s="4" t="s">
        <v>38</v>
      </c>
      <c r="C7" s="5">
        <v>482199</v>
      </c>
      <c r="D7" s="5">
        <v>472297</v>
      </c>
      <c r="E7" s="5">
        <v>385092</v>
      </c>
      <c r="F7" s="5">
        <v>416350</v>
      </c>
    </row>
    <row r="8" spans="2:6" ht="14" customHeight="1" x14ac:dyDescent="0.3">
      <c r="B8" s="4" t="s">
        <v>39</v>
      </c>
      <c r="C8" s="5">
        <f>C6-C7</f>
        <v>393883</v>
      </c>
      <c r="D8" s="5">
        <f>D6-D7</f>
        <v>346464</v>
      </c>
      <c r="E8" s="5">
        <f>E6-E7</f>
        <v>330287</v>
      </c>
      <c r="F8" s="5">
        <f>F6-F7</f>
        <v>351001</v>
      </c>
    </row>
    <row r="9" spans="2:6" ht="13.5" customHeight="1" x14ac:dyDescent="0.25">
      <c r="B9" t="s">
        <v>40</v>
      </c>
      <c r="C9" s="7">
        <f>C8/C6</f>
        <v>0.44959604237959461</v>
      </c>
      <c r="D9" s="7">
        <f>D8/D6</f>
        <v>0.42315645224919113</v>
      </c>
      <c r="E9" s="7">
        <f>E8/E6</f>
        <v>0.46169512943488694</v>
      </c>
      <c r="F9" s="7">
        <f>F8/F6</f>
        <v>0.45741909504255551</v>
      </c>
    </row>
    <row r="10" spans="2:6" ht="14" customHeight="1" x14ac:dyDescent="0.3">
      <c r="B10" s="4" t="s">
        <v>41</v>
      </c>
      <c r="C10" s="5">
        <v>295474</v>
      </c>
      <c r="D10" s="5">
        <v>311511</v>
      </c>
      <c r="E10" s="5">
        <v>273361</v>
      </c>
      <c r="F10" s="5">
        <v>295813</v>
      </c>
    </row>
    <row r="11" spans="2:6" ht="14" customHeight="1" x14ac:dyDescent="0.3">
      <c r="B11" s="4" t="s">
        <v>42</v>
      </c>
      <c r="C11" s="5">
        <v>98409</v>
      </c>
      <c r="D11" s="5">
        <v>34953</v>
      </c>
      <c r="E11" s="5">
        <v>56926</v>
      </c>
      <c r="F11" s="5">
        <v>55188</v>
      </c>
    </row>
    <row r="12" spans="2:6" ht="14" customHeight="1" x14ac:dyDescent="0.3">
      <c r="B12" s="4" t="s">
        <v>43</v>
      </c>
      <c r="C12" s="5">
        <v>73861</v>
      </c>
      <c r="D12" s="5">
        <v>8105</v>
      </c>
      <c r="E12" s="5">
        <v>16271</v>
      </c>
      <c r="F12" s="5">
        <v>28487</v>
      </c>
    </row>
    <row r="13" spans="2:6" ht="13.5" customHeight="1" x14ac:dyDescent="0.25">
      <c r="B13" t="s">
        <v>44</v>
      </c>
      <c r="C13" s="7">
        <f>C11/C6</f>
        <v>0.11232852632516134</v>
      </c>
      <c r="D13" s="7">
        <f>D11/D6</f>
        <v>4.2690113476338026E-2</v>
      </c>
      <c r="E13" s="7">
        <f>E11/E6</f>
        <v>7.957460311247605E-2</v>
      </c>
      <c r="F13" s="7">
        <f>F11/F6</f>
        <v>7.1920151273667465E-2</v>
      </c>
    </row>
    <row r="14" spans="2:6" ht="13.5" customHeight="1" x14ac:dyDescent="0.25">
      <c r="B14" t="s">
        <v>45</v>
      </c>
      <c r="C14" s="7">
        <f>C12/C6</f>
        <v>8.4308318171130103E-2</v>
      </c>
      <c r="D14" s="7">
        <f>D12/D6</f>
        <v>9.8991036456304096E-3</v>
      </c>
      <c r="E14" s="7">
        <f>E12/E6</f>
        <v>2.2744587134931275E-2</v>
      </c>
      <c r="F14" s="7">
        <f>F12/F6</f>
        <v>3.7123819477657555E-2</v>
      </c>
    </row>
    <row r="15" spans="2:6" ht="13.5" customHeight="1" x14ac:dyDescent="0.25">
      <c r="B15" t="s">
        <v>46</v>
      </c>
      <c r="C15" t="s">
        <v>47</v>
      </c>
      <c r="D15" s="7">
        <f>(D6-C6)/C6</f>
        <v>-6.5428806892505492E-2</v>
      </c>
      <c r="E15" s="7">
        <f>(E6-D6)/D6</f>
        <v>-0.12626639519957594</v>
      </c>
      <c r="F15" s="7">
        <f>(F6-E6)/E6</f>
        <v>7.2649602518385356E-2</v>
      </c>
    </row>
    <row r="16" spans="2:6" ht="13.5" customHeight="1" x14ac:dyDescent="0.25">
      <c r="B16" t="s">
        <v>48</v>
      </c>
      <c r="C16" t="s">
        <v>47</v>
      </c>
      <c r="D16" s="7">
        <f>(D11-C11)/C11</f>
        <v>-0.64481907142639394</v>
      </c>
      <c r="E16" s="7">
        <f>(E11-D11)/D11</f>
        <v>0.62864417932652417</v>
      </c>
      <c r="F16" s="7">
        <f>(F11-E11)/E11</f>
        <v>-3.0530864631275693E-2</v>
      </c>
    </row>
    <row r="18" spans="2:6" ht="14" customHeight="1" x14ac:dyDescent="0.3">
      <c r="B18" s="3" t="s">
        <v>49</v>
      </c>
    </row>
    <row r="19" spans="2:6" ht="14" customHeight="1" x14ac:dyDescent="0.3">
      <c r="B19" s="4" t="s">
        <v>50</v>
      </c>
      <c r="C19" s="5"/>
      <c r="D19" s="5"/>
      <c r="E19" s="5"/>
      <c r="F19" s="5"/>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22152</v>
      </c>
      <c r="D26" s="5">
        <v>28347</v>
      </c>
      <c r="E26" s="5">
        <v>25996</v>
      </c>
      <c r="F26" s="5">
        <v>44134</v>
      </c>
    </row>
    <row r="27" spans="2:6" ht="14" customHeight="1" x14ac:dyDescent="0.3">
      <c r="B27" s="4" t="s">
        <v>57</v>
      </c>
      <c r="C27" s="5"/>
      <c r="D27" s="5">
        <v>91067</v>
      </c>
      <c r="E27" s="5">
        <v>100091</v>
      </c>
      <c r="F27" s="5">
        <v>154353</v>
      </c>
    </row>
    <row r="28" spans="2:6" ht="14" customHeight="1" x14ac:dyDescent="0.3">
      <c r="B28" s="4" t="s">
        <v>58</v>
      </c>
      <c r="D28" s="5">
        <f>D27-D26</f>
        <v>62720</v>
      </c>
      <c r="E28" s="5">
        <f>E27-E26</f>
        <v>74095</v>
      </c>
      <c r="F28" s="5">
        <f>F27-F26</f>
        <v>110219</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4.6199999999999998E-2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1.1439999999999999</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0.01</v>
      </c>
    </row>
    <row r="12" spans="2:7" ht="14" customHeight="1" x14ac:dyDescent="0.3">
      <c r="B12" s="4" t="s">
        <v>69</v>
      </c>
      <c r="C12" s="13">
        <v>6.1100000000000002E-2</v>
      </c>
    </row>
    <row r="13" spans="2:7" ht="14" customHeight="1" x14ac:dyDescent="0.3">
      <c r="B13" s="4" t="s">
        <v>70</v>
      </c>
      <c r="C13" s="7">
        <v>0.01</v>
      </c>
    </row>
    <row r="14" spans="2:7" ht="14" customHeight="1" x14ac:dyDescent="0.3">
      <c r="B14" s="4" t="s">
        <v>71</v>
      </c>
      <c r="C14" s="14">
        <v>15.6</v>
      </c>
    </row>
    <row r="15" spans="2:7" ht="14" customHeight="1" x14ac:dyDescent="0.3">
      <c r="B15" s="4" t="s">
        <v>72</v>
      </c>
      <c r="C15" s="15">
        <v>196629396</v>
      </c>
    </row>
    <row r="16" spans="2:7" ht="14" customHeight="1" x14ac:dyDescent="0.3">
      <c r="B16" s="4" t="s">
        <v>73</v>
      </c>
      <c r="C16" s="5">
        <v>74668</v>
      </c>
    </row>
    <row r="17" spans="2:7" ht="14" customHeight="1" x14ac:dyDescent="0.3">
      <c r="B17" s="4" t="s">
        <v>74</v>
      </c>
      <c r="C17" s="5">
        <v>767351</v>
      </c>
    </row>
    <row r="18" spans="2:7" ht="14" customHeight="1" x14ac:dyDescent="0.3">
      <c r="B18" s="4" t="s">
        <v>75</v>
      </c>
      <c r="C18" s="7">
        <v>4.3999999999999997E-2</v>
      </c>
    </row>
    <row r="19" spans="2:7" ht="14" customHeight="1" x14ac:dyDescent="0.3">
      <c r="B19" s="4" t="s">
        <v>76</v>
      </c>
      <c r="C19" s="12">
        <v>1</v>
      </c>
    </row>
    <row r="20" spans="2:7" ht="14" customHeight="1" x14ac:dyDescent="0.3">
      <c r="B20" s="4" t="s">
        <v>77</v>
      </c>
      <c r="C20" s="5">
        <v>293308</v>
      </c>
    </row>
    <row r="22" spans="2:7" ht="14" customHeight="1" x14ac:dyDescent="0.3">
      <c r="B22" s="8" t="s">
        <v>78</v>
      </c>
      <c r="C22" s="9"/>
      <c r="D22" s="9"/>
      <c r="E22" s="9"/>
      <c r="F22" s="9"/>
      <c r="G22" s="9"/>
    </row>
    <row r="23" spans="2:7" ht="14" customHeight="1" x14ac:dyDescent="0.3">
      <c r="B23" s="4" t="s">
        <v>79</v>
      </c>
      <c r="C23" s="16">
        <f>C7+C8*C9+C10</f>
        <v>0.11405999999999999</v>
      </c>
    </row>
    <row r="24" spans="2:7" ht="14" customHeight="1" x14ac:dyDescent="0.3">
      <c r="B24" s="4" t="s">
        <v>80</v>
      </c>
      <c r="C24" s="16">
        <f>1/(1+C12)</f>
        <v>0.9424182452172275</v>
      </c>
    </row>
    <row r="25" spans="2:7" ht="14" customHeight="1" x14ac:dyDescent="0.3">
      <c r="B25" s="4" t="s">
        <v>81</v>
      </c>
      <c r="C25" s="16">
        <f>C12/(1+C12)</f>
        <v>5.7581754782772603E-2</v>
      </c>
    </row>
    <row r="26" spans="2:7" ht="14" customHeight="1" x14ac:dyDescent="0.3">
      <c r="B26" s="4" t="s">
        <v>82</v>
      </c>
      <c r="C26" s="16">
        <f>C23*C24+C11*C25</f>
        <v>0.10806804259730468</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customHeight="1" x14ac:dyDescent="0.3">
      <c r="B31" s="4" t="s">
        <v>91</v>
      </c>
      <c r="C31" s="18">
        <f>CHOOSE($D$27,C76,C77,C78,C79,C80)</f>
        <v>0.54300000000000004</v>
      </c>
      <c r="D31" s="18">
        <f>CHOOSE($D$27,D76,D77,D78,D79,D80)</f>
        <v>0.54300000000000004</v>
      </c>
      <c r="E31" s="18">
        <f>CHOOSE($D$27,E76,E77,E78,E79,E80)</f>
        <v>0.54300000000000004</v>
      </c>
      <c r="F31" s="18">
        <f>CHOOSE($D$27,F76,F77,F78,F79,F80)</f>
        <v>0.54300000000000004</v>
      </c>
      <c r="G31" s="18">
        <f>CHOOSE($D$27,G76,G77,G78,G79,G80)</f>
        <v>0.54300000000000004</v>
      </c>
    </row>
    <row r="32" spans="2:7" ht="14" customHeight="1" x14ac:dyDescent="0.3">
      <c r="B32" s="4" t="s">
        <v>92</v>
      </c>
      <c r="C32" s="18">
        <f>CHOOSE($D$27,C83,C84,C85,C86,C87)</f>
        <v>0.38450000000000001</v>
      </c>
      <c r="D32" s="18">
        <f>CHOOSE($D$27,D83,D84,D85,D86,D87)</f>
        <v>0.38350000000000001</v>
      </c>
      <c r="E32" s="18">
        <f>CHOOSE($D$27,E83,E84,E85,E86,E87)</f>
        <v>0.38250000000000001</v>
      </c>
      <c r="F32" s="18">
        <f>CHOOSE($D$27,F83,F84,F85,F86,F87)</f>
        <v>0.38179999999999997</v>
      </c>
      <c r="G32" s="18">
        <f>CHOOSE($D$27,G83,G84,G85,G86,G87)</f>
        <v>0.38129999999999997</v>
      </c>
    </row>
    <row r="33" spans="2:7" ht="14" customHeight="1" x14ac:dyDescent="0.3">
      <c r="B33" s="4" t="s">
        <v>37</v>
      </c>
      <c r="C33" s="5">
        <f>C17*(1+C30)</f>
        <v>790371.53</v>
      </c>
      <c r="D33" s="5">
        <f>C33*(1+D30)</f>
        <v>814082.67590000003</v>
      </c>
      <c r="E33" s="5">
        <f>D33*(1+E30)</f>
        <v>834434.74279749999</v>
      </c>
      <c r="F33" s="5">
        <f>E33*(1+F30)</f>
        <v>855295.61136743741</v>
      </c>
      <c r="G33" s="5">
        <f>F33*(1+G30)</f>
        <v>872401.52359478618</v>
      </c>
    </row>
    <row r="34" spans="2:7" ht="14" customHeight="1" x14ac:dyDescent="0.3">
      <c r="B34" s="4" t="s">
        <v>38</v>
      </c>
      <c r="C34" s="5">
        <f>C33*C31</f>
        <v>429171.74079000007</v>
      </c>
      <c r="D34" s="5">
        <f>D33*D31</f>
        <v>442046.89301370003</v>
      </c>
      <c r="E34" s="5">
        <f>E33*E31</f>
        <v>453098.06533904251</v>
      </c>
      <c r="F34" s="5">
        <f>F33*F31</f>
        <v>464425.51697251853</v>
      </c>
      <c r="G34" s="5">
        <f>G33*G31</f>
        <v>473714.02731196891</v>
      </c>
    </row>
    <row r="35" spans="2:7" ht="14" customHeight="1" x14ac:dyDescent="0.3">
      <c r="B35" s="4" t="s">
        <v>39</v>
      </c>
      <c r="C35" s="19">
        <f>C33-C34</f>
        <v>361199.78920999996</v>
      </c>
      <c r="D35" s="19">
        <f>D33-D34</f>
        <v>372035.7828863</v>
      </c>
      <c r="E35" s="19">
        <f>E33-E34</f>
        <v>381336.67745845747</v>
      </c>
      <c r="F35" s="19">
        <f>F33-F34</f>
        <v>390870.09439491888</v>
      </c>
      <c r="G35" s="19">
        <f>G33-G34</f>
        <v>398687.49628281727</v>
      </c>
    </row>
    <row r="36" spans="2:7" ht="14" customHeight="1" x14ac:dyDescent="0.3">
      <c r="B36" s="4" t="s">
        <v>40</v>
      </c>
      <c r="C36" s="7">
        <f>C35/C33</f>
        <v>0.45699999999999991</v>
      </c>
      <c r="D36" s="7">
        <f>D35/D33</f>
        <v>0.45699999999999996</v>
      </c>
      <c r="E36" s="7">
        <f>E35/E33</f>
        <v>0.45699999999999996</v>
      </c>
      <c r="F36" s="7">
        <f>F35/F33</f>
        <v>0.45699999999999996</v>
      </c>
      <c r="G36" s="7">
        <f>G35/G33</f>
        <v>0.45699999999999996</v>
      </c>
    </row>
    <row r="37" spans="2:7" ht="14" customHeight="1" x14ac:dyDescent="0.3">
      <c r="B37" s="4" t="s">
        <v>93</v>
      </c>
      <c r="C37" s="5">
        <f>C33*C32</f>
        <v>303897.85328500002</v>
      </c>
      <c r="D37" s="5">
        <f>D33*D32</f>
        <v>312200.70620765002</v>
      </c>
      <c r="E37" s="5">
        <f>E33*E32</f>
        <v>319171.28912004374</v>
      </c>
      <c r="F37" s="5">
        <f>F33*F32</f>
        <v>326551.8644200876</v>
      </c>
      <c r="G37" s="5">
        <f>G33*G32</f>
        <v>332646.70094669197</v>
      </c>
    </row>
    <row r="38" spans="2:7" ht="14" customHeight="1" x14ac:dyDescent="0.3">
      <c r="B38" s="4" t="s">
        <v>94</v>
      </c>
      <c r="C38" s="7">
        <f>(C35-C37)/C33</f>
        <v>7.2499999999999926E-2</v>
      </c>
      <c r="D38" s="7">
        <f>(D35-D37)/D33</f>
        <v>7.3499999999999982E-2</v>
      </c>
      <c r="E38" s="7">
        <f>(E35-E37)/E33</f>
        <v>7.4499999999999983E-2</v>
      </c>
      <c r="F38" s="7">
        <f>(F35-F37)/F33</f>
        <v>7.5199999999999989E-2</v>
      </c>
      <c r="G38" s="7">
        <f>(G35-G37)/G33</f>
        <v>7.569999999999999E-2</v>
      </c>
    </row>
    <row r="39" spans="2:7" ht="14" customHeight="1" x14ac:dyDescent="0.3">
      <c r="B39" s="4" t="s">
        <v>95</v>
      </c>
      <c r="C39" s="19">
        <f>C35-C37</f>
        <v>57301.93592499994</v>
      </c>
      <c r="D39" s="19">
        <f>D35-D37</f>
        <v>59835.076678649988</v>
      </c>
      <c r="E39" s="19">
        <f>E35-E37</f>
        <v>62165.38833841373</v>
      </c>
      <c r="F39" s="19">
        <f>F35-F37</f>
        <v>64318.22997483128</v>
      </c>
      <c r="G39" s="19">
        <f>G35-G37</f>
        <v>66040.795336125302</v>
      </c>
    </row>
    <row r="40" spans="2:7" ht="14" customHeight="1" x14ac:dyDescent="0.3">
      <c r="B40" s="4" t="s">
        <v>96</v>
      </c>
      <c r="C40" s="5">
        <f>MAX(0,C39*C6)</f>
        <v>14325.483981249985</v>
      </c>
      <c r="D40" s="5">
        <f>MAX(0,D39*C6)</f>
        <v>14958.769169662497</v>
      </c>
      <c r="E40" s="5">
        <f>MAX(0,E39*C6)</f>
        <v>15541.347084603432</v>
      </c>
      <c r="F40" s="5">
        <f>MAX(0,F39*C6)</f>
        <v>16079.55749370782</v>
      </c>
      <c r="G40" s="5">
        <f>MAX(0,G39*C6)</f>
        <v>16510.198834031326</v>
      </c>
    </row>
    <row r="41" spans="2:7" ht="14" customHeight="1" x14ac:dyDescent="0.3">
      <c r="B41" s="4" t="s">
        <v>97</v>
      </c>
      <c r="C41" s="19">
        <f>C39-C40</f>
        <v>42976.451943749955</v>
      </c>
      <c r="D41" s="19">
        <f>D39-D40</f>
        <v>44876.307508987491</v>
      </c>
      <c r="E41" s="19">
        <f>E39-E40</f>
        <v>46624.041253810297</v>
      </c>
      <c r="F41" s="19">
        <f>F39-F40</f>
        <v>48238.67248112346</v>
      </c>
      <c r="G41" s="19">
        <f>G39-G40</f>
        <v>49530.596502093977</v>
      </c>
    </row>
    <row r="42" spans="2:7" ht="14" customHeight="1" x14ac:dyDescent="0.3">
      <c r="B42" s="4" t="s">
        <v>98</v>
      </c>
      <c r="C42" s="5">
        <f>C33*C18</f>
        <v>34776.347320000001</v>
      </c>
      <c r="D42" s="5">
        <f>D33*C18</f>
        <v>35819.637739600003</v>
      </c>
      <c r="E42" s="5">
        <f>E33*C18</f>
        <v>36715.128683089999</v>
      </c>
      <c r="F42" s="5">
        <f>F33*C18</f>
        <v>37633.006900167245</v>
      </c>
      <c r="G42" s="5">
        <f>G33*C18</f>
        <v>38385.667038170592</v>
      </c>
    </row>
    <row r="43" spans="2:7" ht="14" customHeight="1" x14ac:dyDescent="0.3">
      <c r="B43" s="4" t="s">
        <v>99</v>
      </c>
      <c r="C43" s="5">
        <v>50000</v>
      </c>
      <c r="D43" s="5">
        <v>47000</v>
      </c>
      <c r="E43" s="5">
        <v>44000</v>
      </c>
      <c r="F43" s="5">
        <v>42000</v>
      </c>
      <c r="G43" s="5">
        <v>40200</v>
      </c>
    </row>
    <row r="44" spans="2:7" ht="14" customHeight="1" x14ac:dyDescent="0.3">
      <c r="B44" s="4" t="s">
        <v>100</v>
      </c>
      <c r="C44" s="5">
        <f>'NWC Schedule'!D19</f>
        <v>6853.5315336164786</v>
      </c>
      <c r="D44" s="5">
        <f>'NWC Schedule'!E19</f>
        <v>7289.3259460084955</v>
      </c>
      <c r="E44" s="5">
        <f>'NWC Schedule'!F19</f>
        <v>6256.671436990553</v>
      </c>
      <c r="F44" s="5">
        <f>'NWC Schedule'!G19</f>
        <v>6413.0882229153649</v>
      </c>
      <c r="G44" s="5">
        <f>'NWC Schedule'!H19</f>
        <v>5258.7323427906376</v>
      </c>
    </row>
    <row r="45" spans="2:7" ht="14" customHeight="1" x14ac:dyDescent="0.3">
      <c r="B45" s="4" t="s">
        <v>101</v>
      </c>
      <c r="C45" s="20">
        <f>C41+C42-C43-C44</f>
        <v>20899.267730133477</v>
      </c>
      <c r="D45" s="20">
        <f>D41+D42-D43-D44</f>
        <v>26406.619302578998</v>
      </c>
      <c r="E45" s="20">
        <f>E41+E42-E43-E44</f>
        <v>33082.498499909736</v>
      </c>
      <c r="F45" s="20">
        <f>F41+F42-F43-F44</f>
        <v>37458.591158375348</v>
      </c>
      <c r="G45" s="20">
        <f>G41+G42-G43-G44</f>
        <v>42457.531197473931</v>
      </c>
    </row>
    <row r="46" spans="2:7" ht="14" customHeight="1" x14ac:dyDescent="0.3">
      <c r="B46" s="4" t="s">
        <v>102</v>
      </c>
      <c r="C46" s="21">
        <f>1/(1+C26)^(C19+0)</f>
        <v>0.90247165476950875</v>
      </c>
      <c r="D46" s="21">
        <f>1/(1+C26)^(C19+1)</f>
        <v>0.81445508766241537</v>
      </c>
      <c r="E46" s="21">
        <f>1/(1+C26)^(C19+2)</f>
        <v>0.73502263069814522</v>
      </c>
      <c r="F46" s="21">
        <f>1/(1+C26)^(C19+3)</f>
        <v>0.6633370898191927</v>
      </c>
      <c r="G46" s="21">
        <f>1/(1+C26)^(C19+4)</f>
        <v>0.59864292111911699</v>
      </c>
    </row>
    <row r="47" spans="2:7" ht="14" customHeight="1" x14ac:dyDescent="0.3">
      <c r="B47" s="4" t="s">
        <v>103</v>
      </c>
      <c r="C47" s="19">
        <f>C45*C46</f>
        <v>18860.996731884556</v>
      </c>
      <c r="D47" s="19">
        <f>D45*D46</f>
        <v>21507.005438950007</v>
      </c>
      <c r="E47" s="19">
        <f>E45*E46</f>
        <v>24316.385077471095</v>
      </c>
      <c r="F47" s="19">
        <f>F45*F46</f>
        <v>24847.672847723647</v>
      </c>
      <c r="G47" s="19">
        <f>G45*G46</f>
        <v>25416.900499561834</v>
      </c>
    </row>
    <row r="49" spans="2:7" ht="14" customHeight="1" x14ac:dyDescent="0.3">
      <c r="B49" s="22" t="s">
        <v>104</v>
      </c>
      <c r="C49" s="23"/>
      <c r="D49" s="23"/>
      <c r="E49" s="23"/>
      <c r="F49" s="23"/>
      <c r="G49" s="23"/>
    </row>
    <row r="50" spans="2:7" ht="14" customHeight="1" x14ac:dyDescent="0.3">
      <c r="B50" s="4" t="s">
        <v>105</v>
      </c>
      <c r="C50" s="5">
        <f>SUM(C47:G47)</f>
        <v>114948.96059559114</v>
      </c>
    </row>
    <row r="51" spans="2:7" ht="14" customHeight="1" x14ac:dyDescent="0.3">
      <c r="B51" s="4" t="s">
        <v>106</v>
      </c>
      <c r="C51" s="5">
        <f>G45*(1+C13)/(C26-C13)</f>
        <v>437268.91425308457</v>
      </c>
    </row>
    <row r="52" spans="2:7" ht="14" customHeight="1" x14ac:dyDescent="0.3">
      <c r="B52" s="4" t="s">
        <v>107</v>
      </c>
      <c r="C52" s="5">
        <f>C51*G46</f>
        <v>261767.94014305124</v>
      </c>
    </row>
    <row r="53" spans="2:7" ht="14" customHeight="1" x14ac:dyDescent="0.3">
      <c r="B53" s="4" t="s">
        <v>108</v>
      </c>
      <c r="C53" s="5">
        <f>C50+C52</f>
        <v>376716.90073864238</v>
      </c>
    </row>
    <row r="54" spans="2:7" ht="14" customHeight="1" x14ac:dyDescent="0.3">
      <c r="B54" s="4" t="s">
        <v>109</v>
      </c>
      <c r="C54" s="5">
        <f>C53-C16</f>
        <v>302048.90073864238</v>
      </c>
    </row>
    <row r="55" spans="2:7" ht="14" customHeight="1" x14ac:dyDescent="0.3">
      <c r="B55" s="4" t="s">
        <v>110</v>
      </c>
      <c r="C55" s="24">
        <f>ROUND(C54*1000000/C15,0)</f>
        <v>1536</v>
      </c>
    </row>
    <row r="57" spans="2:7" ht="14" customHeight="1" x14ac:dyDescent="0.3">
      <c r="B57" s="22" t="s">
        <v>111</v>
      </c>
      <c r="C57" s="23"/>
      <c r="D57" s="23"/>
      <c r="E57" s="23"/>
      <c r="F57" s="23"/>
      <c r="G57" s="23"/>
    </row>
    <row r="58" spans="2:7" ht="14" customHeight="1" x14ac:dyDescent="0.3">
      <c r="B58" s="4" t="s">
        <v>105</v>
      </c>
      <c r="C58" s="5">
        <f>C50</f>
        <v>114948.96059559114</v>
      </c>
    </row>
    <row r="59" spans="2:7" ht="14" customHeight="1" x14ac:dyDescent="0.3">
      <c r="B59" s="4" t="s">
        <v>112</v>
      </c>
      <c r="C59" s="5">
        <f>G39+G42</f>
        <v>104426.46237429589</v>
      </c>
    </row>
    <row r="60" spans="2:7" ht="14" customHeight="1" x14ac:dyDescent="0.3">
      <c r="B60" s="4" t="s">
        <v>113</v>
      </c>
      <c r="C60" s="5">
        <f>C59*C14</f>
        <v>1629052.813039016</v>
      </c>
    </row>
    <row r="61" spans="2:7" ht="14" customHeight="1" x14ac:dyDescent="0.3">
      <c r="B61" s="4" t="s">
        <v>107</v>
      </c>
      <c r="C61" s="5">
        <f>C60*G46</f>
        <v>975220.93465499126</v>
      </c>
    </row>
    <row r="62" spans="2:7" ht="14" customHeight="1" x14ac:dyDescent="0.3">
      <c r="B62" s="4" t="s">
        <v>108</v>
      </c>
      <c r="C62" s="5">
        <f>C58+C61</f>
        <v>1090169.8952505824</v>
      </c>
    </row>
    <row r="63" spans="2:7" ht="14" customHeight="1" x14ac:dyDescent="0.3">
      <c r="B63" s="4" t="s">
        <v>109</v>
      </c>
      <c r="C63" s="5">
        <f>C62-C16</f>
        <v>1015501.8952505824</v>
      </c>
    </row>
    <row r="64" spans="2:7" ht="14" customHeight="1" x14ac:dyDescent="0.3">
      <c r="B64" s="4" t="s">
        <v>114</v>
      </c>
      <c r="C64" s="24">
        <f>ROUND(C63*1000000/C15,0)</f>
        <v>5165</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0.03</v>
      </c>
      <c r="D69" s="26">
        <v>0.03</v>
      </c>
      <c r="E69" s="26">
        <v>2.5000000000000001E-2</v>
      </c>
      <c r="F69" s="26">
        <v>2.5000000000000001E-2</v>
      </c>
      <c r="G69" s="26">
        <v>0.02</v>
      </c>
    </row>
    <row r="70" spans="2:7" ht="14" customHeight="1" x14ac:dyDescent="0.3">
      <c r="B70" s="4" t="s">
        <v>121</v>
      </c>
      <c r="C70" s="26">
        <v>0.05</v>
      </c>
      <c r="D70" s="26">
        <v>4.4999999999999998E-2</v>
      </c>
      <c r="E70" s="26">
        <v>0.04</v>
      </c>
      <c r="F70" s="26">
        <v>3.5000000000000003E-2</v>
      </c>
      <c r="G70" s="26">
        <v>0.03</v>
      </c>
    </row>
    <row r="71" spans="2:7" ht="14" customHeight="1" x14ac:dyDescent="0.3">
      <c r="B71" s="4" t="s">
        <v>122</v>
      </c>
      <c r="C71" s="26">
        <v>0.03</v>
      </c>
      <c r="D71" s="26">
        <v>0.03</v>
      </c>
      <c r="E71" s="26">
        <v>2.5000000000000001E-2</v>
      </c>
      <c r="F71" s="26">
        <v>2.5000000000000001E-2</v>
      </c>
      <c r="G71" s="26">
        <v>0.02</v>
      </c>
    </row>
    <row r="72" spans="2:7" ht="14" customHeight="1" x14ac:dyDescent="0.3">
      <c r="B72" s="4" t="s">
        <v>123</v>
      </c>
      <c r="C72" s="26">
        <v>0</v>
      </c>
      <c r="D72" s="26">
        <v>0.01</v>
      </c>
      <c r="E72" s="26">
        <v>1.4999999999999999E-2</v>
      </c>
      <c r="F72" s="26">
        <v>1.4999999999999999E-2</v>
      </c>
      <c r="G72" s="26">
        <v>1.4999999999999999E-2</v>
      </c>
    </row>
    <row r="73" spans="2:7" ht="14" customHeight="1" x14ac:dyDescent="0.3">
      <c r="B73" s="4" t="s">
        <v>124</v>
      </c>
      <c r="C73" s="26">
        <v>-0.08</v>
      </c>
      <c r="D73" s="26">
        <v>-0.01</v>
      </c>
      <c r="E73" s="26">
        <v>0.01</v>
      </c>
      <c r="F73" s="26">
        <v>1.4999999999999999E-2</v>
      </c>
      <c r="G73" s="26">
        <v>1.4999999999999999E-2</v>
      </c>
    </row>
    <row r="75" spans="2:7" ht="14" customHeight="1" x14ac:dyDescent="0.3">
      <c r="B75" s="3" t="s">
        <v>91</v>
      </c>
    </row>
    <row r="76" spans="2:7" ht="14" customHeight="1" x14ac:dyDescent="0.3">
      <c r="B76" s="4" t="s">
        <v>84</v>
      </c>
      <c r="C76" s="26">
        <v>0.54300000000000004</v>
      </c>
      <c r="D76" s="26">
        <v>0.54300000000000004</v>
      </c>
      <c r="E76" s="26">
        <v>0.54300000000000004</v>
      </c>
      <c r="F76" s="26">
        <v>0.54300000000000004</v>
      </c>
      <c r="G76" s="26">
        <v>0.54300000000000004</v>
      </c>
    </row>
    <row r="77" spans="2:7" ht="14" customHeight="1" x14ac:dyDescent="0.3">
      <c r="B77" s="4" t="s">
        <v>121</v>
      </c>
      <c r="C77" s="26">
        <v>0.53300000000000003</v>
      </c>
      <c r="D77" s="26">
        <v>0.53300000000000003</v>
      </c>
      <c r="E77" s="26">
        <v>0.53300000000000003</v>
      </c>
      <c r="F77" s="26">
        <v>0.53300000000000003</v>
      </c>
      <c r="G77" s="26">
        <v>0.53300000000000003</v>
      </c>
    </row>
    <row r="78" spans="2:7" ht="14" customHeight="1" x14ac:dyDescent="0.3">
      <c r="B78" s="4" t="s">
        <v>122</v>
      </c>
      <c r="C78" s="26">
        <v>0.54300000000000004</v>
      </c>
      <c r="D78" s="26">
        <v>0.54300000000000004</v>
      </c>
      <c r="E78" s="26">
        <v>0.54300000000000004</v>
      </c>
      <c r="F78" s="26">
        <v>0.54300000000000004</v>
      </c>
      <c r="G78" s="26">
        <v>0.54300000000000004</v>
      </c>
    </row>
    <row r="79" spans="2:7" ht="14" customHeight="1" x14ac:dyDescent="0.3">
      <c r="B79" s="4" t="s">
        <v>123</v>
      </c>
      <c r="C79" s="26">
        <v>0.55300000000000005</v>
      </c>
      <c r="D79" s="26">
        <v>0.55300000000000005</v>
      </c>
      <c r="E79" s="26">
        <v>0.55300000000000005</v>
      </c>
      <c r="F79" s="26">
        <v>0.55300000000000005</v>
      </c>
      <c r="G79" s="26">
        <v>0.55300000000000005</v>
      </c>
    </row>
    <row r="80" spans="2:7" ht="14" customHeight="1" x14ac:dyDescent="0.3">
      <c r="B80" s="4" t="s">
        <v>124</v>
      </c>
      <c r="C80" s="26">
        <v>0.56999999999999995</v>
      </c>
      <c r="D80" s="26">
        <v>0.56999999999999995</v>
      </c>
      <c r="E80" s="26">
        <v>0.56999999999999995</v>
      </c>
      <c r="F80" s="26">
        <v>0.56999999999999995</v>
      </c>
      <c r="G80" s="26">
        <v>0.56999999999999995</v>
      </c>
    </row>
    <row r="82" spans="2:7" ht="14" customHeight="1" x14ac:dyDescent="0.3">
      <c r="B82" s="3" t="s">
        <v>92</v>
      </c>
    </row>
    <row r="83" spans="2:7" ht="14" customHeight="1" x14ac:dyDescent="0.3">
      <c r="B83" s="4" t="s">
        <v>84</v>
      </c>
      <c r="C83" s="26">
        <v>0.38450000000000001</v>
      </c>
      <c r="D83" s="26">
        <v>0.38350000000000001</v>
      </c>
      <c r="E83" s="26">
        <v>0.38250000000000001</v>
      </c>
      <c r="F83" s="26">
        <v>0.38179999999999997</v>
      </c>
      <c r="G83" s="26">
        <v>0.38129999999999997</v>
      </c>
    </row>
    <row r="84" spans="2:7" ht="14" customHeight="1" x14ac:dyDescent="0.3">
      <c r="B84" s="4" t="s">
        <v>121</v>
      </c>
      <c r="C84" s="26">
        <v>0.38700000000000001</v>
      </c>
      <c r="D84" s="26">
        <v>0.38450000000000001</v>
      </c>
      <c r="E84" s="26">
        <v>0.38200000000000001</v>
      </c>
      <c r="F84" s="26">
        <v>0.3805</v>
      </c>
      <c r="G84" s="26">
        <v>0.37919999999999998</v>
      </c>
    </row>
    <row r="85" spans="2:7" ht="14" customHeight="1" x14ac:dyDescent="0.3">
      <c r="B85" s="4" t="s">
        <v>122</v>
      </c>
      <c r="C85" s="26">
        <v>0.38450000000000001</v>
      </c>
      <c r="D85" s="26">
        <v>0.38350000000000001</v>
      </c>
      <c r="E85" s="26">
        <v>0.38250000000000001</v>
      </c>
      <c r="F85" s="26">
        <v>0.38179999999999997</v>
      </c>
      <c r="G85" s="26">
        <v>0.38129999999999997</v>
      </c>
    </row>
    <row r="86" spans="2:7" ht="14" customHeight="1" x14ac:dyDescent="0.3">
      <c r="B86" s="4" t="s">
        <v>123</v>
      </c>
      <c r="C86" s="26">
        <v>0.378</v>
      </c>
      <c r="D86" s="26">
        <v>0.38</v>
      </c>
      <c r="E86" s="26">
        <v>0.38150000000000001</v>
      </c>
      <c r="F86" s="26">
        <v>0.38200000000000001</v>
      </c>
      <c r="G86" s="26">
        <v>0.38240000000000002</v>
      </c>
    </row>
    <row r="87" spans="2:7" ht="14" customHeight="1" x14ac:dyDescent="0.3">
      <c r="B87" s="4" t="s">
        <v>124</v>
      </c>
      <c r="C87" s="26">
        <v>0.38400000000000001</v>
      </c>
      <c r="D87" s="26">
        <v>0.38700000000000001</v>
      </c>
      <c r="E87" s="26">
        <v>0.38700000000000001</v>
      </c>
      <c r="F87" s="26">
        <v>0.38600000000000001</v>
      </c>
      <c r="G87" s="26">
        <v>0.38500000000000001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6217</v>
      </c>
    </row>
    <row r="7" spans="2:9" ht="14" customHeight="1" x14ac:dyDescent="0.3">
      <c r="B7" s="4" t="s">
        <v>72</v>
      </c>
      <c r="C7" s="15">
        <f>'DCF Model'!C15</f>
        <v>196629396</v>
      </c>
    </row>
    <row r="8" spans="2:9" ht="14" customHeight="1" x14ac:dyDescent="0.3">
      <c r="B8" s="4" t="s">
        <v>129</v>
      </c>
      <c r="C8" s="5">
        <f>C6*C7/1000000</f>
        <v>1222444.954932</v>
      </c>
    </row>
    <row r="9" spans="2:9" ht="14" customHeight="1" x14ac:dyDescent="0.3">
      <c r="B9" s="4" t="s">
        <v>73</v>
      </c>
      <c r="C9" s="5">
        <f>'DCF Model'!C16</f>
        <v>74668</v>
      </c>
    </row>
    <row r="10" spans="2:9" ht="14" customHeight="1" x14ac:dyDescent="0.3">
      <c r="B10" s="4" t="s">
        <v>130</v>
      </c>
      <c r="C10" s="5">
        <f>C8+C9</f>
        <v>1297112.954932</v>
      </c>
    </row>
    <row r="11" spans="2:9" ht="14" customHeight="1" x14ac:dyDescent="0.3">
      <c r="B11" s="4" t="s">
        <v>131</v>
      </c>
      <c r="C11" s="16">
        <f>'DCF Model'!C26</f>
        <v>0.10806804259730468</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55188</v>
      </c>
    </row>
    <row r="15" spans="2:9" ht="14" customHeight="1" x14ac:dyDescent="0.3">
      <c r="B15" s="4" t="s">
        <v>135</v>
      </c>
      <c r="C15" s="27">
        <v>98409</v>
      </c>
    </row>
    <row r="16" spans="2:9" ht="14" customHeight="1" x14ac:dyDescent="0.3">
      <c r="B16" s="4" t="s">
        <v>136</v>
      </c>
      <c r="C16" s="5">
        <f>'DCF Model'!G33</f>
        <v>872401.52359478618</v>
      </c>
    </row>
    <row r="17" spans="2:9" ht="14" customHeight="1" x14ac:dyDescent="0.3">
      <c r="B17" s="4" t="s">
        <v>137</v>
      </c>
      <c r="C17" s="5">
        <f>'DCF Model'!C53</f>
        <v>376716.90073864238</v>
      </c>
    </row>
    <row r="18" spans="2:9" ht="14" customHeight="1" x14ac:dyDescent="0.3">
      <c r="B18" s="4" t="s">
        <v>138</v>
      </c>
      <c r="C18" s="26">
        <v>0.1123285263251613</v>
      </c>
    </row>
    <row r="19" spans="2:9" ht="14" customHeight="1" x14ac:dyDescent="0.3">
      <c r="B19" s="4" t="s">
        <v>139</v>
      </c>
      <c r="C19" s="5">
        <f>C10-C17</f>
        <v>920396.0541933577</v>
      </c>
    </row>
    <row r="20" spans="2:9" ht="14" customHeight="1" x14ac:dyDescent="0.3">
      <c r="B20" s="4" t="s">
        <v>140</v>
      </c>
      <c r="C20" s="15">
        <f>IFERROR(ROUND(C19*1000000/C7,0),"N/A")</f>
        <v>4681</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127205.32851778713</v>
      </c>
    </row>
    <row r="25" spans="2:9" ht="14" customHeight="1" x14ac:dyDescent="0.3">
      <c r="B25" s="4" t="s">
        <v>144</v>
      </c>
      <c r="C25" s="5">
        <f>IFERROR(C24/(1-C13),"N/A")</f>
        <v>169607.10469038284</v>
      </c>
    </row>
    <row r="26" spans="2:9" ht="13.5" customHeight="1" x14ac:dyDescent="0.25">
      <c r="B26" s="6" t="s">
        <v>145</v>
      </c>
      <c r="C26" s="14">
        <f>IFERROR(C25/C15,"N/A")</f>
        <v>1.7234918014651388</v>
      </c>
    </row>
    <row r="27" spans="2:9" ht="13.5" customHeight="1" x14ac:dyDescent="0.25">
      <c r="B27" s="6" t="s">
        <v>146</v>
      </c>
      <c r="C27" s="14">
        <f>IFERROR(C25/C14,"N/A")</f>
        <v>3.0732605764003558</v>
      </c>
    </row>
    <row r="28" spans="2:9" ht="13.5" customHeight="1" x14ac:dyDescent="0.25">
      <c r="B28" s="6" t="s">
        <v>147</v>
      </c>
      <c r="C28" s="7">
        <f>IFERROR(C25/C16,"N/A")</f>
        <v>0.19441403998414164</v>
      </c>
    </row>
    <row r="29" spans="2:9" ht="13.5" customHeight="1" x14ac:dyDescent="0.25">
      <c r="B29" s="6" t="s">
        <v>148</v>
      </c>
      <c r="C29" s="5">
        <f>IFERROR(C25/C18,"N/A")</f>
        <v>1509920.1444111823</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8.8068042597304677E-2</v>
      </c>
      <c r="E36" s="29">
        <f>'DCF Model'!C26-0.01</f>
        <v>9.8068042597304686E-2</v>
      </c>
      <c r="F36" s="29">
        <f>'DCF Model'!C26</f>
        <v>0.10806804259730468</v>
      </c>
      <c r="G36" s="29">
        <f>'DCF Model'!C26+0.01</f>
        <v>0.11806804259730468</v>
      </c>
      <c r="H36" s="29">
        <f>'DCF Model'!C26+0.02</f>
        <v>0.12806804259730467</v>
      </c>
    </row>
    <row r="37" spans="2:9" ht="14" customHeight="1" x14ac:dyDescent="0.3">
      <c r="B37" s="3" t="s">
        <v>154</v>
      </c>
    </row>
    <row r="38" spans="2:9" ht="14" customHeight="1" x14ac:dyDescent="0.3">
      <c r="B38" s="4" t="s">
        <v>155</v>
      </c>
      <c r="C38" s="30">
        <v>3</v>
      </c>
      <c r="D38" s="13">
        <f t="shared" ref="D38:H41" si="0">IFERROR((1-(1+D$36)^(-$C38))/D$36-(1+D$36)/(D$36^2*$C38)*(1-($C38+1)/(1+D$36)^$C38+$C38/(1+D$36)^($C38+1)),"N/A")</f>
        <v>0.89426397845709316</v>
      </c>
      <c r="E38" s="13">
        <f t="shared" si="0"/>
        <v>0.88357923928602067</v>
      </c>
      <c r="F38" s="13">
        <f t="shared" si="0"/>
        <v>0.87313279906713803</v>
      </c>
      <c r="G38" s="13">
        <f t="shared" si="0"/>
        <v>0.86291705527688101</v>
      </c>
      <c r="H38" s="13">
        <f t="shared" si="0"/>
        <v>0.85292471744009246</v>
      </c>
    </row>
    <row r="39" spans="2:9" ht="14" customHeight="1" x14ac:dyDescent="0.3">
      <c r="B39" s="4" t="s">
        <v>156</v>
      </c>
      <c r="C39" s="30">
        <v>5</v>
      </c>
      <c r="D39" s="13">
        <f t="shared" si="0"/>
        <v>1.6952667223147757</v>
      </c>
      <c r="E39" s="13">
        <f t="shared" si="0"/>
        <v>1.6658480366287272</v>
      </c>
      <c r="F39" s="13">
        <f t="shared" si="0"/>
        <v>1.6373268466561517</v>
      </c>
      <c r="G39" s="13">
        <f t="shared" si="0"/>
        <v>1.6096656756955969</v>
      </c>
      <c r="H39" s="13">
        <f t="shared" si="0"/>
        <v>1.5828289938213098</v>
      </c>
    </row>
    <row r="40" spans="2:9" ht="14" customHeight="1" x14ac:dyDescent="0.3">
      <c r="B40" s="4" t="s">
        <v>157</v>
      </c>
      <c r="C40" s="30">
        <v>7</v>
      </c>
      <c r="D40" s="13">
        <f t="shared" si="0"/>
        <v>2.4139196050449727</v>
      </c>
      <c r="E40" s="13">
        <f t="shared" si="0"/>
        <v>2.3598343464132663</v>
      </c>
      <c r="F40" s="13">
        <f t="shared" si="0"/>
        <v>2.3078216098651345</v>
      </c>
      <c r="G40" s="13">
        <f t="shared" si="0"/>
        <v>2.2577752183461319</v>
      </c>
      <c r="H40" s="13">
        <f t="shared" si="0"/>
        <v>2.2095956296177208</v>
      </c>
    </row>
    <row r="41" spans="2:9" ht="14" customHeight="1" x14ac:dyDescent="0.3">
      <c r="B41" s="4" t="s">
        <v>158</v>
      </c>
      <c r="C41" s="30">
        <v>10</v>
      </c>
      <c r="D41" s="13">
        <f t="shared" si="0"/>
        <v>3.3580590892984548</v>
      </c>
      <c r="E41" s="13">
        <f t="shared" si="0"/>
        <v>3.2594553073760379</v>
      </c>
      <c r="F41" s="13">
        <f t="shared" si="0"/>
        <v>3.1657151785167601</v>
      </c>
      <c r="G41" s="13">
        <f t="shared" si="0"/>
        <v>3.0765238075307297</v>
      </c>
      <c r="H41" s="13">
        <f t="shared" si="0"/>
        <v>2.9915907472439143</v>
      </c>
    </row>
    <row r="42" spans="2:9" ht="14" customHeight="1" x14ac:dyDescent="0.3">
      <c r="B42" s="3" t="s">
        <v>159</v>
      </c>
    </row>
    <row r="43" spans="2:9" ht="14" customHeight="1" x14ac:dyDescent="0.3">
      <c r="B43" s="4" t="s">
        <v>155</v>
      </c>
      <c r="C43" s="30">
        <v>3</v>
      </c>
      <c r="D43" s="13">
        <f t="shared" ref="D43:H46" si="1">IFERROR((1+D$36)/(D$36^2*$C43)*(1-($C43+1)/(1+D$36)^$C43+$C43/(1+D$36)^($C43+1))+(1+$C$12)/((D$36-$C$12)*(1+D$36)^$C43),"N/A")</f>
        <v>11.689152355057539</v>
      </c>
      <c r="E43" s="13">
        <f t="shared" si="1"/>
        <v>10.27369753916215</v>
      </c>
      <c r="F43" s="13">
        <f t="shared" si="1"/>
        <v>9.1487938810794578</v>
      </c>
      <c r="G43" s="13">
        <f t="shared" si="1"/>
        <v>8.2337267276811126</v>
      </c>
      <c r="H43" s="13">
        <f t="shared" si="1"/>
        <v>7.4751287535997442</v>
      </c>
    </row>
    <row r="44" spans="2:9" ht="14" customHeight="1" x14ac:dyDescent="0.3">
      <c r="B44" s="4" t="s">
        <v>156</v>
      </c>
      <c r="C44" s="30">
        <v>5</v>
      </c>
      <c r="D44" s="13">
        <f t="shared" si="1"/>
        <v>10.697319397541808</v>
      </c>
      <c r="E44" s="13">
        <f t="shared" si="1"/>
        <v>9.3275644914302056</v>
      </c>
      <c r="F44" s="13">
        <f t="shared" si="1"/>
        <v>8.2420090686008685</v>
      </c>
      <c r="G44" s="13">
        <f t="shared" si="1"/>
        <v>7.3615572730806846</v>
      </c>
      <c r="H44" s="13">
        <f t="shared" si="1"/>
        <v>6.6339201722429948</v>
      </c>
    </row>
    <row r="45" spans="2:9" ht="14" customHeight="1" x14ac:dyDescent="0.3">
      <c r="B45" s="4" t="s">
        <v>157</v>
      </c>
      <c r="C45" s="30">
        <v>7</v>
      </c>
      <c r="D45" s="13">
        <f t="shared" si="1"/>
        <v>9.8174776537255113</v>
      </c>
      <c r="E45" s="13">
        <f t="shared" si="1"/>
        <v>8.4976762245521105</v>
      </c>
      <c r="F45" s="13">
        <f t="shared" si="1"/>
        <v>7.4553805314738923</v>
      </c>
      <c r="G45" s="13">
        <f t="shared" si="1"/>
        <v>6.6131171750518396</v>
      </c>
      <c r="H45" s="13">
        <f t="shared" si="1"/>
        <v>5.9196871126971766</v>
      </c>
    </row>
    <row r="46" spans="2:9" ht="14" customHeight="1" x14ac:dyDescent="0.3">
      <c r="B46" s="4" t="s">
        <v>158</v>
      </c>
      <c r="C46" s="30">
        <v>10</v>
      </c>
      <c r="D46" s="13">
        <f t="shared" si="1"/>
        <v>8.6772595613641066</v>
      </c>
      <c r="E46" s="13">
        <f t="shared" si="1"/>
        <v>7.4364204315677185</v>
      </c>
      <c r="F46" s="13">
        <f t="shared" si="1"/>
        <v>6.4624087165780848</v>
      </c>
      <c r="G46" s="13">
        <f t="shared" si="1"/>
        <v>5.6802177013556197</v>
      </c>
      <c r="H46" s="13">
        <f t="shared" si="1"/>
        <v>5.0403262411624166</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143734.22883305151</v>
      </c>
      <c r="E48" s="5">
        <f t="shared" si="2"/>
        <v>163594.55419481662</v>
      </c>
      <c r="F48" s="5">
        <f t="shared" si="2"/>
        <v>183772.58345184638</v>
      </c>
      <c r="G48" s="5">
        <f t="shared" si="2"/>
        <v>204264.88868138328</v>
      </c>
      <c r="H48" s="5">
        <f t="shared" si="2"/>
        <v>225068.06050572201</v>
      </c>
    </row>
    <row r="49" spans="2:9" ht="14" customHeight="1" x14ac:dyDescent="0.3">
      <c r="B49" s="4" t="s">
        <v>156</v>
      </c>
      <c r="C49" s="30">
        <v>5</v>
      </c>
      <c r="D49" s="5">
        <f t="shared" si="2"/>
        <v>152928.55146628167</v>
      </c>
      <c r="E49" s="5">
        <f t="shared" si="2"/>
        <v>175560.20330584495</v>
      </c>
      <c r="F49" s="5">
        <f t="shared" si="2"/>
        <v>198874.22256553339</v>
      </c>
      <c r="G49" s="5">
        <f t="shared" si="2"/>
        <v>222867.20726855952</v>
      </c>
      <c r="H49" s="5">
        <f t="shared" si="2"/>
        <v>247535.50401000713</v>
      </c>
    </row>
    <row r="50" spans="2:9" ht="14" customHeight="1" x14ac:dyDescent="0.3">
      <c r="B50" s="4" t="s">
        <v>157</v>
      </c>
      <c r="C50" s="30">
        <v>7</v>
      </c>
      <c r="D50" s="5">
        <f t="shared" si="2"/>
        <v>162594.16125488863</v>
      </c>
      <c r="E50" s="5">
        <f t="shared" si="2"/>
        <v>188198.43916608745</v>
      </c>
      <c r="F50" s="5">
        <f t="shared" si="2"/>
        <v>214894.44759265229</v>
      </c>
      <c r="G50" s="5">
        <f t="shared" si="2"/>
        <v>242681.59760025219</v>
      </c>
      <c r="H50" s="5">
        <f t="shared" si="2"/>
        <v>271558.40261455131</v>
      </c>
    </row>
    <row r="51" spans="2:9" ht="14" customHeight="1" x14ac:dyDescent="0.3">
      <c r="B51" s="4" t="s">
        <v>158</v>
      </c>
      <c r="C51" s="30">
        <v>10</v>
      </c>
      <c r="D51" s="5">
        <f t="shared" si="2"/>
        <v>177954.72913643959</v>
      </c>
      <c r="E51" s="5">
        <f t="shared" si="2"/>
        <v>208379.9772573084</v>
      </c>
      <c r="F51" s="5">
        <f t="shared" si="2"/>
        <v>240587.45257768533</v>
      </c>
      <c r="G51" s="5">
        <f t="shared" si="2"/>
        <v>274583.9730134104</v>
      </c>
      <c r="H51" s="5">
        <f t="shared" si="2"/>
        <v>310373.5660947322</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1.4605801180080229</v>
      </c>
      <c r="E53" s="14">
        <f t="shared" si="3"/>
        <v>1.6623942342145193</v>
      </c>
      <c r="F53" s="14">
        <f t="shared" si="3"/>
        <v>1.8674367532628762</v>
      </c>
      <c r="G53" s="14">
        <f t="shared" si="3"/>
        <v>2.0756728417256887</v>
      </c>
      <c r="H53" s="14">
        <f t="shared" si="3"/>
        <v>2.2870678546242926</v>
      </c>
    </row>
    <row r="54" spans="2:9" ht="14" customHeight="1" x14ac:dyDescent="0.3">
      <c r="B54" s="4" t="s">
        <v>156</v>
      </c>
      <c r="C54" s="30">
        <v>5</v>
      </c>
      <c r="D54" s="14">
        <f t="shared" si="3"/>
        <v>1.5540098107518792</v>
      </c>
      <c r="E54" s="14">
        <f t="shared" si="3"/>
        <v>1.7839852381981824</v>
      </c>
      <c r="F54" s="14">
        <f t="shared" si="3"/>
        <v>2.020894659691018</v>
      </c>
      <c r="G54" s="14">
        <f t="shared" si="3"/>
        <v>2.2647035054574229</v>
      </c>
      <c r="H54" s="14">
        <f t="shared" si="3"/>
        <v>2.515374650794207</v>
      </c>
    </row>
    <row r="55" spans="2:9" ht="14" customHeight="1" x14ac:dyDescent="0.3">
      <c r="B55" s="4" t="s">
        <v>157</v>
      </c>
      <c r="C55" s="30">
        <v>7</v>
      </c>
      <c r="D55" s="14">
        <f t="shared" si="3"/>
        <v>1.6522285690829968</v>
      </c>
      <c r="E55" s="14">
        <f t="shared" si="3"/>
        <v>1.9124108482566375</v>
      </c>
      <c r="F55" s="14">
        <f t="shared" si="3"/>
        <v>2.1836869350633812</v>
      </c>
      <c r="G55" s="14">
        <f t="shared" si="3"/>
        <v>2.4660508449456064</v>
      </c>
      <c r="H55" s="14">
        <f t="shared" si="3"/>
        <v>2.7594874718222044</v>
      </c>
    </row>
    <row r="56" spans="2:9" ht="14" customHeight="1" x14ac:dyDescent="0.3">
      <c r="B56" s="4" t="s">
        <v>158</v>
      </c>
      <c r="C56" s="30">
        <v>10</v>
      </c>
      <c r="D56" s="14">
        <f t="shared" si="3"/>
        <v>1.8083176247745592</v>
      </c>
      <c r="E56" s="14">
        <f t="shared" si="3"/>
        <v>2.1174890229278662</v>
      </c>
      <c r="F56" s="14">
        <f t="shared" si="3"/>
        <v>2.4447708296770148</v>
      </c>
      <c r="G56" s="14">
        <f t="shared" si="3"/>
        <v>2.7902323264478901</v>
      </c>
      <c r="H56" s="14">
        <f t="shared" si="3"/>
        <v>3.1539144396826733</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198874.22256553339</v>
      </c>
    </row>
    <row r="62" spans="2:9" ht="14" customHeight="1" x14ac:dyDescent="0.3">
      <c r="B62" s="28" t="s">
        <v>165</v>
      </c>
      <c r="C62" s="28" t="s">
        <v>166</v>
      </c>
      <c r="D62" s="28" t="s">
        <v>167</v>
      </c>
    </row>
    <row r="63" spans="2:9" ht="14" customHeight="1" x14ac:dyDescent="0.3">
      <c r="B63" s="31">
        <v>5.62E-2</v>
      </c>
      <c r="C63" s="5">
        <f>IFERROR($C$60/B63,"N/A")</f>
        <v>3538687.23426216</v>
      </c>
      <c r="D63" s="14">
        <f>IFERROR(C63/'DCF Model'!C17,"N/A")</f>
        <v>4.6115626802625656</v>
      </c>
    </row>
    <row r="64" spans="2:9" ht="14" customHeight="1" x14ac:dyDescent="0.3">
      <c r="B64" s="31">
        <v>8.4199999999999997E-2</v>
      </c>
      <c r="C64" s="5">
        <f>IFERROR($C$60/B64,"N/A")</f>
        <v>2361926.6337949336</v>
      </c>
      <c r="D64" s="14">
        <f>IFERROR(C64/'DCF Model'!C17,"N/A")</f>
        <v>3.07802639703986</v>
      </c>
    </row>
    <row r="65" spans="2:9" ht="14" customHeight="1" x14ac:dyDescent="0.3">
      <c r="B65" s="4" t="s">
        <v>168</v>
      </c>
      <c r="C65" s="5">
        <f>IFERROR($C$60/$C$18,"N/A")</f>
        <v>1770469.4352514271</v>
      </c>
      <c r="D65" s="14">
        <f>IFERROR(C65/'DCF Model'!C17,"N/A")</f>
        <v>2.307248488959325</v>
      </c>
    </row>
    <row r="66" spans="2:9" ht="14" customHeight="1" x14ac:dyDescent="0.3">
      <c r="B66" s="31">
        <v>0.1404</v>
      </c>
      <c r="C66" s="5">
        <f>IFERROR($C$60/B66,"N/A")</f>
        <v>1416483.0667060784</v>
      </c>
      <c r="D66" s="14">
        <f>IFERROR(C66/'DCF Model'!C17,"N/A")</f>
        <v>1.8459389076264687</v>
      </c>
    </row>
    <row r="67" spans="2:9" ht="14" customHeight="1" x14ac:dyDescent="0.3">
      <c r="B67" s="31">
        <v>0.16850000000000001</v>
      </c>
      <c r="C67" s="5">
        <f>IFERROR($C$60/B67,"N/A")</f>
        <v>1180262.4484601386</v>
      </c>
      <c r="D67" s="14">
        <f>IFERROR(C67/'DCF Model'!C17,"N/A")</f>
        <v>1.5380998375712531</v>
      </c>
    </row>
    <row r="69" spans="2:9" ht="14" customHeight="1" x14ac:dyDescent="0.3">
      <c r="B69" s="8" t="s">
        <v>169</v>
      </c>
      <c r="C69" s="9"/>
      <c r="D69" s="9"/>
      <c r="E69" s="9"/>
      <c r="F69" s="9"/>
      <c r="G69" s="9"/>
      <c r="H69" s="9"/>
      <c r="I69" s="9"/>
    </row>
    <row r="70" spans="2:9" ht="13.5" customHeight="1" x14ac:dyDescent="0.25">
      <c r="B70" s="6" t="s">
        <v>170</v>
      </c>
      <c r="C70" s="14">
        <f>IFERROR(C10/'Comps Analysis'!G5,"N/A")</f>
        <v>14.579872703414788</v>
      </c>
    </row>
    <row r="71" spans="2:9" ht="13.5" customHeight="1" x14ac:dyDescent="0.25">
      <c r="B71" s="6" t="s">
        <v>171</v>
      </c>
      <c r="C71" s="14">
        <f>IFERROR(C10/'Comps Analysis'!F5,"N/A")</f>
        <v>1.6903776171947389</v>
      </c>
    </row>
    <row r="72" spans="2:9" ht="14" customHeight="1" x14ac:dyDescent="0.3">
      <c r="B72" s="4" t="s">
        <v>172</v>
      </c>
      <c r="C72" s="14">
        <f>IFERROR(C10/(C25+'DCF Model'!G42),"N/A")</f>
        <v>6.2363366964734341</v>
      </c>
    </row>
    <row r="73" spans="2:9" ht="14" customHeight="1" x14ac:dyDescent="0.3">
      <c r="B73" s="4" t="s">
        <v>173</v>
      </c>
      <c r="C73" s="14">
        <f>IFERROR(C10/(C60+'DCF Model'!G42),"N/A")</f>
        <v>5.4670553758520768</v>
      </c>
    </row>
    <row r="74" spans="2:9" ht="14" customHeight="1" x14ac:dyDescent="0.3">
      <c r="B74" s="4" t="s">
        <v>174</v>
      </c>
      <c r="C74" s="14">
        <f>IFERROR('Comps Analysis'!D16,"N/A")</f>
        <v>15.552094158010673</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6,217 yen the market is paying for a steady-state operating profit of 198,874 mn JPY - 2.02x the FY2023 cycle peak of 98,409 mn - reached in 5 years and sustained for ever, against 55,188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169,607 mn, or 1.72x the peak. The base case supports an EV of only 376,717 mn, leaving 4,681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80.19001734538692</v>
      </c>
      <c r="D5" s="34">
        <f>CHOOSE('DCF Model'!$D$27,D25,D26,D27,D28,D29)</f>
        <v>78</v>
      </c>
      <c r="E5" s="34">
        <f>CHOOSE('DCF Model'!$D$27,E25,E26,E27,E28,E29)</f>
        <v>78</v>
      </c>
      <c r="F5" s="34">
        <f>CHOOSE('DCF Model'!$D$27,F25,F26,F27,F28,F29)</f>
        <v>78</v>
      </c>
      <c r="G5" s="34">
        <f>CHOOSE('DCF Model'!$D$27,G25,G26,G27,G28,G29)</f>
        <v>78</v>
      </c>
      <c r="H5" s="34">
        <f>CHOOSE('DCF Model'!$D$27,H25,H26,H27,H28,H29)</f>
        <v>78</v>
      </c>
    </row>
    <row r="6" spans="2:8" ht="14" customHeight="1" x14ac:dyDescent="0.3">
      <c r="B6" s="33" t="s">
        <v>181</v>
      </c>
      <c r="C6" s="34">
        <f>C13/C10*365</f>
        <v>135.19508826708298</v>
      </c>
      <c r="D6" s="34">
        <f>CHOOSE('DCF Model'!$D$27,D32,D33,D34,D35,D36)</f>
        <v>134</v>
      </c>
      <c r="E6" s="34">
        <f>CHOOSE('DCF Model'!$D$27,E32,E33,E34,E35,E36)</f>
        <v>134</v>
      </c>
      <c r="F6" s="34">
        <f>CHOOSE('DCF Model'!$D$27,F32,F33,F34,F35,F36)</f>
        <v>134</v>
      </c>
      <c r="G6" s="34">
        <f>CHOOSE('DCF Model'!$D$27,G32,G33,G34,G35,G36)</f>
        <v>134</v>
      </c>
      <c r="H6" s="34">
        <f>CHOOSE('DCF Model'!$D$27,H32,H33,H34,H35,H36)</f>
        <v>134</v>
      </c>
    </row>
    <row r="7" spans="2:8" ht="14" customHeight="1" x14ac:dyDescent="0.3">
      <c r="B7" s="33" t="s">
        <v>182</v>
      </c>
      <c r="C7" s="34">
        <f>C15/C10*365</f>
        <v>75.986801969496824</v>
      </c>
      <c r="D7" s="34">
        <f>CHOOSE('DCF Model'!$D$27,D39,D40,D41,D42,D43)</f>
        <v>71</v>
      </c>
      <c r="E7" s="34">
        <f>CHOOSE('DCF Model'!$D$27,E39,E40,E41,E42,E43)</f>
        <v>71</v>
      </c>
      <c r="F7" s="34">
        <f>CHOOSE('DCF Model'!$D$27,F39,F40,F41,F42,F43)</f>
        <v>71</v>
      </c>
      <c r="G7" s="34">
        <f>CHOOSE('DCF Model'!$D$27,G39,G40,G41,G42,G43)</f>
        <v>71</v>
      </c>
      <c r="H7" s="34">
        <f>CHOOSE('DCF Model'!$D$27,H39,H40,H41,H42,H43)</f>
        <v>71</v>
      </c>
    </row>
    <row r="8" spans="2:8" ht="14" customHeight="1" x14ac:dyDescent="0.3">
      <c r="B8" s="8" t="s">
        <v>183</v>
      </c>
      <c r="C8" s="9"/>
      <c r="D8" s="9"/>
      <c r="E8" s="9"/>
      <c r="F8" s="9"/>
      <c r="G8" s="9"/>
      <c r="H8" s="9"/>
    </row>
    <row r="9" spans="2:8" ht="14" customHeight="1" x14ac:dyDescent="0.3">
      <c r="B9" s="33" t="s">
        <v>37</v>
      </c>
      <c r="C9" s="35">
        <v>767351</v>
      </c>
      <c r="D9" s="35">
        <f>'DCF Model'!C33</f>
        <v>790371.53</v>
      </c>
      <c r="E9" s="35">
        <f>'DCF Model'!D33</f>
        <v>814082.67590000003</v>
      </c>
      <c r="F9" s="35">
        <f>'DCF Model'!E33</f>
        <v>834434.74279749999</v>
      </c>
      <c r="G9" s="35">
        <f>'DCF Model'!F33</f>
        <v>855295.61136743741</v>
      </c>
      <c r="H9" s="35">
        <f>'DCF Model'!G33</f>
        <v>872401.52359478618</v>
      </c>
    </row>
    <row r="10" spans="2:8" ht="14" customHeight="1" x14ac:dyDescent="0.3">
      <c r="B10" s="33" t="s">
        <v>38</v>
      </c>
      <c r="C10" s="35">
        <v>416350</v>
      </c>
      <c r="D10" s="35">
        <f>'DCF Model'!C34</f>
        <v>429171.74079000007</v>
      </c>
      <c r="E10" s="35">
        <f>'DCF Model'!D34</f>
        <v>442046.89301370003</v>
      </c>
      <c r="F10" s="35">
        <f>'DCF Model'!E34</f>
        <v>453098.06533904251</v>
      </c>
      <c r="G10" s="35">
        <f>'DCF Model'!F34</f>
        <v>464425.51697251853</v>
      </c>
      <c r="H10" s="35">
        <f>'DCF Model'!G34</f>
        <v>473714.02731196891</v>
      </c>
    </row>
    <row r="11" spans="2:8" ht="14" customHeight="1" x14ac:dyDescent="0.3">
      <c r="B11" s="8" t="s">
        <v>184</v>
      </c>
      <c r="C11" s="9"/>
      <c r="D11" s="9"/>
      <c r="E11" s="9"/>
      <c r="F11" s="9"/>
      <c r="G11" s="9"/>
      <c r="H11" s="9"/>
    </row>
    <row r="12" spans="2:8" ht="14" customHeight="1" x14ac:dyDescent="0.3">
      <c r="B12" s="33" t="s">
        <v>185</v>
      </c>
      <c r="C12" s="35">
        <v>168586</v>
      </c>
      <c r="D12" s="35">
        <f t="shared" ref="D12:H13" si="0">D9*D5/365</f>
        <v>168901.31326027398</v>
      </c>
      <c r="E12" s="35">
        <f t="shared" si="0"/>
        <v>173968.35265808221</v>
      </c>
      <c r="F12" s="35">
        <f t="shared" si="0"/>
        <v>178317.56147453425</v>
      </c>
      <c r="G12" s="35">
        <f t="shared" si="0"/>
        <v>182775.50051139758</v>
      </c>
      <c r="H12" s="35">
        <f t="shared" si="0"/>
        <v>186431.01052162555</v>
      </c>
    </row>
    <row r="13" spans="2:8" ht="14" customHeight="1" x14ac:dyDescent="0.3">
      <c r="B13" s="33" t="s">
        <v>186</v>
      </c>
      <c r="C13" s="35">
        <v>154215</v>
      </c>
      <c r="D13" s="35">
        <f t="shared" si="0"/>
        <v>157558.94045441097</v>
      </c>
      <c r="E13" s="35">
        <f t="shared" si="0"/>
        <v>162285.70866804328</v>
      </c>
      <c r="F13" s="35">
        <f t="shared" si="0"/>
        <v>166342.85138474437</v>
      </c>
      <c r="G13" s="35">
        <f t="shared" si="0"/>
        <v>170501.42266936295</v>
      </c>
      <c r="H13" s="35">
        <f t="shared" si="0"/>
        <v>173911.45112275021</v>
      </c>
    </row>
    <row r="14" spans="2:8" ht="14" customHeight="1" x14ac:dyDescent="0.3">
      <c r="B14" s="33" t="s">
        <v>187</v>
      </c>
      <c r="C14" s="35">
        <f t="shared" ref="C14:H14" si="1">C12+C13</f>
        <v>322801</v>
      </c>
      <c r="D14" s="35">
        <f t="shared" si="1"/>
        <v>326460.25371468498</v>
      </c>
      <c r="E14" s="35">
        <f t="shared" si="1"/>
        <v>336254.06132612552</v>
      </c>
      <c r="F14" s="35">
        <f t="shared" si="1"/>
        <v>344660.41285927861</v>
      </c>
      <c r="G14" s="35">
        <f t="shared" si="1"/>
        <v>353276.92318076052</v>
      </c>
      <c r="H14" s="35">
        <f t="shared" si="1"/>
        <v>360342.46164437575</v>
      </c>
    </row>
    <row r="15" spans="2:8" ht="14" customHeight="1" x14ac:dyDescent="0.3">
      <c r="B15" s="33" t="s">
        <v>188</v>
      </c>
      <c r="C15" s="35">
        <v>86677</v>
      </c>
      <c r="D15" s="35">
        <f>D10*D7/365</f>
        <v>83482.722181068501</v>
      </c>
      <c r="E15" s="35">
        <f>E10*E7/365</f>
        <v>85987.203846500546</v>
      </c>
      <c r="F15" s="35">
        <f>F10*F7/365</f>
        <v>88136.883942663073</v>
      </c>
      <c r="G15" s="35">
        <f>G10*G7/365</f>
        <v>90340.306041229633</v>
      </c>
      <c r="H15" s="35">
        <f>H10*H7/365</f>
        <v>92147.112162054211</v>
      </c>
    </row>
    <row r="16" spans="2:8" ht="14" customHeight="1" x14ac:dyDescent="0.3">
      <c r="B16" s="33" t="s">
        <v>189</v>
      </c>
      <c r="C16" s="35">
        <f t="shared" ref="C16:H16" si="2">C15</f>
        <v>86677</v>
      </c>
      <c r="D16" s="35">
        <f t="shared" si="2"/>
        <v>83482.722181068501</v>
      </c>
      <c r="E16" s="35">
        <f t="shared" si="2"/>
        <v>85987.203846500546</v>
      </c>
      <c r="F16" s="35">
        <f t="shared" si="2"/>
        <v>88136.883942663073</v>
      </c>
      <c r="G16" s="35">
        <f t="shared" si="2"/>
        <v>90340.306041229633</v>
      </c>
      <c r="H16" s="35">
        <f t="shared" si="2"/>
        <v>92147.112162054211</v>
      </c>
    </row>
    <row r="17" spans="2:8" ht="14" customHeight="1" x14ac:dyDescent="0.3">
      <c r="B17" s="22" t="s">
        <v>190</v>
      </c>
      <c r="C17" s="23"/>
      <c r="D17" s="23"/>
      <c r="E17" s="23"/>
      <c r="F17" s="23"/>
      <c r="G17" s="23"/>
      <c r="H17" s="23"/>
    </row>
    <row r="18" spans="2:8" ht="14" customHeight="1" x14ac:dyDescent="0.3">
      <c r="B18" s="33" t="s">
        <v>191</v>
      </c>
      <c r="C18" s="20">
        <f t="shared" ref="C18:H18" si="3">C14-C16</f>
        <v>236124</v>
      </c>
      <c r="D18" s="20">
        <f t="shared" si="3"/>
        <v>242977.53153361648</v>
      </c>
      <c r="E18" s="20">
        <f t="shared" si="3"/>
        <v>250266.85747962497</v>
      </c>
      <c r="F18" s="20">
        <f t="shared" si="3"/>
        <v>256523.52891661553</v>
      </c>
      <c r="G18" s="20">
        <f t="shared" si="3"/>
        <v>262936.61713953089</v>
      </c>
      <c r="H18" s="20">
        <f t="shared" si="3"/>
        <v>268195.34948232153</v>
      </c>
    </row>
    <row r="19" spans="2:8" ht="14" customHeight="1" x14ac:dyDescent="0.3">
      <c r="B19" s="33" t="s">
        <v>100</v>
      </c>
      <c r="C19" s="36" t="s">
        <v>47</v>
      </c>
      <c r="D19" s="24">
        <f>D18-C18</f>
        <v>6853.5315336164786</v>
      </c>
      <c r="E19" s="24">
        <f>E18-D18</f>
        <v>7289.3259460084955</v>
      </c>
      <c r="F19" s="24">
        <f>F18-E18</f>
        <v>6256.671436990553</v>
      </c>
      <c r="G19" s="24">
        <f>G18-F18</f>
        <v>6413.0882229153649</v>
      </c>
      <c r="H19" s="24">
        <f>H18-G18</f>
        <v>5258.7323427906376</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78</v>
      </c>
      <c r="E25" s="30">
        <v>78</v>
      </c>
      <c r="F25" s="30">
        <v>78</v>
      </c>
      <c r="G25" s="30">
        <v>78</v>
      </c>
      <c r="H25" s="30">
        <v>78</v>
      </c>
    </row>
    <row r="26" spans="2:8" ht="14" customHeight="1" x14ac:dyDescent="0.3">
      <c r="B26" s="4" t="s">
        <v>121</v>
      </c>
      <c r="D26" s="30">
        <v>75</v>
      </c>
      <c r="E26" s="30">
        <v>75</v>
      </c>
      <c r="F26" s="30">
        <v>75</v>
      </c>
      <c r="G26" s="30">
        <v>75</v>
      </c>
      <c r="H26" s="30">
        <v>75</v>
      </c>
    </row>
    <row r="27" spans="2:8" ht="14" customHeight="1" x14ac:dyDescent="0.3">
      <c r="B27" s="4" t="s">
        <v>122</v>
      </c>
      <c r="D27" s="30">
        <v>78</v>
      </c>
      <c r="E27" s="30">
        <v>78</v>
      </c>
      <c r="F27" s="30">
        <v>78</v>
      </c>
      <c r="G27" s="30">
        <v>78</v>
      </c>
      <c r="H27" s="30">
        <v>78</v>
      </c>
    </row>
    <row r="28" spans="2:8" ht="14" customHeight="1" x14ac:dyDescent="0.3">
      <c r="B28" s="4" t="s">
        <v>123</v>
      </c>
      <c r="D28" s="30">
        <v>82</v>
      </c>
      <c r="E28" s="30">
        <v>82</v>
      </c>
      <c r="F28" s="30">
        <v>82</v>
      </c>
      <c r="G28" s="30">
        <v>82</v>
      </c>
      <c r="H28" s="30">
        <v>82</v>
      </c>
    </row>
    <row r="29" spans="2:8" ht="14" customHeight="1" x14ac:dyDescent="0.3">
      <c r="B29" s="4" t="s">
        <v>124</v>
      </c>
      <c r="D29" s="30">
        <v>88</v>
      </c>
      <c r="E29" s="30">
        <v>88</v>
      </c>
      <c r="F29" s="30">
        <v>88</v>
      </c>
      <c r="G29" s="30">
        <v>88</v>
      </c>
      <c r="H29" s="30">
        <v>88</v>
      </c>
    </row>
    <row r="31" spans="2:8" ht="14" customHeight="1" x14ac:dyDescent="0.3">
      <c r="B31" s="3" t="s">
        <v>194</v>
      </c>
    </row>
    <row r="32" spans="2:8" ht="14" customHeight="1" x14ac:dyDescent="0.3">
      <c r="B32" s="4" t="s">
        <v>84</v>
      </c>
      <c r="D32" s="30">
        <v>134</v>
      </c>
      <c r="E32" s="30">
        <v>134</v>
      </c>
      <c r="F32" s="30">
        <v>134</v>
      </c>
      <c r="G32" s="30">
        <v>134</v>
      </c>
      <c r="H32" s="30">
        <v>134</v>
      </c>
    </row>
    <row r="33" spans="2:8" ht="14" customHeight="1" x14ac:dyDescent="0.3">
      <c r="B33" s="4" t="s">
        <v>121</v>
      </c>
      <c r="D33" s="30">
        <v>128</v>
      </c>
      <c r="E33" s="30">
        <v>128</v>
      </c>
      <c r="F33" s="30">
        <v>128</v>
      </c>
      <c r="G33" s="30">
        <v>128</v>
      </c>
      <c r="H33" s="30">
        <v>128</v>
      </c>
    </row>
    <row r="34" spans="2:8" ht="14" customHeight="1" x14ac:dyDescent="0.3">
      <c r="B34" s="4" t="s">
        <v>122</v>
      </c>
      <c r="D34" s="30">
        <v>134</v>
      </c>
      <c r="E34" s="30">
        <v>134</v>
      </c>
      <c r="F34" s="30">
        <v>134</v>
      </c>
      <c r="G34" s="30">
        <v>134</v>
      </c>
      <c r="H34" s="30">
        <v>134</v>
      </c>
    </row>
    <row r="35" spans="2:8" ht="14" customHeight="1" x14ac:dyDescent="0.3">
      <c r="B35" s="4" t="s">
        <v>123</v>
      </c>
      <c r="D35" s="30">
        <v>140</v>
      </c>
      <c r="E35" s="30">
        <v>140</v>
      </c>
      <c r="F35" s="30">
        <v>140</v>
      </c>
      <c r="G35" s="30">
        <v>140</v>
      </c>
      <c r="H35" s="30">
        <v>140</v>
      </c>
    </row>
    <row r="36" spans="2:8" ht="14" customHeight="1" x14ac:dyDescent="0.3">
      <c r="B36" s="4" t="s">
        <v>124</v>
      </c>
      <c r="D36" s="30">
        <v>150</v>
      </c>
      <c r="E36" s="30">
        <v>150</v>
      </c>
      <c r="F36" s="30">
        <v>150</v>
      </c>
      <c r="G36" s="30">
        <v>150</v>
      </c>
      <c r="H36" s="30">
        <v>150</v>
      </c>
    </row>
    <row r="38" spans="2:8" ht="14" customHeight="1" x14ac:dyDescent="0.3">
      <c r="B38" s="3" t="s">
        <v>195</v>
      </c>
    </row>
    <row r="39" spans="2:8" ht="14" customHeight="1" x14ac:dyDescent="0.3">
      <c r="B39" s="4" t="s">
        <v>84</v>
      </c>
      <c r="D39" s="30">
        <v>71</v>
      </c>
      <c r="E39" s="30">
        <v>71</v>
      </c>
      <c r="F39" s="30">
        <v>71</v>
      </c>
      <c r="G39" s="30">
        <v>71</v>
      </c>
      <c r="H39" s="30">
        <v>71</v>
      </c>
    </row>
    <row r="40" spans="2:8" ht="14" customHeight="1" x14ac:dyDescent="0.3">
      <c r="B40" s="4" t="s">
        <v>121</v>
      </c>
      <c r="D40" s="30">
        <v>73</v>
      </c>
      <c r="E40" s="30">
        <v>73</v>
      </c>
      <c r="F40" s="30">
        <v>73</v>
      </c>
      <c r="G40" s="30">
        <v>73</v>
      </c>
      <c r="H40" s="30">
        <v>73</v>
      </c>
    </row>
    <row r="41" spans="2:8" ht="14" customHeight="1" x14ac:dyDescent="0.3">
      <c r="B41" s="4" t="s">
        <v>122</v>
      </c>
      <c r="D41" s="30">
        <v>71</v>
      </c>
      <c r="E41" s="30">
        <v>71</v>
      </c>
      <c r="F41" s="30">
        <v>71</v>
      </c>
      <c r="G41" s="30">
        <v>71</v>
      </c>
      <c r="H41" s="30">
        <v>71</v>
      </c>
    </row>
    <row r="42" spans="2:8" ht="14" customHeight="1" x14ac:dyDescent="0.3">
      <c r="B42" s="4" t="s">
        <v>123</v>
      </c>
      <c r="D42" s="30">
        <v>68</v>
      </c>
      <c r="E42" s="30">
        <v>68</v>
      </c>
      <c r="F42" s="30">
        <v>68</v>
      </c>
      <c r="G42" s="30">
        <v>68</v>
      </c>
      <c r="H42" s="30">
        <v>68</v>
      </c>
    </row>
    <row r="43" spans="2:8" ht="14" customHeight="1" x14ac:dyDescent="0.3">
      <c r="B43" s="4" t="s">
        <v>124</v>
      </c>
      <c r="D43" s="30">
        <v>64</v>
      </c>
      <c r="E43" s="30">
        <v>64</v>
      </c>
      <c r="F43" s="30">
        <v>64</v>
      </c>
      <c r="G43" s="30">
        <v>64</v>
      </c>
      <c r="H43" s="30">
        <v>64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1222444.954932</v>
      </c>
      <c r="E5" s="37">
        <f>D5+C24</f>
        <v>1297112.954932</v>
      </c>
      <c r="F5" s="37">
        <v>767351</v>
      </c>
      <c r="G5" s="37">
        <v>88966</v>
      </c>
      <c r="H5" s="37">
        <v>55188</v>
      </c>
      <c r="I5" s="37">
        <v>28487</v>
      </c>
      <c r="J5" s="38">
        <f t="shared" ref="J5:J10" si="0">IFERROR(E5/G5,"")</f>
        <v>14.579872703414788</v>
      </c>
      <c r="K5" s="38">
        <f t="shared" ref="K5:K10" si="1">IFERROR(E5/F5,"")</f>
        <v>1.6903776171947389</v>
      </c>
      <c r="L5" s="38">
        <f t="shared" ref="L5:L10" si="2">IFERROR(D5/I5,"")</f>
        <v>42.912379504054485</v>
      </c>
      <c r="M5" s="38">
        <f t="shared" ref="M5:M10" si="3">IFERROR(D5/P5,"")</f>
        <v>1.4624559059344289</v>
      </c>
      <c r="N5" s="39">
        <f t="shared" ref="N5:N10" si="4">IFERROR(H5/F5,"")</f>
        <v>7.1920151273667465E-2</v>
      </c>
      <c r="O5" s="39">
        <f t="shared" ref="O5:O10" si="5">IFERROR(I5/P5,"")</f>
        <v>3.4080046896403211E-2</v>
      </c>
      <c r="P5" s="37">
        <v>835885</v>
      </c>
    </row>
    <row r="6" spans="2:17" ht="14" customHeight="1" x14ac:dyDescent="0.3">
      <c r="B6" s="4" t="s">
        <v>214</v>
      </c>
      <c r="C6" t="s">
        <v>215</v>
      </c>
      <c r="D6" s="37">
        <v>1185311</v>
      </c>
      <c r="E6" s="37">
        <v>1248939</v>
      </c>
      <c r="F6" s="37">
        <v>542122</v>
      </c>
      <c r="G6" s="37">
        <v>68402</v>
      </c>
      <c r="H6" s="37">
        <v>47308</v>
      </c>
      <c r="I6" s="37">
        <v>35240</v>
      </c>
      <c r="J6" s="38">
        <f t="shared" si="0"/>
        <v>18.258808221981813</v>
      </c>
      <c r="K6" s="38">
        <f t="shared" si="1"/>
        <v>2.3037969313180429</v>
      </c>
      <c r="L6" s="38">
        <f t="shared" si="2"/>
        <v>33.635385925085131</v>
      </c>
      <c r="M6" s="38">
        <f t="shared" si="3"/>
        <v>2.4513092968139274</v>
      </c>
      <c r="N6" s="39">
        <f t="shared" si="4"/>
        <v>8.7264490280785506E-2</v>
      </c>
      <c r="O6" s="39">
        <f t="shared" si="5"/>
        <v>7.2878881255402844E-2</v>
      </c>
      <c r="P6" s="37">
        <v>483542</v>
      </c>
    </row>
    <row r="7" spans="2:17" ht="14" customHeight="1" x14ac:dyDescent="0.3">
      <c r="B7" s="4" t="s">
        <v>216</v>
      </c>
      <c r="C7" t="s">
        <v>217</v>
      </c>
      <c r="D7" s="37">
        <v>5511090</v>
      </c>
      <c r="E7" s="37">
        <v>4793019</v>
      </c>
      <c r="F7" s="37">
        <v>857831</v>
      </c>
      <c r="G7" s="37">
        <v>231545</v>
      </c>
      <c r="H7" s="37">
        <v>183763</v>
      </c>
      <c r="I7" s="37">
        <v>166543</v>
      </c>
      <c r="J7" s="38">
        <f t="shared" si="0"/>
        <v>20.700161955559395</v>
      </c>
      <c r="K7" s="38">
        <f t="shared" si="1"/>
        <v>5.5873697733003356</v>
      </c>
      <c r="L7" s="38">
        <f t="shared" si="2"/>
        <v>33.091093591444853</v>
      </c>
      <c r="M7" s="38">
        <f t="shared" si="3"/>
        <v>2.9552124516923692</v>
      </c>
      <c r="N7" s="39">
        <f t="shared" si="4"/>
        <v>0.21421818516700841</v>
      </c>
      <c r="O7" s="39">
        <f t="shared" si="5"/>
        <v>8.9305372864932744E-2</v>
      </c>
      <c r="P7" s="37">
        <v>1864871</v>
      </c>
    </row>
    <row r="8" spans="2:17" ht="14" customHeight="1" x14ac:dyDescent="0.3">
      <c r="B8" s="4" t="s">
        <v>218</v>
      </c>
      <c r="C8" t="s">
        <v>219</v>
      </c>
      <c r="D8" s="37">
        <v>4194759</v>
      </c>
      <c r="E8" s="37">
        <v>3535981</v>
      </c>
      <c r="F8" s="37">
        <v>842541</v>
      </c>
      <c r="G8" s="37">
        <v>235405</v>
      </c>
      <c r="H8" s="37">
        <v>190559</v>
      </c>
      <c r="I8" s="37">
        <v>167304</v>
      </c>
      <c r="J8" s="38">
        <f t="shared" si="0"/>
        <v>15.020840678830101</v>
      </c>
      <c r="K8" s="38">
        <f t="shared" si="1"/>
        <v>4.1968058527715568</v>
      </c>
      <c r="L8" s="38">
        <f t="shared" si="2"/>
        <v>25.07267608664467</v>
      </c>
      <c r="M8" s="38">
        <f t="shared" si="3"/>
        <v>1.9832531948995078</v>
      </c>
      <c r="N8" s="39">
        <f t="shared" si="4"/>
        <v>0.22617178273816943</v>
      </c>
      <c r="O8" s="39">
        <f t="shared" si="5"/>
        <v>7.9100180134178688E-2</v>
      </c>
      <c r="P8" s="37">
        <v>2115090</v>
      </c>
    </row>
    <row r="9" spans="2:17" ht="14" customHeight="1" x14ac:dyDescent="0.3">
      <c r="B9" s="4" t="s">
        <v>220</v>
      </c>
      <c r="C9" t="s">
        <v>221</v>
      </c>
      <c r="D9" s="37">
        <v>10739696</v>
      </c>
      <c r="E9" s="37">
        <v>10371365</v>
      </c>
      <c r="F9" s="37">
        <v>5894747</v>
      </c>
      <c r="G9" s="37">
        <v>666879</v>
      </c>
      <c r="H9" s="37">
        <v>433095</v>
      </c>
      <c r="I9" s="37">
        <v>407758</v>
      </c>
      <c r="J9" s="38">
        <f t="shared" si="0"/>
        <v>15.552094158010673</v>
      </c>
      <c r="K9" s="38">
        <f t="shared" si="1"/>
        <v>1.7594249592052043</v>
      </c>
      <c r="L9" s="38">
        <f t="shared" si="2"/>
        <v>26.338406603917029</v>
      </c>
      <c r="M9" s="38">
        <f t="shared" si="3"/>
        <v>2.3949730011555959</v>
      </c>
      <c r="N9" s="39">
        <f t="shared" si="4"/>
        <v>7.3471346607411656E-2</v>
      </c>
      <c r="O9" s="39">
        <f t="shared" si="5"/>
        <v>9.0930823461409294E-2</v>
      </c>
      <c r="P9" s="37">
        <v>4484266</v>
      </c>
    </row>
    <row r="10" spans="2:17" ht="14" customHeight="1" x14ac:dyDescent="0.3">
      <c r="B10" s="4" t="s">
        <v>222</v>
      </c>
      <c r="C10" t="s">
        <v>223</v>
      </c>
      <c r="D10" s="37">
        <v>24068208</v>
      </c>
      <c r="E10" s="37">
        <v>23753765</v>
      </c>
      <c r="F10" s="37">
        <v>10586781</v>
      </c>
      <c r="G10" s="37">
        <v>1657248</v>
      </c>
      <c r="H10" s="37">
        <v>1199275</v>
      </c>
      <c r="I10" s="37">
        <v>802368</v>
      </c>
      <c r="J10" s="38">
        <f t="shared" si="0"/>
        <v>14.333259113904496</v>
      </c>
      <c r="K10" s="38">
        <f t="shared" si="1"/>
        <v>2.2437193137366305</v>
      </c>
      <c r="L10" s="38">
        <f t="shared" si="2"/>
        <v>29.996470447475474</v>
      </c>
      <c r="M10" s="38">
        <f t="shared" si="3"/>
        <v>3.6642594226968672</v>
      </c>
      <c r="N10" s="39">
        <f t="shared" si="4"/>
        <v>0.1132804201768224</v>
      </c>
      <c r="O10" s="39">
        <f t="shared" si="5"/>
        <v>0.12215635266532682</v>
      </c>
      <c r="P10" s="37">
        <v>6568369</v>
      </c>
    </row>
    <row r="14" spans="2:17" ht="14" customHeight="1" x14ac:dyDescent="0.3">
      <c r="B14" s="3" t="s">
        <v>224</v>
      </c>
    </row>
    <row r="15" spans="2:17" ht="14" customHeight="1" x14ac:dyDescent="0.3">
      <c r="B15" s="4" t="s">
        <v>225</v>
      </c>
      <c r="D15" s="38">
        <f t="shared" ref="D15:I15" si="6">PERCENTILE(J6:J10,0.25)</f>
        <v>15.020840678830101</v>
      </c>
      <c r="E15" s="38">
        <f t="shared" si="6"/>
        <v>2.2437193137366305</v>
      </c>
      <c r="F15" s="38">
        <f t="shared" si="6"/>
        <v>26.338406603917029</v>
      </c>
      <c r="G15" s="38">
        <f t="shared" si="6"/>
        <v>2.3949730011555959</v>
      </c>
      <c r="H15" s="39">
        <f t="shared" si="6"/>
        <v>8.7264490280785506E-2</v>
      </c>
      <c r="I15" s="39">
        <f t="shared" si="6"/>
        <v>7.9100180134178688E-2</v>
      </c>
    </row>
    <row r="16" spans="2:17" ht="14" customHeight="1" x14ac:dyDescent="0.3">
      <c r="B16" s="4" t="s">
        <v>226</v>
      </c>
      <c r="D16" s="38">
        <f t="shared" ref="D16:I16" si="7">MEDIAN(J6:J10)</f>
        <v>15.552094158010673</v>
      </c>
      <c r="E16" s="38">
        <f t="shared" si="7"/>
        <v>2.3037969313180429</v>
      </c>
      <c r="F16" s="38">
        <f t="shared" si="7"/>
        <v>29.996470447475474</v>
      </c>
      <c r="G16" s="38">
        <f t="shared" si="7"/>
        <v>2.4513092968139274</v>
      </c>
      <c r="H16" s="39">
        <f t="shared" si="7"/>
        <v>0.1132804201768224</v>
      </c>
      <c r="I16" s="39">
        <f t="shared" si="7"/>
        <v>8.9305372864932744E-2</v>
      </c>
    </row>
    <row r="17" spans="2:9" ht="14" customHeight="1" x14ac:dyDescent="0.3">
      <c r="B17" s="4" t="s">
        <v>227</v>
      </c>
      <c r="D17" s="38">
        <f t="shared" ref="D17:I17" si="8">PERCENTILE(J6:J10,0.75)</f>
        <v>18.258808221981813</v>
      </c>
      <c r="E17" s="38">
        <f t="shared" si="8"/>
        <v>4.1968058527715568</v>
      </c>
      <c r="F17" s="38">
        <f t="shared" si="8"/>
        <v>33.091093591444853</v>
      </c>
      <c r="G17" s="38">
        <f t="shared" si="8"/>
        <v>2.9552124516923692</v>
      </c>
      <c r="H17" s="39">
        <f t="shared" si="8"/>
        <v>0.21421818516700841</v>
      </c>
      <c r="I17" s="39">
        <f t="shared" si="8"/>
        <v>9.0930823461409294E-2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88966</v>
      </c>
    </row>
    <row r="22" spans="2:9" ht="14" customHeight="1" x14ac:dyDescent="0.3">
      <c r="B22" s="4" t="s">
        <v>231</v>
      </c>
      <c r="C22" s="5">
        <v>27242</v>
      </c>
    </row>
    <row r="23" spans="2:9" ht="14" customHeight="1" x14ac:dyDescent="0.3">
      <c r="B23" s="4" t="s">
        <v>232</v>
      </c>
      <c r="C23" s="15">
        <v>196629396</v>
      </c>
    </row>
    <row r="24" spans="2:9" ht="14" customHeight="1" x14ac:dyDescent="0.3">
      <c r="B24" s="4" t="s">
        <v>73</v>
      </c>
      <c r="C24" s="5">
        <v>74668</v>
      </c>
    </row>
    <row r="26" spans="2:9" ht="14" customHeight="1" x14ac:dyDescent="0.3">
      <c r="B26" s="3" t="s">
        <v>233</v>
      </c>
    </row>
    <row r="27" spans="2:9" ht="14" customHeight="1" x14ac:dyDescent="0.3">
      <c r="B27" s="4" t="s">
        <v>234</v>
      </c>
      <c r="C27" s="24">
        <f>ROUND((C21*D16-C24)*1000000/C23,0)</f>
        <v>6657</v>
      </c>
    </row>
    <row r="28" spans="2:9" ht="14" customHeight="1" x14ac:dyDescent="0.3">
      <c r="B28" s="4" t="s">
        <v>235</v>
      </c>
      <c r="C28" s="24">
        <f>ROUND(C22*F16*1000000/C23,0)</f>
        <v>4156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0.10806804259730468</v>
      </c>
      <c r="E3" s="4" t="s">
        <v>238</v>
      </c>
      <c r="F3" s="16">
        <f>'DCF Model'!C13</f>
        <v>0.01</v>
      </c>
      <c r="H3" s="4" t="s">
        <v>239</v>
      </c>
      <c r="I3" s="14">
        <f>'DCF Model'!C14</f>
        <v>15.6</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9.3068042597304682E-2</v>
      </c>
      <c r="C7" s="37">
        <f>IFERROR(ROUND(('DCF Model'!C45/(1+$B7)^('DCF Model'!C19+0)+'DCF Model'!D45/(1+$B7)^('DCF Model'!C19+1)+'DCF Model'!E45/(1+$B7)^('DCF Model'!C19+2)+'DCF Model'!F45/(1+$B7)^('DCF Model'!C19+3)+'DCF Model'!G45/(1+$B7)^('DCF Model'!C19+4)+'DCF Model'!G45*(1+C$6)/($B7-C$6)/(1+$B7)^('DCF Model'!C19+4)-'DCF Model'!C16)*1000000/'DCF Model'!C15,0),"")</f>
        <v>1762</v>
      </c>
      <c r="D7" s="37">
        <f>IFERROR(ROUND(('DCF Model'!C45/(1+$B7)^('DCF Model'!C19+0)+'DCF Model'!D45/(1+$B7)^('DCF Model'!C19+1)+'DCF Model'!E45/(1+$B7)^('DCF Model'!C19+2)+'DCF Model'!F45/(1+$B7)^('DCF Model'!C19+3)+'DCF Model'!G45/(1+$B7)^('DCF Model'!C19+4)+'DCF Model'!G45*(1+D$6)/($B7-D$6)/(1+$B7)^('DCF Model'!C19+4)-'DCF Model'!C16)*1000000/'DCF Model'!C15,0),"")</f>
        <v>1810</v>
      </c>
      <c r="E7" s="37">
        <f>IFERROR(ROUND(('DCF Model'!C45/(1+$B7)^('DCF Model'!C19+0)+'DCF Model'!D45/(1+$B7)^('DCF Model'!C19+1)+'DCF Model'!E45/(1+$B7)^('DCF Model'!C19+2)+'DCF Model'!F45/(1+$B7)^('DCF Model'!C19+3)+'DCF Model'!G45/(1+$B7)^('DCF Model'!C19+4)+'DCF Model'!G45*(1+E$6)/($B7-E$6)/(1+$B7)^('DCF Model'!C19+4)-'DCF Model'!C16)*1000000/'DCF Model'!C15,0),"")</f>
        <v>1860</v>
      </c>
      <c r="F7" s="37">
        <f>IFERROR(ROUND(('DCF Model'!C45/(1+$B7)^('DCF Model'!C19+0)+'DCF Model'!D45/(1+$B7)^('DCF Model'!C19+1)+'DCF Model'!E45/(1+$B7)^('DCF Model'!C19+2)+'DCF Model'!F45/(1+$B7)^('DCF Model'!C19+3)+'DCF Model'!G45/(1+$B7)^('DCF Model'!C19+4)+'DCF Model'!G45*(1+F$6)/($B7-F$6)/(1+$B7)^('DCF Model'!C19+4)-'DCF Model'!C16)*1000000/'DCF Model'!C15,0),"")</f>
        <v>1913</v>
      </c>
      <c r="G7" s="37">
        <f>IFERROR(ROUND(('DCF Model'!C45/(1+$B7)^('DCF Model'!C19+0)+'DCF Model'!D45/(1+$B7)^('DCF Model'!C19+1)+'DCF Model'!E45/(1+$B7)^('DCF Model'!C19+2)+'DCF Model'!F45/(1+$B7)^('DCF Model'!C19+3)+'DCF Model'!G45/(1+$B7)^('DCF Model'!C19+4)+'DCF Model'!G45*(1+G$6)/($B7-G$6)/(1+$B7)^('DCF Model'!C19+4)-'DCF Model'!C16)*1000000/'DCF Model'!C15,0),"")</f>
        <v>1970</v>
      </c>
      <c r="H7" s="37">
        <f>IFERROR(ROUND(('DCF Model'!C45/(1+$B7)^('DCF Model'!C19+0)+'DCF Model'!D45/(1+$B7)^('DCF Model'!C19+1)+'DCF Model'!E45/(1+$B7)^('DCF Model'!C19+2)+'DCF Model'!F45/(1+$B7)^('DCF Model'!C19+3)+'DCF Model'!G45/(1+$B7)^('DCF Model'!C19+4)+'DCF Model'!G45*(1+H$6)/($B7-H$6)/(1+$B7)^('DCF Model'!C19+4)-'DCF Model'!C16)*1000000/'DCF Model'!C15,0),"")</f>
        <v>2030</v>
      </c>
      <c r="I7" s="37">
        <f>IFERROR(ROUND(('DCF Model'!C45/(1+$B7)^('DCF Model'!C19+0)+'DCF Model'!D45/(1+$B7)^('DCF Model'!C19+1)+'DCF Model'!E45/(1+$B7)^('DCF Model'!C19+2)+'DCF Model'!F45/(1+$B7)^('DCF Model'!C19+3)+'DCF Model'!G45/(1+$B7)^('DCF Model'!C19+4)+'DCF Model'!G45*(1+I$6)/($B7-I$6)/(1+$B7)^('DCF Model'!C19+4)-'DCF Model'!C16)*1000000/'DCF Model'!C15,0),"")</f>
        <v>2094</v>
      </c>
    </row>
    <row r="8" spans="2:9" ht="13.5" customHeight="1" x14ac:dyDescent="0.25">
      <c r="B8" s="39">
        <f>$C$3-0.01</f>
        <v>9.8068042597304686E-2</v>
      </c>
      <c r="C8" s="37">
        <f>IFERROR(ROUND(('DCF Model'!C45/(1+$B8)^('DCF Model'!C19+0)+'DCF Model'!D45/(1+$B8)^('DCF Model'!C19+1)+'DCF Model'!E45/(1+$B8)^('DCF Model'!C19+2)+'DCF Model'!F45/(1+$B8)^('DCF Model'!C19+3)+'DCF Model'!G45/(1+$B8)^('DCF Model'!C19+4)+'DCF Model'!G45*(1+C$6)/($B8-C$6)/(1+$B8)^('DCF Model'!C19+4)-'DCF Model'!C16)*1000000/'DCF Model'!C15,0),"")</f>
        <v>1641</v>
      </c>
      <c r="D8" s="37">
        <f>IFERROR(ROUND(('DCF Model'!C45/(1+$B8)^('DCF Model'!C19+0)+'DCF Model'!D45/(1+$B8)^('DCF Model'!C19+1)+'DCF Model'!E45/(1+$B8)^('DCF Model'!C19+2)+'DCF Model'!F45/(1+$B8)^('DCF Model'!C19+3)+'DCF Model'!G45/(1+$B8)^('DCF Model'!C19+4)+'DCF Model'!G45*(1+D$6)/($B8-D$6)/(1+$B8)^('DCF Model'!C19+4)-'DCF Model'!C16)*1000000/'DCF Model'!C15,0),"")</f>
        <v>1682</v>
      </c>
      <c r="E8" s="37">
        <f>IFERROR(ROUND(('DCF Model'!C45/(1+$B8)^('DCF Model'!C19+0)+'DCF Model'!D45/(1+$B8)^('DCF Model'!C19+1)+'DCF Model'!E45/(1+$B8)^('DCF Model'!C19+2)+'DCF Model'!F45/(1+$B8)^('DCF Model'!C19+3)+'DCF Model'!G45/(1+$B8)^('DCF Model'!C19+4)+'DCF Model'!G45*(1+E$6)/($B8-E$6)/(1+$B8)^('DCF Model'!C19+4)-'DCF Model'!C16)*1000000/'DCF Model'!C15,0),"")</f>
        <v>1726</v>
      </c>
      <c r="F8" s="37">
        <f>IFERROR(ROUND(('DCF Model'!C45/(1+$B8)^('DCF Model'!C19+0)+'DCF Model'!D45/(1+$B8)^('DCF Model'!C19+1)+'DCF Model'!E45/(1+$B8)^('DCF Model'!C19+2)+'DCF Model'!F45/(1+$B8)^('DCF Model'!C19+3)+'DCF Model'!G45/(1+$B8)^('DCF Model'!C19+4)+'DCF Model'!G45*(1+F$6)/($B8-F$6)/(1+$B8)^('DCF Model'!C19+4)-'DCF Model'!C16)*1000000/'DCF Model'!C15,0),"")</f>
        <v>1773</v>
      </c>
      <c r="G8" s="37">
        <f>IFERROR(ROUND(('DCF Model'!C45/(1+$B8)^('DCF Model'!C19+0)+'DCF Model'!D45/(1+$B8)^('DCF Model'!C19+1)+'DCF Model'!E45/(1+$B8)^('DCF Model'!C19+2)+'DCF Model'!F45/(1+$B8)^('DCF Model'!C19+3)+'DCF Model'!G45/(1+$B8)^('DCF Model'!C19+4)+'DCF Model'!G45*(1+G$6)/($B8-G$6)/(1+$B8)^('DCF Model'!C19+4)-'DCF Model'!C16)*1000000/'DCF Model'!C15,0),"")</f>
        <v>1822</v>
      </c>
      <c r="H8" s="37">
        <f>IFERROR(ROUND(('DCF Model'!C45/(1+$B8)^('DCF Model'!C19+0)+'DCF Model'!D45/(1+$B8)^('DCF Model'!C19+1)+'DCF Model'!E45/(1+$B8)^('DCF Model'!C19+2)+'DCF Model'!F45/(1+$B8)^('DCF Model'!C19+3)+'DCF Model'!G45/(1+$B8)^('DCF Model'!C19+4)+'DCF Model'!G45*(1+H$6)/($B8-H$6)/(1+$B8)^('DCF Model'!C19+4)-'DCF Model'!C16)*1000000/'DCF Model'!C15,0),"")</f>
        <v>1874</v>
      </c>
      <c r="I8" s="37">
        <f>IFERROR(ROUND(('DCF Model'!C45/(1+$B8)^('DCF Model'!C19+0)+'DCF Model'!D45/(1+$B8)^('DCF Model'!C19+1)+'DCF Model'!E45/(1+$B8)^('DCF Model'!C19+2)+'DCF Model'!F45/(1+$B8)^('DCF Model'!C19+3)+'DCF Model'!G45/(1+$B8)^('DCF Model'!C19+4)+'DCF Model'!G45*(1+I$6)/($B8-I$6)/(1+$B8)^('DCF Model'!C19+4)-'DCF Model'!C16)*1000000/'DCF Model'!C15,0),"")</f>
        <v>1930</v>
      </c>
    </row>
    <row r="9" spans="2:9" ht="13.5" customHeight="1" x14ac:dyDescent="0.25">
      <c r="B9" s="39">
        <f>$C$3-0.005</f>
        <v>0.10306804259730468</v>
      </c>
      <c r="C9" s="37">
        <f>IFERROR(ROUND(('DCF Model'!C45/(1+$B9)^('DCF Model'!C19+0)+'DCF Model'!D45/(1+$B9)^('DCF Model'!C19+1)+'DCF Model'!E45/(1+$B9)^('DCF Model'!C19+2)+'DCF Model'!F45/(1+$B9)^('DCF Model'!C19+3)+'DCF Model'!G45/(1+$B9)^('DCF Model'!C19+4)+'DCF Model'!G45*(1+C$6)/($B9-C$6)/(1+$B9)^('DCF Model'!C19+4)-'DCF Model'!C16)*1000000/'DCF Model'!C15,0),"")</f>
        <v>1531</v>
      </c>
      <c r="D9" s="37">
        <f>IFERROR(ROUND(('DCF Model'!C45/(1+$B9)^('DCF Model'!C19+0)+'DCF Model'!D45/(1+$B9)^('DCF Model'!C19+1)+'DCF Model'!E45/(1+$B9)^('DCF Model'!C19+2)+'DCF Model'!F45/(1+$B9)^('DCF Model'!C19+3)+'DCF Model'!G45/(1+$B9)^('DCF Model'!C19+4)+'DCF Model'!G45*(1+D$6)/($B9-D$6)/(1+$B9)^('DCF Model'!C19+4)-'DCF Model'!C16)*1000000/'DCF Model'!C15,0),"")</f>
        <v>1568</v>
      </c>
      <c r="E9" s="37">
        <f>IFERROR(ROUND(('DCF Model'!C45/(1+$B9)^('DCF Model'!C19+0)+'DCF Model'!D45/(1+$B9)^('DCF Model'!C19+1)+'DCF Model'!E45/(1+$B9)^('DCF Model'!C19+2)+'DCF Model'!F45/(1+$B9)^('DCF Model'!C19+3)+'DCF Model'!G45/(1+$B9)^('DCF Model'!C19+4)+'DCF Model'!G45*(1+E$6)/($B9-E$6)/(1+$B9)^('DCF Model'!C19+4)-'DCF Model'!C16)*1000000/'DCF Model'!C15,0),"")</f>
        <v>1607</v>
      </c>
      <c r="F9" s="37">
        <f>IFERROR(ROUND(('DCF Model'!C45/(1+$B9)^('DCF Model'!C19+0)+'DCF Model'!D45/(1+$B9)^('DCF Model'!C19+1)+'DCF Model'!E45/(1+$B9)^('DCF Model'!C19+2)+'DCF Model'!F45/(1+$B9)^('DCF Model'!C19+3)+'DCF Model'!G45/(1+$B9)^('DCF Model'!C19+4)+'DCF Model'!G45*(1+F$6)/($B9-F$6)/(1+$B9)^('DCF Model'!C19+4)-'DCF Model'!C16)*1000000/'DCF Model'!C15,0),"")</f>
        <v>1648</v>
      </c>
      <c r="G9" s="37">
        <f>IFERROR(ROUND(('DCF Model'!C45/(1+$B9)^('DCF Model'!C19+0)+'DCF Model'!D45/(1+$B9)^('DCF Model'!C19+1)+'DCF Model'!E45/(1+$B9)^('DCF Model'!C19+2)+'DCF Model'!F45/(1+$B9)^('DCF Model'!C19+3)+'DCF Model'!G45/(1+$B9)^('DCF Model'!C19+4)+'DCF Model'!G45*(1+G$6)/($B9-G$6)/(1+$B9)^('DCF Model'!C19+4)-'DCF Model'!C16)*1000000/'DCF Model'!C15,0),"")</f>
        <v>1691</v>
      </c>
      <c r="H9" s="37">
        <f>IFERROR(ROUND(('DCF Model'!C45/(1+$B9)^('DCF Model'!C19+0)+'DCF Model'!D45/(1+$B9)^('DCF Model'!C19+1)+'DCF Model'!E45/(1+$B9)^('DCF Model'!C19+2)+'DCF Model'!F45/(1+$B9)^('DCF Model'!C19+3)+'DCF Model'!G45/(1+$B9)^('DCF Model'!C19+4)+'DCF Model'!G45*(1+H$6)/($B9-H$6)/(1+$B9)^('DCF Model'!C19+4)-'DCF Model'!C16)*1000000/'DCF Model'!C15,0),"")</f>
        <v>1737</v>
      </c>
      <c r="I9" s="37">
        <f>IFERROR(ROUND(('DCF Model'!C45/(1+$B9)^('DCF Model'!C19+0)+'DCF Model'!D45/(1+$B9)^('DCF Model'!C19+1)+'DCF Model'!E45/(1+$B9)^('DCF Model'!C19+2)+'DCF Model'!F45/(1+$B9)^('DCF Model'!C19+3)+'DCF Model'!G45/(1+$B9)^('DCF Model'!C19+4)+'DCF Model'!G45*(1+I$6)/($B9-I$6)/(1+$B9)^('DCF Model'!C19+4)-'DCF Model'!C16)*1000000/'DCF Model'!C15,0),"")</f>
        <v>1785</v>
      </c>
    </row>
    <row r="10" spans="2:9" ht="13.5" customHeight="1" x14ac:dyDescent="0.25">
      <c r="B10" s="39">
        <f>$C$3</f>
        <v>0.10806804259730468</v>
      </c>
      <c r="C10" s="37">
        <f>IFERROR(ROUND(('DCF Model'!C45/(1+$B10)^('DCF Model'!C19+0)+'DCF Model'!D45/(1+$B10)^('DCF Model'!C19+1)+'DCF Model'!E45/(1+$B10)^('DCF Model'!C19+2)+'DCF Model'!F45/(1+$B10)^('DCF Model'!C19+3)+'DCF Model'!G45/(1+$B10)^('DCF Model'!C19+4)+'DCF Model'!G45*(1+C$6)/($B10-C$6)/(1+$B10)^('DCF Model'!C19+4)-'DCF Model'!C16)*1000000/'DCF Model'!C15,0),"")</f>
        <v>1432</v>
      </c>
      <c r="D10" s="37">
        <f>IFERROR(ROUND(('DCF Model'!C45/(1+$B10)^('DCF Model'!C19+0)+'DCF Model'!D45/(1+$B10)^('DCF Model'!C19+1)+'DCF Model'!E45/(1+$B10)^('DCF Model'!C19+2)+'DCF Model'!F45/(1+$B10)^('DCF Model'!C19+3)+'DCF Model'!G45/(1+$B10)^('DCF Model'!C19+4)+'DCF Model'!G45*(1+D$6)/($B10-D$6)/(1+$B10)^('DCF Model'!C19+4)-'DCF Model'!C16)*1000000/'DCF Model'!C15,0),"")</f>
        <v>1465</v>
      </c>
      <c r="E10" s="37">
        <f>IFERROR(ROUND(('DCF Model'!C45/(1+$B10)^('DCF Model'!C19+0)+'DCF Model'!D45/(1+$B10)^('DCF Model'!C19+1)+'DCF Model'!E45/(1+$B10)^('DCF Model'!C19+2)+'DCF Model'!F45/(1+$B10)^('DCF Model'!C19+3)+'DCF Model'!G45/(1+$B10)^('DCF Model'!C19+4)+'DCF Model'!G45*(1+E$6)/($B10-E$6)/(1+$B10)^('DCF Model'!C19+4)-'DCF Model'!C16)*1000000/'DCF Model'!C15,0),"")</f>
        <v>1500</v>
      </c>
      <c r="F10" s="37">
        <f>IFERROR(ROUND(('DCF Model'!C45/(1+$B10)^('DCF Model'!C19+0)+'DCF Model'!D45/(1+$B10)^('DCF Model'!C19+1)+'DCF Model'!E45/(1+$B10)^('DCF Model'!C19+2)+'DCF Model'!F45/(1+$B10)^('DCF Model'!C19+3)+'DCF Model'!G45/(1+$B10)^('DCF Model'!C19+4)+'DCF Model'!G45*(1+F$6)/($B10-F$6)/(1+$B10)^('DCF Model'!C19+4)-'DCF Model'!C16)*1000000/'DCF Model'!C15,0),"")</f>
        <v>1536</v>
      </c>
      <c r="G10" s="37">
        <f>IFERROR(ROUND(('DCF Model'!C45/(1+$B10)^('DCF Model'!C19+0)+'DCF Model'!D45/(1+$B10)^('DCF Model'!C19+1)+'DCF Model'!E45/(1+$B10)^('DCF Model'!C19+2)+'DCF Model'!F45/(1+$B10)^('DCF Model'!C19+3)+'DCF Model'!G45/(1+$B10)^('DCF Model'!C19+4)+'DCF Model'!G45*(1+G$6)/($B10-G$6)/(1+$B10)^('DCF Model'!C19+4)-'DCF Model'!C16)*1000000/'DCF Model'!C15,0),"")</f>
        <v>1574</v>
      </c>
      <c r="H10" s="37">
        <f>IFERROR(ROUND(('DCF Model'!C45/(1+$B10)^('DCF Model'!C19+0)+'DCF Model'!D45/(1+$B10)^('DCF Model'!C19+1)+'DCF Model'!E45/(1+$B10)^('DCF Model'!C19+2)+'DCF Model'!F45/(1+$B10)^('DCF Model'!C19+3)+'DCF Model'!G45/(1+$B10)^('DCF Model'!C19+4)+'DCF Model'!G45*(1+H$6)/($B10-H$6)/(1+$B10)^('DCF Model'!C19+4)-'DCF Model'!C16)*1000000/'DCF Model'!C15,0),"")</f>
        <v>1615</v>
      </c>
      <c r="I10" s="37">
        <f>IFERROR(ROUND(('DCF Model'!C45/(1+$B10)^('DCF Model'!C19+0)+'DCF Model'!D45/(1+$B10)^('DCF Model'!C19+1)+'DCF Model'!E45/(1+$B10)^('DCF Model'!C19+2)+'DCF Model'!F45/(1+$B10)^('DCF Model'!C19+3)+'DCF Model'!G45/(1+$B10)^('DCF Model'!C19+4)+'DCF Model'!G45*(1+I$6)/($B10-I$6)/(1+$B10)^('DCF Model'!C19+4)-'DCF Model'!C16)*1000000/'DCF Model'!C15,0),"")</f>
        <v>1657</v>
      </c>
    </row>
    <row r="11" spans="2:9" ht="13.5" customHeight="1" x14ac:dyDescent="0.25">
      <c r="B11" s="39">
        <f>$C$3+0.005</f>
        <v>0.11306804259730469</v>
      </c>
      <c r="C11" s="37">
        <f>IFERROR(ROUND(('DCF Model'!C45/(1+$B11)^('DCF Model'!C19+0)+'DCF Model'!D45/(1+$B11)^('DCF Model'!C19+1)+'DCF Model'!E45/(1+$B11)^('DCF Model'!C19+2)+'DCF Model'!F45/(1+$B11)^('DCF Model'!C19+3)+'DCF Model'!G45/(1+$B11)^('DCF Model'!C19+4)+'DCF Model'!G45*(1+C$6)/($B11-C$6)/(1+$B11)^('DCF Model'!C19+4)-'DCF Model'!C16)*1000000/'DCF Model'!C15,0),"")</f>
        <v>1343</v>
      </c>
      <c r="D11" s="37">
        <f>IFERROR(ROUND(('DCF Model'!C45/(1+$B11)^('DCF Model'!C19+0)+'DCF Model'!D45/(1+$B11)^('DCF Model'!C19+1)+'DCF Model'!E45/(1+$B11)^('DCF Model'!C19+2)+'DCF Model'!F45/(1+$B11)^('DCF Model'!C19+3)+'DCF Model'!G45/(1+$B11)^('DCF Model'!C19+4)+'DCF Model'!G45*(1+D$6)/($B11-D$6)/(1+$B11)^('DCF Model'!C19+4)-'DCF Model'!C16)*1000000/'DCF Model'!C15,0),"")</f>
        <v>1372</v>
      </c>
      <c r="E11" s="37">
        <f>IFERROR(ROUND(('DCF Model'!C45/(1+$B11)^('DCF Model'!C19+0)+'DCF Model'!D45/(1+$B11)^('DCF Model'!C19+1)+'DCF Model'!E45/(1+$B11)^('DCF Model'!C19+2)+'DCF Model'!F45/(1+$B11)^('DCF Model'!C19+3)+'DCF Model'!G45/(1+$B11)^('DCF Model'!C19+4)+'DCF Model'!G45*(1+E$6)/($B11-E$6)/(1+$B11)^('DCF Model'!C19+4)-'DCF Model'!C16)*1000000/'DCF Model'!C15,0),"")</f>
        <v>1403</v>
      </c>
      <c r="F11" s="37">
        <f>IFERROR(ROUND(('DCF Model'!C45/(1+$B11)^('DCF Model'!C19+0)+'DCF Model'!D45/(1+$B11)^('DCF Model'!C19+1)+'DCF Model'!E45/(1+$B11)^('DCF Model'!C19+2)+'DCF Model'!F45/(1+$B11)^('DCF Model'!C19+3)+'DCF Model'!G45/(1+$B11)^('DCF Model'!C19+4)+'DCF Model'!G45*(1+F$6)/($B11-F$6)/(1+$B11)^('DCF Model'!C19+4)-'DCF Model'!C16)*1000000/'DCF Model'!C15,0),"")</f>
        <v>1435</v>
      </c>
      <c r="G11" s="37">
        <f>IFERROR(ROUND(('DCF Model'!C45/(1+$B11)^('DCF Model'!C19+0)+'DCF Model'!D45/(1+$B11)^('DCF Model'!C19+1)+'DCF Model'!E45/(1+$B11)^('DCF Model'!C19+2)+'DCF Model'!F45/(1+$B11)^('DCF Model'!C19+3)+'DCF Model'!G45/(1+$B11)^('DCF Model'!C19+4)+'DCF Model'!G45*(1+G$6)/($B11-G$6)/(1+$B11)^('DCF Model'!C19+4)-'DCF Model'!C16)*1000000/'DCF Model'!C15,0),"")</f>
        <v>1469</v>
      </c>
      <c r="H11" s="37">
        <f>IFERROR(ROUND(('DCF Model'!C45/(1+$B11)^('DCF Model'!C19+0)+'DCF Model'!D45/(1+$B11)^('DCF Model'!C19+1)+'DCF Model'!E45/(1+$B11)^('DCF Model'!C19+2)+'DCF Model'!F45/(1+$B11)^('DCF Model'!C19+3)+'DCF Model'!G45/(1+$B11)^('DCF Model'!C19+4)+'DCF Model'!G45*(1+H$6)/($B11-H$6)/(1+$B11)^('DCF Model'!C19+4)-'DCF Model'!C16)*1000000/'DCF Model'!C15,0),"")</f>
        <v>1505</v>
      </c>
      <c r="I11" s="37">
        <f>IFERROR(ROUND(('DCF Model'!C45/(1+$B11)^('DCF Model'!C19+0)+'DCF Model'!D45/(1+$B11)^('DCF Model'!C19+1)+'DCF Model'!E45/(1+$B11)^('DCF Model'!C19+2)+'DCF Model'!F45/(1+$B11)^('DCF Model'!C19+3)+'DCF Model'!G45/(1+$B11)^('DCF Model'!C19+4)+'DCF Model'!G45*(1+I$6)/($B11-I$6)/(1+$B11)^('DCF Model'!C19+4)-'DCF Model'!C16)*1000000/'DCF Model'!C15,0),"")</f>
        <v>1542</v>
      </c>
    </row>
    <row r="12" spans="2:9" ht="13.5" customHeight="1" x14ac:dyDescent="0.25">
      <c r="B12" s="39">
        <f>$C$3+0.01</f>
        <v>0.11806804259730468</v>
      </c>
      <c r="C12" s="37">
        <f>IFERROR(ROUND(('DCF Model'!C45/(1+$B12)^('DCF Model'!C19+0)+'DCF Model'!D45/(1+$B12)^('DCF Model'!C19+1)+'DCF Model'!E45/(1+$B12)^('DCF Model'!C19+2)+'DCF Model'!F45/(1+$B12)^('DCF Model'!C19+3)+'DCF Model'!G45/(1+$B12)^('DCF Model'!C19+4)+'DCF Model'!G45*(1+C$6)/($B12-C$6)/(1+$B12)^('DCF Model'!C19+4)-'DCF Model'!C16)*1000000/'DCF Model'!C15,0),"")</f>
        <v>1261</v>
      </c>
      <c r="D12" s="37">
        <f>IFERROR(ROUND(('DCF Model'!C45/(1+$B12)^('DCF Model'!C19+0)+'DCF Model'!D45/(1+$B12)^('DCF Model'!C19+1)+'DCF Model'!E45/(1+$B12)^('DCF Model'!C19+2)+'DCF Model'!F45/(1+$B12)^('DCF Model'!C19+3)+'DCF Model'!G45/(1+$B12)^('DCF Model'!C19+4)+'DCF Model'!G45*(1+D$6)/($B12-D$6)/(1+$B12)^('DCF Model'!C19+4)-'DCF Model'!C16)*1000000/'DCF Model'!C15,0),"")</f>
        <v>1287</v>
      </c>
      <c r="E12" s="37">
        <f>IFERROR(ROUND(('DCF Model'!C45/(1+$B12)^('DCF Model'!C19+0)+'DCF Model'!D45/(1+$B12)^('DCF Model'!C19+1)+'DCF Model'!E45/(1+$B12)^('DCF Model'!C19+2)+'DCF Model'!F45/(1+$B12)^('DCF Model'!C19+3)+'DCF Model'!G45/(1+$B12)^('DCF Model'!C19+4)+'DCF Model'!G45*(1+E$6)/($B12-E$6)/(1+$B12)^('DCF Model'!C19+4)-'DCF Model'!C16)*1000000/'DCF Model'!C15,0),"")</f>
        <v>1315</v>
      </c>
      <c r="F12" s="37">
        <f>IFERROR(ROUND(('DCF Model'!C45/(1+$B12)^('DCF Model'!C19+0)+'DCF Model'!D45/(1+$B12)^('DCF Model'!C19+1)+'DCF Model'!E45/(1+$B12)^('DCF Model'!C19+2)+'DCF Model'!F45/(1+$B12)^('DCF Model'!C19+3)+'DCF Model'!G45/(1+$B12)^('DCF Model'!C19+4)+'DCF Model'!G45*(1+F$6)/($B12-F$6)/(1+$B12)^('DCF Model'!C19+4)-'DCF Model'!C16)*1000000/'DCF Model'!C15,0),"")</f>
        <v>1344</v>
      </c>
      <c r="G12" s="37">
        <f>IFERROR(ROUND(('DCF Model'!C45/(1+$B12)^('DCF Model'!C19+0)+'DCF Model'!D45/(1+$B12)^('DCF Model'!C19+1)+'DCF Model'!E45/(1+$B12)^('DCF Model'!C19+2)+'DCF Model'!F45/(1+$B12)^('DCF Model'!C19+3)+'DCF Model'!G45/(1+$B12)^('DCF Model'!C19+4)+'DCF Model'!G45*(1+G$6)/($B12-G$6)/(1+$B12)^('DCF Model'!C19+4)-'DCF Model'!C16)*1000000/'DCF Model'!C15,0),"")</f>
        <v>1374</v>
      </c>
      <c r="H12" s="37">
        <f>IFERROR(ROUND(('DCF Model'!C45/(1+$B12)^('DCF Model'!C19+0)+'DCF Model'!D45/(1+$B12)^('DCF Model'!C19+1)+'DCF Model'!E45/(1+$B12)^('DCF Model'!C19+2)+'DCF Model'!F45/(1+$B12)^('DCF Model'!C19+3)+'DCF Model'!G45/(1+$B12)^('DCF Model'!C19+4)+'DCF Model'!G45*(1+H$6)/($B12-H$6)/(1+$B12)^('DCF Model'!C19+4)-'DCF Model'!C16)*1000000/'DCF Model'!C15,0),"")</f>
        <v>1406</v>
      </c>
      <c r="I12" s="37">
        <f>IFERROR(ROUND(('DCF Model'!C45/(1+$B12)^('DCF Model'!C19+0)+'DCF Model'!D45/(1+$B12)^('DCF Model'!C19+1)+'DCF Model'!E45/(1+$B12)^('DCF Model'!C19+2)+'DCF Model'!F45/(1+$B12)^('DCF Model'!C19+3)+'DCF Model'!G45/(1+$B12)^('DCF Model'!C19+4)+'DCF Model'!G45*(1+I$6)/($B12-I$6)/(1+$B12)^('DCF Model'!C19+4)-'DCF Model'!C16)*1000000/'DCF Model'!C15,0),"")</f>
        <v>1439</v>
      </c>
    </row>
    <row r="13" spans="2:9" ht="13.5" customHeight="1" x14ac:dyDescent="0.25">
      <c r="B13" s="39">
        <f>$C$3+0.015</f>
        <v>0.12306804259730468</v>
      </c>
      <c r="C13" s="37">
        <f>IFERROR(ROUND(('DCF Model'!C45/(1+$B13)^('DCF Model'!C19+0)+'DCF Model'!D45/(1+$B13)^('DCF Model'!C19+1)+'DCF Model'!E45/(1+$B13)^('DCF Model'!C19+2)+'DCF Model'!F45/(1+$B13)^('DCF Model'!C19+3)+'DCF Model'!G45/(1+$B13)^('DCF Model'!C19+4)+'DCF Model'!G45*(1+C$6)/($B13-C$6)/(1+$B13)^('DCF Model'!C19+4)-'DCF Model'!C16)*1000000/'DCF Model'!C15,0),"")</f>
        <v>1186</v>
      </c>
      <c r="D13" s="37">
        <f>IFERROR(ROUND(('DCF Model'!C45/(1+$B13)^('DCF Model'!C19+0)+'DCF Model'!D45/(1+$B13)^('DCF Model'!C19+1)+'DCF Model'!E45/(1+$B13)^('DCF Model'!C19+2)+'DCF Model'!F45/(1+$B13)^('DCF Model'!C19+3)+'DCF Model'!G45/(1+$B13)^('DCF Model'!C19+4)+'DCF Model'!G45*(1+D$6)/($B13-D$6)/(1+$B13)^('DCF Model'!C19+4)-'DCF Model'!C16)*1000000/'DCF Model'!C15,0),"")</f>
        <v>1210</v>
      </c>
      <c r="E13" s="37">
        <f>IFERROR(ROUND(('DCF Model'!C45/(1+$B13)^('DCF Model'!C19+0)+'DCF Model'!D45/(1+$B13)^('DCF Model'!C19+1)+'DCF Model'!E45/(1+$B13)^('DCF Model'!C19+2)+'DCF Model'!F45/(1+$B13)^('DCF Model'!C19+3)+'DCF Model'!G45/(1+$B13)^('DCF Model'!C19+4)+'DCF Model'!G45*(1+E$6)/($B13-E$6)/(1+$B13)^('DCF Model'!C19+4)-'DCF Model'!C16)*1000000/'DCF Model'!C15,0),"")</f>
        <v>1234</v>
      </c>
      <c r="F13" s="37">
        <f>IFERROR(ROUND(('DCF Model'!C45/(1+$B13)^('DCF Model'!C19+0)+'DCF Model'!D45/(1+$B13)^('DCF Model'!C19+1)+'DCF Model'!E45/(1+$B13)^('DCF Model'!C19+2)+'DCF Model'!F45/(1+$B13)^('DCF Model'!C19+3)+'DCF Model'!G45/(1+$B13)^('DCF Model'!C19+4)+'DCF Model'!G45*(1+F$6)/($B13-F$6)/(1+$B13)^('DCF Model'!C19+4)-'DCF Model'!C16)*1000000/'DCF Model'!C15,0),"")</f>
        <v>1260</v>
      </c>
      <c r="G13" s="37">
        <f>IFERROR(ROUND(('DCF Model'!C45/(1+$B13)^('DCF Model'!C19+0)+'DCF Model'!D45/(1+$B13)^('DCF Model'!C19+1)+'DCF Model'!E45/(1+$B13)^('DCF Model'!C19+2)+'DCF Model'!F45/(1+$B13)^('DCF Model'!C19+3)+'DCF Model'!G45/(1+$B13)^('DCF Model'!C19+4)+'DCF Model'!G45*(1+G$6)/($B13-G$6)/(1+$B13)^('DCF Model'!C19+4)-'DCF Model'!C16)*1000000/'DCF Model'!C15,0),"")</f>
        <v>1287</v>
      </c>
      <c r="H13" s="37">
        <f>IFERROR(ROUND(('DCF Model'!C45/(1+$B13)^('DCF Model'!C19+0)+'DCF Model'!D45/(1+$B13)^('DCF Model'!C19+1)+'DCF Model'!E45/(1+$B13)^('DCF Model'!C19+2)+'DCF Model'!F45/(1+$B13)^('DCF Model'!C19+3)+'DCF Model'!G45/(1+$B13)^('DCF Model'!C19+4)+'DCF Model'!G45*(1+H$6)/($B13-H$6)/(1+$B13)^('DCF Model'!C19+4)-'DCF Model'!C16)*1000000/'DCF Model'!C15,0),"")</f>
        <v>1316</v>
      </c>
      <c r="I13" s="37">
        <f>IFERROR(ROUND(('DCF Model'!C45/(1+$B13)^('DCF Model'!C19+0)+'DCF Model'!D45/(1+$B13)^('DCF Model'!C19+1)+'DCF Model'!E45/(1+$B13)^('DCF Model'!C19+2)+'DCF Model'!F45/(1+$B13)^('DCF Model'!C19+3)+'DCF Model'!G45/(1+$B13)^('DCF Model'!C19+4)+'DCF Model'!G45*(1+I$6)/($B13-I$6)/(1+$B13)^('DCF Model'!C19+4)-'DCF Model'!C16)*1000000/'DCF Model'!C15,0),"")</f>
        <v>1346</v>
      </c>
    </row>
    <row r="16" spans="2:9" ht="14" customHeight="1" x14ac:dyDescent="0.3">
      <c r="B16" s="3" t="s">
        <v>242</v>
      </c>
    </row>
    <row r="17" spans="2:9" ht="14" customHeight="1" x14ac:dyDescent="0.3">
      <c r="B17" s="40" t="s">
        <v>243</v>
      </c>
      <c r="C17" s="42">
        <f>$I$3-3</f>
        <v>12.6</v>
      </c>
      <c r="D17" s="42">
        <f>$I$3-2</f>
        <v>13.6</v>
      </c>
      <c r="E17" s="42">
        <f>$I$3-1</f>
        <v>14.6</v>
      </c>
      <c r="F17" s="42">
        <f>$I$3</f>
        <v>15.6</v>
      </c>
      <c r="G17" s="42">
        <f>$I$3+1</f>
        <v>16.600000000000001</v>
      </c>
      <c r="H17" s="42">
        <f>$I$3+2</f>
        <v>17.600000000000001</v>
      </c>
      <c r="I17" s="42">
        <f>$I$3+3</f>
        <v>18.600000000000001</v>
      </c>
    </row>
    <row r="18" spans="2:9" ht="13.5" customHeight="1" x14ac:dyDescent="0.25">
      <c r="B18" s="39">
        <f>$C$3-0.015</f>
        <v>9.3068042597304682E-2</v>
      </c>
      <c r="C18" s="37">
        <f>IFERROR(ROUND(('DCF Model'!C45/(1+$B18)^('DCF Model'!C19+0)+'DCF Model'!D45/(1+$B18)^('DCF Model'!C19+1)+'DCF Model'!E45/(1+$B18)^('DCF Model'!C19+2)+'DCF Model'!F45/(1+$B18)^('DCF Model'!C19+3)+'DCF Model'!G45/(1+$B18)^('DCF Model'!C19+4)+('DCF Model'!G39+'DCF Model'!G42)*C$17/(1+$B18)^('DCF Model'!C19+4)-'DCF Model'!C16)*1000000/'DCF Model'!C15,0),"")</f>
        <v>4519</v>
      </c>
      <c r="D18" s="37">
        <f>IFERROR(ROUND(('DCF Model'!C45/(1+$B18)^('DCF Model'!C19+0)+'DCF Model'!D45/(1+$B18)^('DCF Model'!C19+1)+'DCF Model'!E45/(1+$B18)^('DCF Model'!C19+2)+'DCF Model'!F45/(1+$B18)^('DCF Model'!C19+3)+'DCF Model'!G45/(1+$B18)^('DCF Model'!C19+4)+('DCF Model'!G39+'DCF Model'!G42)*D$17/(1+$B18)^('DCF Model'!C19+4)-'DCF Model'!C16)*1000000/'DCF Model'!C15,0),"")</f>
        <v>4859</v>
      </c>
      <c r="E18" s="37">
        <f>IFERROR(ROUND(('DCF Model'!C45/(1+$B18)^('DCF Model'!C19+0)+'DCF Model'!D45/(1+$B18)^('DCF Model'!C19+1)+'DCF Model'!E45/(1+$B18)^('DCF Model'!C19+2)+'DCF Model'!F45/(1+$B18)^('DCF Model'!C19+3)+'DCF Model'!G45/(1+$B18)^('DCF Model'!C19+4)+('DCF Model'!G39+'DCF Model'!G42)*E$17/(1+$B18)^('DCF Model'!C19+4)-'DCF Model'!C16)*1000000/'DCF Model'!C15,0),"")</f>
        <v>5200</v>
      </c>
      <c r="F18" s="37">
        <f>IFERROR(ROUND(('DCF Model'!C45/(1+$B18)^('DCF Model'!C19+0)+'DCF Model'!D45/(1+$B18)^('DCF Model'!C19+1)+'DCF Model'!E45/(1+$B18)^('DCF Model'!C19+2)+'DCF Model'!F45/(1+$B18)^('DCF Model'!C19+3)+'DCF Model'!G45/(1+$B18)^('DCF Model'!C19+4)+('DCF Model'!G39+'DCF Model'!G42)*F$17/(1+$B18)^('DCF Model'!C19+4)-'DCF Model'!C16)*1000000/'DCF Model'!C15,0),"")</f>
        <v>5540</v>
      </c>
      <c r="G18" s="37">
        <f>IFERROR(ROUND(('DCF Model'!C45/(1+$B18)^('DCF Model'!C19+0)+'DCF Model'!D45/(1+$B18)^('DCF Model'!C19+1)+'DCF Model'!E45/(1+$B18)^('DCF Model'!C19+2)+'DCF Model'!F45/(1+$B18)^('DCF Model'!C19+3)+'DCF Model'!G45/(1+$B18)^('DCF Model'!C19+4)+('DCF Model'!G39+'DCF Model'!G42)*G$17/(1+$B18)^('DCF Model'!C19+4)-'DCF Model'!C16)*1000000/'DCF Model'!C15,0),"")</f>
        <v>5880</v>
      </c>
      <c r="H18" s="37">
        <f>IFERROR(ROUND(('DCF Model'!C45/(1+$B18)^('DCF Model'!C19+0)+'DCF Model'!D45/(1+$B18)^('DCF Model'!C19+1)+'DCF Model'!E45/(1+$B18)^('DCF Model'!C19+2)+'DCF Model'!F45/(1+$B18)^('DCF Model'!C19+3)+'DCF Model'!G45/(1+$B18)^('DCF Model'!C19+4)+('DCF Model'!G39+'DCF Model'!G42)*H$17/(1+$B18)^('DCF Model'!C19+4)-'DCF Model'!C16)*1000000/'DCF Model'!C15,0),"")</f>
        <v>6221</v>
      </c>
      <c r="I18" s="37">
        <f>IFERROR(ROUND(('DCF Model'!C45/(1+$B18)^('DCF Model'!C19+0)+'DCF Model'!D45/(1+$B18)^('DCF Model'!C19+1)+'DCF Model'!E45/(1+$B18)^('DCF Model'!C19+2)+'DCF Model'!F45/(1+$B18)^('DCF Model'!C19+3)+'DCF Model'!G45/(1+$B18)^('DCF Model'!C19+4)+('DCF Model'!G39+'DCF Model'!G42)*I$17/(1+$B18)^('DCF Model'!C19+4)-'DCF Model'!C16)*1000000/'DCF Model'!C15,0),"")</f>
        <v>6561</v>
      </c>
    </row>
    <row r="19" spans="2:9" ht="13.5" customHeight="1" x14ac:dyDescent="0.25">
      <c r="B19" s="39">
        <f>$C$3-0.01</f>
        <v>9.8068042597304686E-2</v>
      </c>
      <c r="C19" s="37">
        <f>IFERROR(ROUND(('DCF Model'!C45/(1+$B19)^('DCF Model'!C19+0)+'DCF Model'!D45/(1+$B19)^('DCF Model'!C19+1)+'DCF Model'!E45/(1+$B19)^('DCF Model'!C19+2)+'DCF Model'!F45/(1+$B19)^('DCF Model'!C19+3)+'DCF Model'!G45/(1+$B19)^('DCF Model'!C19+4)+('DCF Model'!G39+'DCF Model'!G42)*C$17/(1+$B19)^('DCF Model'!C19+4)-'DCF Model'!C16)*1000000/'DCF Model'!C15,0),"")</f>
        <v>4413</v>
      </c>
      <c r="D19" s="37">
        <f>IFERROR(ROUND(('DCF Model'!C45/(1+$B19)^('DCF Model'!C19+0)+'DCF Model'!D45/(1+$B19)^('DCF Model'!C19+1)+'DCF Model'!E45/(1+$B19)^('DCF Model'!C19+2)+'DCF Model'!F45/(1+$B19)^('DCF Model'!C19+3)+'DCF Model'!G45/(1+$B19)^('DCF Model'!C19+4)+('DCF Model'!G39+'DCF Model'!G42)*D$17/(1+$B19)^('DCF Model'!C19+4)-'DCF Model'!C16)*1000000/'DCF Model'!C15,0),"")</f>
        <v>4746</v>
      </c>
      <c r="E19" s="37">
        <f>IFERROR(ROUND(('DCF Model'!C45/(1+$B19)^('DCF Model'!C19+0)+'DCF Model'!D45/(1+$B19)^('DCF Model'!C19+1)+'DCF Model'!E45/(1+$B19)^('DCF Model'!C19+2)+'DCF Model'!F45/(1+$B19)^('DCF Model'!C19+3)+'DCF Model'!G45/(1+$B19)^('DCF Model'!C19+4)+('DCF Model'!G39+'DCF Model'!G42)*E$17/(1+$B19)^('DCF Model'!C19+4)-'DCF Model'!C16)*1000000/'DCF Model'!C15,0),"")</f>
        <v>5079</v>
      </c>
      <c r="F19" s="37">
        <f>IFERROR(ROUND(('DCF Model'!C45/(1+$B19)^('DCF Model'!C19+0)+'DCF Model'!D45/(1+$B19)^('DCF Model'!C19+1)+'DCF Model'!E45/(1+$B19)^('DCF Model'!C19+2)+'DCF Model'!F45/(1+$B19)^('DCF Model'!C19+3)+'DCF Model'!G45/(1+$B19)^('DCF Model'!C19+4)+('DCF Model'!G39+'DCF Model'!G42)*F$17/(1+$B19)^('DCF Model'!C19+4)-'DCF Model'!C16)*1000000/'DCF Model'!C15,0),"")</f>
        <v>5411</v>
      </c>
      <c r="G19" s="37">
        <f>IFERROR(ROUND(('DCF Model'!C45/(1+$B19)^('DCF Model'!C19+0)+'DCF Model'!D45/(1+$B19)^('DCF Model'!C19+1)+'DCF Model'!E45/(1+$B19)^('DCF Model'!C19+2)+'DCF Model'!F45/(1+$B19)^('DCF Model'!C19+3)+'DCF Model'!G45/(1+$B19)^('DCF Model'!C19+4)+('DCF Model'!G39+'DCF Model'!G42)*G$17/(1+$B19)^('DCF Model'!C19+4)-'DCF Model'!C16)*1000000/'DCF Model'!C15,0),"")</f>
        <v>5744</v>
      </c>
      <c r="H19" s="37">
        <f>IFERROR(ROUND(('DCF Model'!C45/(1+$B19)^('DCF Model'!C19+0)+'DCF Model'!D45/(1+$B19)^('DCF Model'!C19+1)+'DCF Model'!E45/(1+$B19)^('DCF Model'!C19+2)+'DCF Model'!F45/(1+$B19)^('DCF Model'!C19+3)+'DCF Model'!G45/(1+$B19)^('DCF Model'!C19+4)+('DCF Model'!G39+'DCF Model'!G42)*H$17/(1+$B19)^('DCF Model'!C19+4)-'DCF Model'!C16)*1000000/'DCF Model'!C15,0),"")</f>
        <v>6077</v>
      </c>
      <c r="I19" s="37">
        <f>IFERROR(ROUND(('DCF Model'!C45/(1+$B19)^('DCF Model'!C19+0)+'DCF Model'!D45/(1+$B19)^('DCF Model'!C19+1)+'DCF Model'!E45/(1+$B19)^('DCF Model'!C19+2)+'DCF Model'!F45/(1+$B19)^('DCF Model'!C19+3)+'DCF Model'!G45/(1+$B19)^('DCF Model'!C19+4)+('DCF Model'!G39+'DCF Model'!G42)*I$17/(1+$B19)^('DCF Model'!C19+4)-'DCF Model'!C16)*1000000/'DCF Model'!C15,0),"")</f>
        <v>6409</v>
      </c>
    </row>
    <row r="20" spans="2:9" ht="13.5" customHeight="1" x14ac:dyDescent="0.25">
      <c r="B20" s="39">
        <f>$C$3-0.005</f>
        <v>0.10306804259730468</v>
      </c>
      <c r="C20" s="37">
        <f>IFERROR(ROUND(('DCF Model'!C45/(1+$B20)^('DCF Model'!C19+0)+'DCF Model'!D45/(1+$B20)^('DCF Model'!C19+1)+'DCF Model'!E45/(1+$B20)^('DCF Model'!C19+2)+'DCF Model'!F45/(1+$B20)^('DCF Model'!C19+3)+'DCF Model'!G45/(1+$B20)^('DCF Model'!C19+4)+('DCF Model'!G39+'DCF Model'!G42)*C$17/(1+$B20)^('DCF Model'!C19+4)-'DCF Model'!C16)*1000000/'DCF Model'!C15,0),"")</f>
        <v>4311</v>
      </c>
      <c r="D20" s="37">
        <f>IFERROR(ROUND(('DCF Model'!C45/(1+$B20)^('DCF Model'!C19+0)+'DCF Model'!D45/(1+$B20)^('DCF Model'!C19+1)+'DCF Model'!E45/(1+$B20)^('DCF Model'!C19+2)+'DCF Model'!F45/(1+$B20)^('DCF Model'!C19+3)+'DCF Model'!G45/(1+$B20)^('DCF Model'!C19+4)+('DCF Model'!G39+'DCF Model'!G42)*D$17/(1+$B20)^('DCF Model'!C19+4)-'DCF Model'!C16)*1000000/'DCF Model'!C15,0),"")</f>
        <v>4636</v>
      </c>
      <c r="E20" s="37">
        <f>IFERROR(ROUND(('DCF Model'!C45/(1+$B20)^('DCF Model'!C19+0)+'DCF Model'!D45/(1+$B20)^('DCF Model'!C19+1)+'DCF Model'!E45/(1+$B20)^('DCF Model'!C19+2)+'DCF Model'!F45/(1+$B20)^('DCF Model'!C19+3)+'DCF Model'!G45/(1+$B20)^('DCF Model'!C19+4)+('DCF Model'!G39+'DCF Model'!G42)*E$17/(1+$B20)^('DCF Model'!C19+4)-'DCF Model'!C16)*1000000/'DCF Model'!C15,0),"")</f>
        <v>4961</v>
      </c>
      <c r="F20" s="37">
        <f>IFERROR(ROUND(('DCF Model'!C45/(1+$B20)^('DCF Model'!C19+0)+'DCF Model'!D45/(1+$B20)^('DCF Model'!C19+1)+'DCF Model'!E45/(1+$B20)^('DCF Model'!C19+2)+'DCF Model'!F45/(1+$B20)^('DCF Model'!C19+3)+'DCF Model'!G45/(1+$B20)^('DCF Model'!C19+4)+('DCF Model'!G39+'DCF Model'!G42)*F$17/(1+$B20)^('DCF Model'!C19+4)-'DCF Model'!C16)*1000000/'DCF Model'!C15,0),"")</f>
        <v>5286</v>
      </c>
      <c r="G20" s="37">
        <f>IFERROR(ROUND(('DCF Model'!C45/(1+$B20)^('DCF Model'!C19+0)+'DCF Model'!D45/(1+$B20)^('DCF Model'!C19+1)+'DCF Model'!E45/(1+$B20)^('DCF Model'!C19+2)+'DCF Model'!F45/(1+$B20)^('DCF Model'!C19+3)+'DCF Model'!G45/(1+$B20)^('DCF Model'!C19+4)+('DCF Model'!G39+'DCF Model'!G42)*G$17/(1+$B20)^('DCF Model'!C19+4)-'DCF Model'!C16)*1000000/'DCF Model'!C15,0),"")</f>
        <v>5612</v>
      </c>
      <c r="H20" s="37">
        <f>IFERROR(ROUND(('DCF Model'!C45/(1+$B20)^('DCF Model'!C19+0)+'DCF Model'!D45/(1+$B20)^('DCF Model'!C19+1)+'DCF Model'!E45/(1+$B20)^('DCF Model'!C19+2)+'DCF Model'!F45/(1+$B20)^('DCF Model'!C19+3)+'DCF Model'!G45/(1+$B20)^('DCF Model'!C19+4)+('DCF Model'!G39+'DCF Model'!G42)*H$17/(1+$B20)^('DCF Model'!C19+4)-'DCF Model'!C16)*1000000/'DCF Model'!C15,0),"")</f>
        <v>5937</v>
      </c>
      <c r="I20" s="37">
        <f>IFERROR(ROUND(('DCF Model'!C45/(1+$B20)^('DCF Model'!C19+0)+'DCF Model'!D45/(1+$B20)^('DCF Model'!C19+1)+'DCF Model'!E45/(1+$B20)^('DCF Model'!C19+2)+'DCF Model'!F45/(1+$B20)^('DCF Model'!C19+3)+'DCF Model'!G45/(1+$B20)^('DCF Model'!C19+4)+('DCF Model'!G39+'DCF Model'!G42)*I$17/(1+$B20)^('DCF Model'!C19+4)-'DCF Model'!C16)*1000000/'DCF Model'!C15,0),"")</f>
        <v>6262</v>
      </c>
    </row>
    <row r="21" spans="2:9" ht="13.5" customHeight="1" x14ac:dyDescent="0.25">
      <c r="B21" s="39">
        <f>$C$3</f>
        <v>0.10806804259730468</v>
      </c>
      <c r="C21" s="37">
        <f>IFERROR(ROUND(('DCF Model'!C45/(1+$B21)^('DCF Model'!C19+0)+'DCF Model'!D45/(1+$B21)^('DCF Model'!C19+1)+'DCF Model'!E45/(1+$B21)^('DCF Model'!C19+2)+'DCF Model'!F45/(1+$B21)^('DCF Model'!C19+3)+'DCF Model'!G45/(1+$B21)^('DCF Model'!C19+4)+('DCF Model'!G39+'DCF Model'!G42)*C$17/(1+$B21)^('DCF Model'!C19+4)-'DCF Model'!C16)*1000000/'DCF Model'!C15,0),"")</f>
        <v>4211</v>
      </c>
      <c r="D21" s="37">
        <f>IFERROR(ROUND(('DCF Model'!C45/(1+$B21)^('DCF Model'!C19+0)+'DCF Model'!D45/(1+$B21)^('DCF Model'!C19+1)+'DCF Model'!E45/(1+$B21)^('DCF Model'!C19+2)+'DCF Model'!F45/(1+$B21)^('DCF Model'!C19+3)+'DCF Model'!G45/(1+$B21)^('DCF Model'!C19+4)+('DCF Model'!G39+'DCF Model'!G42)*D$17/(1+$B21)^('DCF Model'!C19+4)-'DCF Model'!C16)*1000000/'DCF Model'!C15,0),"")</f>
        <v>4529</v>
      </c>
      <c r="E21" s="37">
        <f>IFERROR(ROUND(('DCF Model'!C45/(1+$B21)^('DCF Model'!C19+0)+'DCF Model'!D45/(1+$B21)^('DCF Model'!C19+1)+'DCF Model'!E45/(1+$B21)^('DCF Model'!C19+2)+'DCF Model'!F45/(1+$B21)^('DCF Model'!C19+3)+'DCF Model'!G45/(1+$B21)^('DCF Model'!C19+4)+('DCF Model'!G39+'DCF Model'!G42)*E$17/(1+$B21)^('DCF Model'!C19+4)-'DCF Model'!C16)*1000000/'DCF Model'!C15,0),"")</f>
        <v>4847</v>
      </c>
      <c r="F21" s="37">
        <f>IFERROR(ROUND(('DCF Model'!C45/(1+$B21)^('DCF Model'!C19+0)+'DCF Model'!D45/(1+$B21)^('DCF Model'!C19+1)+'DCF Model'!E45/(1+$B21)^('DCF Model'!C19+2)+'DCF Model'!F45/(1+$B21)^('DCF Model'!C19+3)+'DCF Model'!G45/(1+$B21)^('DCF Model'!C19+4)+('DCF Model'!G39+'DCF Model'!G42)*F$17/(1+$B21)^('DCF Model'!C19+4)-'DCF Model'!C16)*1000000/'DCF Model'!C15,0),"")</f>
        <v>5165</v>
      </c>
      <c r="G21" s="37">
        <f>IFERROR(ROUND(('DCF Model'!C45/(1+$B21)^('DCF Model'!C19+0)+'DCF Model'!D45/(1+$B21)^('DCF Model'!C19+1)+'DCF Model'!E45/(1+$B21)^('DCF Model'!C19+2)+'DCF Model'!F45/(1+$B21)^('DCF Model'!C19+3)+'DCF Model'!G45/(1+$B21)^('DCF Model'!C19+4)+('DCF Model'!G39+'DCF Model'!G42)*G$17/(1+$B21)^('DCF Model'!C19+4)-'DCF Model'!C16)*1000000/'DCF Model'!C15,0),"")</f>
        <v>5482</v>
      </c>
      <c r="H21" s="37">
        <f>IFERROR(ROUND(('DCF Model'!C45/(1+$B21)^('DCF Model'!C19+0)+'DCF Model'!D45/(1+$B21)^('DCF Model'!C19+1)+'DCF Model'!E45/(1+$B21)^('DCF Model'!C19+2)+'DCF Model'!F45/(1+$B21)^('DCF Model'!C19+3)+'DCF Model'!G45/(1+$B21)^('DCF Model'!C19+4)+('DCF Model'!G39+'DCF Model'!G42)*H$17/(1+$B21)^('DCF Model'!C19+4)-'DCF Model'!C16)*1000000/'DCF Model'!C15,0),"")</f>
        <v>5800</v>
      </c>
      <c r="I21" s="37">
        <f>IFERROR(ROUND(('DCF Model'!C45/(1+$B21)^('DCF Model'!C19+0)+'DCF Model'!D45/(1+$B21)^('DCF Model'!C19+1)+'DCF Model'!E45/(1+$B21)^('DCF Model'!C19+2)+'DCF Model'!F45/(1+$B21)^('DCF Model'!C19+3)+'DCF Model'!G45/(1+$B21)^('DCF Model'!C19+4)+('DCF Model'!G39+'DCF Model'!G42)*I$17/(1+$B21)^('DCF Model'!C19+4)-'DCF Model'!C16)*1000000/'DCF Model'!C15,0),"")</f>
        <v>6118</v>
      </c>
    </row>
    <row r="22" spans="2:9" ht="13.5" customHeight="1" x14ac:dyDescent="0.25">
      <c r="B22" s="39">
        <f>$C$3+0.005</f>
        <v>0.11306804259730469</v>
      </c>
      <c r="C22" s="37">
        <f>IFERROR(ROUND(('DCF Model'!C45/(1+$B22)^('DCF Model'!C19+0)+'DCF Model'!D45/(1+$B22)^('DCF Model'!C19+1)+'DCF Model'!E45/(1+$B22)^('DCF Model'!C19+2)+'DCF Model'!F45/(1+$B22)^('DCF Model'!C19+3)+'DCF Model'!G45/(1+$B22)^('DCF Model'!C19+4)+('DCF Model'!G39+'DCF Model'!G42)*C$17/(1+$B22)^('DCF Model'!C19+4)-'DCF Model'!C16)*1000000/'DCF Model'!C15,0),"")</f>
        <v>4113</v>
      </c>
      <c r="D22" s="37">
        <f>IFERROR(ROUND(('DCF Model'!C45/(1+$B22)^('DCF Model'!C19+0)+'DCF Model'!D45/(1+$B22)^('DCF Model'!C19+1)+'DCF Model'!E45/(1+$B22)^('DCF Model'!C19+2)+'DCF Model'!F45/(1+$B22)^('DCF Model'!C19+3)+'DCF Model'!G45/(1+$B22)^('DCF Model'!C19+4)+('DCF Model'!G39+'DCF Model'!G42)*D$17/(1+$B22)^('DCF Model'!C19+4)-'DCF Model'!C16)*1000000/'DCF Model'!C15,0),"")</f>
        <v>4424</v>
      </c>
      <c r="E22" s="37">
        <f>IFERROR(ROUND(('DCF Model'!C45/(1+$B22)^('DCF Model'!C19+0)+'DCF Model'!D45/(1+$B22)^('DCF Model'!C19+1)+'DCF Model'!E45/(1+$B22)^('DCF Model'!C19+2)+'DCF Model'!F45/(1+$B22)^('DCF Model'!C19+3)+'DCF Model'!G45/(1+$B22)^('DCF Model'!C19+4)+('DCF Model'!G39+'DCF Model'!G42)*E$17/(1+$B22)^('DCF Model'!C19+4)-'DCF Model'!C16)*1000000/'DCF Model'!C15,0),"")</f>
        <v>4735</v>
      </c>
      <c r="F22" s="37">
        <f>IFERROR(ROUND(('DCF Model'!C45/(1+$B22)^('DCF Model'!C19+0)+'DCF Model'!D45/(1+$B22)^('DCF Model'!C19+1)+'DCF Model'!E45/(1+$B22)^('DCF Model'!C19+2)+'DCF Model'!F45/(1+$B22)^('DCF Model'!C19+3)+'DCF Model'!G45/(1+$B22)^('DCF Model'!C19+4)+('DCF Model'!G39+'DCF Model'!G42)*F$17/(1+$B22)^('DCF Model'!C19+4)-'DCF Model'!C16)*1000000/'DCF Model'!C15,0),"")</f>
        <v>5046</v>
      </c>
      <c r="G22" s="37">
        <f>IFERROR(ROUND(('DCF Model'!C45/(1+$B22)^('DCF Model'!C19+0)+'DCF Model'!D45/(1+$B22)^('DCF Model'!C19+1)+'DCF Model'!E45/(1+$B22)^('DCF Model'!C19+2)+'DCF Model'!F45/(1+$B22)^('DCF Model'!C19+3)+'DCF Model'!G45/(1+$B22)^('DCF Model'!C19+4)+('DCF Model'!G39+'DCF Model'!G42)*G$17/(1+$B22)^('DCF Model'!C19+4)-'DCF Model'!C16)*1000000/'DCF Model'!C15,0),"")</f>
        <v>5357</v>
      </c>
      <c r="H22" s="37">
        <f>IFERROR(ROUND(('DCF Model'!C45/(1+$B22)^('DCF Model'!C19+0)+'DCF Model'!D45/(1+$B22)^('DCF Model'!C19+1)+'DCF Model'!E45/(1+$B22)^('DCF Model'!C19+2)+'DCF Model'!F45/(1+$B22)^('DCF Model'!C19+3)+'DCF Model'!G45/(1+$B22)^('DCF Model'!C19+4)+('DCF Model'!G39+'DCF Model'!G42)*H$17/(1+$B22)^('DCF Model'!C19+4)-'DCF Model'!C16)*1000000/'DCF Model'!C15,0),"")</f>
        <v>5668</v>
      </c>
      <c r="I22" s="37">
        <f>IFERROR(ROUND(('DCF Model'!C45/(1+$B22)^('DCF Model'!C19+0)+'DCF Model'!D45/(1+$B22)^('DCF Model'!C19+1)+'DCF Model'!E45/(1+$B22)^('DCF Model'!C19+2)+'DCF Model'!F45/(1+$B22)^('DCF Model'!C19+3)+'DCF Model'!G45/(1+$B22)^('DCF Model'!C19+4)+('DCF Model'!G39+'DCF Model'!G42)*I$17/(1+$B22)^('DCF Model'!C19+4)-'DCF Model'!C16)*1000000/'DCF Model'!C15,0),"")</f>
        <v>5978</v>
      </c>
    </row>
    <row r="23" spans="2:9" ht="13.5" customHeight="1" x14ac:dyDescent="0.25">
      <c r="B23" s="39">
        <f>$C$3+0.01</f>
        <v>0.11806804259730468</v>
      </c>
      <c r="C23" s="37">
        <f>IFERROR(ROUND(('DCF Model'!C45/(1+$B23)^('DCF Model'!C19+0)+'DCF Model'!D45/(1+$B23)^('DCF Model'!C19+1)+'DCF Model'!E45/(1+$B23)^('DCF Model'!C19+2)+'DCF Model'!F45/(1+$B23)^('DCF Model'!C19+3)+'DCF Model'!G45/(1+$B23)^('DCF Model'!C19+4)+('DCF Model'!G39+'DCF Model'!G42)*C$17/(1+$B23)^('DCF Model'!C19+4)-'DCF Model'!C16)*1000000/'DCF Model'!C15,0),"")</f>
        <v>4019</v>
      </c>
      <c r="D23" s="37">
        <f>IFERROR(ROUND(('DCF Model'!C45/(1+$B23)^('DCF Model'!C19+0)+'DCF Model'!D45/(1+$B23)^('DCF Model'!C19+1)+'DCF Model'!E45/(1+$B23)^('DCF Model'!C19+2)+'DCF Model'!F45/(1+$B23)^('DCF Model'!C19+3)+'DCF Model'!G45/(1+$B23)^('DCF Model'!C19+4)+('DCF Model'!G39+'DCF Model'!G42)*D$17/(1+$B23)^('DCF Model'!C19+4)-'DCF Model'!C16)*1000000/'DCF Model'!C15,0),"")</f>
        <v>4323</v>
      </c>
      <c r="E23" s="37">
        <f>IFERROR(ROUND(('DCF Model'!C45/(1+$B23)^('DCF Model'!C19+0)+'DCF Model'!D45/(1+$B23)^('DCF Model'!C19+1)+'DCF Model'!E45/(1+$B23)^('DCF Model'!C19+2)+'DCF Model'!F45/(1+$B23)^('DCF Model'!C19+3)+'DCF Model'!G45/(1+$B23)^('DCF Model'!C19+4)+('DCF Model'!G39+'DCF Model'!G42)*E$17/(1+$B23)^('DCF Model'!C19+4)-'DCF Model'!C16)*1000000/'DCF Model'!C15,0),"")</f>
        <v>4626</v>
      </c>
      <c r="F23" s="37">
        <f>IFERROR(ROUND(('DCF Model'!C45/(1+$B23)^('DCF Model'!C19+0)+'DCF Model'!D45/(1+$B23)^('DCF Model'!C19+1)+'DCF Model'!E45/(1+$B23)^('DCF Model'!C19+2)+'DCF Model'!F45/(1+$B23)^('DCF Model'!C19+3)+'DCF Model'!G45/(1+$B23)^('DCF Model'!C19+4)+('DCF Model'!G39+'DCF Model'!G42)*F$17/(1+$B23)^('DCF Model'!C19+4)-'DCF Model'!C16)*1000000/'DCF Model'!C15,0),"")</f>
        <v>4930</v>
      </c>
      <c r="G23" s="37">
        <f>IFERROR(ROUND(('DCF Model'!C45/(1+$B23)^('DCF Model'!C19+0)+'DCF Model'!D45/(1+$B23)^('DCF Model'!C19+1)+'DCF Model'!E45/(1+$B23)^('DCF Model'!C19+2)+'DCF Model'!F45/(1+$B23)^('DCF Model'!C19+3)+'DCF Model'!G45/(1+$B23)^('DCF Model'!C19+4)+('DCF Model'!G39+'DCF Model'!G42)*G$17/(1+$B23)^('DCF Model'!C19+4)-'DCF Model'!C16)*1000000/'DCF Model'!C15,0),"")</f>
        <v>5234</v>
      </c>
      <c r="H23" s="37">
        <f>IFERROR(ROUND(('DCF Model'!C45/(1+$B23)^('DCF Model'!C19+0)+'DCF Model'!D45/(1+$B23)^('DCF Model'!C19+1)+'DCF Model'!E45/(1+$B23)^('DCF Model'!C19+2)+'DCF Model'!F45/(1+$B23)^('DCF Model'!C19+3)+'DCF Model'!G45/(1+$B23)^('DCF Model'!C19+4)+('DCF Model'!G39+'DCF Model'!G42)*H$17/(1+$B23)^('DCF Model'!C19+4)-'DCF Model'!C16)*1000000/'DCF Model'!C15,0),"")</f>
        <v>5538</v>
      </c>
      <c r="I23" s="37">
        <f>IFERROR(ROUND(('DCF Model'!C45/(1+$B23)^('DCF Model'!C19+0)+'DCF Model'!D45/(1+$B23)^('DCF Model'!C19+1)+'DCF Model'!E45/(1+$B23)^('DCF Model'!C19+2)+'DCF Model'!F45/(1+$B23)^('DCF Model'!C19+3)+'DCF Model'!G45/(1+$B23)^('DCF Model'!C19+4)+('DCF Model'!G39+'DCF Model'!G42)*I$17/(1+$B23)^('DCF Model'!C19+4)-'DCF Model'!C16)*1000000/'DCF Model'!C15,0),"")</f>
        <v>5842</v>
      </c>
    </row>
    <row r="24" spans="2:9" ht="13.5" customHeight="1" x14ac:dyDescent="0.25">
      <c r="B24" s="39">
        <f>$C$3+0.015</f>
        <v>0.12306804259730468</v>
      </c>
      <c r="C24" s="37">
        <f>IFERROR(ROUND(('DCF Model'!C45/(1+$B24)^('DCF Model'!C19+0)+'DCF Model'!D45/(1+$B24)^('DCF Model'!C19+1)+'DCF Model'!E45/(1+$B24)^('DCF Model'!C19+2)+'DCF Model'!F45/(1+$B24)^('DCF Model'!C19+3)+'DCF Model'!G45/(1+$B24)^('DCF Model'!C19+4)+('DCF Model'!G39+'DCF Model'!G42)*C$17/(1+$B24)^('DCF Model'!C19+4)-'DCF Model'!C16)*1000000/'DCF Model'!C15,0),"")</f>
        <v>3926</v>
      </c>
      <c r="D24" s="37">
        <f>IFERROR(ROUND(('DCF Model'!C45/(1+$B24)^('DCF Model'!C19+0)+'DCF Model'!D45/(1+$B24)^('DCF Model'!C19+1)+'DCF Model'!E45/(1+$B24)^('DCF Model'!C19+2)+'DCF Model'!F45/(1+$B24)^('DCF Model'!C19+3)+'DCF Model'!G45/(1+$B24)^('DCF Model'!C19+4)+('DCF Model'!G39+'DCF Model'!G42)*D$17/(1+$B24)^('DCF Model'!C19+4)-'DCF Model'!C16)*1000000/'DCF Model'!C15,0),"")</f>
        <v>4223</v>
      </c>
      <c r="E24" s="37">
        <f>IFERROR(ROUND(('DCF Model'!C45/(1+$B24)^('DCF Model'!C19+0)+'DCF Model'!D45/(1+$B24)^('DCF Model'!C19+1)+'DCF Model'!E45/(1+$B24)^('DCF Model'!C19+2)+'DCF Model'!F45/(1+$B24)^('DCF Model'!C19+3)+'DCF Model'!G45/(1+$B24)^('DCF Model'!C19+4)+('DCF Model'!G39+'DCF Model'!G42)*E$17/(1+$B24)^('DCF Model'!C19+4)-'DCF Model'!C16)*1000000/'DCF Model'!C15,0),"")</f>
        <v>4521</v>
      </c>
      <c r="F24" s="37">
        <f>IFERROR(ROUND(('DCF Model'!C45/(1+$B24)^('DCF Model'!C19+0)+'DCF Model'!D45/(1+$B24)^('DCF Model'!C19+1)+'DCF Model'!E45/(1+$B24)^('DCF Model'!C19+2)+'DCF Model'!F45/(1+$B24)^('DCF Model'!C19+3)+'DCF Model'!G45/(1+$B24)^('DCF Model'!C19+4)+('DCF Model'!G39+'DCF Model'!G42)*F$17/(1+$B24)^('DCF Model'!C19+4)-'DCF Model'!C16)*1000000/'DCF Model'!C15,0),"")</f>
        <v>4818</v>
      </c>
      <c r="G24" s="37">
        <f>IFERROR(ROUND(('DCF Model'!C45/(1+$B24)^('DCF Model'!C19+0)+'DCF Model'!D45/(1+$B24)^('DCF Model'!C19+1)+'DCF Model'!E45/(1+$B24)^('DCF Model'!C19+2)+'DCF Model'!F45/(1+$B24)^('DCF Model'!C19+3)+'DCF Model'!G45/(1+$B24)^('DCF Model'!C19+4)+('DCF Model'!G39+'DCF Model'!G42)*G$17/(1+$B24)^('DCF Model'!C19+4)-'DCF Model'!C16)*1000000/'DCF Model'!C15,0),"")</f>
        <v>5115</v>
      </c>
      <c r="H24" s="37">
        <f>IFERROR(ROUND(('DCF Model'!C45/(1+$B24)^('DCF Model'!C19+0)+'DCF Model'!D45/(1+$B24)^('DCF Model'!C19+1)+'DCF Model'!E45/(1+$B24)^('DCF Model'!C19+2)+'DCF Model'!F45/(1+$B24)^('DCF Model'!C19+3)+'DCF Model'!G45/(1+$B24)^('DCF Model'!C19+4)+('DCF Model'!G39+'DCF Model'!G42)*H$17/(1+$B24)^('DCF Model'!C19+4)-'DCF Model'!C16)*1000000/'DCF Model'!C15,0),"")</f>
        <v>5412</v>
      </c>
      <c r="I24" s="37">
        <f>IFERROR(ROUND(('DCF Model'!C45/(1+$B24)^('DCF Model'!C19+0)+'DCF Model'!D45/(1+$B24)^('DCF Model'!C19+1)+'DCF Model'!E45/(1+$B24)^('DCF Model'!C19+2)+'DCF Model'!F45/(1+$B24)^('DCF Model'!C19+3)+'DCF Model'!G45/(1+$B24)^('DCF Model'!C19+4)+('DCF Model'!G39+'DCF Model'!G42)*I$17/(1+$B24)^('DCF Model'!C19+4)-'DCF Model'!C16)*1000000/'DCF Model'!C15,0),"")</f>
        <v>5710</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252</v>
      </c>
      <c r="C6" s="4" t="s">
        <v>257</v>
      </c>
      <c r="D6" s="43" t="s">
        <v>258</v>
      </c>
      <c r="E6" s="43" t="s">
        <v>259</v>
      </c>
      <c r="F6" s="43" t="s">
        <v>260</v>
      </c>
      <c r="G6" s="43" t="s">
        <v>261</v>
      </c>
    </row>
    <row r="7" spans="2:7" ht="30" customHeight="1" x14ac:dyDescent="0.3">
      <c r="B7" s="43" t="s">
        <v>252</v>
      </c>
      <c r="C7" s="4" t="s">
        <v>262</v>
      </c>
      <c r="D7" s="43" t="s">
        <v>263</v>
      </c>
      <c r="E7" s="43" t="s">
        <v>264</v>
      </c>
      <c r="F7" s="43" t="s">
        <v>265</v>
      </c>
      <c r="G7" s="43" t="s">
        <v>266</v>
      </c>
    </row>
    <row r="8" spans="2:7" ht="30" customHeight="1" x14ac:dyDescent="0.3">
      <c r="B8" s="43" t="s">
        <v>252</v>
      </c>
      <c r="C8" s="4" t="s">
        <v>267</v>
      </c>
      <c r="D8" s="43" t="s">
        <v>268</v>
      </c>
      <c r="E8" s="43" t="s">
        <v>269</v>
      </c>
      <c r="F8" s="43" t="s">
        <v>270</v>
      </c>
      <c r="G8" s="43" t="s">
        <v>266</v>
      </c>
    </row>
    <row r="9" spans="2:7" ht="30" customHeight="1" x14ac:dyDescent="0.3">
      <c r="B9" s="43" t="s">
        <v>252</v>
      </c>
      <c r="C9" s="4" t="s">
        <v>271</v>
      </c>
      <c r="D9" s="43" t="s">
        <v>272</v>
      </c>
      <c r="E9" s="43" t="s">
        <v>273</v>
      </c>
      <c r="F9" s="43" t="s">
        <v>274</v>
      </c>
      <c r="G9" s="43" t="s">
        <v>261</v>
      </c>
    </row>
    <row r="10" spans="2:7" ht="30" customHeight="1" x14ac:dyDescent="0.3">
      <c r="B10" s="43" t="s">
        <v>252</v>
      </c>
      <c r="C10" s="4" t="s">
        <v>275</v>
      </c>
      <c r="D10" s="43" t="s">
        <v>276</v>
      </c>
      <c r="E10" s="43" t="s">
        <v>277</v>
      </c>
      <c r="F10" s="43" t="s">
        <v>278</v>
      </c>
      <c r="G10" s="43" t="s">
        <v>279</v>
      </c>
    </row>
    <row r="11" spans="2:7" ht="30" customHeight="1" x14ac:dyDescent="0.3">
      <c r="B11" s="43" t="s">
        <v>252</v>
      </c>
      <c r="C11" s="4" t="s">
        <v>280</v>
      </c>
      <c r="D11" s="43" t="s">
        <v>281</v>
      </c>
      <c r="E11" s="43" t="s">
        <v>282</v>
      </c>
      <c r="F11" s="43" t="s">
        <v>283</v>
      </c>
      <c r="G11" s="43" t="s">
        <v>284</v>
      </c>
    </row>
    <row r="12" spans="2:7" ht="30" customHeight="1" x14ac:dyDescent="0.3">
      <c r="B12" s="43" t="s">
        <v>252</v>
      </c>
      <c r="C12" s="4" t="s">
        <v>285</v>
      </c>
      <c r="D12" s="43" t="s">
        <v>286</v>
      </c>
      <c r="E12" s="43" t="s">
        <v>287</v>
      </c>
      <c r="F12" s="43" t="s">
        <v>288</v>
      </c>
      <c r="G12" s="43" t="s">
        <v>266</v>
      </c>
    </row>
    <row r="13" spans="2:7" ht="30" customHeight="1" x14ac:dyDescent="0.3">
      <c r="B13" s="43" t="s">
        <v>252</v>
      </c>
      <c r="C13" s="4" t="s">
        <v>289</v>
      </c>
      <c r="D13" s="43" t="s">
        <v>290</v>
      </c>
      <c r="E13" s="43" t="s">
        <v>291</v>
      </c>
      <c r="F13" s="43" t="s">
        <v>292</v>
      </c>
      <c r="G13" s="43" t="s">
        <v>266</v>
      </c>
    </row>
    <row r="14" spans="2:7" ht="30" customHeight="1" x14ac:dyDescent="0.3">
      <c r="B14" s="43" t="s">
        <v>252</v>
      </c>
      <c r="C14" s="4" t="s">
        <v>293</v>
      </c>
      <c r="D14" s="43" t="s">
        <v>294</v>
      </c>
      <c r="E14" s="43" t="s">
        <v>295</v>
      </c>
      <c r="F14" s="43" t="s">
        <v>253</v>
      </c>
      <c r="G14" s="43" t="s">
        <v>266</v>
      </c>
    </row>
    <row r="15" spans="2:7" ht="30" customHeight="1" x14ac:dyDescent="0.3">
      <c r="B15" s="43" t="s">
        <v>252</v>
      </c>
      <c r="C15" s="4" t="s">
        <v>296</v>
      </c>
      <c r="D15" s="43" t="s">
        <v>297</v>
      </c>
      <c r="E15" s="43" t="s">
        <v>298</v>
      </c>
      <c r="F15" s="43" t="s">
        <v>299</v>
      </c>
      <c r="G15" s="43" t="s">
        <v>266</v>
      </c>
    </row>
    <row r="16" spans="2:7" ht="30" customHeight="1" x14ac:dyDescent="0.3">
      <c r="B16" s="43" t="s">
        <v>252</v>
      </c>
      <c r="C16" s="4" t="s">
        <v>300</v>
      </c>
      <c r="D16" s="43" t="s">
        <v>301</v>
      </c>
      <c r="E16" s="43" t="s">
        <v>302</v>
      </c>
      <c r="F16" s="43" t="s">
        <v>253</v>
      </c>
      <c r="G16" s="43" t="s">
        <v>303</v>
      </c>
    </row>
    <row r="17" spans="2:7" ht="30" customHeight="1" x14ac:dyDescent="0.3">
      <c r="B17" s="43" t="s">
        <v>252</v>
      </c>
      <c r="C17" s="4" t="s">
        <v>304</v>
      </c>
      <c r="D17" s="43" t="s">
        <v>305</v>
      </c>
      <c r="E17" s="43" t="s">
        <v>306</v>
      </c>
      <c r="F17" s="43" t="s">
        <v>270</v>
      </c>
      <c r="G17" s="43" t="s">
        <v>266</v>
      </c>
    </row>
    <row r="18" spans="2:7" ht="30" customHeight="1" x14ac:dyDescent="0.3">
      <c r="B18" s="43" t="s">
        <v>252</v>
      </c>
      <c r="C18" s="4" t="s">
        <v>307</v>
      </c>
      <c r="D18" s="43" t="s">
        <v>308</v>
      </c>
      <c r="E18" s="43" t="s">
        <v>309</v>
      </c>
      <c r="F18" s="43" t="s">
        <v>253</v>
      </c>
      <c r="G18" s="43" t="s">
        <v>266</v>
      </c>
    </row>
    <row r="19" spans="2:7" ht="30" customHeight="1" x14ac:dyDescent="0.3">
      <c r="B19" s="43" t="s">
        <v>252</v>
      </c>
      <c r="C19" s="4" t="s">
        <v>310</v>
      </c>
      <c r="D19" s="43" t="s">
        <v>311</v>
      </c>
      <c r="E19" s="43" t="s">
        <v>312</v>
      </c>
      <c r="F19" s="43" t="s">
        <v>313</v>
      </c>
      <c r="G19" s="43" t="s">
        <v>314</v>
      </c>
    </row>
    <row r="20" spans="2:7" ht="30" customHeight="1" x14ac:dyDescent="0.3">
      <c r="B20" s="43" t="s">
        <v>252</v>
      </c>
      <c r="C20" s="4" t="s">
        <v>315</v>
      </c>
      <c r="D20" s="43" t="s">
        <v>316</v>
      </c>
      <c r="E20" s="43" t="s">
        <v>317</v>
      </c>
      <c r="F20" s="43" t="s">
        <v>253</v>
      </c>
      <c r="G20" s="43" t="s">
        <v>318</v>
      </c>
    </row>
    <row r="21" spans="2:7" ht="30" customHeight="1" x14ac:dyDescent="0.3">
      <c r="B21" s="43" t="s">
        <v>252</v>
      </c>
      <c r="C21" s="4" t="s">
        <v>319</v>
      </c>
      <c r="D21" s="43" t="s">
        <v>320</v>
      </c>
      <c r="E21" s="43" t="s">
        <v>321</v>
      </c>
      <c r="F21" s="43" t="s">
        <v>253</v>
      </c>
      <c r="G21" s="43" t="s">
        <v>322</v>
      </c>
    </row>
    <row r="22" spans="2:7" ht="30" customHeight="1" x14ac:dyDescent="0.3">
      <c r="B22" s="43" t="s">
        <v>252</v>
      </c>
      <c r="C22" s="4" t="s">
        <v>319</v>
      </c>
      <c r="D22" s="43" t="s">
        <v>323</v>
      </c>
      <c r="E22" s="43" t="s">
        <v>324</v>
      </c>
      <c r="F22" s="43" t="s">
        <v>253</v>
      </c>
      <c r="G22" s="43" t="s">
        <v>322</v>
      </c>
    </row>
    <row r="23" spans="2:7" ht="30" customHeight="1" x14ac:dyDescent="0.3">
      <c r="B23" s="43" t="s">
        <v>252</v>
      </c>
      <c r="C23" s="4" t="s">
        <v>319</v>
      </c>
      <c r="D23" s="43" t="s">
        <v>325</v>
      </c>
      <c r="E23" s="43" t="s">
        <v>326</v>
      </c>
      <c r="F23" s="43" t="s">
        <v>253</v>
      </c>
      <c r="G23" s="43" t="s">
        <v>322</v>
      </c>
    </row>
    <row r="24" spans="2:7" ht="30" customHeight="1" x14ac:dyDescent="0.3">
      <c r="B24" s="43" t="s">
        <v>252</v>
      </c>
      <c r="C24" s="4" t="s">
        <v>327</v>
      </c>
      <c r="D24" s="43" t="s">
        <v>328</v>
      </c>
      <c r="E24" s="43" t="s">
        <v>329</v>
      </c>
      <c r="F24" s="43" t="s">
        <v>330</v>
      </c>
      <c r="G24" s="43" t="s">
        <v>266</v>
      </c>
    </row>
    <row r="25" spans="2:7" ht="14" customHeight="1" x14ac:dyDescent="0.2"/>
    <row r="26" spans="2:7" ht="14" customHeight="1" x14ac:dyDescent="0.3">
      <c r="B26" s="8" t="s">
        <v>331</v>
      </c>
    </row>
    <row r="27" spans="2:7" ht="14" customHeight="1" x14ac:dyDescent="0.3">
      <c r="B27" s="10" t="s">
        <v>332</v>
      </c>
      <c r="C27" s="10" t="s">
        <v>333</v>
      </c>
    </row>
    <row r="28" spans="2:7" ht="14" customHeight="1" x14ac:dyDescent="0.3">
      <c r="B28" s="4" t="s">
        <v>334</v>
      </c>
      <c r="C28" t="s">
        <v>335</v>
      </c>
    </row>
    <row r="29" spans="2:7" ht="14" customHeight="1" x14ac:dyDescent="0.3">
      <c r="B29" s="4" t="s">
        <v>336</v>
      </c>
      <c r="C29" t="s">
        <v>337</v>
      </c>
    </row>
    <row r="30" spans="2:7" ht="14" customHeight="1" x14ac:dyDescent="0.3">
      <c r="B30" s="4" t="s">
        <v>338</v>
      </c>
      <c r="C30" t="s">
        <v>339</v>
      </c>
    </row>
    <row r="31" spans="2:7" ht="14" customHeight="1" x14ac:dyDescent="0.3">
      <c r="B31" s="4" t="s">
        <v>340</v>
      </c>
      <c r="C31" t="s">
        <v>47</v>
      </c>
    </row>
    <row r="32" spans="2:7" ht="14" customHeight="1" x14ac:dyDescent="0.3">
      <c r="B32" s="4" t="s">
        <v>341</v>
      </c>
      <c r="C32" t="s">
        <v>4</v>
      </c>
    </row>
    <row r="33" spans="2:3" ht="14" customHeight="1" x14ac:dyDescent="0.3">
      <c r="B33" s="4" t="s">
        <v>342</v>
      </c>
      <c r="C33" t="s">
        <v>252</v>
      </c>
    </row>
    <row r="34" spans="2:3" ht="14" customHeight="1" x14ac:dyDescent="0.3">
      <c r="B34" s="4" t="s">
        <v>343</v>
      </c>
      <c r="C34" t="s">
        <v>344</v>
      </c>
    </row>
    <row r="35" spans="2:3" ht="14" customHeight="1" x14ac:dyDescent="0.3">
      <c r="B35" s="4" t="s">
        <v>345</v>
      </c>
      <c r="C35" t="s">
        <v>346</v>
      </c>
    </row>
    <row r="36" spans="2:3" ht="14" customHeight="1" x14ac:dyDescent="0.3">
      <c r="B36" s="4" t="s">
        <v>347</v>
      </c>
      <c r="C36" t="s">
        <v>348</v>
      </c>
    </row>
    <row r="37" spans="2:3" ht="14" customHeight="1" x14ac:dyDescent="0.3">
      <c r="B37" s="4" t="s">
        <v>349</v>
      </c>
      <c r="C37" t="s">
        <v>350</v>
      </c>
    </row>
    <row r="38" spans="2:3" ht="14" customHeight="1" x14ac:dyDescent="0.3">
      <c r="B38" s="4" t="s">
        <v>351</v>
      </c>
      <c r="C38" t="s">
        <v>352</v>
      </c>
    </row>
    <row r="39" spans="2:3" ht="14" customHeight="1" x14ac:dyDescent="0.3">
      <c r="B39" s="4" t="s">
        <v>353</v>
      </c>
      <c r="C39" t="s">
        <v>348</v>
      </c>
    </row>
    <row r="40" spans="2:3" ht="14" customHeight="1" x14ac:dyDescent="0.3">
      <c r="B40" s="4" t="s">
        <v>354</v>
      </c>
      <c r="C40" t="s">
        <v>344</v>
      </c>
    </row>
    <row r="41" spans="2:3" ht="14" customHeight="1" x14ac:dyDescent="0.3">
      <c r="B41" s="4" t="s">
        <v>355</v>
      </c>
      <c r="C41" t="s">
        <v>356</v>
      </c>
    </row>
    <row r="42" spans="2:3" ht="14" customHeight="1" x14ac:dyDescent="0.3">
      <c r="B42" s="4" t="s">
        <v>357</v>
      </c>
      <c r="C42" t="s">
        <v>358</v>
      </c>
    </row>
    <row r="43" spans="2:3" ht="14" customHeight="1" x14ac:dyDescent="0.3">
      <c r="B43" s="4" t="s">
        <v>359</v>
      </c>
      <c r="C43" t="s">
        <v>360</v>
      </c>
    </row>
    <row r="44" spans="2:3" ht="14" customHeight="1" x14ac:dyDescent="0.3">
      <c r="B44" s="4" t="s">
        <v>361</v>
      </c>
      <c r="C44" t="s">
        <v>337</v>
      </c>
    </row>
    <row r="45" spans="2:3" ht="14" customHeight="1" x14ac:dyDescent="0.3">
      <c r="B45" s="4" t="s">
        <v>362</v>
      </c>
      <c r="C45" t="s">
        <v>337</v>
      </c>
    </row>
    <row r="46" spans="2:3" ht="14" customHeight="1" x14ac:dyDescent="0.3">
      <c r="B46" s="4" t="s">
        <v>363</v>
      </c>
      <c r="C46" t="s">
        <v>364</v>
      </c>
    </row>
    <row r="47" spans="2:3" ht="14" customHeight="1" x14ac:dyDescent="0.3">
      <c r="B47" s="4" t="s">
        <v>365</v>
      </c>
      <c r="C47" t="s">
        <v>366</v>
      </c>
    </row>
    <row r="48" spans="2:3" ht="14" customHeight="1" x14ac:dyDescent="0.3">
      <c r="B48" s="4" t="s">
        <v>367</v>
      </c>
      <c r="C48" t="s">
        <v>368</v>
      </c>
    </row>
    <row r="49" spans="2:3" ht="14" customHeight="1" x14ac:dyDescent="0.3">
      <c r="B49" s="4" t="s">
        <v>369</v>
      </c>
      <c r="C49" t="s">
        <v>370</v>
      </c>
    </row>
    <row r="50" spans="2:3" ht="14" customHeight="1" x14ac:dyDescent="0.3">
      <c r="B50" s="4" t="s">
        <v>371</v>
      </c>
      <c r="C50" t="s">
        <v>372</v>
      </c>
    </row>
    <row r="51" spans="2:3" ht="14" customHeight="1" x14ac:dyDescent="0.3">
      <c r="B51" s="4" t="s">
        <v>373</v>
      </c>
      <c r="C51" t="s">
        <v>374</v>
      </c>
    </row>
    <row r="52" spans="2:3" ht="14" customHeight="1" x14ac:dyDescent="0.3">
      <c r="B52" s="4" t="s">
        <v>375</v>
      </c>
      <c r="C52" t="s">
        <v>376</v>
      </c>
    </row>
    <row r="53" spans="2:3" ht="14" customHeight="1" x14ac:dyDescent="0.3">
      <c r="B53" s="4" t="s">
        <v>377</v>
      </c>
      <c r="C53" t="s">
        <v>378</v>
      </c>
    </row>
    <row r="54" spans="2:3" ht="14" customHeight="1" x14ac:dyDescent="0.3">
      <c r="B54" s="4" t="s">
        <v>379</v>
      </c>
      <c r="C54" t="s">
        <v>380</v>
      </c>
    </row>
    <row r="55" spans="2:3" ht="14" customHeight="1" x14ac:dyDescent="0.3">
      <c r="B55" s="4" t="s">
        <v>381</v>
      </c>
      <c r="C55" t="s">
        <v>344</v>
      </c>
    </row>
    <row r="56" spans="2:3" ht="14" customHeight="1" x14ac:dyDescent="0.3">
      <c r="B56" s="4" t="s">
        <v>382</v>
      </c>
      <c r="C56" t="s">
        <v>383</v>
      </c>
    </row>
    <row r="57" spans="2:3" ht="14" customHeight="1" x14ac:dyDescent="0.3">
      <c r="B57" s="4" t="s">
        <v>384</v>
      </c>
      <c r="C57" t="s">
        <v>385</v>
      </c>
    </row>
    <row r="58" spans="2:3" ht="14" customHeight="1" x14ac:dyDescent="0.3">
      <c r="B58" s="4" t="s">
        <v>386</v>
      </c>
      <c r="C58" t="s">
        <v>387</v>
      </c>
    </row>
    <row r="59" spans="2:3" ht="14" customHeight="1" x14ac:dyDescent="0.3">
      <c r="B59" s="4" t="s">
        <v>388</v>
      </c>
      <c r="C59" t="s">
        <v>389</v>
      </c>
    </row>
    <row r="60" spans="2:3" ht="14" customHeight="1" x14ac:dyDescent="0.3">
      <c r="B60" s="4" t="s">
        <v>390</v>
      </c>
      <c r="C60"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2026-09-05T12:58:55Z</dcterms:created>
  <dcterms:modified xsi:type="dcterms:W3CDTF">2026-09-06T02:31:09Z</dcterms:modified>
</cp:coreProperties>
</file>