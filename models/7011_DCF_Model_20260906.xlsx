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BD2E2FA-0411-4F65-8CC1-47415D74524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G6" i="7" l="1"/>
  <c r="D6" i="7"/>
  <c r="I3" i="7"/>
  <c r="I17" i="7" s="1"/>
  <c r="F3" i="7"/>
  <c r="C6" i="7" s="1"/>
  <c r="O10" i="6"/>
  <c r="N10" i="6"/>
  <c r="M10" i="6"/>
  <c r="L10" i="6"/>
  <c r="K10" i="6"/>
  <c r="J10" i="6"/>
  <c r="O9" i="6"/>
  <c r="N9" i="6"/>
  <c r="M9" i="6"/>
  <c r="L9" i="6"/>
  <c r="K9" i="6"/>
  <c r="J9" i="6"/>
  <c r="O8" i="6"/>
  <c r="N8" i="6"/>
  <c r="M8" i="6"/>
  <c r="L8" i="6"/>
  <c r="K8" i="6"/>
  <c r="J8" i="6"/>
  <c r="O7" i="6"/>
  <c r="N7" i="6"/>
  <c r="M7" i="6"/>
  <c r="L7" i="6"/>
  <c r="F15" i="6" s="1"/>
  <c r="K7" i="6"/>
  <c r="J7" i="6"/>
  <c r="O6" i="6"/>
  <c r="I15" i="6" s="1"/>
  <c r="N6" i="6"/>
  <c r="M6" i="6"/>
  <c r="G17" i="6" s="1"/>
  <c r="L6" i="6"/>
  <c r="K6" i="6"/>
  <c r="J6" i="6"/>
  <c r="O5" i="6"/>
  <c r="N5" i="6"/>
  <c r="L5" i="6"/>
  <c r="B31" i="1" s="1"/>
  <c r="D5" i="6"/>
  <c r="E5" i="6" s="1"/>
  <c r="C16" i="5"/>
  <c r="C14" i="5"/>
  <c r="C7" i="5"/>
  <c r="C6" i="5"/>
  <c r="C5" i="5"/>
  <c r="C13" i="4"/>
  <c r="C12" i="4"/>
  <c r="C9" i="4"/>
  <c r="C8" i="4"/>
  <c r="C10" i="4" s="1"/>
  <c r="C7" i="4"/>
  <c r="C6" i="4"/>
  <c r="D27" i="3"/>
  <c r="G5" i="5" s="1"/>
  <c r="C25" i="3"/>
  <c r="C24" i="3"/>
  <c r="C23" i="3"/>
  <c r="C26" i="3" s="1"/>
  <c r="C3" i="7" s="1"/>
  <c r="F16" i="2"/>
  <c r="E16" i="2"/>
  <c r="D16" i="2"/>
  <c r="F15" i="2"/>
  <c r="E15" i="2"/>
  <c r="D15" i="2"/>
  <c r="F14" i="2"/>
  <c r="E14" i="2"/>
  <c r="D14" i="2"/>
  <c r="C14" i="2"/>
  <c r="F13" i="2"/>
  <c r="E13" i="2"/>
  <c r="D13" i="2"/>
  <c r="C13" i="2"/>
  <c r="C9" i="2"/>
  <c r="F8" i="2"/>
  <c r="F9" i="2" s="1"/>
  <c r="E8" i="2"/>
  <c r="E9" i="2" s="1"/>
  <c r="D8" i="2"/>
  <c r="D9" i="2" s="1"/>
  <c r="C8" i="2"/>
  <c r="D17" i="6" l="1"/>
  <c r="E15" i="6"/>
  <c r="G15" i="6"/>
  <c r="I16" i="6"/>
  <c r="E6" i="7"/>
  <c r="C18" i="5"/>
  <c r="F6" i="7"/>
  <c r="H15" i="6"/>
  <c r="D16" i="6"/>
  <c r="H6" i="7"/>
  <c r="C71" i="4"/>
  <c r="C70" i="4"/>
  <c r="J5" i="6"/>
  <c r="K5" i="6"/>
  <c r="C27" i="6"/>
  <c r="C18" i="1" s="1"/>
  <c r="D18" i="1" s="1"/>
  <c r="C74" i="4"/>
  <c r="B13" i="7"/>
  <c r="B12" i="7"/>
  <c r="B11" i="7"/>
  <c r="B10" i="7"/>
  <c r="B9" i="7"/>
  <c r="B8" i="7"/>
  <c r="B7" i="7"/>
  <c r="B24" i="7"/>
  <c r="B23" i="7"/>
  <c r="B22" i="7"/>
  <c r="B21" i="7"/>
  <c r="B20" i="7"/>
  <c r="B19" i="7"/>
  <c r="B18" i="7"/>
  <c r="G31" i="3"/>
  <c r="E30" i="3"/>
  <c r="E46" i="3"/>
  <c r="E36" i="4"/>
  <c r="F30" i="3"/>
  <c r="F46" i="3"/>
  <c r="H6" i="5"/>
  <c r="C31" i="3"/>
  <c r="F32" i="3"/>
  <c r="H36" i="4"/>
  <c r="H5" i="5"/>
  <c r="D7" i="5"/>
  <c r="E17" i="6"/>
  <c r="I6" i="7"/>
  <c r="G32" i="3"/>
  <c r="E7" i="5"/>
  <c r="F17" i="6"/>
  <c r="C17" i="7"/>
  <c r="E31" i="3"/>
  <c r="D6" i="5"/>
  <c r="F7" i="5"/>
  <c r="M5" i="6"/>
  <c r="B24" i="1" s="1"/>
  <c r="E16" i="6"/>
  <c r="D17" i="7"/>
  <c r="C30" i="3"/>
  <c r="C33" i="3" s="1"/>
  <c r="F31" i="3"/>
  <c r="C46" i="3"/>
  <c r="E6" i="5"/>
  <c r="G7" i="5"/>
  <c r="D15" i="6"/>
  <c r="F16" i="6"/>
  <c r="C28" i="6" s="1"/>
  <c r="C19" i="1" s="1"/>
  <c r="D19" i="1" s="1"/>
  <c r="H17" i="6"/>
  <c r="E17" i="7"/>
  <c r="B25" i="1"/>
  <c r="D30" i="3"/>
  <c r="D46" i="3"/>
  <c r="D36" i="4"/>
  <c r="D5" i="5"/>
  <c r="F6" i="5"/>
  <c r="H7" i="5"/>
  <c r="G16" i="6"/>
  <c r="I17" i="6"/>
  <c r="F17" i="7"/>
  <c r="E5" i="5"/>
  <c r="G6" i="5"/>
  <c r="H16" i="6"/>
  <c r="G17" i="7"/>
  <c r="C32" i="3"/>
  <c r="F36" i="4"/>
  <c r="F5" i="5"/>
  <c r="H17" i="7"/>
  <c r="D31" i="3"/>
  <c r="D32" i="3"/>
  <c r="G30" i="3"/>
  <c r="E32" i="3"/>
  <c r="G46" i="3"/>
  <c r="C11" i="4"/>
  <c r="C24" i="4" s="1"/>
  <c r="C25" i="4" s="1"/>
  <c r="G36" i="4"/>
  <c r="C29" i="4" l="1"/>
  <c r="C27" i="4"/>
  <c r="C26" i="4"/>
  <c r="D45" i="4"/>
  <c r="D43" i="4"/>
  <c r="D46" i="4"/>
  <c r="D40" i="4"/>
  <c r="D44" i="4"/>
  <c r="D38" i="4"/>
  <c r="D41" i="4"/>
  <c r="D39" i="4"/>
  <c r="E39" i="4"/>
  <c r="E46" i="4"/>
  <c r="E40" i="4"/>
  <c r="E44" i="4"/>
  <c r="E38" i="4"/>
  <c r="E41" i="4"/>
  <c r="E45" i="4"/>
  <c r="E43" i="4"/>
  <c r="G46" i="4"/>
  <c r="G40" i="4"/>
  <c r="G44" i="4"/>
  <c r="G38" i="4"/>
  <c r="G41" i="4"/>
  <c r="G51" i="4" s="1"/>
  <c r="G56" i="4" s="1"/>
  <c r="G45" i="4"/>
  <c r="G39" i="4"/>
  <c r="G43" i="4"/>
  <c r="H40" i="4"/>
  <c r="H44" i="4"/>
  <c r="H38" i="4"/>
  <c r="H41" i="4"/>
  <c r="H45" i="4"/>
  <c r="H39" i="4"/>
  <c r="H43" i="4"/>
  <c r="H46" i="4"/>
  <c r="F43" i="4"/>
  <c r="F46" i="4"/>
  <c r="F40" i="4"/>
  <c r="F44" i="4"/>
  <c r="F38" i="4"/>
  <c r="F48" i="4" s="1"/>
  <c r="F53" i="4" s="1"/>
  <c r="F41" i="4"/>
  <c r="F45" i="4"/>
  <c r="F39" i="4"/>
  <c r="C42" i="3"/>
  <c r="C34" i="3"/>
  <c r="D10" i="5" s="1"/>
  <c r="C35" i="3"/>
  <c r="D9" i="5"/>
  <c r="D12" i="5" s="1"/>
  <c r="C43" i="3"/>
  <c r="D33" i="3"/>
  <c r="C37" i="3"/>
  <c r="E48" i="4" l="1"/>
  <c r="E53" i="4" s="1"/>
  <c r="H51" i="4"/>
  <c r="H56" i="4" s="1"/>
  <c r="G48" i="4"/>
  <c r="G53" i="4" s="1"/>
  <c r="H48" i="4"/>
  <c r="H53" i="4" s="1"/>
  <c r="E50" i="4"/>
  <c r="E55" i="4" s="1"/>
  <c r="F50" i="4"/>
  <c r="F55" i="4" s="1"/>
  <c r="G50" i="4"/>
  <c r="G55" i="4" s="1"/>
  <c r="E49" i="4"/>
  <c r="E54" i="4" s="1"/>
  <c r="C38" i="3"/>
  <c r="C36" i="3"/>
  <c r="C39" i="3"/>
  <c r="D15" i="5"/>
  <c r="D16" i="5" s="1"/>
  <c r="D13" i="5"/>
  <c r="H50" i="4"/>
  <c r="H55" i="4" s="1"/>
  <c r="F49" i="4"/>
  <c r="D49" i="4"/>
  <c r="D54" i="4" s="1"/>
  <c r="G49" i="4"/>
  <c r="G54" i="4" s="1"/>
  <c r="D51" i="4"/>
  <c r="D56" i="4" s="1"/>
  <c r="D37" i="3"/>
  <c r="E9" i="5"/>
  <c r="E12" i="5" s="1"/>
  <c r="E33" i="3"/>
  <c r="D42" i="3"/>
  <c r="D34" i="3"/>
  <c r="E10" i="5" s="1"/>
  <c r="D43" i="3"/>
  <c r="F51" i="4"/>
  <c r="F56" i="4" s="1"/>
  <c r="H49" i="4"/>
  <c r="H54" i="4" s="1"/>
  <c r="E51" i="4"/>
  <c r="E56" i="4" s="1"/>
  <c r="D48" i="4"/>
  <c r="D53" i="4" s="1"/>
  <c r="D14" i="5"/>
  <c r="D18" i="5" s="1"/>
  <c r="D19" i="5" s="1"/>
  <c r="C44" i="3" s="1"/>
  <c r="D50" i="4"/>
  <c r="D55" i="4" s="1"/>
  <c r="F54" i="4" l="1"/>
  <c r="B78" i="4"/>
  <c r="C60" i="4"/>
  <c r="F9" i="5"/>
  <c r="F12" i="5" s="1"/>
  <c r="E35" i="3"/>
  <c r="F33" i="3"/>
  <c r="E43" i="3"/>
  <c r="E42" i="3"/>
  <c r="E34" i="3"/>
  <c r="F10" i="5" s="1"/>
  <c r="E37" i="3"/>
  <c r="E13" i="5"/>
  <c r="E14" i="5" s="1"/>
  <c r="E18" i="5" s="1"/>
  <c r="E19" i="5" s="1"/>
  <c r="D44" i="3" s="1"/>
  <c r="E15" i="5"/>
  <c r="E16" i="5" s="1"/>
  <c r="C40" i="3"/>
  <c r="C41" i="3" s="1"/>
  <c r="C45" i="3" s="1"/>
  <c r="D35" i="3"/>
  <c r="C47" i="3" l="1"/>
  <c r="F13" i="5"/>
  <c r="F15" i="5"/>
  <c r="F16" i="5" s="1"/>
  <c r="D38" i="3"/>
  <c r="D36" i="3"/>
  <c r="D39" i="3"/>
  <c r="E38" i="3"/>
  <c r="E36" i="3"/>
  <c r="E39" i="3"/>
  <c r="F14" i="5"/>
  <c r="C65" i="4"/>
  <c r="D65" i="4" s="1"/>
  <c r="C64" i="4"/>
  <c r="D64" i="4" s="1"/>
  <c r="C67" i="4"/>
  <c r="D67" i="4" s="1"/>
  <c r="C63" i="4"/>
  <c r="D63" i="4" s="1"/>
  <c r="C66" i="4"/>
  <c r="D66" i="4" s="1"/>
  <c r="F43" i="3"/>
  <c r="G33" i="3"/>
  <c r="F42" i="3"/>
  <c r="F34" i="3"/>
  <c r="G10" i="5" s="1"/>
  <c r="F37" i="3"/>
  <c r="G9" i="5"/>
  <c r="G12" i="5" s="1"/>
  <c r="D40" i="3" l="1"/>
  <c r="D41" i="3"/>
  <c r="D45" i="3" s="1"/>
  <c r="F18" i="5"/>
  <c r="F19" i="5" s="1"/>
  <c r="E44" i="3" s="1"/>
  <c r="G13" i="5"/>
  <c r="G14" i="5" s="1"/>
  <c r="G15" i="5"/>
  <c r="G16" i="5" s="1"/>
  <c r="G42" i="3"/>
  <c r="G34" i="3"/>
  <c r="H10" i="5" s="1"/>
  <c r="C16" i="4"/>
  <c r="C28" i="4" s="1"/>
  <c r="G37" i="3"/>
  <c r="H9" i="5"/>
  <c r="H12" i="5" s="1"/>
  <c r="G43" i="3"/>
  <c r="F35" i="3"/>
  <c r="E40" i="3"/>
  <c r="E41" i="3" s="1"/>
  <c r="E45" i="3" l="1"/>
  <c r="E47" i="3" s="1"/>
  <c r="G18" i="5"/>
  <c r="G19" i="5" s="1"/>
  <c r="F44" i="3" s="1"/>
  <c r="H15" i="5"/>
  <c r="H16" i="5" s="1"/>
  <c r="H13" i="5"/>
  <c r="H14" i="5" s="1"/>
  <c r="H18" i="5" s="1"/>
  <c r="H19" i="5" s="1"/>
  <c r="G44" i="3" s="1"/>
  <c r="C72" i="4"/>
  <c r="C73" i="4"/>
  <c r="F36" i="3"/>
  <c r="F38" i="3"/>
  <c r="F39" i="3"/>
  <c r="G35" i="3"/>
  <c r="D47" i="3"/>
  <c r="G38" i="3" l="1"/>
  <c r="G36" i="3"/>
  <c r="G39" i="3"/>
  <c r="F40" i="3"/>
  <c r="F41" i="3" s="1"/>
  <c r="F45" i="3" s="1"/>
  <c r="F47" i="3" l="1"/>
  <c r="C59" i="3"/>
  <c r="C60" i="3" s="1"/>
  <c r="C61" i="3" s="1"/>
  <c r="G40" i="3"/>
  <c r="G41" i="3" s="1"/>
  <c r="G45" i="3" s="1"/>
  <c r="C51" i="3" l="1"/>
  <c r="C52" i="3" s="1"/>
  <c r="G47" i="3"/>
  <c r="I22" i="7"/>
  <c r="D23" i="7"/>
  <c r="F13" i="7"/>
  <c r="C13" i="7"/>
  <c r="H12" i="7"/>
  <c r="H23" i="7"/>
  <c r="C20" i="7"/>
  <c r="F10" i="7"/>
  <c r="I20" i="7"/>
  <c r="I8" i="7"/>
  <c r="F11" i="7"/>
  <c r="I21" i="7"/>
  <c r="E7" i="7"/>
  <c r="D10" i="7"/>
  <c r="G7" i="7"/>
  <c r="F12" i="7"/>
  <c r="F24" i="7"/>
  <c r="D22" i="7"/>
  <c r="C10" i="7"/>
  <c r="C19" i="7"/>
  <c r="F18" i="7"/>
  <c r="E24" i="7"/>
  <c r="G19" i="7"/>
  <c r="G22" i="7"/>
  <c r="E23" i="7"/>
  <c r="C23" i="7"/>
  <c r="H11" i="7"/>
  <c r="I7" i="7"/>
  <c r="H8" i="7"/>
  <c r="C7" i="7"/>
  <c r="I18" i="7"/>
  <c r="G9" i="7"/>
  <c r="E13" i="7"/>
  <c r="D21" i="7"/>
  <c r="C8" i="7"/>
  <c r="E19" i="7"/>
  <c r="D9" i="7"/>
  <c r="E20" i="7"/>
  <c r="G18" i="7"/>
  <c r="F8" i="7"/>
  <c r="D24" i="7"/>
  <c r="D13" i="7"/>
  <c r="E21" i="7"/>
  <c r="E10" i="7"/>
  <c r="H24" i="7"/>
  <c r="H9" i="7"/>
  <c r="I24" i="7"/>
  <c r="H18" i="7"/>
  <c r="C11" i="7"/>
  <c r="G8" i="7"/>
  <c r="E12" i="7"/>
  <c r="H10" i="7"/>
  <c r="D8" i="7"/>
  <c r="G23" i="7"/>
  <c r="E8" i="7"/>
  <c r="I12" i="7"/>
  <c r="D18" i="7"/>
  <c r="F7" i="7"/>
  <c r="G10" i="7"/>
  <c r="H19" i="7"/>
  <c r="C9" i="7"/>
  <c r="F9" i="7"/>
  <c r="D12" i="7"/>
  <c r="I19" i="7"/>
  <c r="H22" i="7"/>
  <c r="F23" i="7"/>
  <c r="E9" i="7"/>
  <c r="D20" i="7"/>
  <c r="G13" i="7"/>
  <c r="G21" i="7"/>
  <c r="I9" i="7"/>
  <c r="C21" i="7"/>
  <c r="E11" i="7"/>
  <c r="G12" i="7"/>
  <c r="F21" i="7"/>
  <c r="G24" i="7"/>
  <c r="C18" i="7"/>
  <c r="D7" i="7"/>
  <c r="I23" i="7"/>
  <c r="F20" i="7"/>
  <c r="H21" i="7"/>
  <c r="F22" i="7"/>
  <c r="E22" i="7"/>
  <c r="I13" i="7"/>
  <c r="G11" i="7"/>
  <c r="C24" i="7"/>
  <c r="C12" i="7"/>
  <c r="D19" i="7"/>
  <c r="I11" i="7"/>
  <c r="F19" i="7"/>
  <c r="D11" i="7"/>
  <c r="H13" i="7"/>
  <c r="H20" i="7"/>
  <c r="H7" i="7"/>
  <c r="G20" i="7"/>
  <c r="C22" i="7"/>
  <c r="E18" i="7"/>
  <c r="I10" i="7"/>
  <c r="C50" i="3"/>
  <c r="C58" i="3" l="1"/>
  <c r="C62" i="3" s="1"/>
  <c r="C53" i="3"/>
  <c r="C17" i="4" l="1"/>
  <c r="C54" i="3"/>
  <c r="C55" i="3" s="1"/>
  <c r="C16" i="1" s="1"/>
  <c r="C63" i="3"/>
  <c r="C64" i="3" s="1"/>
  <c r="C17" i="1" s="1"/>
  <c r="C10" i="1" l="1"/>
  <c r="D17" i="1"/>
  <c r="C21" i="1"/>
  <c r="D16" i="1"/>
  <c r="C19" i="4"/>
  <c r="C20" i="4" s="1"/>
  <c r="B79" i="4" s="1"/>
  <c r="B29" i="1" l="1"/>
  <c r="C12" i="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<sst xmlns="http://schemas.openxmlformats.org/spreadsheetml/2006/main" count="426" uniqueCount="342">
  <si>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</si>
  <si>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三菱重工業 (7011.T)</t>
  </si>
  <si>
    <t>Equity Research Report</t>
  </si>
  <si>
    <t>Company</t>
  </si>
  <si>
    <t>三菱重工業</t>
  </si>
  <si>
    <t>Ticker</t>
  </si>
  <si>
    <t>7011.T (TSE Prime)</t>
  </si>
  <si>
    <t>Sector</t>
  </si>
  <si>
    <t>機械</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</si>
  <si>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</si>
  <si>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</si>
  <si>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</si>
  <si>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</si>
  <si>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</si>
  <si>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</si>
  <si>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</si>
  <si>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</si>
  <si>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</si>
  <si>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</si>
  <si>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</si>
  <si>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</si>
  <si>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**3.14倍** で 3.0倍を超えたため、**乖離そのものを裁定トリガーとする追補6 §X により中点平均を禁止**し、どちらの脚を落とすかを判定した。■**観測倍率バンドテスト**: Peer の実測 EV/EBITDA の第1〜第3四分位バンドは **(9.37302990302855, 14.333259113904496, 5)倍**。これに対し **PGM逆算 3.95倍 / 仮定Exit 12.40倍**。**PGM法のみがバンドの外にあるため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</si>
  <si>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</si>
  <si>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</si>
  <si>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</si>
  <si>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Revenue fell twelve percent in the latest year even as the margin held, so the base-case growth path rests on order conversion the reported top line has not yet shown.</t>
  </si>
  <si>
    <t>三菱重工業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</si>
  <si>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</si>
  <si>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</si>
  <si>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</si>
  <si>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</si>
  <si>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</si>
  <si>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</si>
  <si>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</si>
  <si>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</si>
  <si>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</si>
  <si>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</si>
  <si>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</si>
  <si>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</si>
  <si>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</si>
  <si>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</si>
  <si>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</si>
  <si>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</si>
  <si>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</si>
  <si>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</si>
  <si>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</si>
  <si>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</si>
  <si>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</si>
  <si>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</si>
  <si>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</si>
  <si>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</si>
  <si>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</si>
  <si>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</si>
  <si>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</si>
  <si>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</si>
  <si>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三菱重工業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</si>
  <si>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</si>
  <si>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</si>
  <si>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</si>
  <si>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</si>
  <si>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</si>
  <si>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</si>
  <si>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</si>
  <si>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</si>
  <si>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</si>
  <si>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</si>
  <si>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</si>
  <si>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</si>
  <si>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</si>
  <si>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</si>
  <si>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</si>
  <si>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</si>
  <si>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</si>
  <si>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</si>
  <si>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</si>
  <si>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</si>
  <si>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</si>
  <si>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</si>
  <si>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</si>
  <si>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</si>
  <si>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</si>
  <si>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</si>
  <si>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</si>
  <si>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</si>
  <si>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</si>
  <si>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</si>
  <si>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</si>
  <si>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</si>
  <si>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</si>
  <si>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</si>
  <si>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</si>
  <si>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</si>
  <si>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</si>
  <si>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</si>
  <si>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</si>
  <si>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</si>
  <si>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</si>
  <si>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</si>
  <si>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</si>
  <si>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</si>
  <si>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</si>
  <si>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</si>
  <si>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</si>
  <si>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</si>
  <si>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</si>
  <si>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</si>
  <si>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</si>
  <si>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</si>
  <si>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</si>
  <si>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</si>
  <si>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</si>
  <si>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</si>
  <si>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</si>
  <si>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</si>
  <si>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</si>
  <si>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</si>
  <si>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</si>
  <si>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</si>
  <si>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</si>
  <si>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三菱重工業 (7011.T)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</si>
  <si>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</si>
  <si>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</si>
  <si>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</si>
  <si>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</si>
  <si>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</si>
  <si>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</si>
  <si>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</si>
  <si>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</si>
  <si>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</si>
  <si>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</si>
  <si>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</si>
  <si>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</si>
  <si>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</si>
  <si>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</si>
  <si>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</si>
  <si>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</si>
  <si>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</si>
  <si>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</si>
  <si>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</si>
  <si>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</si>
  <si>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</si>
  <si>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</si>
  <si>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</si>
  <si>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</si>
  <si>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</si>
  <si>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</si>
  <si>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</si>
  <si>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</si>
  <si>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</si>
  <si>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</si>
  <si>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</si>
  <si>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</si>
  <si>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</si>
  <si>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</si>
  <si>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</si>
  <si>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</si>
  <si>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</si>
  <si>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</si>
  <si>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</si>
  <si>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</si>
  <si>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</si>
  <si>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</si>
  <si>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</si>
  <si>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</si>
  <si>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</si>
  <si>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</si>
  <si>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</si>
  <si>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</si>
  <si>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</si>
  <si>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</si>
  <si>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</si>
  <si>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三菱重工業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</si>
  <si>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</si>
  <si>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</si>
  <si>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</si>
  <si>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</si>
  <si>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</si>
  <si>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</si>
  <si>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</si>
  <si>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</si>
  <si>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</si>
  <si>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</si>
  <si>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</si>
  <si>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</si>
  <si>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</si>
  <si>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</si>
  <si>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</si>
  <si>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</si>
  <si>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</si>
  <si>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</si>
  <si>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</si>
  <si>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</si>
  <si>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</si>
  <si>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</si>
  <si>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</si>
  <si>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</si>
  <si>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</si>
  <si>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</si>
  <si>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</si>
  <si>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</si>
  <si>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</si>
  <si>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</si>
  <si>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</si>
  <si>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</si>
  <si>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</si>
  <si>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</si>
  <si>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Heavy Industries, Ltd.</t>
  </si>
  <si>
    <t>7011.T</t>
  </si>
  <si>
    <t>IHI Corporation</t>
  </si>
  <si>
    <t>7013.T</t>
  </si>
  <si>
    <t>Kawasaki Heavy Industries, Ltd.</t>
  </si>
  <si>
    <t>7012.T</t>
  </si>
  <si>
    <t>Hitachi, Ltd.</t>
  </si>
  <si>
    <t>6501.T</t>
  </si>
  <si>
    <t>Mitsubishi Electric Corporation</t>
  </si>
  <si>
    <t>6503.T</t>
  </si>
  <si>
    <t>Daikin Industries,Ltd.</t>
  </si>
  <si>
    <t>6367.T</t>
  </si>
  <si>
    <t>Statistics</t>
  </si>
  <si>
    <t>25th Percentile</t>
  </si>
  <si>
    <t>Median (50th)</t>
  </si>
  <si>
    <t>75th Percentile</t>
  </si>
  <si>
    <t>Implied Valuation for 三菱重工業</t>
  </si>
  <si>
    <t>三菱重工業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</si>
  <si>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</si>
  <si>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</si>
  <si>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</si>
  <si>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</si>
  <si>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</si>
  <si>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</si>
  <si>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</si>
  <si>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</si>
  <si>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</si>
  <si>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</si>
  <si>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</si>
  <si>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</si>
  <si>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</si>
  <si>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</si>
  <si>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</si>
  <si>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三菱重工業</t>
  </si>
  <si>
    <t>日付</t>
  </si>
  <si>
    <t>セル</t>
  </si>
  <si>
    <t>変更内容</t>
  </si>
  <si>
    <t>理由</t>
  </si>
  <si>
    <t>元の値</t>
  </si>
  <si>
    <t>状態</t>
  </si>
  <si>
    <t>2026-09-06</t>
  </si>
  <si>
    <t>-</t>
  </si>
  <si>
    <t>Generated by pipeline on 2026-09-06 19:22, template rev 63983ab</t>
  </si>
  <si>
    <t>初期生成（手修正なし）</t>
  </si>
  <si>
    <t>generated</t>
  </si>
  <si>
    <t>DCF Model!C8</t>
  </si>
  <si>
    <t>Beta = 1.428（採用値）</t>
  </si>
  <si>
    <t>実測β(raw) = 1.638 → Blume調整 0.67×raw + 0.33×1.00 = 1.428 → 採用 1.428。クランプ域 [0.3, 2.0] の内側。置換なし。回帰βは平均回帰するため Blume 調整を既定とする（2026-09-05 バッチで85件中57件が旧下限 0.60 に張り付き、両裾の歪みが実証された）。</t>
  </si>
  <si>
    <t>実測 1.638</t>
  </si>
  <si>
    <t>確定</t>
  </si>
  <si>
    <t>Pipeline Metadata (do not edit — read by scripts/validate_output.py)</t>
  </si>
  <si>
    <t>key</t>
  </si>
  <si>
    <t>value</t>
  </si>
  <si>
    <t>auto_log_entries</t>
  </si>
  <si>
    <t>1</t>
  </si>
  <si>
    <t>beta_adopted_c8</t>
  </si>
  <si>
    <t>1.4277</t>
  </si>
  <si>
    <t>beta_basis</t>
  </si>
  <si>
    <t>Blume: 0.67 x 1.638 + 0.33 x 1.00 = 1.428</t>
  </si>
  <si>
    <t>beta_blume_adjusted</t>
  </si>
  <si>
    <t>beta_clamped</t>
  </si>
  <si>
    <t>no</t>
  </si>
  <si>
    <t>beta_raw</t>
  </si>
  <si>
    <t>1.6383</t>
  </si>
  <si>
    <t>capex_pct_basis</t>
  </si>
  <si>
    <t>explicit_override</t>
  </si>
  <si>
    <t>capex_pct_c5</t>
  </si>
  <si>
    <t>0.0357</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</si>
  <si>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</si>
  <si>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</si>
  <si>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</si>
  <si>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</si>
  <si>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</si>
  <si>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</si>
  <si>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</si>
  <si>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</si>
  <si>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</si>
  <si>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</si>
  <si>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</si>
  <si>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</si>
  <si>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</si>
  <si>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</si>
  <si>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</si>
  <si>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</si>
  <si>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</si>
  <si>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</si>
  <si>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</si>
  <si>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</si>
  <si>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</si>
  <si>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568788</t>
  </si>
  <si>
    <t>core_net_income</t>
  </si>
  <si>
    <t>332129.0</t>
  </si>
  <si>
    <t>cost_of_debt_at_c11</t>
  </si>
  <si>
    <t>0.01</t>
  </si>
  <si>
    <t>cost_of_debt_basis</t>
  </si>
  <si>
    <t>assumption</t>
  </si>
  <si>
    <t>da_pct_basis</t>
  </si>
  <si>
    <t>da_pct_c18</t>
  </si>
  <si>
    <t>0.034</t>
  </si>
  <si>
    <t>da_pct_hist3yr</t>
  </si>
  <si>
    <t>0.038067</t>
  </si>
  <si>
    <t>fs_year_coverage</t>
  </si>
  <si>
    <t>OCF 4/4, Cash 4/4, Debt 0/4</t>
  </si>
  <si>
    <t>fs_year_map</t>
  </si>
  <si>
    <t>FY2023&lt;-FY2023[ocf+cash]; FY2024&lt;-FY2024[ocf+cash]; FY2025&lt;-FY2025[ocf+cash]; FY2026&lt;-FY2026[ocf+cash]</t>
  </si>
  <si>
    <t>fs_year_sources</t>
  </si>
  <si>
    <t>overrides: hist_depreciation | EDINET year-key match: hist_ocf, hist_cash, hist_debt, hist_capex</t>
  </si>
  <si>
    <t>fx_sensitivity</t>
  </si>
  <si>
    <t>not enabled</t>
  </si>
  <si>
    <t>generated_at</t>
  </si>
  <si>
    <t>2026-09-06 19:22:54</t>
  </si>
  <si>
    <t>guidance_note</t>
  </si>
  <si>
    <t>TDnet 決算短信 via screener guidance table: FY2027 disclosed 2026-08-04 (net_income=380,000mn, revenue=5,400,000mn)</t>
  </si>
  <si>
    <t>guidance_source</t>
  </si>
  <si>
    <t>tdnet_screener_db</t>
  </si>
  <si>
    <t>latest_operating_income</t>
  </si>
  <si>
    <t>357574.0</t>
  </si>
  <si>
    <t>ltm_revenue_c20</t>
  </si>
  <si>
    <t>4974168.0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</si>
  <si>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</si>
  <si>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</si>
  <si>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</si>
  <si>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</si>
  <si>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</si>
  <si>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</si>
  <si>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</si>
  <si>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</si>
  <si>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</si>
  <si>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op0=357,574(FY2026) peak=415,529(FY2025) peak_opm=0.0835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</si>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</sst>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3754</v>
      </c>
    </row>
    <row r="10" spans="2:5" ht="14" customHeight="1" x14ac:dyDescent="0.3">
      <c r="B10" s="4" t="s">
        <v>10</v>
      </c>
      <c r="C10" s="5">
        <f>IF(ISNUMBER(C17),ROUND(C17,0),"N/A")</f>
        <v>1594</v>
      </c>
    </row>
    <row r="11" spans="2:5" ht="14" customHeight="1" x14ac:dyDescent="0.3">
      <c r="B11" s="4" t="s">
        <v>11</v>
      </c>
      <c r="C11" s="6" t="str">
        <f>IF(NOT(ISNUMBER(C12)),"N/A",IF(C12&gt;0.15,"BUY",IF(C12&gt;0.05,"HOLD","SELL")))</f>
        <v>SELL</v>
      </c>
    </row>
    <row r="12" spans="2:5" ht="14" customHeight="1" x14ac:dyDescent="0.3">
      <c r="B12" s="4" t="s">
        <v>12</v>
      </c>
      <c r="C12" s="7">
        <f>IF(ISNUMBER(C10),(C10-C9)/C9,"N/A")</f>
        <v>-0.57538625466169424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816</v>
      </c>
      <c r="D16" s="7">
        <f>IF(ISNUMBER(C16),(C16-C9)/C9,"N/A")</f>
        <v>-0.78263185935002666</v>
      </c>
    </row>
    <row r="17" spans="2:5" ht="13.5" customHeight="1" x14ac:dyDescent="0.25">
      <c r="B17" t="s">
        <v>18</v>
      </c>
      <c r="C17" s="11">
        <f>IF('DCF Model'!C62&lt;'DCF Model'!C16,"INVALID (EV &lt; net debt)",'DCF Model'!C64)</f>
        <v>1594</v>
      </c>
      <c r="D17" s="7">
        <f>IF(ISNUMBER(C17),(C17-C9)/C9,"N/A")</f>
        <v>-0.57538625466169424</v>
      </c>
    </row>
    <row r="18" spans="2:5" ht="13.5" customHeight="1" x14ac:dyDescent="0.25">
      <c r="B18" t="s">
        <v>19</v>
      </c>
      <c r="C18" s="11">
        <f>'Comps Analysis'!C27</f>
        <v>2227</v>
      </c>
      <c r="D18" s="7">
        <f>IF(ISNUMBER(C18),(C18-C9)/C9,"N/A")</f>
        <v>-0.40676611614278102</v>
      </c>
    </row>
    <row r="19" spans="2:5" ht="13.5" customHeight="1" x14ac:dyDescent="0.25">
      <c r="B19" t="s">
        <v>20</v>
      </c>
      <c r="C19" s="11">
        <f>'Comps Analysis'!C28</f>
        <v>2049</v>
      </c>
      <c r="D19" s="7">
        <f>IF(ISNUMBER(C19),(C19-C9)/C9,"N/A")</f>
        <v>-0.45418220564730954</v>
      </c>
    </row>
    <row r="20" spans="2:5" ht="14" customHeight="1" x14ac:dyDescent="0.3">
      <c r="B20" s="45" t="s">
        <v>21</v>
      </c>
      <c r="C20" s="44"/>
      <c r="D20" s="44"/>
      <c r="E20" s="44"/>
    </row>
    <row r="21" spans="2:5" ht="14" customHeight="1" x14ac:dyDescent="0.3">
      <c r="B21" s="4" t="s">
        <v>22</v>
      </c>
      <c r="C21" s="6" t="str">
        <f>IF(COUNT(C16:C17)=0,"N/A",MIN(C16:C17)&amp;" - "&amp;MAX(C16:C17))</f>
        <v>816 - 1594</v>
      </c>
    </row>
    <row r="23" spans="2:5" ht="14" customHeight="1" x14ac:dyDescent="0.3">
      <c r="B23" s="8" t="s">
        <v>23</v>
      </c>
      <c r="C23" s="9"/>
      <c r="D23" s="9"/>
    </row>
    <row r="24" spans="2:5" x14ac:dyDescent="0.2">
      <c r="B24" t="str">
        <f>"Mitsubishi Heavy is the prime contractor for Japanese defence programmes and gas turbines, and the operating margin has roughly doubled over four years to the top of its range; the shares trade at "&amp;TEXT('Comps Analysis'!L5,"0.0""x""")&amp;" earnings and "&amp;TEXT('Comps Analysis'!M5,"0.00""x""")&amp;" book."</f>
        <v>Mitsubishi Heavy is the prime contractor for Japanese defence programmes and gas turbines, and the operating margin has roughly doubled over four years to the top of its range; the shares trade at 51.4x earnings and 4.08x book.</v>
      </c>
    </row>
    <row r="25" spans="2:5" x14ac:dyDescent="0.2">
      <c r="B25" t="str">
        <f>"The balance sheet holds net cash, so the "&amp;TEXT('DCF Model'!C26,"0.00%")&amp;" discount rate is the cost of equity with no leverage assumed even though the order book carries multi-year execution risk."</f>
        <v>The balance sheet holds net cash, so the 13.25% discount rate is the cost of equity with no leverage assumed even though the order book carries multi-year execution risk.</v>
      </c>
    </row>
    <row r="26" spans="2:5" x14ac:dyDescent="0.2">
      <c r="B26" t="str">
        <f>"At "&amp;TEXT(C9,"#,##0")&amp;" the shares change hands at roughly twice the heavy-machinery peer median EV/EBITDA; this model values the exit on that peer median rather than on the defence premium, which is why "&amp;TEXT(C10,"#,##0")&amp;" sits "&amp;TEXT(C12,"+0.0%;-0.0%")&amp;" from here."</f>
        <v>At 3,754 the shares change hands at roughly twice the heavy-machinery peer median EV/EBITDA; this model values the exit on that peer median rather than on the defence premium, which is why 1,594 sits -57.5% from here.</v>
      </c>
    </row>
    <row r="28" spans="2:5" ht="14" customHeight="1" x14ac:dyDescent="0.3">
      <c r="B28" s="8" t="s">
        <v>24</v>
      </c>
      <c r="C28" s="9"/>
      <c r="D28" s="9"/>
    </row>
    <row r="29" spans="2:5" x14ac:dyDescent="0.2">
      <c r="B29" t="str">
        <f>"The exit leg deliberately does not extend the defence and energy premium into the terminal year, and that single choice accounts for most of the gap between "&amp;TEXT(C9,"#,##0")&amp;" and "&amp;TEXT(C10,"#,##0")&amp;"."</f>
        <v>The exit leg deliberately does not extend the defence and energy premium into the terminal year, and that single choice accounts for most of the gap between 3,754 and 1,594.</v>
      </c>
    </row>
    <row r="30" spans="2:5" x14ac:dyDescent="0.2">
      <c r="B30" t="s">
        <v>25</v>
      </c>
    </row>
    <row r="31" spans="2:5" x14ac:dyDescent="0.2">
      <c r="B31" t="str">
        <f>"Long-cycle projects have produced losses before: the margin was half the current level three years ago, far below what the "&amp;TEXT('Comps Analysis'!L5,"0.0""x""")&amp;" the market pays contemplates."</f>
        <v>Long-cycle projects have produced losses before: the margin was half the current level three years ago, far below what the 51.4x the market pays contemplates.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4202797</v>
      </c>
      <c r="D6" s="5">
        <v>4657147</v>
      </c>
      <c r="E6" s="5">
        <v>4974168</v>
      </c>
      <c r="F6" s="5">
        <v>4361127</v>
      </c>
    </row>
    <row r="7" spans="2:6" ht="14" customHeight="1" x14ac:dyDescent="0.3">
      <c r="B7" s="4" t="s">
        <v>33</v>
      </c>
      <c r="C7" s="5">
        <v>3437779</v>
      </c>
      <c r="D7" s="5">
        <v>3727034</v>
      </c>
      <c r="E7" s="5">
        <v>3891494</v>
      </c>
      <c r="F7" s="5">
        <v>3490008</v>
      </c>
    </row>
    <row r="8" spans="2:6" ht="14" customHeight="1" x14ac:dyDescent="0.3">
      <c r="B8" s="4" t="s">
        <v>34</v>
      </c>
      <c r="C8" s="5">
        <f>C6-C7</f>
        <v>765018</v>
      </c>
      <c r="D8" s="5">
        <f>D6-D7</f>
        <v>930113</v>
      </c>
      <c r="E8" s="5">
        <f>E6-E7</f>
        <v>1082674</v>
      </c>
      <c r="F8" s="5">
        <f>F6-F7</f>
        <v>871119</v>
      </c>
    </row>
    <row r="9" spans="2:6" ht="13.5" customHeight="1" x14ac:dyDescent="0.25">
      <c r="B9" t="s">
        <v>35</v>
      </c>
      <c r="C9" s="7">
        <f>C8/C6</f>
        <v>0.18202592226081821</v>
      </c>
      <c r="D9" s="7">
        <f>D8/D6</f>
        <v>0.19971733767476096</v>
      </c>
      <c r="E9" s="7">
        <f>E8/E6</f>
        <v>0.21765931508545749</v>
      </c>
      <c r="F9" s="7">
        <f>F8/F6</f>
        <v>0.19974630410900668</v>
      </c>
    </row>
    <row r="10" spans="2:6" ht="14" customHeight="1" x14ac:dyDescent="0.3">
      <c r="B10" s="4" t="s">
        <v>36</v>
      </c>
      <c r="C10" s="5">
        <v>585196</v>
      </c>
      <c r="D10" s="5">
        <v>649721</v>
      </c>
      <c r="E10" s="5">
        <v>667145</v>
      </c>
      <c r="F10" s="5">
        <v>513545</v>
      </c>
    </row>
    <row r="11" spans="2:6" ht="14" customHeight="1" x14ac:dyDescent="0.3">
      <c r="B11" s="4" t="s">
        <v>37</v>
      </c>
      <c r="C11" s="5">
        <v>179822</v>
      </c>
      <c r="D11" s="5">
        <v>280392</v>
      </c>
      <c r="E11" s="5">
        <v>415529</v>
      </c>
      <c r="F11" s="5">
        <v>357574</v>
      </c>
    </row>
    <row r="12" spans="2:6" ht="14" customHeight="1" x14ac:dyDescent="0.3">
      <c r="B12" s="4" t="s">
        <v>38</v>
      </c>
      <c r="C12" s="5">
        <v>130451</v>
      </c>
      <c r="D12" s="5">
        <v>222023</v>
      </c>
      <c r="E12" s="5">
        <v>332129</v>
      </c>
      <c r="F12" s="5">
        <v>245447</v>
      </c>
    </row>
    <row r="13" spans="2:6" ht="13.5" customHeight="1" x14ac:dyDescent="0.25">
      <c r="B13" t="s">
        <v>39</v>
      </c>
      <c r="C13" s="7">
        <f>C11/C6</f>
        <v>4.2786268287523764E-2</v>
      </c>
      <c r="D13" s="7">
        <f>D11/D6</f>
        <v>6.0206817607432191E-2</v>
      </c>
      <c r="E13" s="7">
        <f>E11/E6</f>
        <v>8.3537387559085255E-2</v>
      </c>
      <c r="F13" s="7">
        <f>F11/F6</f>
        <v>8.1991191726358811E-2</v>
      </c>
    </row>
    <row r="14" spans="2:6" ht="13.5" customHeight="1" x14ac:dyDescent="0.25">
      <c r="B14" t="s">
        <v>40</v>
      </c>
      <c r="C14" s="7">
        <f>C12/C6</f>
        <v>3.1039091347976121E-2</v>
      </c>
      <c r="D14" s="7">
        <f>D12/D6</f>
        <v>4.7673607897710767E-2</v>
      </c>
      <c r="E14" s="7">
        <f>E12/E6</f>
        <v>6.6770764477597055E-2</v>
      </c>
      <c r="F14" s="7">
        <f>F12/F6</f>
        <v>5.6280635716410003E-2</v>
      </c>
    </row>
    <row r="15" spans="2:6" ht="13.5" customHeight="1" x14ac:dyDescent="0.25">
      <c r="B15" t="s">
        <v>41</v>
      </c>
      <c r="C15" t="s">
        <v>42</v>
      </c>
      <c r="D15" s="7">
        <f>(D6-C6)/C6</f>
        <v>0.10810657759582487</v>
      </c>
      <c r="E15" s="7">
        <f>(E6-D6)/D6</f>
        <v>6.8071933310243374E-2</v>
      </c>
      <c r="F15" s="7">
        <f>(F6-E6)/E6</f>
        <v>-0.12324493261988739</v>
      </c>
    </row>
    <row r="16" spans="2:6" ht="13.5" customHeight="1" x14ac:dyDescent="0.25">
      <c r="B16" t="s">
        <v>43</v>
      </c>
      <c r="C16" t="s">
        <v>42</v>
      </c>
      <c r="D16" s="7">
        <f>(D11-C11)/C11</f>
        <v>0.55927528333574317</v>
      </c>
      <c r="E16" s="7">
        <f>(E11-D11)/D11</f>
        <v>0.48195740249365177</v>
      </c>
      <c r="F16" s="7">
        <f>(F11-E11)/E11</f>
        <v>-0.13947281657838562</v>
      </c>
    </row>
    <row r="18" spans="2:6" ht="14" customHeight="1" x14ac:dyDescent="0.3">
      <c r="B18" s="3" t="s">
        <v>44</v>
      </c>
    </row>
    <row r="19" spans="2:6" ht="14" customHeight="1" x14ac:dyDescent="0.3">
      <c r="B19" s="4" t="s">
        <v>45</v>
      </c>
      <c r="C19" s="5">
        <v>80888</v>
      </c>
      <c r="D19" s="5">
        <v>331186</v>
      </c>
      <c r="E19" s="5">
        <v>530459</v>
      </c>
      <c r="F19" s="5">
        <v>942619</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347663</v>
      </c>
      <c r="D26" s="5">
        <v>431287</v>
      </c>
      <c r="E26" s="5">
        <v>657816</v>
      </c>
      <c r="F26" s="5">
        <v>1334874</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3.5700000000000003E-2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1.4277</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12.4</v>
      </c>
    </row>
    <row r="15" spans="2:7" ht="14" customHeight="1" x14ac:dyDescent="0.3">
      <c r="B15" s="4" t="s">
        <v>66</v>
      </c>
      <c r="C15" s="15">
        <v>3360209340</v>
      </c>
    </row>
    <row r="16" spans="2:7" ht="14" customHeight="1" x14ac:dyDescent="0.3">
      <c r="B16" s="4" t="s">
        <v>67</v>
      </c>
      <c r="C16" s="5">
        <v>-458634</v>
      </c>
    </row>
    <row r="17" spans="2:7" ht="14" customHeight="1" x14ac:dyDescent="0.3">
      <c r="B17" s="4" t="s">
        <v>68</v>
      </c>
      <c r="C17" s="5">
        <v>4361127</v>
      </c>
    </row>
    <row r="18" spans="2:7" ht="14" customHeight="1" x14ac:dyDescent="0.3">
      <c r="B18" s="4" t="s">
        <v>69</v>
      </c>
      <c r="C18" s="7">
        <v>3.4000000000000002E-2</v>
      </c>
    </row>
    <row r="19" spans="2:7" ht="14" customHeight="1" x14ac:dyDescent="0.3">
      <c r="B19" s="4" t="s">
        <v>70</v>
      </c>
      <c r="C19" s="12">
        <v>1</v>
      </c>
    </row>
    <row r="20" spans="2:7" ht="14" customHeight="1" x14ac:dyDescent="0.3">
      <c r="B20" s="4" t="s">
        <v>71</v>
      </c>
      <c r="C20" s="5">
        <v>4974168</v>
      </c>
    </row>
    <row r="22" spans="2:7" ht="14" customHeight="1" x14ac:dyDescent="0.3">
      <c r="B22" s="8" t="s">
        <v>72</v>
      </c>
      <c r="C22" s="9"/>
      <c r="D22" s="9"/>
      <c r="E22" s="9"/>
      <c r="F22" s="9"/>
      <c r="G22" s="9"/>
    </row>
    <row r="23" spans="2:7" ht="14" customHeight="1" x14ac:dyDescent="0.3">
      <c r="B23" s="4" t="s">
        <v>73</v>
      </c>
      <c r="C23" s="16">
        <f>C7+C8*C9+C10</f>
        <v>0.13250050000000002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0.13250050000000002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85</v>
      </c>
      <c r="C31" s="18">
        <f>CHOOSE($D$27,C76,C77,C78,C79,C80)</f>
        <v>0.8</v>
      </c>
      <c r="D31" s="18">
        <f>CHOOSE($D$27,D76,D77,D78,D79,D80)</f>
        <v>0.8</v>
      </c>
      <c r="E31" s="18">
        <f>CHOOSE($D$27,E76,E77,E78,E79,E80)</f>
        <v>0.8</v>
      </c>
      <c r="F31" s="18">
        <f>CHOOSE($D$27,F76,F77,F78,F79,F80)</f>
        <v>0.8</v>
      </c>
      <c r="G31" s="18">
        <f>CHOOSE($D$27,G76,G77,G78,G79,G80)</f>
        <v>0.8</v>
      </c>
    </row>
    <row r="32" spans="2:7" ht="14" customHeight="1" x14ac:dyDescent="0.3">
      <c r="B32" s="4" t="s">
        <v>86</v>
      </c>
      <c r="C32" s="18">
        <f>CHOOSE($D$27,C83,C84,C85,C86,C87)</f>
        <v>0.1179</v>
      </c>
      <c r="D32" s="18">
        <f>CHOOSE($D$27,D83,D84,D85,D86,D87)</f>
        <v>0.1179</v>
      </c>
      <c r="E32" s="18">
        <f>CHOOSE($D$27,E83,E84,E85,E86,E87)</f>
        <v>0.1178</v>
      </c>
      <c r="F32" s="18">
        <f>CHOOSE($D$27,F83,F84,F85,F86,F87)</f>
        <v>0.1178</v>
      </c>
      <c r="G32" s="18">
        <f>CHOOSE($D$27,G83,G84,G85,G86,G87)</f>
        <v>0.1178</v>
      </c>
    </row>
    <row r="33" spans="2:7" ht="14" customHeight="1" x14ac:dyDescent="0.3">
      <c r="B33" s="4" t="s">
        <v>32</v>
      </c>
      <c r="C33" s="5">
        <f>C17*(1+C30)</f>
        <v>4491960.8100000005</v>
      </c>
      <c r="D33" s="5">
        <f>C33*(1+D30)</f>
        <v>4626719.634300001</v>
      </c>
      <c r="E33" s="5">
        <f>D33*(1+E30)</f>
        <v>4742387.6251575006</v>
      </c>
      <c r="F33" s="5">
        <f>E33*(1+F30)</f>
        <v>4860947.3157864381</v>
      </c>
      <c r="G33" s="5">
        <f>F33*(1+G30)</f>
        <v>4958166.2621021671</v>
      </c>
    </row>
    <row r="34" spans="2:7" ht="14" customHeight="1" x14ac:dyDescent="0.3">
      <c r="B34" s="4" t="s">
        <v>33</v>
      </c>
      <c r="C34" s="5">
        <f>C33*C31</f>
        <v>3593568.6480000005</v>
      </c>
      <c r="D34" s="5">
        <f>D33*D31</f>
        <v>3701375.707440001</v>
      </c>
      <c r="E34" s="5">
        <f>E33*E31</f>
        <v>3793910.1001260006</v>
      </c>
      <c r="F34" s="5">
        <f>F33*F31</f>
        <v>3888757.8526291507</v>
      </c>
      <c r="G34" s="5">
        <f>G33*G31</f>
        <v>3966533.0096817338</v>
      </c>
    </row>
    <row r="35" spans="2:7" ht="14" customHeight="1" x14ac:dyDescent="0.3">
      <c r="B35" s="4" t="s">
        <v>34</v>
      </c>
      <c r="C35" s="19">
        <f>C33-C34</f>
        <v>898392.16200000001</v>
      </c>
      <c r="D35" s="19">
        <f>D33-D34</f>
        <v>925343.92686000001</v>
      </c>
      <c r="E35" s="19">
        <f>E33-E34</f>
        <v>948477.52503150003</v>
      </c>
      <c r="F35" s="19">
        <f>F33-F34</f>
        <v>972189.46315728733</v>
      </c>
      <c r="G35" s="19">
        <f>G33-G34</f>
        <v>991633.25242043333</v>
      </c>
    </row>
    <row r="36" spans="2:7" ht="14" customHeight="1" x14ac:dyDescent="0.3">
      <c r="B36" s="4" t="s">
        <v>35</v>
      </c>
      <c r="C36" s="7">
        <f>C35/C33</f>
        <v>0.19999999999999998</v>
      </c>
      <c r="D36" s="7">
        <f>D35/D33</f>
        <v>0.19999999999999996</v>
      </c>
      <c r="E36" s="7">
        <f>E35/E33</f>
        <v>0.19999999999999998</v>
      </c>
      <c r="F36" s="7">
        <f>F35/F33</f>
        <v>0.19999999999999996</v>
      </c>
      <c r="G36" s="7">
        <f>G35/G33</f>
        <v>0.19999999999999998</v>
      </c>
    </row>
    <row r="37" spans="2:7" ht="14" customHeight="1" x14ac:dyDescent="0.3">
      <c r="B37" s="4" t="s">
        <v>87</v>
      </c>
      <c r="C37" s="5">
        <f>C33*C32</f>
        <v>529602.17949900008</v>
      </c>
      <c r="D37" s="5">
        <f>D33*D32</f>
        <v>545490.24488397012</v>
      </c>
      <c r="E37" s="5">
        <f>E33*E32</f>
        <v>558653.26224355353</v>
      </c>
      <c r="F37" s="5">
        <f>F33*F32</f>
        <v>572619.5937996424</v>
      </c>
      <c r="G37" s="5">
        <f>G33*G32</f>
        <v>584071.98567563528</v>
      </c>
    </row>
    <row r="38" spans="2:7" ht="14" customHeight="1" x14ac:dyDescent="0.3">
      <c r="B38" s="4" t="s">
        <v>88</v>
      </c>
      <c r="C38" s="7">
        <f>(C35-C37)/C33</f>
        <v>8.2099999999999979E-2</v>
      </c>
      <c r="D38" s="7">
        <f>(D35-D37)/D33</f>
        <v>8.2099999999999951E-2</v>
      </c>
      <c r="E38" s="7">
        <f>(E35-E37)/E33</f>
        <v>8.2199999999999995E-2</v>
      </c>
      <c r="F38" s="7">
        <f>(F35-F37)/F33</f>
        <v>8.219999999999994E-2</v>
      </c>
      <c r="G38" s="7">
        <f>(G35-G37)/G33</f>
        <v>8.2199999999999981E-2</v>
      </c>
    </row>
    <row r="39" spans="2:7" ht="14" customHeight="1" x14ac:dyDescent="0.3">
      <c r="B39" s="4" t="s">
        <v>89</v>
      </c>
      <c r="C39" s="19">
        <f>C35-C37</f>
        <v>368789.98250099993</v>
      </c>
      <c r="D39" s="19">
        <f>D35-D37</f>
        <v>379853.68197602988</v>
      </c>
      <c r="E39" s="19">
        <f>E35-E37</f>
        <v>389824.2627879465</v>
      </c>
      <c r="F39" s="19">
        <f>F35-F37</f>
        <v>399569.86935764493</v>
      </c>
      <c r="G39" s="19">
        <f>G35-G37</f>
        <v>407561.26674479805</v>
      </c>
    </row>
    <row r="40" spans="2:7" ht="14" customHeight="1" x14ac:dyDescent="0.3">
      <c r="B40" s="4" t="s">
        <v>90</v>
      </c>
      <c r="C40" s="5">
        <f>MAX(0,C39*C6)</f>
        <v>92197.495625249983</v>
      </c>
      <c r="D40" s="5">
        <f>MAX(0,D39*C6)</f>
        <v>94963.420494007471</v>
      </c>
      <c r="E40" s="5">
        <f>MAX(0,E39*C6)</f>
        <v>97456.065696986625</v>
      </c>
      <c r="F40" s="5">
        <f>MAX(0,F39*C6)</f>
        <v>99892.467339411232</v>
      </c>
      <c r="G40" s="5">
        <f>MAX(0,G39*C6)</f>
        <v>101890.31668619951</v>
      </c>
    </row>
    <row r="41" spans="2:7" ht="14" customHeight="1" x14ac:dyDescent="0.3">
      <c r="B41" s="4" t="s">
        <v>91</v>
      </c>
      <c r="C41" s="19">
        <f>C39-C40</f>
        <v>276592.48687574995</v>
      </c>
      <c r="D41" s="19">
        <f>D39-D40</f>
        <v>284890.26148202241</v>
      </c>
      <c r="E41" s="19">
        <f>E39-E40</f>
        <v>292368.19709095987</v>
      </c>
      <c r="F41" s="19">
        <f>F39-F40</f>
        <v>299677.40201823367</v>
      </c>
      <c r="G41" s="19">
        <f>G39-G40</f>
        <v>305670.95005859854</v>
      </c>
    </row>
    <row r="42" spans="2:7" ht="14" customHeight="1" x14ac:dyDescent="0.3">
      <c r="B42" s="4" t="s">
        <v>92</v>
      </c>
      <c r="C42" s="5">
        <f>C33*C18</f>
        <v>152726.66754000002</v>
      </c>
      <c r="D42" s="5">
        <f>D33*C18</f>
        <v>157308.46756620004</v>
      </c>
      <c r="E42" s="5">
        <f>E33*C18</f>
        <v>161241.17925535503</v>
      </c>
      <c r="F42" s="5">
        <f>F33*C18</f>
        <v>165272.20873673892</v>
      </c>
      <c r="G42" s="5">
        <f>G33*C18</f>
        <v>168577.65291147371</v>
      </c>
    </row>
    <row r="43" spans="2:7" ht="14" customHeight="1" x14ac:dyDescent="0.3">
      <c r="B43" s="4" t="s">
        <v>93</v>
      </c>
      <c r="C43" s="5">
        <f>C33*C5</f>
        <v>160363.00091700003</v>
      </c>
      <c r="D43" s="5">
        <f>D33*C5</f>
        <v>165173.89094451006</v>
      </c>
      <c r="E43" s="5">
        <f>E33*C5</f>
        <v>169303.23821812277</v>
      </c>
      <c r="F43" s="5">
        <f>F33*C5</f>
        <v>173535.81917357584</v>
      </c>
      <c r="G43" s="5">
        <f>G33*C5</f>
        <v>177006.53555704738</v>
      </c>
    </row>
    <row r="44" spans="2:7" ht="14" customHeight="1" x14ac:dyDescent="0.3">
      <c r="B44" s="4" t="s">
        <v>94</v>
      </c>
      <c r="C44" s="5">
        <f>'NWC Schedule'!D19</f>
        <v>-162592.2959945203</v>
      </c>
      <c r="D44" s="5">
        <f>'NWC Schedule'!E19</f>
        <v>29610.021120164311</v>
      </c>
      <c r="E44" s="5">
        <f>'NWC Schedule'!F19</f>
        <v>25415.268128140946</v>
      </c>
      <c r="F44" s="5">
        <f>'NWC Schedule'!G19</f>
        <v>26050.649831344606</v>
      </c>
      <c r="G44" s="5">
        <f>'NWC Schedule'!H19</f>
        <v>21361.53286170261</v>
      </c>
    </row>
    <row r="45" spans="2:7" ht="14" customHeight="1" x14ac:dyDescent="0.3">
      <c r="B45" s="4" t="s">
        <v>95</v>
      </c>
      <c r="C45" s="20">
        <f>C41+C42-C43-C44</f>
        <v>431548.44949327025</v>
      </c>
      <c r="D45" s="20">
        <f>D41+D42-D43-D44</f>
        <v>247414.81698354805</v>
      </c>
      <c r="E45" s="20">
        <f>E41+E42-E43-E44</f>
        <v>258890.87000005122</v>
      </c>
      <c r="F45" s="20">
        <f>F41+F42-F43-F44</f>
        <v>265363.14175005211</v>
      </c>
      <c r="G45" s="20">
        <f>G41+G42-G43-G44</f>
        <v>275880.53455132223</v>
      </c>
    </row>
    <row r="46" spans="2:7" ht="14" customHeight="1" x14ac:dyDescent="0.3">
      <c r="B46" s="4" t="s">
        <v>96</v>
      </c>
      <c r="C46" s="21">
        <f>1/(1+C26)^(C19+0)</f>
        <v>0.88300181765924168</v>
      </c>
      <c r="D46" s="21">
        <f>1/(1+C26)^(C19+1)</f>
        <v>0.77969220998952471</v>
      </c>
      <c r="E46" s="21">
        <f>1/(1+C26)^(C19+2)</f>
        <v>0.68846963863550159</v>
      </c>
      <c r="F46" s="21">
        <f>1/(1+C26)^(C19+3)</f>
        <v>0.60791994231834912</v>
      </c>
      <c r="G46" s="21">
        <f>1/(1+C26)^(C19+4)</f>
        <v>0.53679441405840367</v>
      </c>
    </row>
    <row r="47" spans="2:7" ht="14" customHeight="1" x14ac:dyDescent="0.3">
      <c r="B47" s="4" t="s">
        <v>97</v>
      </c>
      <c r="C47" s="19">
        <f>C45*C46</f>
        <v>381058.06531058508</v>
      </c>
      <c r="D47" s="19">
        <f>D45*D46</f>
        <v>192907.40543805636</v>
      </c>
      <c r="E47" s="19">
        <f>E45*E46</f>
        <v>178238.50371496589</v>
      </c>
      <c r="F47" s="19">
        <f>F45*F46</f>
        <v>161319.54582610758</v>
      </c>
      <c r="G47" s="19">
        <f>G45*G46</f>
        <v>148091.1298945962</v>
      </c>
    </row>
    <row r="49" spans="2:7" ht="14" customHeight="1" x14ac:dyDescent="0.3">
      <c r="B49" s="22" t="s">
        <v>98</v>
      </c>
      <c r="C49" s="23"/>
      <c r="D49" s="23"/>
      <c r="E49" s="23"/>
      <c r="F49" s="23"/>
      <c r="G49" s="23"/>
    </row>
    <row r="50" spans="2:7" ht="14" customHeight="1" x14ac:dyDescent="0.3">
      <c r="B50" s="4" t="s">
        <v>99</v>
      </c>
      <c r="C50" s="5">
        <f>SUM(C47:G47)</f>
        <v>1061614.6501843112</v>
      </c>
    </row>
    <row r="51" spans="2:7" ht="14" customHeight="1" x14ac:dyDescent="0.3">
      <c r="B51" s="4" t="s">
        <v>100</v>
      </c>
      <c r="C51" s="5">
        <f>G45*(1+C13)/(C26-C13)</f>
        <v>2274597.5722289737</v>
      </c>
    </row>
    <row r="52" spans="2:7" ht="14" customHeight="1" x14ac:dyDescent="0.3">
      <c r="B52" s="4" t="s">
        <v>101</v>
      </c>
      <c r="C52" s="5">
        <f>C51*G46</f>
        <v>1220991.2710033194</v>
      </c>
    </row>
    <row r="53" spans="2:7" ht="14" customHeight="1" x14ac:dyDescent="0.3">
      <c r="B53" s="4" t="s">
        <v>102</v>
      </c>
      <c r="C53" s="5">
        <f>C50+C52</f>
        <v>2282605.9211876309</v>
      </c>
    </row>
    <row r="54" spans="2:7" ht="14" customHeight="1" x14ac:dyDescent="0.3">
      <c r="B54" s="4" t="s">
        <v>103</v>
      </c>
      <c r="C54" s="5">
        <f>C53-C16</f>
        <v>2741239.9211876309</v>
      </c>
    </row>
    <row r="55" spans="2:7" ht="14" customHeight="1" x14ac:dyDescent="0.3">
      <c r="B55" s="4" t="s">
        <v>104</v>
      </c>
      <c r="C55" s="24">
        <f>ROUND(C54*1000000/C15,0)</f>
        <v>816</v>
      </c>
    </row>
    <row r="57" spans="2:7" ht="14" customHeight="1" x14ac:dyDescent="0.3">
      <c r="B57" s="22" t="s">
        <v>105</v>
      </c>
      <c r="C57" s="23"/>
      <c r="D57" s="23"/>
      <c r="E57" s="23"/>
      <c r="F57" s="23"/>
      <c r="G57" s="23"/>
    </row>
    <row r="58" spans="2:7" ht="14" customHeight="1" x14ac:dyDescent="0.3">
      <c r="B58" s="4" t="s">
        <v>99</v>
      </c>
      <c r="C58" s="5">
        <f>C50</f>
        <v>1061614.6501843112</v>
      </c>
    </row>
    <row r="59" spans="2:7" ht="14" customHeight="1" x14ac:dyDescent="0.3">
      <c r="B59" s="4" t="s">
        <v>106</v>
      </c>
      <c r="C59" s="5">
        <f>G39+G42</f>
        <v>576138.91965627181</v>
      </c>
    </row>
    <row r="60" spans="2:7" ht="14" customHeight="1" x14ac:dyDescent="0.3">
      <c r="B60" s="4" t="s">
        <v>107</v>
      </c>
      <c r="C60" s="5">
        <f>C59*C14</f>
        <v>7144122.6037377706</v>
      </c>
    </row>
    <row r="61" spans="2:7" ht="14" customHeight="1" x14ac:dyDescent="0.3">
      <c r="B61" s="4" t="s">
        <v>101</v>
      </c>
      <c r="C61" s="5">
        <f>C60*G46</f>
        <v>3834925.1070348136</v>
      </c>
    </row>
    <row r="62" spans="2:7" ht="14" customHeight="1" x14ac:dyDescent="0.3">
      <c r="B62" s="4" t="s">
        <v>102</v>
      </c>
      <c r="C62" s="5">
        <f>C58+C61</f>
        <v>4896539.7572191246</v>
      </c>
    </row>
    <row r="63" spans="2:7" ht="14" customHeight="1" x14ac:dyDescent="0.3">
      <c r="B63" s="4" t="s">
        <v>103</v>
      </c>
      <c r="C63" s="5">
        <f>C62-C16</f>
        <v>5355173.7572191246</v>
      </c>
    </row>
    <row r="64" spans="2:7" ht="14" customHeight="1" x14ac:dyDescent="0.3">
      <c r="B64" s="4" t="s">
        <v>108</v>
      </c>
      <c r="C64" s="24">
        <f>ROUND(C63*1000000/C15,0)</f>
        <v>1594</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0.03</v>
      </c>
      <c r="D69" s="26">
        <v>0.03</v>
      </c>
      <c r="E69" s="26">
        <v>2.5000000000000001E-2</v>
      </c>
      <c r="F69" s="26">
        <v>2.5000000000000001E-2</v>
      </c>
      <c r="G69" s="26">
        <v>0.02</v>
      </c>
    </row>
    <row r="70" spans="2:7" ht="14" customHeight="1" x14ac:dyDescent="0.3">
      <c r="B70" s="4" t="s">
        <v>115</v>
      </c>
      <c r="C70" s="26">
        <v>4.4999999999999998E-2</v>
      </c>
      <c r="D70" s="26">
        <v>0.04</v>
      </c>
      <c r="E70" s="26">
        <v>3.5000000000000003E-2</v>
      </c>
      <c r="F70" s="26">
        <v>0.03</v>
      </c>
      <c r="G70" s="26">
        <v>0.03</v>
      </c>
    </row>
    <row r="71" spans="2:7" ht="14" customHeight="1" x14ac:dyDescent="0.3">
      <c r="B71" s="4" t="s">
        <v>116</v>
      </c>
      <c r="C71" s="26">
        <v>0.03</v>
      </c>
      <c r="D71" s="26">
        <v>0.03</v>
      </c>
      <c r="E71" s="26">
        <v>2.5000000000000001E-2</v>
      </c>
      <c r="F71" s="26">
        <v>2.5000000000000001E-2</v>
      </c>
      <c r="G71" s="26">
        <v>0.02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0.8</v>
      </c>
      <c r="D76" s="26">
        <v>0.8</v>
      </c>
      <c r="E76" s="26">
        <v>0.8</v>
      </c>
      <c r="F76" s="26">
        <v>0.8</v>
      </c>
      <c r="G76" s="26">
        <v>0.8</v>
      </c>
    </row>
    <row r="77" spans="2:7" ht="14" customHeight="1" x14ac:dyDescent="0.3">
      <c r="B77" s="4" t="s">
        <v>115</v>
      </c>
      <c r="C77" s="26">
        <v>0.79400000000000004</v>
      </c>
      <c r="D77" s="26">
        <v>0.79400000000000004</v>
      </c>
      <c r="E77" s="26">
        <v>0.79400000000000004</v>
      </c>
      <c r="F77" s="26">
        <v>0.79400000000000004</v>
      </c>
      <c r="G77" s="26">
        <v>0.79400000000000004</v>
      </c>
    </row>
    <row r="78" spans="2:7" ht="14" customHeight="1" x14ac:dyDescent="0.3">
      <c r="B78" s="4" t="s">
        <v>116</v>
      </c>
      <c r="C78" s="26">
        <v>0.8</v>
      </c>
      <c r="D78" s="26">
        <v>0.8</v>
      </c>
      <c r="E78" s="26">
        <v>0.8</v>
      </c>
      <c r="F78" s="26">
        <v>0.8</v>
      </c>
      <c r="G78" s="26">
        <v>0.8</v>
      </c>
    </row>
    <row r="79" spans="2:7" ht="14" customHeight="1" x14ac:dyDescent="0.3">
      <c r="B79" s="4" t="s">
        <v>117</v>
      </c>
      <c r="C79" s="26">
        <v>0.80800000000000005</v>
      </c>
      <c r="D79" s="26">
        <v>0.80800000000000005</v>
      </c>
      <c r="E79" s="26">
        <v>0.80800000000000005</v>
      </c>
      <c r="F79" s="26">
        <v>0.80800000000000005</v>
      </c>
      <c r="G79" s="26">
        <v>0.80800000000000005</v>
      </c>
    </row>
    <row r="80" spans="2:7" ht="14" customHeight="1" x14ac:dyDescent="0.3">
      <c r="B80" s="4" t="s">
        <v>118</v>
      </c>
      <c r="C80" s="26">
        <v>0.82</v>
      </c>
      <c r="D80" s="26">
        <v>0.82</v>
      </c>
      <c r="E80" s="26">
        <v>0.82</v>
      </c>
      <c r="F80" s="26">
        <v>0.82</v>
      </c>
      <c r="G80" s="26">
        <v>0.82</v>
      </c>
    </row>
    <row r="82" spans="2:7" ht="14" customHeight="1" x14ac:dyDescent="0.3">
      <c r="B82" s="3" t="s">
        <v>86</v>
      </c>
    </row>
    <row r="83" spans="2:7" ht="14" customHeight="1" x14ac:dyDescent="0.3">
      <c r="B83" s="4" t="s">
        <v>78</v>
      </c>
      <c r="C83" s="26">
        <v>0.1179</v>
      </c>
      <c r="D83" s="26">
        <v>0.1179</v>
      </c>
      <c r="E83" s="26">
        <v>0.1178</v>
      </c>
      <c r="F83" s="26">
        <v>0.1178</v>
      </c>
      <c r="G83" s="26">
        <v>0.1178</v>
      </c>
    </row>
    <row r="84" spans="2:7" ht="14" customHeight="1" x14ac:dyDescent="0.3">
      <c r="B84" s="4" t="s">
        <v>115</v>
      </c>
      <c r="C84" s="26">
        <v>0.121</v>
      </c>
      <c r="D84" s="26">
        <v>0.11899999999999999</v>
      </c>
      <c r="E84" s="26">
        <v>0.11700000000000001</v>
      </c>
      <c r="F84" s="26">
        <v>0.115</v>
      </c>
      <c r="G84" s="26">
        <v>0.114</v>
      </c>
    </row>
    <row r="85" spans="2:7" ht="14" customHeight="1" x14ac:dyDescent="0.3">
      <c r="B85" s="4" t="s">
        <v>116</v>
      </c>
      <c r="C85" s="26">
        <v>0.1179</v>
      </c>
      <c r="D85" s="26">
        <v>0.1179</v>
      </c>
      <c r="E85" s="26">
        <v>0.1178</v>
      </c>
      <c r="F85" s="26">
        <v>0.1178</v>
      </c>
      <c r="G85" s="26">
        <v>0.1178</v>
      </c>
    </row>
    <row r="86" spans="2:7" ht="14" customHeight="1" x14ac:dyDescent="0.3">
      <c r="B86" s="4" t="s">
        <v>117</v>
      </c>
      <c r="C86" s="26">
        <v>0.11700000000000001</v>
      </c>
      <c r="D86" s="26">
        <v>0.124</v>
      </c>
      <c r="E86" s="26">
        <v>0.13</v>
      </c>
      <c r="F86" s="26">
        <v>0.13400000000000001</v>
      </c>
      <c r="G86" s="26">
        <v>0.1361</v>
      </c>
    </row>
    <row r="87" spans="2:7" ht="14" customHeight="1" x14ac:dyDescent="0.3">
      <c r="B87" s="4" t="s">
        <v>118</v>
      </c>
      <c r="C87" s="26">
        <v>0.13</v>
      </c>
      <c r="D87" s="26">
        <v>0.13700000000000001</v>
      </c>
      <c r="E87" s="26">
        <v>0.13700000000000001</v>
      </c>
      <c r="F87" s="26">
        <v>0.13400000000000001</v>
      </c>
      <c r="G87" s="26">
        <v>0.13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3754</v>
      </c>
    </row>
    <row r="7" spans="2:9" ht="14" customHeight="1" x14ac:dyDescent="0.3">
      <c r="B7" s="4" t="s">
        <v>66</v>
      </c>
      <c r="C7" s="15">
        <f>'DCF Model'!C15</f>
        <v>3360209340</v>
      </c>
    </row>
    <row r="8" spans="2:9" ht="14" customHeight="1" x14ac:dyDescent="0.3">
      <c r="B8" s="4" t="s">
        <v>123</v>
      </c>
      <c r="C8" s="5">
        <f>C6*C7/1000000</f>
        <v>12614225.862360001</v>
      </c>
    </row>
    <row r="9" spans="2:9" ht="14" customHeight="1" x14ac:dyDescent="0.3">
      <c r="B9" s="4" t="s">
        <v>67</v>
      </c>
      <c r="C9" s="5">
        <f>'DCF Model'!C16</f>
        <v>-458634</v>
      </c>
    </row>
    <row r="10" spans="2:9" ht="14" customHeight="1" x14ac:dyDescent="0.3">
      <c r="B10" s="4" t="s">
        <v>124</v>
      </c>
      <c r="C10" s="5">
        <f>C8+C9</f>
        <v>12155591.862360001</v>
      </c>
    </row>
    <row r="11" spans="2:9" ht="14" customHeight="1" x14ac:dyDescent="0.3">
      <c r="B11" s="4" t="s">
        <v>125</v>
      </c>
      <c r="C11" s="16">
        <f>'DCF Model'!C26</f>
        <v>0.13250050000000002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357574</v>
      </c>
    </row>
    <row r="15" spans="2:9" ht="14" customHeight="1" x14ac:dyDescent="0.3">
      <c r="B15" s="4" t="s">
        <v>129</v>
      </c>
      <c r="C15" s="27">
        <v>415529</v>
      </c>
    </row>
    <row r="16" spans="2:9" ht="14" customHeight="1" x14ac:dyDescent="0.3">
      <c r="B16" s="4" t="s">
        <v>130</v>
      </c>
      <c r="C16" s="5">
        <f>'DCF Model'!G33</f>
        <v>4958166.2621021671</v>
      </c>
    </row>
    <row r="17" spans="2:9" ht="14" customHeight="1" x14ac:dyDescent="0.3">
      <c r="B17" s="4" t="s">
        <v>131</v>
      </c>
      <c r="C17" s="5">
        <f>'DCF Model'!C53</f>
        <v>2282605.9211876309</v>
      </c>
    </row>
    <row r="18" spans="2:9" ht="14" customHeight="1" x14ac:dyDescent="0.3">
      <c r="B18" s="4" t="s">
        <v>132</v>
      </c>
      <c r="C18" s="26">
        <v>8.3537387559085255E-2</v>
      </c>
    </row>
    <row r="19" spans="2:9" ht="14" customHeight="1" x14ac:dyDescent="0.3">
      <c r="B19" s="4" t="s">
        <v>133</v>
      </c>
      <c r="C19" s="5">
        <f>C10-C17</f>
        <v>9872985.9411723688</v>
      </c>
    </row>
    <row r="20" spans="2:9" ht="14" customHeight="1" x14ac:dyDescent="0.3">
      <c r="B20" s="4" t="s">
        <v>134</v>
      </c>
      <c r="C20" s="15">
        <f>IFERROR(ROUND(C19*1000000/C7,0),"N/A")</f>
        <v>2938</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1489066.0809350316</v>
      </c>
    </row>
    <row r="25" spans="2:9" ht="14" customHeight="1" x14ac:dyDescent="0.3">
      <c r="B25" s="4" t="s">
        <v>138</v>
      </c>
      <c r="C25" s="5">
        <f>IFERROR(C24/(1-C13),"N/A")</f>
        <v>1985421.4412467089</v>
      </c>
    </row>
    <row r="26" spans="2:9" ht="13.5" customHeight="1" x14ac:dyDescent="0.25">
      <c r="B26" s="6" t="s">
        <v>139</v>
      </c>
      <c r="C26" s="14">
        <f>IFERROR(C25/C15,"N/A")</f>
        <v>4.7780574671002718</v>
      </c>
    </row>
    <row r="27" spans="2:9" ht="13.5" customHeight="1" x14ac:dyDescent="0.25">
      <c r="B27" s="6" t="s">
        <v>140</v>
      </c>
      <c r="C27" s="14">
        <f>IFERROR(C25/C14,"N/A")</f>
        <v>5.552477085153587</v>
      </c>
    </row>
    <row r="28" spans="2:9" ht="13.5" customHeight="1" x14ac:dyDescent="0.25">
      <c r="B28" s="6" t="s">
        <v>141</v>
      </c>
      <c r="C28" s="7">
        <f>IFERROR(C25/C16,"N/A")</f>
        <v>0.40043462366768806</v>
      </c>
    </row>
    <row r="29" spans="2:9" ht="13.5" customHeight="1" x14ac:dyDescent="0.25">
      <c r="B29" s="6" t="s">
        <v>142</v>
      </c>
      <c r="C29" s="5">
        <f>IFERROR(C25/C18,"N/A")</f>
        <v>23766860.555011224</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0.11250050000000002</v>
      </c>
      <c r="E36" s="29">
        <f>'DCF Model'!C26-0.01</f>
        <v>0.12250050000000003</v>
      </c>
      <c r="F36" s="29">
        <f>'DCF Model'!C26</f>
        <v>0.13250050000000002</v>
      </c>
      <c r="G36" s="29">
        <f>'DCF Model'!C26+0.01</f>
        <v>0.14250050000000003</v>
      </c>
      <c r="H36" s="29">
        <f>'DCF Model'!C26+0.02</f>
        <v>0.15250050000000001</v>
      </c>
    </row>
    <row r="37" spans="2:9" ht="14" customHeight="1" x14ac:dyDescent="0.3">
      <c r="B37" s="3" t="s">
        <v>148</v>
      </c>
    </row>
    <row r="38" spans="2:9" ht="14" customHeight="1" x14ac:dyDescent="0.3">
      <c r="B38" s="4" t="s">
        <v>149</v>
      </c>
      <c r="C38" s="30">
        <v>3</v>
      </c>
      <c r="D38" s="13">
        <f t="shared" ref="D38:H41" si="0">IFERROR((1-(1+D$36)^(-$C38))/D$36-(1+D$36)/(D$36^2*$C38)*(1-($C38+1)/(1+D$36)^$C38+$C38/(1+D$36)^($C38+1)),"N/A")</f>
        <v>0.86857668843149671</v>
      </c>
      <c r="E38" s="13">
        <f t="shared" si="0"/>
        <v>0.85846084999776262</v>
      </c>
      <c r="F38" s="13">
        <f t="shared" si="0"/>
        <v>0.84856528176934143</v>
      </c>
      <c r="G38" s="13">
        <f t="shared" si="0"/>
        <v>0.83888311644042068</v>
      </c>
      <c r="H38" s="13">
        <f t="shared" si="0"/>
        <v>0.82940776232548652</v>
      </c>
    </row>
    <row r="39" spans="2:9" ht="14" customHeight="1" x14ac:dyDescent="0.3">
      <c r="B39" s="4" t="s">
        <v>150</v>
      </c>
      <c r="C39" s="30">
        <v>5</v>
      </c>
      <c r="D39" s="13">
        <f t="shared" si="0"/>
        <v>1.624962185815384</v>
      </c>
      <c r="E39" s="13">
        <f t="shared" si="0"/>
        <v>1.5976707390243847</v>
      </c>
      <c r="F39" s="13">
        <f t="shared" si="0"/>
        <v>1.5711886240389796</v>
      </c>
      <c r="G39" s="13">
        <f t="shared" si="0"/>
        <v>1.5454829118834268</v>
      </c>
      <c r="H39" s="13">
        <f t="shared" si="0"/>
        <v>1.5205223427278554</v>
      </c>
    </row>
    <row r="40" spans="2:9" ht="14" customHeight="1" x14ac:dyDescent="0.3">
      <c r="B40" s="4" t="s">
        <v>151</v>
      </c>
      <c r="C40" s="30">
        <v>7</v>
      </c>
      <c r="D40" s="13">
        <f t="shared" si="0"/>
        <v>2.2854021902288935</v>
      </c>
      <c r="E40" s="13">
        <f t="shared" si="0"/>
        <v>2.2361951576730621</v>
      </c>
      <c r="F40" s="13">
        <f t="shared" si="0"/>
        <v>2.1888128012628325</v>
      </c>
      <c r="G40" s="13">
        <f t="shared" si="0"/>
        <v>2.1431643142811199</v>
      </c>
      <c r="H40" s="13">
        <f t="shared" si="0"/>
        <v>2.0991644150663911</v>
      </c>
    </row>
    <row r="41" spans="2:9" ht="14" customHeight="1" x14ac:dyDescent="0.3">
      <c r="B41" s="4" t="s">
        <v>152</v>
      </c>
      <c r="C41" s="30">
        <v>10</v>
      </c>
      <c r="D41" s="13">
        <f t="shared" si="0"/>
        <v>3.1256379946286845</v>
      </c>
      <c r="E41" s="13">
        <f t="shared" si="0"/>
        <v>3.0383685700280911</v>
      </c>
      <c r="F41" s="13">
        <f t="shared" si="0"/>
        <v>2.9552359617581128</v>
      </c>
      <c r="G41" s="13">
        <f t="shared" si="0"/>
        <v>2.8759812291190365</v>
      </c>
      <c r="H41" s="13">
        <f t="shared" si="0"/>
        <v>2.8003649392782175</v>
      </c>
    </row>
    <row r="42" spans="2:9" ht="14" customHeight="1" x14ac:dyDescent="0.3">
      <c r="B42" s="3" t="s">
        <v>153</v>
      </c>
    </row>
    <row r="43" spans="2:9" ht="14" customHeight="1" x14ac:dyDescent="0.3">
      <c r="B43" s="4" t="s">
        <v>149</v>
      </c>
      <c r="C43" s="30">
        <v>3</v>
      </c>
      <c r="D43" s="13">
        <f t="shared" ref="D43:H46" si="1">IFERROR((1+D$36)/(D$36^2*$C43)*(1-($C43+1)/(1+D$36)^$C43+$C43/(1+D$36)^($C43+1))+(1+$C$12)/((D$36-$C$12)*(1+D$36)^$C43),"N/A")</f>
        <v>8.7209517465722985</v>
      </c>
      <c r="E43" s="13">
        <f t="shared" si="1"/>
        <v>7.8806545894949886</v>
      </c>
      <c r="F43" s="13">
        <f t="shared" si="1"/>
        <v>7.1789371343311004</v>
      </c>
      <c r="G43" s="13">
        <f t="shared" si="1"/>
        <v>6.5843812327962192</v>
      </c>
      <c r="H43" s="13">
        <f t="shared" si="1"/>
        <v>6.0743894380615693</v>
      </c>
    </row>
    <row r="44" spans="2:9" ht="14" customHeight="1" x14ac:dyDescent="0.3">
      <c r="B44" s="4" t="s">
        <v>150</v>
      </c>
      <c r="C44" s="30">
        <v>5</v>
      </c>
      <c r="D44" s="13">
        <f t="shared" si="1"/>
        <v>7.8300205012862989</v>
      </c>
      <c r="E44" s="13">
        <f t="shared" si="1"/>
        <v>7.0226089327841184</v>
      </c>
      <c r="F44" s="13">
        <f t="shared" si="1"/>
        <v>6.3504865031153876</v>
      </c>
      <c r="G44" s="13">
        <f t="shared" si="1"/>
        <v>5.7828789009719372</v>
      </c>
      <c r="H44" s="13">
        <f t="shared" si="1"/>
        <v>5.2976573891071803</v>
      </c>
    </row>
    <row r="45" spans="2:9" ht="14" customHeight="1" x14ac:dyDescent="0.3">
      <c r="B45" s="4" t="s">
        <v>151</v>
      </c>
      <c r="C45" s="30">
        <v>7</v>
      </c>
      <c r="D45" s="13">
        <f t="shared" si="1"/>
        <v>7.0608704839251732</v>
      </c>
      <c r="E45" s="13">
        <f t="shared" si="1"/>
        <v>6.2897709646452995</v>
      </c>
      <c r="F45" s="13">
        <f t="shared" si="1"/>
        <v>5.6503496130959725</v>
      </c>
      <c r="G45" s="13">
        <f t="shared" si="1"/>
        <v>5.1124923741517918</v>
      </c>
      <c r="H45" s="13">
        <f t="shared" si="1"/>
        <v>4.6545568252211034</v>
      </c>
    </row>
    <row r="46" spans="2:9" ht="14" customHeight="1" x14ac:dyDescent="0.3">
      <c r="B46" s="4" t="s">
        <v>152</v>
      </c>
      <c r="C46" s="30">
        <v>10</v>
      </c>
      <c r="D46" s="13">
        <f t="shared" si="1"/>
        <v>6.0954251584434678</v>
      </c>
      <c r="E46" s="13">
        <f t="shared" si="1"/>
        <v>5.3813288259947916</v>
      </c>
      <c r="F46" s="13">
        <f t="shared" si="1"/>
        <v>4.7929530191447647</v>
      </c>
      <c r="G46" s="13">
        <f t="shared" si="1"/>
        <v>4.301220942299242</v>
      </c>
      <c r="H46" s="13">
        <f t="shared" si="1"/>
        <v>3.8852656749458712</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1822837.2129153151</v>
      </c>
      <c r="E48" s="5">
        <f t="shared" si="2"/>
        <v>2017661.3955011372</v>
      </c>
      <c r="F48" s="5">
        <f t="shared" si="2"/>
        <v>2215374.0361313908</v>
      </c>
      <c r="G48" s="5">
        <f t="shared" si="2"/>
        <v>2415943.4975860938</v>
      </c>
      <c r="H48" s="5">
        <f t="shared" si="2"/>
        <v>2619338.342974538</v>
      </c>
    </row>
    <row r="49" spans="2:9" ht="14" customHeight="1" x14ac:dyDescent="0.3">
      <c r="B49" s="4" t="s">
        <v>150</v>
      </c>
      <c r="C49" s="30">
        <v>5</v>
      </c>
      <c r="D49" s="5">
        <f t="shared" si="2"/>
        <v>1995705.0668363101</v>
      </c>
      <c r="E49" s="5">
        <f t="shared" si="2"/>
        <v>2226547.2062168675</v>
      </c>
      <c r="F49" s="5">
        <f t="shared" si="2"/>
        <v>2463691.4995020512</v>
      </c>
      <c r="G49" s="5">
        <f t="shared" si="2"/>
        <v>2707099.9718003892</v>
      </c>
      <c r="H49" s="5">
        <f t="shared" si="2"/>
        <v>2956732.6480018483</v>
      </c>
    </row>
    <row r="50" spans="2:9" ht="14" customHeight="1" x14ac:dyDescent="0.3">
      <c r="B50" s="4" t="s">
        <v>151</v>
      </c>
      <c r="C50" s="30">
        <v>7</v>
      </c>
      <c r="D50" s="5">
        <f t="shared" si="2"/>
        <v>2179654.1161247268</v>
      </c>
      <c r="E50" s="5">
        <f t="shared" si="2"/>
        <v>2449667.9856512253</v>
      </c>
      <c r="F50" s="5">
        <f t="shared" si="2"/>
        <v>2729882.9849626953</v>
      </c>
      <c r="G50" s="5">
        <f t="shared" si="2"/>
        <v>3020271.6894080574</v>
      </c>
      <c r="H50" s="5">
        <f t="shared" si="2"/>
        <v>3320799.3328543822</v>
      </c>
    </row>
    <row r="51" spans="2:9" ht="14" customHeight="1" x14ac:dyDescent="0.3">
      <c r="B51" s="4" t="s">
        <v>152</v>
      </c>
      <c r="C51" s="30">
        <v>10</v>
      </c>
      <c r="D51" s="5">
        <f t="shared" si="2"/>
        <v>2475595.8024168387</v>
      </c>
      <c r="E51" s="5">
        <f t="shared" si="2"/>
        <v>2809903.4090572433</v>
      </c>
      <c r="F51" s="5">
        <f t="shared" si="2"/>
        <v>3161045.020089461</v>
      </c>
      <c r="G51" s="5">
        <f t="shared" si="2"/>
        <v>3529016.5067281867</v>
      </c>
      <c r="H51" s="5">
        <f t="shared" si="2"/>
        <v>3913791.0752768228</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4.3867869942057354</v>
      </c>
      <c r="E53" s="14">
        <f t="shared" si="3"/>
        <v>4.8556452028646309</v>
      </c>
      <c r="F53" s="14">
        <f t="shared" si="3"/>
        <v>5.3314546906025591</v>
      </c>
      <c r="G53" s="14">
        <f t="shared" si="3"/>
        <v>5.8141393202065172</v>
      </c>
      <c r="H53" s="14">
        <f t="shared" si="3"/>
        <v>6.3036234365701018</v>
      </c>
    </row>
    <row r="54" spans="2:9" ht="14" customHeight="1" x14ac:dyDescent="0.3">
      <c r="B54" s="4" t="s">
        <v>150</v>
      </c>
      <c r="C54" s="30">
        <v>5</v>
      </c>
      <c r="D54" s="14">
        <f t="shared" si="3"/>
        <v>4.802805741202925</v>
      </c>
      <c r="E54" s="14">
        <f t="shared" si="3"/>
        <v>5.3583437166042982</v>
      </c>
      <c r="F54" s="14">
        <f t="shared" si="3"/>
        <v>5.9290482722073579</v>
      </c>
      <c r="G54" s="14">
        <f t="shared" si="3"/>
        <v>6.5148280187433105</v>
      </c>
      <c r="H54" s="14">
        <f t="shared" si="3"/>
        <v>7.1155867532755792</v>
      </c>
    </row>
    <row r="55" spans="2:9" ht="14" customHeight="1" x14ac:dyDescent="0.3">
      <c r="B55" s="4" t="s">
        <v>151</v>
      </c>
      <c r="C55" s="30">
        <v>7</v>
      </c>
      <c r="D55" s="14">
        <f t="shared" si="3"/>
        <v>5.2454921705217368</v>
      </c>
      <c r="E55" s="14">
        <f t="shared" si="3"/>
        <v>5.8952996918415446</v>
      </c>
      <c r="F55" s="14">
        <f t="shared" si="3"/>
        <v>6.5696569552611139</v>
      </c>
      <c r="G55" s="14">
        <f t="shared" si="3"/>
        <v>7.2684979614131802</v>
      </c>
      <c r="H55" s="14">
        <f t="shared" si="3"/>
        <v>7.9917390431338902</v>
      </c>
    </row>
    <row r="56" spans="2:9" ht="14" customHeight="1" x14ac:dyDescent="0.3">
      <c r="B56" s="4" t="s">
        <v>152</v>
      </c>
      <c r="C56" s="30">
        <v>10</v>
      </c>
      <c r="D56" s="14">
        <f t="shared" si="3"/>
        <v>5.9576968212010204</v>
      </c>
      <c r="E56" s="14">
        <f t="shared" si="3"/>
        <v>6.7622317793878244</v>
      </c>
      <c r="F56" s="14">
        <f t="shared" si="3"/>
        <v>7.6072789626944477</v>
      </c>
      <c r="G56" s="14">
        <f t="shared" si="3"/>
        <v>8.4928284349063166</v>
      </c>
      <c r="H56" s="14">
        <f t="shared" si="3"/>
        <v>9.4188157150928635</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2463691.4995020512</v>
      </c>
    </row>
    <row r="62" spans="2:9" ht="14" customHeight="1" x14ac:dyDescent="0.3">
      <c r="B62" s="28" t="s">
        <v>159</v>
      </c>
      <c r="C62" s="28" t="s">
        <v>160</v>
      </c>
      <c r="D62" s="28" t="s">
        <v>161</v>
      </c>
    </row>
    <row r="63" spans="2:9" ht="14" customHeight="1" x14ac:dyDescent="0.3">
      <c r="B63" s="31">
        <v>4.1799999999999997E-2</v>
      </c>
      <c r="C63" s="5">
        <f>IFERROR($C$60/B63,"N/A")</f>
        <v>58939988.026364863</v>
      </c>
      <c r="D63" s="14">
        <f>IFERROR(C63/'DCF Model'!C17,"N/A")</f>
        <v>13.514852474226242</v>
      </c>
    </row>
    <row r="64" spans="2:9" ht="14" customHeight="1" x14ac:dyDescent="0.3">
      <c r="B64" s="31">
        <v>6.2700000000000006E-2</v>
      </c>
      <c r="C64" s="5">
        <f>IFERROR($C$60/B64,"N/A")</f>
        <v>39293325.350909904</v>
      </c>
      <c r="D64" s="14">
        <f>IFERROR(C64/'DCF Model'!C17,"N/A")</f>
        <v>9.0099016494841599</v>
      </c>
    </row>
    <row r="65" spans="2:9" ht="14" customHeight="1" x14ac:dyDescent="0.3">
      <c r="B65" s="4" t="s">
        <v>162</v>
      </c>
      <c r="C65" s="5">
        <f>IFERROR($C$60/$C$18,"N/A")</f>
        <v>29492082.186069131</v>
      </c>
      <c r="D65" s="14">
        <f>IFERROR(C65/'DCF Model'!C17,"N/A")</f>
        <v>6.7624910226345465</v>
      </c>
    </row>
    <row r="66" spans="2:9" ht="14" customHeight="1" x14ac:dyDescent="0.3">
      <c r="B66" s="31">
        <v>0.10440000000000001</v>
      </c>
      <c r="C66" s="5">
        <f>IFERROR($C$60/B66,"N/A")</f>
        <v>23598577.581437271</v>
      </c>
      <c r="D66" s="14">
        <f>IFERROR(C66/'DCF Model'!C17,"N/A")</f>
        <v>5.4111190940867511</v>
      </c>
    </row>
    <row r="67" spans="2:9" ht="14" customHeight="1" x14ac:dyDescent="0.3">
      <c r="B67" s="31">
        <v>0.12529999999999999</v>
      </c>
      <c r="C67" s="5">
        <f>IFERROR($C$60/B67,"N/A")</f>
        <v>19662342.374318048</v>
      </c>
      <c r="D67" s="14">
        <f>IFERROR(C67/'DCF Model'!C17,"N/A")</f>
        <v>4.5085461566054024</v>
      </c>
    </row>
    <row r="69" spans="2:9" ht="14" customHeight="1" x14ac:dyDescent="0.3">
      <c r="B69" s="8" t="s">
        <v>163</v>
      </c>
      <c r="C69" s="9"/>
      <c r="D69" s="9"/>
      <c r="E69" s="9"/>
      <c r="F69" s="9"/>
      <c r="G69" s="9"/>
      <c r="H69" s="9"/>
      <c r="I69" s="9"/>
    </row>
    <row r="70" spans="2:9" ht="13.5" customHeight="1" x14ac:dyDescent="0.25">
      <c r="B70" s="6" t="s">
        <v>164</v>
      </c>
      <c r="C70" s="14">
        <f>IFERROR(C10/'Comps Analysis'!G5,"N/A")</f>
        <v>21.371041341167537</v>
      </c>
    </row>
    <row r="71" spans="2:9" ht="13.5" customHeight="1" x14ac:dyDescent="0.25">
      <c r="B71" s="6" t="s">
        <v>165</v>
      </c>
      <c r="C71" s="14">
        <f>IFERROR(C10/'Comps Analysis'!F5,"N/A")</f>
        <v>2.787259316768349</v>
      </c>
    </row>
    <row r="72" spans="2:9" ht="14" customHeight="1" x14ac:dyDescent="0.3">
      <c r="B72" s="4" t="s">
        <v>166</v>
      </c>
      <c r="C72" s="14">
        <f>IFERROR(C10/(C25+'DCF Model'!G42),"N/A")</f>
        <v>5.6432669332716694</v>
      </c>
    </row>
    <row r="73" spans="2:9" ht="14" customHeight="1" x14ac:dyDescent="0.3">
      <c r="B73" s="4" t="s">
        <v>167</v>
      </c>
      <c r="C73" s="14">
        <f>IFERROR(C10/(C60+'DCF Model'!G42),"N/A")</f>
        <v>4.6179137309019298</v>
      </c>
    </row>
    <row r="74" spans="2:9" ht="14" customHeight="1" x14ac:dyDescent="0.3">
      <c r="B74" s="4" t="s">
        <v>168</v>
      </c>
      <c r="C74" s="14">
        <f>IFERROR('Comps Analysis'!D16,"N/A")</f>
        <v>12.352406917212193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3,754 yen the market is paying for a steady-state operating profit of 2,463,691 mn JPY - 5.93x the FY2025 cycle peak of 415,529 mn - reached in 5 years and sustained for ever, against 357,574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1,985,421 mn, or 4.78x the peak. The base case supports an EV of only 2,282,606 mn, leaving 2,938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92.779528089872173</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175</v>
      </c>
      <c r="C6" s="34">
        <f>C13/C10*365</f>
        <v>108.96626454724458</v>
      </c>
      <c r="D6" s="34">
        <f>CHOOSE('DCF Model'!$D$27,D32,D33,D34,D35,D36)</f>
        <v>99</v>
      </c>
      <c r="E6" s="34">
        <f>CHOOSE('DCF Model'!$D$27,E32,E33,E34,E35,E36)</f>
        <v>99</v>
      </c>
      <c r="F6" s="34">
        <f>CHOOSE('DCF Model'!$D$27,F32,F33,F34,F35,F36)</f>
        <v>99</v>
      </c>
      <c r="G6" s="34">
        <f>CHOOSE('DCF Model'!$D$27,G32,G33,G34,G35,G36)</f>
        <v>99</v>
      </c>
      <c r="H6" s="34">
        <f>CHOOSE('DCF Model'!$D$27,H32,H33,H34,H35,H36)</f>
        <v>99</v>
      </c>
    </row>
    <row r="7" spans="2:8" ht="14" customHeight="1" x14ac:dyDescent="0.3">
      <c r="B7" s="33" t="s">
        <v>176</v>
      </c>
      <c r="C7" s="34">
        <f>C15/C10*365</f>
        <v>104.67454372597426</v>
      </c>
      <c r="D7" s="34">
        <f>CHOOSE('DCF Model'!$D$27,D39,D40,D41,D42,D43)</f>
        <v>95</v>
      </c>
      <c r="E7" s="34">
        <f>CHOOSE('DCF Model'!$D$27,E39,E40,E41,E42,E43)</f>
        <v>95</v>
      </c>
      <c r="F7" s="34">
        <f>CHOOSE('DCF Model'!$D$27,F39,F40,F41,F42,F43)</f>
        <v>95</v>
      </c>
      <c r="G7" s="34">
        <f>CHOOSE('DCF Model'!$D$27,G39,G40,G41,G42,G43)</f>
        <v>95</v>
      </c>
      <c r="H7" s="34">
        <f>CHOOSE('DCF Model'!$D$27,H39,H40,H41,H42,H43)</f>
        <v>95</v>
      </c>
    </row>
    <row r="8" spans="2:8" ht="14" customHeight="1" x14ac:dyDescent="0.3">
      <c r="B8" s="8" t="s">
        <v>177</v>
      </c>
      <c r="C8" s="9"/>
      <c r="D8" s="9"/>
      <c r="E8" s="9"/>
      <c r="F8" s="9"/>
      <c r="G8" s="9"/>
      <c r="H8" s="9"/>
    </row>
    <row r="9" spans="2:8" ht="14" customHeight="1" x14ac:dyDescent="0.3">
      <c r="B9" s="33" t="s">
        <v>32</v>
      </c>
      <c r="C9" s="35">
        <v>4361127</v>
      </c>
      <c r="D9" s="35">
        <f>'DCF Model'!C33</f>
        <v>4491960.8100000005</v>
      </c>
      <c r="E9" s="35">
        <f>'DCF Model'!D33</f>
        <v>4626719.634300001</v>
      </c>
      <c r="F9" s="35">
        <f>'DCF Model'!E33</f>
        <v>4742387.6251575006</v>
      </c>
      <c r="G9" s="35">
        <f>'DCF Model'!F33</f>
        <v>4860947.3157864381</v>
      </c>
      <c r="H9" s="35">
        <f>'DCF Model'!G33</f>
        <v>4958166.2621021671</v>
      </c>
    </row>
    <row r="10" spans="2:8" ht="14" customHeight="1" x14ac:dyDescent="0.3">
      <c r="B10" s="33" t="s">
        <v>33</v>
      </c>
      <c r="C10" s="35">
        <v>3490008</v>
      </c>
      <c r="D10" s="35">
        <f>'DCF Model'!C34</f>
        <v>3593568.6480000005</v>
      </c>
      <c r="E10" s="35">
        <f>'DCF Model'!D34</f>
        <v>3701375.707440001</v>
      </c>
      <c r="F10" s="35">
        <f>'DCF Model'!E34</f>
        <v>3793910.1001260006</v>
      </c>
      <c r="G10" s="35">
        <f>'DCF Model'!F34</f>
        <v>3888757.8526291507</v>
      </c>
      <c r="H10" s="35">
        <f>'DCF Model'!G34</f>
        <v>3966533.0096817338</v>
      </c>
    </row>
    <row r="11" spans="2:8" ht="14" customHeight="1" x14ac:dyDescent="0.3">
      <c r="B11" s="8" t="s">
        <v>178</v>
      </c>
      <c r="C11" s="9"/>
      <c r="D11" s="9"/>
      <c r="E11" s="9"/>
      <c r="F11" s="9"/>
      <c r="G11" s="9"/>
      <c r="H11" s="9"/>
    </row>
    <row r="12" spans="2:8" ht="14" customHeight="1" x14ac:dyDescent="0.3">
      <c r="B12" s="33" t="s">
        <v>179</v>
      </c>
      <c r="C12" s="35">
        <v>1108557</v>
      </c>
      <c r="D12" s="35">
        <f t="shared" ref="D12:H13" si="0">D9*D5/365</f>
        <v>947619.12978082208</v>
      </c>
      <c r="E12" s="35">
        <f t="shared" si="0"/>
        <v>976047.70367424679</v>
      </c>
      <c r="F12" s="35">
        <f t="shared" si="0"/>
        <v>1000448.8962661028</v>
      </c>
      <c r="G12" s="35">
        <f t="shared" si="0"/>
        <v>1025460.1186727554</v>
      </c>
      <c r="H12" s="35">
        <f t="shared" si="0"/>
        <v>1045969.3210462106</v>
      </c>
    </row>
    <row r="13" spans="2:8" ht="14" customHeight="1" x14ac:dyDescent="0.3">
      <c r="B13" s="33" t="s">
        <v>180</v>
      </c>
      <c r="C13" s="35">
        <v>1041899</v>
      </c>
      <c r="D13" s="35">
        <f t="shared" si="0"/>
        <v>974693.96206027421</v>
      </c>
      <c r="E13" s="35">
        <f t="shared" si="0"/>
        <v>1003934.7809220825</v>
      </c>
      <c r="F13" s="35">
        <f t="shared" si="0"/>
        <v>1029033.1504451344</v>
      </c>
      <c r="G13" s="35">
        <f t="shared" si="0"/>
        <v>1054758.9792062629</v>
      </c>
      <c r="H13" s="35">
        <f t="shared" si="0"/>
        <v>1075854.1587903879</v>
      </c>
    </row>
    <row r="14" spans="2:8" ht="14" customHeight="1" x14ac:dyDescent="0.3">
      <c r="B14" s="33" t="s">
        <v>181</v>
      </c>
      <c r="C14" s="35">
        <f t="shared" ref="C14:H14" si="1">C12+C13</f>
        <v>2150456</v>
      </c>
      <c r="D14" s="35">
        <f t="shared" si="1"/>
        <v>1922313.0918410963</v>
      </c>
      <c r="E14" s="35">
        <f t="shared" si="1"/>
        <v>1979982.4845963293</v>
      </c>
      <c r="F14" s="35">
        <f t="shared" si="1"/>
        <v>2029482.0467112372</v>
      </c>
      <c r="G14" s="35">
        <f t="shared" si="1"/>
        <v>2080219.0978790182</v>
      </c>
      <c r="H14" s="35">
        <f t="shared" si="1"/>
        <v>2121823.4798365985</v>
      </c>
    </row>
    <row r="15" spans="2:8" ht="14" customHeight="1" x14ac:dyDescent="0.3">
      <c r="B15" s="33" t="s">
        <v>182</v>
      </c>
      <c r="C15" s="35">
        <v>1000863</v>
      </c>
      <c r="D15" s="35">
        <f>D10*D7/365</f>
        <v>935312.3878356166</v>
      </c>
      <c r="E15" s="35">
        <f>E10*E7/365</f>
        <v>963371.75947068527</v>
      </c>
      <c r="F15" s="35">
        <f>F10*F7/365</f>
        <v>987456.05345745222</v>
      </c>
      <c r="G15" s="35">
        <f>G10*G7/365</f>
        <v>1012142.4547938886</v>
      </c>
      <c r="H15" s="35">
        <f>H10*H7/365</f>
        <v>1032385.3038897663</v>
      </c>
    </row>
    <row r="16" spans="2:8" ht="14" customHeight="1" x14ac:dyDescent="0.3">
      <c r="B16" s="33" t="s">
        <v>183</v>
      </c>
      <c r="C16" s="35">
        <f t="shared" ref="C16:H16" si="2">C15</f>
        <v>1000863</v>
      </c>
      <c r="D16" s="35">
        <f t="shared" si="2"/>
        <v>935312.3878356166</v>
      </c>
      <c r="E16" s="35">
        <f t="shared" si="2"/>
        <v>963371.75947068527</v>
      </c>
      <c r="F16" s="35">
        <f t="shared" si="2"/>
        <v>987456.05345745222</v>
      </c>
      <c r="G16" s="35">
        <f t="shared" si="2"/>
        <v>1012142.4547938886</v>
      </c>
      <c r="H16" s="35">
        <f t="shared" si="2"/>
        <v>1032385.3038897663</v>
      </c>
    </row>
    <row r="17" spans="2:8" ht="14" customHeight="1" x14ac:dyDescent="0.3">
      <c r="B17" s="22" t="s">
        <v>184</v>
      </c>
      <c r="C17" s="23"/>
      <c r="D17" s="23"/>
      <c r="E17" s="23"/>
      <c r="F17" s="23"/>
      <c r="G17" s="23"/>
      <c r="H17" s="23"/>
    </row>
    <row r="18" spans="2:8" ht="14" customHeight="1" x14ac:dyDescent="0.3">
      <c r="B18" s="33" t="s">
        <v>185</v>
      </c>
      <c r="C18" s="20">
        <f t="shared" ref="C18:H18" si="3">C14-C16</f>
        <v>1149593</v>
      </c>
      <c r="D18" s="20">
        <f t="shared" si="3"/>
        <v>987000.7040054797</v>
      </c>
      <c r="E18" s="20">
        <f t="shared" si="3"/>
        <v>1016610.725125644</v>
      </c>
      <c r="F18" s="20">
        <f t="shared" si="3"/>
        <v>1042025.993253785</v>
      </c>
      <c r="G18" s="20">
        <f t="shared" si="3"/>
        <v>1068076.6430851296</v>
      </c>
      <c r="H18" s="20">
        <f t="shared" si="3"/>
        <v>1089438.1759468322</v>
      </c>
    </row>
    <row r="19" spans="2:8" ht="14" customHeight="1" x14ac:dyDescent="0.3">
      <c r="B19" s="33" t="s">
        <v>94</v>
      </c>
      <c r="C19" s="36" t="s">
        <v>42</v>
      </c>
      <c r="D19" s="24">
        <f>D18-C18</f>
        <v>-162592.2959945203</v>
      </c>
      <c r="E19" s="24">
        <f>E18-D18</f>
        <v>29610.021120164311</v>
      </c>
      <c r="F19" s="24">
        <f>F18-E18</f>
        <v>25415.268128140946</v>
      </c>
      <c r="G19" s="24">
        <f>G18-F18</f>
        <v>26050.649831344606</v>
      </c>
      <c r="H19" s="24">
        <f>H18-G18</f>
        <v>21361.53286170261</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77</v>
      </c>
      <c r="E25" s="30">
        <v>77</v>
      </c>
      <c r="F25" s="30">
        <v>77</v>
      </c>
      <c r="G25" s="30">
        <v>77</v>
      </c>
      <c r="H25" s="30">
        <v>77</v>
      </c>
    </row>
    <row r="26" spans="2:8" ht="14" customHeight="1" x14ac:dyDescent="0.3">
      <c r="B26" s="4" t="s">
        <v>115</v>
      </c>
      <c r="D26" s="30">
        <v>74</v>
      </c>
      <c r="E26" s="30">
        <v>74</v>
      </c>
      <c r="F26" s="30">
        <v>74</v>
      </c>
      <c r="G26" s="30">
        <v>74</v>
      </c>
      <c r="H26" s="30">
        <v>74</v>
      </c>
    </row>
    <row r="27" spans="2:8" ht="14" customHeight="1" x14ac:dyDescent="0.3">
      <c r="B27" s="4" t="s">
        <v>116</v>
      </c>
      <c r="D27" s="30">
        <v>77</v>
      </c>
      <c r="E27" s="30">
        <v>77</v>
      </c>
      <c r="F27" s="30">
        <v>77</v>
      </c>
      <c r="G27" s="30">
        <v>77</v>
      </c>
      <c r="H27" s="30">
        <v>77</v>
      </c>
    </row>
    <row r="28" spans="2:8" ht="14" customHeight="1" x14ac:dyDescent="0.3">
      <c r="B28" s="4" t="s">
        <v>117</v>
      </c>
      <c r="D28" s="30">
        <v>81</v>
      </c>
      <c r="E28" s="30">
        <v>81</v>
      </c>
      <c r="F28" s="30">
        <v>81</v>
      </c>
      <c r="G28" s="30">
        <v>81</v>
      </c>
      <c r="H28" s="30">
        <v>81</v>
      </c>
    </row>
    <row r="29" spans="2:8" ht="14" customHeight="1" x14ac:dyDescent="0.3">
      <c r="B29" s="4" t="s">
        <v>118</v>
      </c>
      <c r="D29" s="30">
        <v>85</v>
      </c>
      <c r="E29" s="30">
        <v>85</v>
      </c>
      <c r="F29" s="30">
        <v>85</v>
      </c>
      <c r="G29" s="30">
        <v>85</v>
      </c>
      <c r="H29" s="30">
        <v>85</v>
      </c>
    </row>
    <row r="31" spans="2:8" ht="14" customHeight="1" x14ac:dyDescent="0.3">
      <c r="B31" s="3" t="s">
        <v>188</v>
      </c>
    </row>
    <row r="32" spans="2:8" ht="14" customHeight="1" x14ac:dyDescent="0.3">
      <c r="B32" s="4" t="s">
        <v>78</v>
      </c>
      <c r="D32" s="30">
        <v>99</v>
      </c>
      <c r="E32" s="30">
        <v>99</v>
      </c>
      <c r="F32" s="30">
        <v>99</v>
      </c>
      <c r="G32" s="30">
        <v>99</v>
      </c>
      <c r="H32" s="30">
        <v>99</v>
      </c>
    </row>
    <row r="33" spans="2:8" ht="14" customHeight="1" x14ac:dyDescent="0.3">
      <c r="B33" s="4" t="s">
        <v>115</v>
      </c>
      <c r="D33" s="30">
        <v>94</v>
      </c>
      <c r="E33" s="30">
        <v>94</v>
      </c>
      <c r="F33" s="30">
        <v>94</v>
      </c>
      <c r="G33" s="30">
        <v>94</v>
      </c>
      <c r="H33" s="30">
        <v>94</v>
      </c>
    </row>
    <row r="34" spans="2:8" ht="14" customHeight="1" x14ac:dyDescent="0.3">
      <c r="B34" s="4" t="s">
        <v>116</v>
      </c>
      <c r="D34" s="30">
        <v>99</v>
      </c>
      <c r="E34" s="30">
        <v>99</v>
      </c>
      <c r="F34" s="30">
        <v>99</v>
      </c>
      <c r="G34" s="30">
        <v>99</v>
      </c>
      <c r="H34" s="30">
        <v>99</v>
      </c>
    </row>
    <row r="35" spans="2:8" ht="14" customHeight="1" x14ac:dyDescent="0.3">
      <c r="B35" s="4" t="s">
        <v>117</v>
      </c>
      <c r="D35" s="30">
        <v>104</v>
      </c>
      <c r="E35" s="30">
        <v>104</v>
      </c>
      <c r="F35" s="30">
        <v>104</v>
      </c>
      <c r="G35" s="30">
        <v>104</v>
      </c>
      <c r="H35" s="30">
        <v>104</v>
      </c>
    </row>
    <row r="36" spans="2:8" ht="14" customHeight="1" x14ac:dyDescent="0.3">
      <c r="B36" s="4" t="s">
        <v>118</v>
      </c>
      <c r="D36" s="30">
        <v>109</v>
      </c>
      <c r="E36" s="30">
        <v>109</v>
      </c>
      <c r="F36" s="30">
        <v>109</v>
      </c>
      <c r="G36" s="30">
        <v>109</v>
      </c>
      <c r="H36" s="30">
        <v>109</v>
      </c>
    </row>
    <row r="38" spans="2:8" ht="14" customHeight="1" x14ac:dyDescent="0.3">
      <c r="B38" s="3" t="s">
        <v>189</v>
      </c>
    </row>
    <row r="39" spans="2:8" ht="14" customHeight="1" x14ac:dyDescent="0.3">
      <c r="B39" s="4" t="s">
        <v>78</v>
      </c>
      <c r="D39" s="30">
        <v>95</v>
      </c>
      <c r="E39" s="30">
        <v>95</v>
      </c>
      <c r="F39" s="30">
        <v>95</v>
      </c>
      <c r="G39" s="30">
        <v>95</v>
      </c>
      <c r="H39" s="30">
        <v>95</v>
      </c>
    </row>
    <row r="40" spans="2:8" ht="14" customHeight="1" x14ac:dyDescent="0.3">
      <c r="B40" s="4" t="s">
        <v>115</v>
      </c>
      <c r="D40" s="30">
        <v>99</v>
      </c>
      <c r="E40" s="30">
        <v>99</v>
      </c>
      <c r="F40" s="30">
        <v>99</v>
      </c>
      <c r="G40" s="30">
        <v>99</v>
      </c>
      <c r="H40" s="30">
        <v>99</v>
      </c>
    </row>
    <row r="41" spans="2:8" ht="14" customHeight="1" x14ac:dyDescent="0.3">
      <c r="B41" s="4" t="s">
        <v>116</v>
      </c>
      <c r="D41" s="30">
        <v>95</v>
      </c>
      <c r="E41" s="30">
        <v>95</v>
      </c>
      <c r="F41" s="30">
        <v>95</v>
      </c>
      <c r="G41" s="30">
        <v>95</v>
      </c>
      <c r="H41" s="30">
        <v>95</v>
      </c>
    </row>
    <row r="42" spans="2:8" ht="14" customHeight="1" x14ac:dyDescent="0.3">
      <c r="B42" s="4" t="s">
        <v>117</v>
      </c>
      <c r="D42" s="30">
        <v>90</v>
      </c>
      <c r="E42" s="30">
        <v>90</v>
      </c>
      <c r="F42" s="30">
        <v>90</v>
      </c>
      <c r="G42" s="30">
        <v>90</v>
      </c>
      <c r="H42" s="30">
        <v>90</v>
      </c>
    </row>
    <row r="43" spans="2:8" ht="14" customHeight="1" x14ac:dyDescent="0.3">
      <c r="B43" s="4" t="s">
        <v>118</v>
      </c>
      <c r="D43" s="30">
        <v>86</v>
      </c>
      <c r="E43" s="30">
        <v>86</v>
      </c>
      <c r="F43" s="30">
        <v>86</v>
      </c>
      <c r="G43" s="30">
        <v>86</v>
      </c>
      <c r="H43" s="30">
        <v>86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12614225.862360001</v>
      </c>
      <c r="E5" s="37">
        <f>D5+C24</f>
        <v>12155591.862360001</v>
      </c>
      <c r="F5" s="37">
        <v>4361127</v>
      </c>
      <c r="G5" s="37">
        <v>568788</v>
      </c>
      <c r="H5" s="37">
        <v>357574</v>
      </c>
      <c r="I5" s="37">
        <v>245447</v>
      </c>
      <c r="J5" s="38">
        <f t="shared" ref="J5:J10" si="0">IFERROR(E5/G5,"")</f>
        <v>21.371041341167537</v>
      </c>
      <c r="K5" s="38">
        <f t="shared" ref="K5:K10" si="1">IFERROR(E5/F5,"")</f>
        <v>2.787259316768349</v>
      </c>
      <c r="L5" s="38">
        <f t="shared" ref="L5:L10" si="2">IFERROR(D5/I5,"")</f>
        <v>51.392870405260609</v>
      </c>
      <c r="M5" s="38">
        <f t="shared" ref="M5:M10" si="3">IFERROR(D5/P5,"")</f>
        <v>4.0841691135497831</v>
      </c>
      <c r="N5" s="39">
        <f t="shared" ref="N5:N10" si="4">IFERROR(H5/F5,"")</f>
        <v>8.1991191726358811E-2</v>
      </c>
      <c r="O5" s="39">
        <f t="shared" ref="O5:O10" si="5">IFERROR(I5/P5,"")</f>
        <v>7.946956613522263E-2</v>
      </c>
      <c r="P5" s="37">
        <v>3088566</v>
      </c>
    </row>
    <row r="6" spans="2:17" ht="14" customHeight="1" x14ac:dyDescent="0.3">
      <c r="B6" s="4" t="s">
        <v>208</v>
      </c>
      <c r="C6" t="s">
        <v>209</v>
      </c>
      <c r="D6" s="37">
        <v>2782395</v>
      </c>
      <c r="E6" s="37">
        <v>3117204</v>
      </c>
      <c r="F6" s="37">
        <v>1643402</v>
      </c>
      <c r="G6" s="37">
        <v>252356</v>
      </c>
      <c r="H6" s="37">
        <v>165534</v>
      </c>
      <c r="I6" s="37">
        <v>160992</v>
      </c>
      <c r="J6" s="38">
        <f t="shared" si="0"/>
        <v>12.352406917212193</v>
      </c>
      <c r="K6" s="38">
        <f t="shared" si="1"/>
        <v>1.8967994440800242</v>
      </c>
      <c r="L6" s="38">
        <f t="shared" si="2"/>
        <v>17.282815295169947</v>
      </c>
      <c r="M6" s="38">
        <f t="shared" si="3"/>
        <v>4.2658871003598353</v>
      </c>
      <c r="N6" s="39">
        <f t="shared" si="4"/>
        <v>0.10072641995080936</v>
      </c>
      <c r="O6" s="39">
        <f t="shared" si="5"/>
        <v>0.24682825266043484</v>
      </c>
      <c r="P6" s="37">
        <v>652243</v>
      </c>
    </row>
    <row r="7" spans="2:17" ht="14" customHeight="1" x14ac:dyDescent="0.3">
      <c r="B7" s="4" t="s">
        <v>210</v>
      </c>
      <c r="C7" t="s">
        <v>211</v>
      </c>
      <c r="D7" s="37">
        <v>2124926</v>
      </c>
      <c r="E7" s="37">
        <v>2009512</v>
      </c>
      <c r="F7" s="37">
        <v>2311267</v>
      </c>
      <c r="G7" s="37">
        <v>214393</v>
      </c>
      <c r="H7" s="37">
        <v>120962</v>
      </c>
      <c r="I7" s="37">
        <v>108157</v>
      </c>
      <c r="J7" s="38">
        <f t="shared" si="0"/>
        <v>9.3730299030285504</v>
      </c>
      <c r="K7" s="38">
        <f t="shared" si="1"/>
        <v>0.86944173909807909</v>
      </c>
      <c r="L7" s="38">
        <f t="shared" si="2"/>
        <v>19.646680288839374</v>
      </c>
      <c r="M7" s="38">
        <f t="shared" si="3"/>
        <v>2.4198555779898214</v>
      </c>
      <c r="N7" s="39">
        <f t="shared" si="4"/>
        <v>5.2335796772938828E-2</v>
      </c>
      <c r="O7" s="39">
        <f t="shared" si="5"/>
        <v>0.12316867493204239</v>
      </c>
      <c r="P7" s="37">
        <v>878121</v>
      </c>
    </row>
    <row r="8" spans="2:17" ht="14" customHeight="1" x14ac:dyDescent="0.3">
      <c r="B8" s="4" t="s">
        <v>212</v>
      </c>
      <c r="C8" t="s">
        <v>213</v>
      </c>
      <c r="D8" s="37">
        <v>24068208</v>
      </c>
      <c r="E8" s="37">
        <v>23753765</v>
      </c>
      <c r="F8" s="37">
        <v>10586781</v>
      </c>
      <c r="G8" s="37">
        <v>1657248</v>
      </c>
      <c r="H8" s="37">
        <v>1199275</v>
      </c>
      <c r="I8" s="37">
        <v>802368</v>
      </c>
      <c r="J8" s="38">
        <f t="shared" si="0"/>
        <v>14.333259113904496</v>
      </c>
      <c r="K8" s="38">
        <f t="shared" si="1"/>
        <v>2.2437193137366305</v>
      </c>
      <c r="L8" s="38">
        <f t="shared" si="2"/>
        <v>29.996470447475474</v>
      </c>
      <c r="M8" s="38">
        <f t="shared" si="3"/>
        <v>3.6642594226968672</v>
      </c>
      <c r="N8" s="39">
        <f t="shared" si="4"/>
        <v>0.1132804201768224</v>
      </c>
      <c r="O8" s="39">
        <f t="shared" si="5"/>
        <v>0.12215635266532682</v>
      </c>
      <c r="P8" s="37">
        <v>6568369</v>
      </c>
    </row>
    <row r="9" spans="2:17" ht="14" customHeight="1" x14ac:dyDescent="0.3">
      <c r="B9" s="4" t="s">
        <v>214</v>
      </c>
      <c r="C9" t="s">
        <v>215</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216</v>
      </c>
      <c r="C10" t="s">
        <v>217</v>
      </c>
      <c r="D10" s="37">
        <v>5705891</v>
      </c>
      <c r="E10" s="37">
        <v>5866992</v>
      </c>
      <c r="F10" s="37">
        <v>5015036</v>
      </c>
      <c r="G10" s="37">
        <v>691198</v>
      </c>
      <c r="H10" s="37">
        <v>414992</v>
      </c>
      <c r="I10" s="37">
        <v>275229</v>
      </c>
      <c r="J10" s="38">
        <f t="shared" si="0"/>
        <v>8.4881495606179413</v>
      </c>
      <c r="K10" s="38">
        <f t="shared" si="1"/>
        <v>1.1698803358540197</v>
      </c>
      <c r="L10" s="38">
        <f t="shared" si="2"/>
        <v>20.731430917526861</v>
      </c>
      <c r="M10" s="38">
        <f t="shared" si="3"/>
        <v>1.7531493382395413</v>
      </c>
      <c r="N10" s="39">
        <f t="shared" si="4"/>
        <v>8.2749555536590372E-2</v>
      </c>
      <c r="O10" s="39">
        <f t="shared" si="5"/>
        <v>8.4564801398121822E-2</v>
      </c>
      <c r="P10" s="37">
        <v>3254652</v>
      </c>
    </row>
    <row r="14" spans="2:17" ht="14" customHeight="1" x14ac:dyDescent="0.3">
      <c r="B14" s="3" t="s">
        <v>218</v>
      </c>
    </row>
    <row r="15" spans="2:17" ht="14" customHeight="1" x14ac:dyDescent="0.3">
      <c r="B15" s="4" t="s">
        <v>219</v>
      </c>
      <c r="D15" s="38">
        <f t="shared" ref="D15:I15" si="6">PERCENTILE(J6:J10,0.25)</f>
        <v>9.3730299030285504</v>
      </c>
      <c r="E15" s="38">
        <f t="shared" si="6"/>
        <v>1.1698803358540197</v>
      </c>
      <c r="F15" s="38">
        <f t="shared" si="6"/>
        <v>19.646680288839374</v>
      </c>
      <c r="G15" s="38">
        <f t="shared" si="6"/>
        <v>2.3949730011555959</v>
      </c>
      <c r="H15" s="39">
        <f t="shared" si="6"/>
        <v>7.3471346607411656E-2</v>
      </c>
      <c r="I15" s="39">
        <f t="shared" si="6"/>
        <v>9.0930823461409294E-2</v>
      </c>
    </row>
    <row r="16" spans="2:17" ht="14" customHeight="1" x14ac:dyDescent="0.3">
      <c r="B16" s="4" t="s">
        <v>220</v>
      </c>
      <c r="D16" s="38">
        <f t="shared" ref="D16:I16" si="7">MEDIAN(J6:J10)</f>
        <v>12.352406917212193</v>
      </c>
      <c r="E16" s="38">
        <f t="shared" si="7"/>
        <v>1.7594249592052043</v>
      </c>
      <c r="F16" s="38">
        <f t="shared" si="7"/>
        <v>20.731430917526861</v>
      </c>
      <c r="G16" s="38">
        <f t="shared" si="7"/>
        <v>2.4198555779898214</v>
      </c>
      <c r="H16" s="39">
        <f t="shared" si="7"/>
        <v>8.2749555536590372E-2</v>
      </c>
      <c r="I16" s="39">
        <f t="shared" si="7"/>
        <v>0.12215635266532682</v>
      </c>
    </row>
    <row r="17" spans="2:9" ht="14" customHeight="1" x14ac:dyDescent="0.3">
      <c r="B17" s="4" t="s">
        <v>221</v>
      </c>
      <c r="D17" s="38">
        <f t="shared" ref="D17:I17" si="8">PERCENTILE(J6:J10,0.75)</f>
        <v>14.333259113904496</v>
      </c>
      <c r="E17" s="38">
        <f t="shared" si="8"/>
        <v>1.8967994440800242</v>
      </c>
      <c r="F17" s="38">
        <f t="shared" si="8"/>
        <v>26.338406603917029</v>
      </c>
      <c r="G17" s="38">
        <f t="shared" si="8"/>
        <v>3.6642594226968672</v>
      </c>
      <c r="H17" s="39">
        <f t="shared" si="8"/>
        <v>0.10072641995080936</v>
      </c>
      <c r="I17" s="39">
        <f t="shared" si="8"/>
        <v>0.12316867493204239</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568788</v>
      </c>
    </row>
    <row r="22" spans="2:9" ht="14" customHeight="1" x14ac:dyDescent="0.3">
      <c r="B22" s="4" t="s">
        <v>225</v>
      </c>
      <c r="C22" s="5">
        <v>332129</v>
      </c>
    </row>
    <row r="23" spans="2:9" ht="14" customHeight="1" x14ac:dyDescent="0.3">
      <c r="B23" s="4" t="s">
        <v>226</v>
      </c>
      <c r="C23" s="15">
        <v>3360209340</v>
      </c>
    </row>
    <row r="24" spans="2:9" ht="14" customHeight="1" x14ac:dyDescent="0.3">
      <c r="B24" s="4" t="s">
        <v>67</v>
      </c>
      <c r="C24" s="5">
        <v>-458634</v>
      </c>
    </row>
    <row r="26" spans="2:9" ht="14" customHeight="1" x14ac:dyDescent="0.3">
      <c r="B26" s="3" t="s">
        <v>227</v>
      </c>
    </row>
    <row r="27" spans="2:9" ht="14" customHeight="1" x14ac:dyDescent="0.3">
      <c r="B27" s="4" t="s">
        <v>228</v>
      </c>
      <c r="C27" s="24">
        <f>ROUND((C21*D16-C24)*1000000/C23,0)</f>
        <v>2227</v>
      </c>
    </row>
    <row r="28" spans="2:9" ht="14" customHeight="1" x14ac:dyDescent="0.3">
      <c r="B28" s="4" t="s">
        <v>229</v>
      </c>
      <c r="C28" s="24">
        <f>ROUND(C22*F16*1000000/C23,0)</f>
        <v>2049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0.13250050000000002</v>
      </c>
      <c r="E3" s="4" t="s">
        <v>232</v>
      </c>
      <c r="F3" s="16">
        <f>'DCF Model'!C13</f>
        <v>0.01</v>
      </c>
      <c r="H3" s="4" t="s">
        <v>233</v>
      </c>
      <c r="I3" s="14">
        <f>'DCF Model'!C14</f>
        <v>12.4</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0.11750050000000002</v>
      </c>
      <c r="C7" s="37">
        <f>IFERROR(ROUND(('DCF Model'!C45/(1+$B7)^('DCF Model'!C19+0)+'DCF Model'!D45/(1+$B7)^('DCF Model'!C19+1)+'DCF Model'!E45/(1+$B7)^('DCF Model'!C19+2)+'DCF Model'!F45/(1+$B7)^('DCF Model'!C19+3)+'DCF Model'!G45/(1+$B7)^('DCF Model'!C19+4)+'DCF Model'!G45*(1+C$6)/($B7-C$6)/(1+$B7)^('DCF Model'!C19+4)-'DCF Model'!C16)*1000000/'DCF Model'!C15,0),"")</f>
        <v>874</v>
      </c>
      <c r="D7" s="37">
        <f>IFERROR(ROUND(('DCF Model'!C45/(1+$B7)^('DCF Model'!C19+0)+'DCF Model'!D45/(1+$B7)^('DCF Model'!C19+1)+'DCF Model'!E45/(1+$B7)^('DCF Model'!C19+2)+'DCF Model'!F45/(1+$B7)^('DCF Model'!C19+3)+'DCF Model'!G45/(1+$B7)^('DCF Model'!C19+4)+'DCF Model'!G45*(1+D$6)/($B7-D$6)/(1+$B7)^('DCF Model'!C19+4)-'DCF Model'!C16)*1000000/'DCF Model'!C15,0),"")</f>
        <v>884</v>
      </c>
      <c r="E7" s="37">
        <f>IFERROR(ROUND(('DCF Model'!C45/(1+$B7)^('DCF Model'!C19+0)+'DCF Model'!D45/(1+$B7)^('DCF Model'!C19+1)+'DCF Model'!E45/(1+$B7)^('DCF Model'!C19+2)+'DCF Model'!F45/(1+$B7)^('DCF Model'!C19+3)+'DCF Model'!G45/(1+$B7)^('DCF Model'!C19+4)+'DCF Model'!G45*(1+E$6)/($B7-E$6)/(1+$B7)^('DCF Model'!C19+4)-'DCF Model'!C16)*1000000/'DCF Model'!C15,0),"")</f>
        <v>895</v>
      </c>
      <c r="F7" s="37">
        <f>IFERROR(ROUND(('DCF Model'!C45/(1+$B7)^('DCF Model'!C19+0)+'DCF Model'!D45/(1+$B7)^('DCF Model'!C19+1)+'DCF Model'!E45/(1+$B7)^('DCF Model'!C19+2)+'DCF Model'!F45/(1+$B7)^('DCF Model'!C19+3)+'DCF Model'!G45/(1+$B7)^('DCF Model'!C19+4)+'DCF Model'!G45*(1+F$6)/($B7-F$6)/(1+$B7)^('DCF Model'!C19+4)-'DCF Model'!C16)*1000000/'DCF Model'!C15,0),"")</f>
        <v>906</v>
      </c>
      <c r="G7" s="37">
        <f>IFERROR(ROUND(('DCF Model'!C45/(1+$B7)^('DCF Model'!C19+0)+'DCF Model'!D45/(1+$B7)^('DCF Model'!C19+1)+'DCF Model'!E45/(1+$B7)^('DCF Model'!C19+2)+'DCF Model'!F45/(1+$B7)^('DCF Model'!C19+3)+'DCF Model'!G45/(1+$B7)^('DCF Model'!C19+4)+'DCF Model'!G45*(1+G$6)/($B7-G$6)/(1+$B7)^('DCF Model'!C19+4)-'DCF Model'!C16)*1000000/'DCF Model'!C15,0),"")</f>
        <v>918</v>
      </c>
      <c r="H7" s="37">
        <f>IFERROR(ROUND(('DCF Model'!C45/(1+$B7)^('DCF Model'!C19+0)+'DCF Model'!D45/(1+$B7)^('DCF Model'!C19+1)+'DCF Model'!E45/(1+$B7)^('DCF Model'!C19+2)+'DCF Model'!F45/(1+$B7)^('DCF Model'!C19+3)+'DCF Model'!G45/(1+$B7)^('DCF Model'!C19+4)+'DCF Model'!G45*(1+H$6)/($B7-H$6)/(1+$B7)^('DCF Model'!C19+4)-'DCF Model'!C16)*1000000/'DCF Model'!C15,0),"")</f>
        <v>930</v>
      </c>
      <c r="I7" s="37">
        <f>IFERROR(ROUND(('DCF Model'!C45/(1+$B7)^('DCF Model'!C19+0)+'DCF Model'!D45/(1+$B7)^('DCF Model'!C19+1)+'DCF Model'!E45/(1+$B7)^('DCF Model'!C19+2)+'DCF Model'!F45/(1+$B7)^('DCF Model'!C19+3)+'DCF Model'!G45/(1+$B7)^('DCF Model'!C19+4)+'DCF Model'!G45*(1+I$6)/($B7-I$6)/(1+$B7)^('DCF Model'!C19+4)-'DCF Model'!C16)*1000000/'DCF Model'!C15,0),"")</f>
        <v>943</v>
      </c>
    </row>
    <row r="8" spans="2:9" ht="13.5" customHeight="1" x14ac:dyDescent="0.25">
      <c r="B8" s="39">
        <f>$C$3-0.01</f>
        <v>0.12250050000000003</v>
      </c>
      <c r="C8" s="37">
        <f>IFERROR(ROUND(('DCF Model'!C45/(1+$B8)^('DCF Model'!C19+0)+'DCF Model'!D45/(1+$B8)^('DCF Model'!C19+1)+'DCF Model'!E45/(1+$B8)^('DCF Model'!C19+2)+'DCF Model'!F45/(1+$B8)^('DCF Model'!C19+3)+'DCF Model'!G45/(1+$B8)^('DCF Model'!C19+4)+'DCF Model'!G45*(1+C$6)/($B8-C$6)/(1+$B8)^('DCF Model'!C19+4)-'DCF Model'!C16)*1000000/'DCF Model'!C15,0),"")</f>
        <v>845</v>
      </c>
      <c r="D8" s="37">
        <f>IFERROR(ROUND(('DCF Model'!C45/(1+$B8)^('DCF Model'!C19+0)+'DCF Model'!D45/(1+$B8)^('DCF Model'!C19+1)+'DCF Model'!E45/(1+$B8)^('DCF Model'!C19+2)+'DCF Model'!F45/(1+$B8)^('DCF Model'!C19+3)+'DCF Model'!G45/(1+$B8)^('DCF Model'!C19+4)+'DCF Model'!G45*(1+D$6)/($B8-D$6)/(1+$B8)^('DCF Model'!C19+4)-'DCF Model'!C16)*1000000/'DCF Model'!C15,0),"")</f>
        <v>854</v>
      </c>
      <c r="E8" s="37">
        <f>IFERROR(ROUND(('DCF Model'!C45/(1+$B8)^('DCF Model'!C19+0)+'DCF Model'!D45/(1+$B8)^('DCF Model'!C19+1)+'DCF Model'!E45/(1+$B8)^('DCF Model'!C19+2)+'DCF Model'!F45/(1+$B8)^('DCF Model'!C19+3)+'DCF Model'!G45/(1+$B8)^('DCF Model'!C19+4)+'DCF Model'!G45*(1+E$6)/($B8-E$6)/(1+$B8)^('DCF Model'!C19+4)-'DCF Model'!C16)*1000000/'DCF Model'!C15,0),"")</f>
        <v>863</v>
      </c>
      <c r="F8" s="37">
        <f>IFERROR(ROUND(('DCF Model'!C45/(1+$B8)^('DCF Model'!C19+0)+'DCF Model'!D45/(1+$B8)^('DCF Model'!C19+1)+'DCF Model'!E45/(1+$B8)^('DCF Model'!C19+2)+'DCF Model'!F45/(1+$B8)^('DCF Model'!C19+3)+'DCF Model'!G45/(1+$B8)^('DCF Model'!C19+4)+'DCF Model'!G45*(1+F$6)/($B8-F$6)/(1+$B8)^('DCF Model'!C19+4)-'DCF Model'!C16)*1000000/'DCF Model'!C15,0),"")</f>
        <v>873</v>
      </c>
      <c r="G8" s="37">
        <f>IFERROR(ROUND(('DCF Model'!C45/(1+$B8)^('DCF Model'!C19+0)+'DCF Model'!D45/(1+$B8)^('DCF Model'!C19+1)+'DCF Model'!E45/(1+$B8)^('DCF Model'!C19+2)+'DCF Model'!F45/(1+$B8)^('DCF Model'!C19+3)+'DCF Model'!G45/(1+$B8)^('DCF Model'!C19+4)+'DCF Model'!G45*(1+G$6)/($B8-G$6)/(1+$B8)^('DCF Model'!C19+4)-'DCF Model'!C16)*1000000/'DCF Model'!C15,0),"")</f>
        <v>884</v>
      </c>
      <c r="H8" s="37">
        <f>IFERROR(ROUND(('DCF Model'!C45/(1+$B8)^('DCF Model'!C19+0)+'DCF Model'!D45/(1+$B8)^('DCF Model'!C19+1)+'DCF Model'!E45/(1+$B8)^('DCF Model'!C19+2)+'DCF Model'!F45/(1+$B8)^('DCF Model'!C19+3)+'DCF Model'!G45/(1+$B8)^('DCF Model'!C19+4)+'DCF Model'!G45*(1+H$6)/($B8-H$6)/(1+$B8)^('DCF Model'!C19+4)-'DCF Model'!C16)*1000000/'DCF Model'!C15,0),"")</f>
        <v>895</v>
      </c>
      <c r="I8" s="37">
        <f>IFERROR(ROUND(('DCF Model'!C45/(1+$B8)^('DCF Model'!C19+0)+'DCF Model'!D45/(1+$B8)^('DCF Model'!C19+1)+'DCF Model'!E45/(1+$B8)^('DCF Model'!C19+2)+'DCF Model'!F45/(1+$B8)^('DCF Model'!C19+3)+'DCF Model'!G45/(1+$B8)^('DCF Model'!C19+4)+'DCF Model'!G45*(1+I$6)/($B8-I$6)/(1+$B8)^('DCF Model'!C19+4)-'DCF Model'!C16)*1000000/'DCF Model'!C15,0),"")</f>
        <v>906</v>
      </c>
    </row>
    <row r="9" spans="2:9" ht="13.5" customHeight="1" x14ac:dyDescent="0.25">
      <c r="B9" s="39">
        <f>$C$3-0.005</f>
        <v>0.12750050000000002</v>
      </c>
      <c r="C9" s="37">
        <f>IFERROR(ROUND(('DCF Model'!C45/(1+$B9)^('DCF Model'!C19+0)+'DCF Model'!D45/(1+$B9)^('DCF Model'!C19+1)+'DCF Model'!E45/(1+$B9)^('DCF Model'!C19+2)+'DCF Model'!F45/(1+$B9)^('DCF Model'!C19+3)+'DCF Model'!G45/(1+$B9)^('DCF Model'!C19+4)+'DCF Model'!G45*(1+C$6)/($B9-C$6)/(1+$B9)^('DCF Model'!C19+4)-'DCF Model'!C16)*1000000/'DCF Model'!C15,0),"")</f>
        <v>817</v>
      </c>
      <c r="D9" s="37">
        <f>IFERROR(ROUND(('DCF Model'!C45/(1+$B9)^('DCF Model'!C19+0)+'DCF Model'!D45/(1+$B9)^('DCF Model'!C19+1)+'DCF Model'!E45/(1+$B9)^('DCF Model'!C19+2)+'DCF Model'!F45/(1+$B9)^('DCF Model'!C19+3)+'DCF Model'!G45/(1+$B9)^('DCF Model'!C19+4)+'DCF Model'!G45*(1+D$6)/($B9-D$6)/(1+$B9)^('DCF Model'!C19+4)-'DCF Model'!C16)*1000000/'DCF Model'!C15,0),"")</f>
        <v>826</v>
      </c>
      <c r="E9" s="37">
        <f>IFERROR(ROUND(('DCF Model'!C45/(1+$B9)^('DCF Model'!C19+0)+'DCF Model'!D45/(1+$B9)^('DCF Model'!C19+1)+'DCF Model'!E45/(1+$B9)^('DCF Model'!C19+2)+'DCF Model'!F45/(1+$B9)^('DCF Model'!C19+3)+'DCF Model'!G45/(1+$B9)^('DCF Model'!C19+4)+'DCF Model'!G45*(1+E$6)/($B9-E$6)/(1+$B9)^('DCF Model'!C19+4)-'DCF Model'!C16)*1000000/'DCF Model'!C15,0),"")</f>
        <v>834</v>
      </c>
      <c r="F9" s="37">
        <f>IFERROR(ROUND(('DCF Model'!C45/(1+$B9)^('DCF Model'!C19+0)+'DCF Model'!D45/(1+$B9)^('DCF Model'!C19+1)+'DCF Model'!E45/(1+$B9)^('DCF Model'!C19+2)+'DCF Model'!F45/(1+$B9)^('DCF Model'!C19+3)+'DCF Model'!G45/(1+$B9)^('DCF Model'!C19+4)+'DCF Model'!G45*(1+F$6)/($B9-F$6)/(1+$B9)^('DCF Model'!C19+4)-'DCF Model'!C16)*1000000/'DCF Model'!C15,0),"")</f>
        <v>843</v>
      </c>
      <c r="G9" s="37">
        <f>IFERROR(ROUND(('DCF Model'!C45/(1+$B9)^('DCF Model'!C19+0)+'DCF Model'!D45/(1+$B9)^('DCF Model'!C19+1)+'DCF Model'!E45/(1+$B9)^('DCF Model'!C19+2)+'DCF Model'!F45/(1+$B9)^('DCF Model'!C19+3)+'DCF Model'!G45/(1+$B9)^('DCF Model'!C19+4)+'DCF Model'!G45*(1+G$6)/($B9-G$6)/(1+$B9)^('DCF Model'!C19+4)-'DCF Model'!C16)*1000000/'DCF Model'!C15,0),"")</f>
        <v>853</v>
      </c>
      <c r="H9" s="37">
        <f>IFERROR(ROUND(('DCF Model'!C45/(1+$B9)^('DCF Model'!C19+0)+'DCF Model'!D45/(1+$B9)^('DCF Model'!C19+1)+'DCF Model'!E45/(1+$B9)^('DCF Model'!C19+2)+'DCF Model'!F45/(1+$B9)^('DCF Model'!C19+3)+'DCF Model'!G45/(1+$B9)^('DCF Model'!C19+4)+'DCF Model'!G45*(1+H$6)/($B9-H$6)/(1+$B9)^('DCF Model'!C19+4)-'DCF Model'!C16)*1000000/'DCF Model'!C15,0),"")</f>
        <v>863</v>
      </c>
      <c r="I9" s="37">
        <f>IFERROR(ROUND(('DCF Model'!C45/(1+$B9)^('DCF Model'!C19+0)+'DCF Model'!D45/(1+$B9)^('DCF Model'!C19+1)+'DCF Model'!E45/(1+$B9)^('DCF Model'!C19+2)+'DCF Model'!F45/(1+$B9)^('DCF Model'!C19+3)+'DCF Model'!G45/(1+$B9)^('DCF Model'!C19+4)+'DCF Model'!G45*(1+I$6)/($B9-I$6)/(1+$B9)^('DCF Model'!C19+4)-'DCF Model'!C16)*1000000/'DCF Model'!C15,0),"")</f>
        <v>873</v>
      </c>
    </row>
    <row r="10" spans="2:9" ht="13.5" customHeight="1" x14ac:dyDescent="0.25">
      <c r="B10" s="39">
        <f>$C$3</f>
        <v>0.13250050000000002</v>
      </c>
      <c r="C10" s="37">
        <f>IFERROR(ROUND(('DCF Model'!C45/(1+$B10)^('DCF Model'!C19+0)+'DCF Model'!D45/(1+$B10)^('DCF Model'!C19+1)+'DCF Model'!E45/(1+$B10)^('DCF Model'!C19+2)+'DCF Model'!F45/(1+$B10)^('DCF Model'!C19+3)+'DCF Model'!G45/(1+$B10)^('DCF Model'!C19+4)+'DCF Model'!G45*(1+C$6)/($B10-C$6)/(1+$B10)^('DCF Model'!C19+4)-'DCF Model'!C16)*1000000/'DCF Model'!C15,0),"")</f>
        <v>792</v>
      </c>
      <c r="D10" s="37">
        <f>IFERROR(ROUND(('DCF Model'!C45/(1+$B10)^('DCF Model'!C19+0)+'DCF Model'!D45/(1+$B10)^('DCF Model'!C19+1)+'DCF Model'!E45/(1+$B10)^('DCF Model'!C19+2)+'DCF Model'!F45/(1+$B10)^('DCF Model'!C19+3)+'DCF Model'!G45/(1+$B10)^('DCF Model'!C19+4)+'DCF Model'!G45*(1+D$6)/($B10-D$6)/(1+$B10)^('DCF Model'!C19+4)-'DCF Model'!C16)*1000000/'DCF Model'!C15,0),"")</f>
        <v>800</v>
      </c>
      <c r="E10" s="37">
        <f>IFERROR(ROUND(('DCF Model'!C45/(1+$B10)^('DCF Model'!C19+0)+'DCF Model'!D45/(1+$B10)^('DCF Model'!C19+1)+'DCF Model'!E45/(1+$B10)^('DCF Model'!C19+2)+'DCF Model'!F45/(1+$B10)^('DCF Model'!C19+3)+'DCF Model'!G45/(1+$B10)^('DCF Model'!C19+4)+'DCF Model'!G45*(1+E$6)/($B10-E$6)/(1+$B10)^('DCF Model'!C19+4)-'DCF Model'!C16)*1000000/'DCF Model'!C15,0),"")</f>
        <v>808</v>
      </c>
      <c r="F10" s="37">
        <f>IFERROR(ROUND(('DCF Model'!C45/(1+$B10)^('DCF Model'!C19+0)+'DCF Model'!D45/(1+$B10)^('DCF Model'!C19+1)+'DCF Model'!E45/(1+$B10)^('DCF Model'!C19+2)+'DCF Model'!F45/(1+$B10)^('DCF Model'!C19+3)+'DCF Model'!G45/(1+$B10)^('DCF Model'!C19+4)+'DCF Model'!G45*(1+F$6)/($B10-F$6)/(1+$B10)^('DCF Model'!C19+4)-'DCF Model'!C16)*1000000/'DCF Model'!C15,0),"")</f>
        <v>816</v>
      </c>
      <c r="G10" s="37">
        <f>IFERROR(ROUND(('DCF Model'!C45/(1+$B10)^('DCF Model'!C19+0)+'DCF Model'!D45/(1+$B10)^('DCF Model'!C19+1)+'DCF Model'!E45/(1+$B10)^('DCF Model'!C19+2)+'DCF Model'!F45/(1+$B10)^('DCF Model'!C19+3)+'DCF Model'!G45/(1+$B10)^('DCF Model'!C19+4)+'DCF Model'!G45*(1+G$6)/($B10-G$6)/(1+$B10)^('DCF Model'!C19+4)-'DCF Model'!C16)*1000000/'DCF Model'!C15,0),"")</f>
        <v>824</v>
      </c>
      <c r="H10" s="37">
        <f>IFERROR(ROUND(('DCF Model'!C45/(1+$B10)^('DCF Model'!C19+0)+'DCF Model'!D45/(1+$B10)^('DCF Model'!C19+1)+'DCF Model'!E45/(1+$B10)^('DCF Model'!C19+2)+'DCF Model'!F45/(1+$B10)^('DCF Model'!C19+3)+'DCF Model'!G45/(1+$B10)^('DCF Model'!C19+4)+'DCF Model'!G45*(1+H$6)/($B10-H$6)/(1+$B10)^('DCF Model'!C19+4)-'DCF Model'!C16)*1000000/'DCF Model'!C15,0),"")</f>
        <v>833</v>
      </c>
      <c r="I10" s="37">
        <f>IFERROR(ROUND(('DCF Model'!C45/(1+$B10)^('DCF Model'!C19+0)+'DCF Model'!D45/(1+$B10)^('DCF Model'!C19+1)+'DCF Model'!E45/(1+$B10)^('DCF Model'!C19+2)+'DCF Model'!F45/(1+$B10)^('DCF Model'!C19+3)+'DCF Model'!G45/(1+$B10)^('DCF Model'!C19+4)+'DCF Model'!G45*(1+I$6)/($B10-I$6)/(1+$B10)^('DCF Model'!C19+4)-'DCF Model'!C16)*1000000/'DCF Model'!C15,0),"")</f>
        <v>842</v>
      </c>
    </row>
    <row r="11" spans="2:9" ht="13.5" customHeight="1" x14ac:dyDescent="0.25">
      <c r="B11" s="39">
        <f>$C$3+0.005</f>
        <v>0.13750050000000003</v>
      </c>
      <c r="C11" s="37">
        <f>IFERROR(ROUND(('DCF Model'!C45/(1+$B11)^('DCF Model'!C19+0)+'DCF Model'!D45/(1+$B11)^('DCF Model'!C19+1)+'DCF Model'!E45/(1+$B11)^('DCF Model'!C19+2)+'DCF Model'!F45/(1+$B11)^('DCF Model'!C19+3)+'DCF Model'!G45/(1+$B11)^('DCF Model'!C19+4)+'DCF Model'!G45*(1+C$6)/($B11-C$6)/(1+$B11)^('DCF Model'!C19+4)-'DCF Model'!C16)*1000000/'DCF Model'!C15,0),"")</f>
        <v>769</v>
      </c>
      <c r="D11" s="37">
        <f>IFERROR(ROUND(('DCF Model'!C45/(1+$B11)^('DCF Model'!C19+0)+'DCF Model'!D45/(1+$B11)^('DCF Model'!C19+1)+'DCF Model'!E45/(1+$B11)^('DCF Model'!C19+2)+'DCF Model'!F45/(1+$B11)^('DCF Model'!C19+3)+'DCF Model'!G45/(1+$B11)^('DCF Model'!C19+4)+'DCF Model'!G45*(1+D$6)/($B11-D$6)/(1+$B11)^('DCF Model'!C19+4)-'DCF Model'!C16)*1000000/'DCF Model'!C15,0),"")</f>
        <v>776</v>
      </c>
      <c r="E11" s="37">
        <f>IFERROR(ROUND(('DCF Model'!C45/(1+$B11)^('DCF Model'!C19+0)+'DCF Model'!D45/(1+$B11)^('DCF Model'!C19+1)+'DCF Model'!E45/(1+$B11)^('DCF Model'!C19+2)+'DCF Model'!F45/(1+$B11)^('DCF Model'!C19+3)+'DCF Model'!G45/(1+$B11)^('DCF Model'!C19+4)+'DCF Model'!G45*(1+E$6)/($B11-E$6)/(1+$B11)^('DCF Model'!C19+4)-'DCF Model'!C16)*1000000/'DCF Model'!C15,0),"")</f>
        <v>783</v>
      </c>
      <c r="F11" s="37">
        <f>IFERROR(ROUND(('DCF Model'!C45/(1+$B11)^('DCF Model'!C19+0)+'DCF Model'!D45/(1+$B11)^('DCF Model'!C19+1)+'DCF Model'!E45/(1+$B11)^('DCF Model'!C19+2)+'DCF Model'!F45/(1+$B11)^('DCF Model'!C19+3)+'DCF Model'!G45/(1+$B11)^('DCF Model'!C19+4)+'DCF Model'!G45*(1+F$6)/($B11-F$6)/(1+$B11)^('DCF Model'!C19+4)-'DCF Model'!C16)*1000000/'DCF Model'!C15,0),"")</f>
        <v>790</v>
      </c>
      <c r="G11" s="37">
        <f>IFERROR(ROUND(('DCF Model'!C45/(1+$B11)^('DCF Model'!C19+0)+'DCF Model'!D45/(1+$B11)^('DCF Model'!C19+1)+'DCF Model'!E45/(1+$B11)^('DCF Model'!C19+2)+'DCF Model'!F45/(1+$B11)^('DCF Model'!C19+3)+'DCF Model'!G45/(1+$B11)^('DCF Model'!C19+4)+'DCF Model'!G45*(1+G$6)/($B11-G$6)/(1+$B11)^('DCF Model'!C19+4)-'DCF Model'!C16)*1000000/'DCF Model'!C15,0),"")</f>
        <v>798</v>
      </c>
      <c r="H11" s="37">
        <f>IFERROR(ROUND(('DCF Model'!C45/(1+$B11)^('DCF Model'!C19+0)+'DCF Model'!D45/(1+$B11)^('DCF Model'!C19+1)+'DCF Model'!E45/(1+$B11)^('DCF Model'!C19+2)+'DCF Model'!F45/(1+$B11)^('DCF Model'!C19+3)+'DCF Model'!G45/(1+$B11)^('DCF Model'!C19+4)+'DCF Model'!G45*(1+H$6)/($B11-H$6)/(1+$B11)^('DCF Model'!C19+4)-'DCF Model'!C16)*1000000/'DCF Model'!C15,0),"")</f>
        <v>806</v>
      </c>
      <c r="I11" s="37">
        <f>IFERROR(ROUND(('DCF Model'!C45/(1+$B11)^('DCF Model'!C19+0)+'DCF Model'!D45/(1+$B11)^('DCF Model'!C19+1)+'DCF Model'!E45/(1+$B11)^('DCF Model'!C19+2)+'DCF Model'!F45/(1+$B11)^('DCF Model'!C19+3)+'DCF Model'!G45/(1+$B11)^('DCF Model'!C19+4)+'DCF Model'!G45*(1+I$6)/($B11-I$6)/(1+$B11)^('DCF Model'!C19+4)-'DCF Model'!C16)*1000000/'DCF Model'!C15,0),"")</f>
        <v>814</v>
      </c>
    </row>
    <row r="12" spans="2:9" ht="13.5" customHeight="1" x14ac:dyDescent="0.25">
      <c r="B12" s="39">
        <f>$C$3+0.01</f>
        <v>0.14250050000000003</v>
      </c>
      <c r="C12" s="37">
        <f>IFERROR(ROUND(('DCF Model'!C45/(1+$B12)^('DCF Model'!C19+0)+'DCF Model'!D45/(1+$B12)^('DCF Model'!C19+1)+'DCF Model'!E45/(1+$B12)^('DCF Model'!C19+2)+'DCF Model'!F45/(1+$B12)^('DCF Model'!C19+3)+'DCF Model'!G45/(1+$B12)^('DCF Model'!C19+4)+'DCF Model'!G45*(1+C$6)/($B12-C$6)/(1+$B12)^('DCF Model'!C19+4)-'DCF Model'!C16)*1000000/'DCF Model'!C15,0),"")</f>
        <v>748</v>
      </c>
      <c r="D12" s="37">
        <f>IFERROR(ROUND(('DCF Model'!C45/(1+$B12)^('DCF Model'!C19+0)+'DCF Model'!D45/(1+$B12)^('DCF Model'!C19+1)+'DCF Model'!E45/(1+$B12)^('DCF Model'!C19+2)+'DCF Model'!F45/(1+$B12)^('DCF Model'!C19+3)+'DCF Model'!G45/(1+$B12)^('DCF Model'!C19+4)+'DCF Model'!G45*(1+D$6)/($B12-D$6)/(1+$B12)^('DCF Model'!C19+4)-'DCF Model'!C16)*1000000/'DCF Model'!C15,0),"")</f>
        <v>754</v>
      </c>
      <c r="E12" s="37">
        <f>IFERROR(ROUND(('DCF Model'!C45/(1+$B12)^('DCF Model'!C19+0)+'DCF Model'!D45/(1+$B12)^('DCF Model'!C19+1)+'DCF Model'!E45/(1+$B12)^('DCF Model'!C19+2)+'DCF Model'!F45/(1+$B12)^('DCF Model'!C19+3)+'DCF Model'!G45/(1+$B12)^('DCF Model'!C19+4)+'DCF Model'!G45*(1+E$6)/($B12-E$6)/(1+$B12)^('DCF Model'!C19+4)-'DCF Model'!C16)*1000000/'DCF Model'!C15,0),"")</f>
        <v>760</v>
      </c>
      <c r="F12" s="37">
        <f>IFERROR(ROUND(('DCF Model'!C45/(1+$B12)^('DCF Model'!C19+0)+'DCF Model'!D45/(1+$B12)^('DCF Model'!C19+1)+'DCF Model'!E45/(1+$B12)^('DCF Model'!C19+2)+'DCF Model'!F45/(1+$B12)^('DCF Model'!C19+3)+'DCF Model'!G45/(1+$B12)^('DCF Model'!C19+4)+'DCF Model'!G45*(1+F$6)/($B12-F$6)/(1+$B12)^('DCF Model'!C19+4)-'DCF Model'!C16)*1000000/'DCF Model'!C15,0),"")</f>
        <v>767</v>
      </c>
      <c r="G12" s="37">
        <f>IFERROR(ROUND(('DCF Model'!C45/(1+$B12)^('DCF Model'!C19+0)+'DCF Model'!D45/(1+$B12)^('DCF Model'!C19+1)+'DCF Model'!E45/(1+$B12)^('DCF Model'!C19+2)+'DCF Model'!F45/(1+$B12)^('DCF Model'!C19+3)+'DCF Model'!G45/(1+$B12)^('DCF Model'!C19+4)+'DCF Model'!G45*(1+G$6)/($B12-G$6)/(1+$B12)^('DCF Model'!C19+4)-'DCF Model'!C16)*1000000/'DCF Model'!C15,0),"")</f>
        <v>774</v>
      </c>
      <c r="H12" s="37">
        <f>IFERROR(ROUND(('DCF Model'!C45/(1+$B12)^('DCF Model'!C19+0)+'DCF Model'!D45/(1+$B12)^('DCF Model'!C19+1)+'DCF Model'!E45/(1+$B12)^('DCF Model'!C19+2)+'DCF Model'!F45/(1+$B12)^('DCF Model'!C19+3)+'DCF Model'!G45/(1+$B12)^('DCF Model'!C19+4)+'DCF Model'!G45*(1+H$6)/($B12-H$6)/(1+$B12)^('DCF Model'!C19+4)-'DCF Model'!C16)*1000000/'DCF Model'!C15,0),"")</f>
        <v>781</v>
      </c>
      <c r="I12" s="37">
        <f>IFERROR(ROUND(('DCF Model'!C45/(1+$B12)^('DCF Model'!C19+0)+'DCF Model'!D45/(1+$B12)^('DCF Model'!C19+1)+'DCF Model'!E45/(1+$B12)^('DCF Model'!C19+2)+'DCF Model'!F45/(1+$B12)^('DCF Model'!C19+3)+'DCF Model'!G45/(1+$B12)^('DCF Model'!C19+4)+'DCF Model'!G45*(1+I$6)/($B12-I$6)/(1+$B12)^('DCF Model'!C19+4)-'DCF Model'!C16)*1000000/'DCF Model'!C15,0),"")</f>
        <v>789</v>
      </c>
    </row>
    <row r="13" spans="2:9" ht="13.5" customHeight="1" x14ac:dyDescent="0.25">
      <c r="B13" s="39">
        <f>$C$3+0.015</f>
        <v>0.14750050000000003</v>
      </c>
      <c r="C13" s="37">
        <f>IFERROR(ROUND(('DCF Model'!C45/(1+$B13)^('DCF Model'!C19+0)+'DCF Model'!D45/(1+$B13)^('DCF Model'!C19+1)+'DCF Model'!E45/(1+$B13)^('DCF Model'!C19+2)+'DCF Model'!F45/(1+$B13)^('DCF Model'!C19+3)+'DCF Model'!G45/(1+$B13)^('DCF Model'!C19+4)+'DCF Model'!G45*(1+C$6)/($B13-C$6)/(1+$B13)^('DCF Model'!C19+4)-'DCF Model'!C16)*1000000/'DCF Model'!C15,0),"")</f>
        <v>727</v>
      </c>
      <c r="D13" s="37">
        <f>IFERROR(ROUND(('DCF Model'!C45/(1+$B13)^('DCF Model'!C19+0)+'DCF Model'!D45/(1+$B13)^('DCF Model'!C19+1)+'DCF Model'!E45/(1+$B13)^('DCF Model'!C19+2)+'DCF Model'!F45/(1+$B13)^('DCF Model'!C19+3)+'DCF Model'!G45/(1+$B13)^('DCF Model'!C19+4)+'DCF Model'!G45*(1+D$6)/($B13-D$6)/(1+$B13)^('DCF Model'!C19+4)-'DCF Model'!C16)*1000000/'DCF Model'!C15,0),"")</f>
        <v>733</v>
      </c>
      <c r="E13" s="37">
        <f>IFERROR(ROUND(('DCF Model'!C45/(1+$B13)^('DCF Model'!C19+0)+'DCF Model'!D45/(1+$B13)^('DCF Model'!C19+1)+'DCF Model'!E45/(1+$B13)^('DCF Model'!C19+2)+'DCF Model'!F45/(1+$B13)^('DCF Model'!C19+3)+'DCF Model'!G45/(1+$B13)^('DCF Model'!C19+4)+'DCF Model'!G45*(1+E$6)/($B13-E$6)/(1+$B13)^('DCF Model'!C19+4)-'DCF Model'!C16)*1000000/'DCF Model'!C15,0),"")</f>
        <v>739</v>
      </c>
      <c r="F13" s="37">
        <f>IFERROR(ROUND(('DCF Model'!C45/(1+$B13)^('DCF Model'!C19+0)+'DCF Model'!D45/(1+$B13)^('DCF Model'!C19+1)+'DCF Model'!E45/(1+$B13)^('DCF Model'!C19+2)+'DCF Model'!F45/(1+$B13)^('DCF Model'!C19+3)+'DCF Model'!G45/(1+$B13)^('DCF Model'!C19+4)+'DCF Model'!G45*(1+F$6)/($B13-F$6)/(1+$B13)^('DCF Model'!C19+4)-'DCF Model'!C16)*1000000/'DCF Model'!C15,0),"")</f>
        <v>745</v>
      </c>
      <c r="G13" s="37">
        <f>IFERROR(ROUND(('DCF Model'!C45/(1+$B13)^('DCF Model'!C19+0)+'DCF Model'!D45/(1+$B13)^('DCF Model'!C19+1)+'DCF Model'!E45/(1+$B13)^('DCF Model'!C19+2)+'DCF Model'!F45/(1+$B13)^('DCF Model'!C19+3)+'DCF Model'!G45/(1+$B13)^('DCF Model'!C19+4)+'DCF Model'!G45*(1+G$6)/($B13-G$6)/(1+$B13)^('DCF Model'!C19+4)-'DCF Model'!C16)*1000000/'DCF Model'!C15,0),"")</f>
        <v>752</v>
      </c>
      <c r="H13" s="37">
        <f>IFERROR(ROUND(('DCF Model'!C45/(1+$B13)^('DCF Model'!C19+0)+'DCF Model'!D45/(1+$B13)^('DCF Model'!C19+1)+'DCF Model'!E45/(1+$B13)^('DCF Model'!C19+2)+'DCF Model'!F45/(1+$B13)^('DCF Model'!C19+3)+'DCF Model'!G45/(1+$B13)^('DCF Model'!C19+4)+'DCF Model'!G45*(1+H$6)/($B13-H$6)/(1+$B13)^('DCF Model'!C19+4)-'DCF Model'!C16)*1000000/'DCF Model'!C15,0),"")</f>
        <v>758</v>
      </c>
      <c r="I13" s="37">
        <f>IFERROR(ROUND(('DCF Model'!C45/(1+$B13)^('DCF Model'!C19+0)+'DCF Model'!D45/(1+$B13)^('DCF Model'!C19+1)+'DCF Model'!E45/(1+$B13)^('DCF Model'!C19+2)+'DCF Model'!F45/(1+$B13)^('DCF Model'!C19+3)+'DCF Model'!G45/(1+$B13)^('DCF Model'!C19+4)+'DCF Model'!G45*(1+I$6)/($B13-I$6)/(1+$B13)^('DCF Model'!C19+4)-'DCF Model'!C16)*1000000/'DCF Model'!C15,0),"")</f>
        <v>765</v>
      </c>
    </row>
    <row r="16" spans="2:9" ht="14" customHeight="1" x14ac:dyDescent="0.3">
      <c r="B16" s="3" t="s">
        <v>236</v>
      </c>
    </row>
    <row r="17" spans="2:9" ht="14" customHeight="1" x14ac:dyDescent="0.3">
      <c r="B17" s="40" t="s">
        <v>237</v>
      </c>
      <c r="C17" s="42">
        <f>$I$3-3</f>
        <v>9.4</v>
      </c>
      <c r="D17" s="42">
        <f>$I$3-2</f>
        <v>10.4</v>
      </c>
      <c r="E17" s="42">
        <f>$I$3-1</f>
        <v>11.4</v>
      </c>
      <c r="F17" s="42">
        <f>$I$3</f>
        <v>12.4</v>
      </c>
      <c r="G17" s="42">
        <f>$I$3+1</f>
        <v>13.4</v>
      </c>
      <c r="H17" s="42">
        <f>$I$3+2</f>
        <v>14.4</v>
      </c>
      <c r="I17" s="42">
        <f>$I$3+3</f>
        <v>15.4</v>
      </c>
    </row>
    <row r="18" spans="2:9" ht="13.5" customHeight="1" x14ac:dyDescent="0.25">
      <c r="B18" s="39">
        <f>$C$3-0.015</f>
        <v>0.11750050000000002</v>
      </c>
      <c r="C18" s="37">
        <f>IFERROR(ROUND(('DCF Model'!C45/(1+$B18)^('DCF Model'!C19+0)+'DCF Model'!D45/(1+$B18)^('DCF Model'!C19+1)+'DCF Model'!E45/(1+$B18)^('DCF Model'!C19+2)+'DCF Model'!F45/(1+$B18)^('DCF Model'!C19+3)+'DCF Model'!G45/(1+$B18)^('DCF Model'!C19+4)+('DCF Model'!G39+'DCF Model'!G42)*C$17/(1+$B18)^('DCF Model'!C19+4)-'DCF Model'!C16)*1000000/'DCF Model'!C15,0),"")</f>
        <v>1388</v>
      </c>
      <c r="D18" s="37">
        <f>IFERROR(ROUND(('DCF Model'!C45/(1+$B18)^('DCF Model'!C19+0)+'DCF Model'!D45/(1+$B18)^('DCF Model'!C19+1)+'DCF Model'!E45/(1+$B18)^('DCF Model'!C19+2)+'DCF Model'!F45/(1+$B18)^('DCF Model'!C19+3)+'DCF Model'!G45/(1+$B18)^('DCF Model'!C19+4)+('DCF Model'!G39+'DCF Model'!G42)*D$17/(1+$B18)^('DCF Model'!C19+4)-'DCF Model'!C16)*1000000/'DCF Model'!C15,0),"")</f>
        <v>1487</v>
      </c>
      <c r="E18" s="37">
        <f>IFERROR(ROUND(('DCF Model'!C45/(1+$B18)^('DCF Model'!C19+0)+'DCF Model'!D45/(1+$B18)^('DCF Model'!C19+1)+'DCF Model'!E45/(1+$B18)^('DCF Model'!C19+2)+'DCF Model'!F45/(1+$B18)^('DCF Model'!C19+3)+'DCF Model'!G45/(1+$B18)^('DCF Model'!C19+4)+('DCF Model'!G39+'DCF Model'!G42)*E$17/(1+$B18)^('DCF Model'!C19+4)-'DCF Model'!C16)*1000000/'DCF Model'!C15,0),"")</f>
        <v>1585</v>
      </c>
      <c r="F18" s="37">
        <f>IFERROR(ROUND(('DCF Model'!C45/(1+$B18)^('DCF Model'!C19+0)+'DCF Model'!D45/(1+$B18)^('DCF Model'!C19+1)+'DCF Model'!E45/(1+$B18)^('DCF Model'!C19+2)+'DCF Model'!F45/(1+$B18)^('DCF Model'!C19+3)+'DCF Model'!G45/(1+$B18)^('DCF Model'!C19+4)+('DCF Model'!G39+'DCF Model'!G42)*F$17/(1+$B18)^('DCF Model'!C19+4)-'DCF Model'!C16)*1000000/'DCF Model'!C15,0),"")</f>
        <v>1683</v>
      </c>
      <c r="G18" s="37">
        <f>IFERROR(ROUND(('DCF Model'!C45/(1+$B18)^('DCF Model'!C19+0)+'DCF Model'!D45/(1+$B18)^('DCF Model'!C19+1)+'DCF Model'!E45/(1+$B18)^('DCF Model'!C19+2)+'DCF Model'!F45/(1+$B18)^('DCF Model'!C19+3)+'DCF Model'!G45/(1+$B18)^('DCF Model'!C19+4)+('DCF Model'!G39+'DCF Model'!G42)*G$17/(1+$B18)^('DCF Model'!C19+4)-'DCF Model'!C16)*1000000/'DCF Model'!C15,0),"")</f>
        <v>1782</v>
      </c>
      <c r="H18" s="37">
        <f>IFERROR(ROUND(('DCF Model'!C45/(1+$B18)^('DCF Model'!C19+0)+'DCF Model'!D45/(1+$B18)^('DCF Model'!C19+1)+'DCF Model'!E45/(1+$B18)^('DCF Model'!C19+2)+'DCF Model'!F45/(1+$B18)^('DCF Model'!C19+3)+'DCF Model'!G45/(1+$B18)^('DCF Model'!C19+4)+('DCF Model'!G39+'DCF Model'!G42)*H$17/(1+$B18)^('DCF Model'!C19+4)-'DCF Model'!C16)*1000000/'DCF Model'!C15,0),"")</f>
        <v>1880</v>
      </c>
      <c r="I18" s="37">
        <f>IFERROR(ROUND(('DCF Model'!C45/(1+$B18)^('DCF Model'!C19+0)+'DCF Model'!D45/(1+$B18)^('DCF Model'!C19+1)+'DCF Model'!E45/(1+$B18)^('DCF Model'!C19+2)+'DCF Model'!F45/(1+$B18)^('DCF Model'!C19+3)+'DCF Model'!G45/(1+$B18)^('DCF Model'!C19+4)+('DCF Model'!G39+'DCF Model'!G42)*I$17/(1+$B18)^('DCF Model'!C19+4)-'DCF Model'!C16)*1000000/'DCF Model'!C15,0),"")</f>
        <v>1978</v>
      </c>
    </row>
    <row r="19" spans="2:9" ht="13.5" customHeight="1" x14ac:dyDescent="0.25">
      <c r="B19" s="39">
        <f>$C$3-0.01</f>
        <v>0.12250050000000003</v>
      </c>
      <c r="C19" s="37">
        <f>IFERROR(ROUND(('DCF Model'!C45/(1+$B19)^('DCF Model'!C19+0)+'DCF Model'!D45/(1+$B19)^('DCF Model'!C19+1)+'DCF Model'!E45/(1+$B19)^('DCF Model'!C19+2)+'DCF Model'!F45/(1+$B19)^('DCF Model'!C19+3)+'DCF Model'!G45/(1+$B19)^('DCF Model'!C19+4)+('DCF Model'!G39+'DCF Model'!G42)*C$17/(1+$B19)^('DCF Model'!C19+4)-'DCF Model'!C16)*1000000/'DCF Model'!C15,0),"")</f>
        <v>1364</v>
      </c>
      <c r="D19" s="37">
        <f>IFERROR(ROUND(('DCF Model'!C45/(1+$B19)^('DCF Model'!C19+0)+'DCF Model'!D45/(1+$B19)^('DCF Model'!C19+1)+'DCF Model'!E45/(1+$B19)^('DCF Model'!C19+2)+'DCF Model'!F45/(1+$B19)^('DCF Model'!C19+3)+'DCF Model'!G45/(1+$B19)^('DCF Model'!C19+4)+('DCF Model'!G39+'DCF Model'!G42)*D$17/(1+$B19)^('DCF Model'!C19+4)-'DCF Model'!C16)*1000000/'DCF Model'!C15,0),"")</f>
        <v>1460</v>
      </c>
      <c r="E19" s="37">
        <f>IFERROR(ROUND(('DCF Model'!C45/(1+$B19)^('DCF Model'!C19+0)+'DCF Model'!D45/(1+$B19)^('DCF Model'!C19+1)+'DCF Model'!E45/(1+$B19)^('DCF Model'!C19+2)+'DCF Model'!F45/(1+$B19)^('DCF Model'!C19+3)+'DCF Model'!G45/(1+$B19)^('DCF Model'!C19+4)+('DCF Model'!G39+'DCF Model'!G42)*E$17/(1+$B19)^('DCF Model'!C19+4)-'DCF Model'!C16)*1000000/'DCF Model'!C15,0),"")</f>
        <v>1556</v>
      </c>
      <c r="F19" s="37">
        <f>IFERROR(ROUND(('DCF Model'!C45/(1+$B19)^('DCF Model'!C19+0)+'DCF Model'!D45/(1+$B19)^('DCF Model'!C19+1)+'DCF Model'!E45/(1+$B19)^('DCF Model'!C19+2)+'DCF Model'!F45/(1+$B19)^('DCF Model'!C19+3)+'DCF Model'!G45/(1+$B19)^('DCF Model'!C19+4)+('DCF Model'!G39+'DCF Model'!G42)*F$17/(1+$B19)^('DCF Model'!C19+4)-'DCF Model'!C16)*1000000/'DCF Model'!C15,0),"")</f>
        <v>1653</v>
      </c>
      <c r="G19" s="37">
        <f>IFERROR(ROUND(('DCF Model'!C45/(1+$B19)^('DCF Model'!C19+0)+'DCF Model'!D45/(1+$B19)^('DCF Model'!C19+1)+'DCF Model'!E45/(1+$B19)^('DCF Model'!C19+2)+'DCF Model'!F45/(1+$B19)^('DCF Model'!C19+3)+'DCF Model'!G45/(1+$B19)^('DCF Model'!C19+4)+('DCF Model'!G39+'DCF Model'!G42)*G$17/(1+$B19)^('DCF Model'!C19+4)-'DCF Model'!C16)*1000000/'DCF Model'!C15,0),"")</f>
        <v>1749</v>
      </c>
      <c r="H19" s="37">
        <f>IFERROR(ROUND(('DCF Model'!C45/(1+$B19)^('DCF Model'!C19+0)+'DCF Model'!D45/(1+$B19)^('DCF Model'!C19+1)+'DCF Model'!E45/(1+$B19)^('DCF Model'!C19+2)+'DCF Model'!F45/(1+$B19)^('DCF Model'!C19+3)+'DCF Model'!G45/(1+$B19)^('DCF Model'!C19+4)+('DCF Model'!G39+'DCF Model'!G42)*H$17/(1+$B19)^('DCF Model'!C19+4)-'DCF Model'!C16)*1000000/'DCF Model'!C15,0),"")</f>
        <v>1845</v>
      </c>
      <c r="I19" s="37">
        <f>IFERROR(ROUND(('DCF Model'!C45/(1+$B19)^('DCF Model'!C19+0)+'DCF Model'!D45/(1+$B19)^('DCF Model'!C19+1)+'DCF Model'!E45/(1+$B19)^('DCF Model'!C19+2)+'DCF Model'!F45/(1+$B19)^('DCF Model'!C19+3)+'DCF Model'!G45/(1+$B19)^('DCF Model'!C19+4)+('DCF Model'!G39+'DCF Model'!G42)*I$17/(1+$B19)^('DCF Model'!C19+4)-'DCF Model'!C16)*1000000/'DCF Model'!C15,0),"")</f>
        <v>1941</v>
      </c>
    </row>
    <row r="20" spans="2:9" ht="13.5" customHeight="1" x14ac:dyDescent="0.25">
      <c r="B20" s="39">
        <f>$C$3-0.005</f>
        <v>0.12750050000000002</v>
      </c>
      <c r="C20" s="37">
        <f>IFERROR(ROUND(('DCF Model'!C45/(1+$B20)^('DCF Model'!C19+0)+'DCF Model'!D45/(1+$B20)^('DCF Model'!C19+1)+'DCF Model'!E45/(1+$B20)^('DCF Model'!C19+2)+'DCF Model'!F45/(1+$B20)^('DCF Model'!C19+3)+'DCF Model'!G45/(1+$B20)^('DCF Model'!C19+4)+('DCF Model'!G39+'DCF Model'!G42)*C$17/(1+$B20)^('DCF Model'!C19+4)-'DCF Model'!C16)*1000000/'DCF Model'!C15,0),"")</f>
        <v>1341</v>
      </c>
      <c r="D20" s="37">
        <f>IFERROR(ROUND(('DCF Model'!C45/(1+$B20)^('DCF Model'!C19+0)+'DCF Model'!D45/(1+$B20)^('DCF Model'!C19+1)+'DCF Model'!E45/(1+$B20)^('DCF Model'!C19+2)+'DCF Model'!F45/(1+$B20)^('DCF Model'!C19+3)+'DCF Model'!G45/(1+$B20)^('DCF Model'!C19+4)+('DCF Model'!G39+'DCF Model'!G42)*D$17/(1+$B20)^('DCF Model'!C19+4)-'DCF Model'!C16)*1000000/'DCF Model'!C15,0),"")</f>
        <v>1435</v>
      </c>
      <c r="E20" s="37">
        <f>IFERROR(ROUND(('DCF Model'!C45/(1+$B20)^('DCF Model'!C19+0)+'DCF Model'!D45/(1+$B20)^('DCF Model'!C19+1)+'DCF Model'!E45/(1+$B20)^('DCF Model'!C19+2)+'DCF Model'!F45/(1+$B20)^('DCF Model'!C19+3)+'DCF Model'!G45/(1+$B20)^('DCF Model'!C19+4)+('DCF Model'!G39+'DCF Model'!G42)*E$17/(1+$B20)^('DCF Model'!C19+4)-'DCF Model'!C16)*1000000/'DCF Model'!C15,0),"")</f>
        <v>1529</v>
      </c>
      <c r="F20" s="37">
        <f>IFERROR(ROUND(('DCF Model'!C45/(1+$B20)^('DCF Model'!C19+0)+'DCF Model'!D45/(1+$B20)^('DCF Model'!C19+1)+'DCF Model'!E45/(1+$B20)^('DCF Model'!C19+2)+'DCF Model'!F45/(1+$B20)^('DCF Model'!C19+3)+'DCF Model'!G45/(1+$B20)^('DCF Model'!C19+4)+('DCF Model'!G39+'DCF Model'!G42)*F$17/(1+$B20)^('DCF Model'!C19+4)-'DCF Model'!C16)*1000000/'DCF Model'!C15,0),"")</f>
        <v>1623</v>
      </c>
      <c r="G20" s="37">
        <f>IFERROR(ROUND(('DCF Model'!C45/(1+$B20)^('DCF Model'!C19+0)+'DCF Model'!D45/(1+$B20)^('DCF Model'!C19+1)+'DCF Model'!E45/(1+$B20)^('DCF Model'!C19+2)+'DCF Model'!F45/(1+$B20)^('DCF Model'!C19+3)+'DCF Model'!G45/(1+$B20)^('DCF Model'!C19+4)+('DCF Model'!G39+'DCF Model'!G42)*G$17/(1+$B20)^('DCF Model'!C19+4)-'DCF Model'!C16)*1000000/'DCF Model'!C15,0),"")</f>
        <v>1717</v>
      </c>
      <c r="H20" s="37">
        <f>IFERROR(ROUND(('DCF Model'!C45/(1+$B20)^('DCF Model'!C19+0)+'DCF Model'!D45/(1+$B20)^('DCF Model'!C19+1)+'DCF Model'!E45/(1+$B20)^('DCF Model'!C19+2)+'DCF Model'!F45/(1+$B20)^('DCF Model'!C19+3)+'DCF Model'!G45/(1+$B20)^('DCF Model'!C19+4)+('DCF Model'!G39+'DCF Model'!G42)*H$17/(1+$B20)^('DCF Model'!C19+4)-'DCF Model'!C16)*1000000/'DCF Model'!C15,0),"")</f>
        <v>1811</v>
      </c>
      <c r="I20" s="37">
        <f>IFERROR(ROUND(('DCF Model'!C45/(1+$B20)^('DCF Model'!C19+0)+'DCF Model'!D45/(1+$B20)^('DCF Model'!C19+1)+'DCF Model'!E45/(1+$B20)^('DCF Model'!C19+2)+'DCF Model'!F45/(1+$B20)^('DCF Model'!C19+3)+'DCF Model'!G45/(1+$B20)^('DCF Model'!C19+4)+('DCF Model'!G39+'DCF Model'!G42)*I$17/(1+$B20)^('DCF Model'!C19+4)-'DCF Model'!C16)*1000000/'DCF Model'!C15,0),"")</f>
        <v>1905</v>
      </c>
    </row>
    <row r="21" spans="2:9" ht="13.5" customHeight="1" x14ac:dyDescent="0.25">
      <c r="B21" s="39">
        <f>$C$3</f>
        <v>0.13250050000000002</v>
      </c>
      <c r="C21" s="37">
        <f>IFERROR(ROUND(('DCF Model'!C45/(1+$B21)^('DCF Model'!C19+0)+'DCF Model'!D45/(1+$B21)^('DCF Model'!C19+1)+'DCF Model'!E45/(1+$B21)^('DCF Model'!C19+2)+'DCF Model'!F45/(1+$B21)^('DCF Model'!C19+3)+'DCF Model'!G45/(1+$B21)^('DCF Model'!C19+4)+('DCF Model'!G39+'DCF Model'!G42)*C$17/(1+$B21)^('DCF Model'!C19+4)-'DCF Model'!C16)*1000000/'DCF Model'!C15,0),"")</f>
        <v>1318</v>
      </c>
      <c r="D21" s="37">
        <f>IFERROR(ROUND(('DCF Model'!C45/(1+$B21)^('DCF Model'!C19+0)+'DCF Model'!D45/(1+$B21)^('DCF Model'!C19+1)+'DCF Model'!E45/(1+$B21)^('DCF Model'!C19+2)+'DCF Model'!F45/(1+$B21)^('DCF Model'!C19+3)+'DCF Model'!G45/(1+$B21)^('DCF Model'!C19+4)+('DCF Model'!G39+'DCF Model'!G42)*D$17/(1+$B21)^('DCF Model'!C19+4)-'DCF Model'!C16)*1000000/'DCF Model'!C15,0),"")</f>
        <v>1410</v>
      </c>
      <c r="E21" s="37">
        <f>IFERROR(ROUND(('DCF Model'!C45/(1+$B21)^('DCF Model'!C19+0)+'DCF Model'!D45/(1+$B21)^('DCF Model'!C19+1)+'DCF Model'!E45/(1+$B21)^('DCF Model'!C19+2)+'DCF Model'!F45/(1+$B21)^('DCF Model'!C19+3)+'DCF Model'!G45/(1+$B21)^('DCF Model'!C19+4)+('DCF Model'!G39+'DCF Model'!G42)*E$17/(1+$B21)^('DCF Model'!C19+4)-'DCF Model'!C16)*1000000/'DCF Model'!C15,0),"")</f>
        <v>1502</v>
      </c>
      <c r="F21" s="37">
        <f>IFERROR(ROUND(('DCF Model'!C45/(1+$B21)^('DCF Model'!C19+0)+'DCF Model'!D45/(1+$B21)^('DCF Model'!C19+1)+'DCF Model'!E45/(1+$B21)^('DCF Model'!C19+2)+'DCF Model'!F45/(1+$B21)^('DCF Model'!C19+3)+'DCF Model'!G45/(1+$B21)^('DCF Model'!C19+4)+('DCF Model'!G39+'DCF Model'!G42)*F$17/(1+$B21)^('DCF Model'!C19+4)-'DCF Model'!C16)*1000000/'DCF Model'!C15,0),"")</f>
        <v>1594</v>
      </c>
      <c r="G21" s="37">
        <f>IFERROR(ROUND(('DCF Model'!C45/(1+$B21)^('DCF Model'!C19+0)+'DCF Model'!D45/(1+$B21)^('DCF Model'!C19+1)+'DCF Model'!E45/(1+$B21)^('DCF Model'!C19+2)+'DCF Model'!F45/(1+$B21)^('DCF Model'!C19+3)+'DCF Model'!G45/(1+$B21)^('DCF Model'!C19+4)+('DCF Model'!G39+'DCF Model'!G42)*G$17/(1+$B21)^('DCF Model'!C19+4)-'DCF Model'!C16)*1000000/'DCF Model'!C15,0),"")</f>
        <v>1686</v>
      </c>
      <c r="H21" s="37">
        <f>IFERROR(ROUND(('DCF Model'!C45/(1+$B21)^('DCF Model'!C19+0)+'DCF Model'!D45/(1+$B21)^('DCF Model'!C19+1)+'DCF Model'!E45/(1+$B21)^('DCF Model'!C19+2)+'DCF Model'!F45/(1+$B21)^('DCF Model'!C19+3)+'DCF Model'!G45/(1+$B21)^('DCF Model'!C19+4)+('DCF Model'!G39+'DCF Model'!G42)*H$17/(1+$B21)^('DCF Model'!C19+4)-'DCF Model'!C16)*1000000/'DCF Model'!C15,0),"")</f>
        <v>1778</v>
      </c>
      <c r="I21" s="37">
        <f>IFERROR(ROUND(('DCF Model'!C45/(1+$B21)^('DCF Model'!C19+0)+'DCF Model'!D45/(1+$B21)^('DCF Model'!C19+1)+'DCF Model'!E45/(1+$B21)^('DCF Model'!C19+2)+'DCF Model'!F45/(1+$B21)^('DCF Model'!C19+3)+'DCF Model'!G45/(1+$B21)^('DCF Model'!C19+4)+('DCF Model'!G39+'DCF Model'!G42)*I$17/(1+$B21)^('DCF Model'!C19+4)-'DCF Model'!C16)*1000000/'DCF Model'!C15,0),"")</f>
        <v>1870</v>
      </c>
    </row>
    <row r="22" spans="2:9" ht="13.5" customHeight="1" x14ac:dyDescent="0.25">
      <c r="B22" s="39">
        <f>$C$3+0.005</f>
        <v>0.13750050000000003</v>
      </c>
      <c r="C22" s="37">
        <f>IFERROR(ROUND(('DCF Model'!C45/(1+$B22)^('DCF Model'!C19+0)+'DCF Model'!D45/(1+$B22)^('DCF Model'!C19+1)+'DCF Model'!E45/(1+$B22)^('DCF Model'!C19+2)+'DCF Model'!F45/(1+$B22)^('DCF Model'!C19+3)+'DCF Model'!G45/(1+$B22)^('DCF Model'!C19+4)+('DCF Model'!G39+'DCF Model'!G42)*C$17/(1+$B22)^('DCF Model'!C19+4)-'DCF Model'!C16)*1000000/'DCF Model'!C15,0),"")</f>
        <v>1295</v>
      </c>
      <c r="D22" s="37">
        <f>IFERROR(ROUND(('DCF Model'!C45/(1+$B22)^('DCF Model'!C19+0)+'DCF Model'!D45/(1+$B22)^('DCF Model'!C19+1)+'DCF Model'!E45/(1+$B22)^('DCF Model'!C19+2)+'DCF Model'!F45/(1+$B22)^('DCF Model'!C19+3)+'DCF Model'!G45/(1+$B22)^('DCF Model'!C19+4)+('DCF Model'!G39+'DCF Model'!G42)*D$17/(1+$B22)^('DCF Model'!C19+4)-'DCF Model'!C16)*1000000/'DCF Model'!C15,0),"")</f>
        <v>1385</v>
      </c>
      <c r="E22" s="37">
        <f>IFERROR(ROUND(('DCF Model'!C45/(1+$B22)^('DCF Model'!C19+0)+'DCF Model'!D45/(1+$B22)^('DCF Model'!C19+1)+'DCF Model'!E45/(1+$B22)^('DCF Model'!C19+2)+'DCF Model'!F45/(1+$B22)^('DCF Model'!C19+3)+'DCF Model'!G45/(1+$B22)^('DCF Model'!C19+4)+('DCF Model'!G39+'DCF Model'!G42)*E$17/(1+$B22)^('DCF Model'!C19+4)-'DCF Model'!C16)*1000000/'DCF Model'!C15,0),"")</f>
        <v>1475</v>
      </c>
      <c r="F22" s="37">
        <f>IFERROR(ROUND(('DCF Model'!C45/(1+$B22)^('DCF Model'!C19+0)+'DCF Model'!D45/(1+$B22)^('DCF Model'!C19+1)+'DCF Model'!E45/(1+$B22)^('DCF Model'!C19+2)+'DCF Model'!F45/(1+$B22)^('DCF Model'!C19+3)+'DCF Model'!G45/(1+$B22)^('DCF Model'!C19+4)+('DCF Model'!G39+'DCF Model'!G42)*F$17/(1+$B22)^('DCF Model'!C19+4)-'DCF Model'!C16)*1000000/'DCF Model'!C15,0),"")</f>
        <v>1565</v>
      </c>
      <c r="G22" s="37">
        <f>IFERROR(ROUND(('DCF Model'!C45/(1+$B22)^('DCF Model'!C19+0)+'DCF Model'!D45/(1+$B22)^('DCF Model'!C19+1)+'DCF Model'!E45/(1+$B22)^('DCF Model'!C19+2)+'DCF Model'!F45/(1+$B22)^('DCF Model'!C19+3)+'DCF Model'!G45/(1+$B22)^('DCF Model'!C19+4)+('DCF Model'!G39+'DCF Model'!G42)*G$17/(1+$B22)^('DCF Model'!C19+4)-'DCF Model'!C16)*1000000/'DCF Model'!C15,0),"")</f>
        <v>1655</v>
      </c>
      <c r="H22" s="37">
        <f>IFERROR(ROUND(('DCF Model'!C45/(1+$B22)^('DCF Model'!C19+0)+'DCF Model'!D45/(1+$B22)^('DCF Model'!C19+1)+'DCF Model'!E45/(1+$B22)^('DCF Model'!C19+2)+'DCF Model'!F45/(1+$B22)^('DCF Model'!C19+3)+'DCF Model'!G45/(1+$B22)^('DCF Model'!C19+4)+('DCF Model'!G39+'DCF Model'!G42)*H$17/(1+$B22)^('DCF Model'!C19+4)-'DCF Model'!C16)*1000000/'DCF Model'!C15,0),"")</f>
        <v>1745</v>
      </c>
      <c r="I22" s="37">
        <f>IFERROR(ROUND(('DCF Model'!C45/(1+$B22)^('DCF Model'!C19+0)+'DCF Model'!D45/(1+$B22)^('DCF Model'!C19+1)+'DCF Model'!E45/(1+$B22)^('DCF Model'!C19+2)+'DCF Model'!F45/(1+$B22)^('DCF Model'!C19+3)+'DCF Model'!G45/(1+$B22)^('DCF Model'!C19+4)+('DCF Model'!G39+'DCF Model'!G42)*I$17/(1+$B22)^('DCF Model'!C19+4)-'DCF Model'!C16)*1000000/'DCF Model'!C15,0),"")</f>
        <v>1835</v>
      </c>
    </row>
    <row r="23" spans="2:9" ht="13.5" customHeight="1" x14ac:dyDescent="0.25">
      <c r="B23" s="39">
        <f>$C$3+0.01</f>
        <v>0.14250050000000003</v>
      </c>
      <c r="C23" s="37">
        <f>IFERROR(ROUND(('DCF Model'!C45/(1+$B23)^('DCF Model'!C19+0)+'DCF Model'!D45/(1+$B23)^('DCF Model'!C19+1)+'DCF Model'!E45/(1+$B23)^('DCF Model'!C19+2)+'DCF Model'!F45/(1+$B23)^('DCF Model'!C19+3)+'DCF Model'!G45/(1+$B23)^('DCF Model'!C19+4)+('DCF Model'!G39+'DCF Model'!G42)*C$17/(1+$B23)^('DCF Model'!C19+4)-'DCF Model'!C16)*1000000/'DCF Model'!C15,0),"")</f>
        <v>1273</v>
      </c>
      <c r="D23" s="37">
        <f>IFERROR(ROUND(('DCF Model'!C45/(1+$B23)^('DCF Model'!C19+0)+'DCF Model'!D45/(1+$B23)^('DCF Model'!C19+1)+'DCF Model'!E45/(1+$B23)^('DCF Model'!C19+2)+'DCF Model'!F45/(1+$B23)^('DCF Model'!C19+3)+'DCF Model'!G45/(1+$B23)^('DCF Model'!C19+4)+('DCF Model'!G39+'DCF Model'!G42)*D$17/(1+$B23)^('DCF Model'!C19+4)-'DCF Model'!C16)*1000000/'DCF Model'!C15,0),"")</f>
        <v>1362</v>
      </c>
      <c r="E23" s="37">
        <f>IFERROR(ROUND(('DCF Model'!C45/(1+$B23)^('DCF Model'!C19+0)+'DCF Model'!D45/(1+$B23)^('DCF Model'!C19+1)+'DCF Model'!E45/(1+$B23)^('DCF Model'!C19+2)+'DCF Model'!F45/(1+$B23)^('DCF Model'!C19+3)+'DCF Model'!G45/(1+$B23)^('DCF Model'!C19+4)+('DCF Model'!G39+'DCF Model'!G42)*E$17/(1+$B23)^('DCF Model'!C19+4)-'DCF Model'!C16)*1000000/'DCF Model'!C15,0),"")</f>
        <v>1450</v>
      </c>
      <c r="F23" s="37">
        <f>IFERROR(ROUND(('DCF Model'!C45/(1+$B23)^('DCF Model'!C19+0)+'DCF Model'!D45/(1+$B23)^('DCF Model'!C19+1)+'DCF Model'!E45/(1+$B23)^('DCF Model'!C19+2)+'DCF Model'!F45/(1+$B23)^('DCF Model'!C19+3)+'DCF Model'!G45/(1+$B23)^('DCF Model'!C19+4)+('DCF Model'!G39+'DCF Model'!G42)*F$17/(1+$B23)^('DCF Model'!C19+4)-'DCF Model'!C16)*1000000/'DCF Model'!C15,0),"")</f>
        <v>1538</v>
      </c>
      <c r="G23" s="37">
        <f>IFERROR(ROUND(('DCF Model'!C45/(1+$B23)^('DCF Model'!C19+0)+'DCF Model'!D45/(1+$B23)^('DCF Model'!C19+1)+'DCF Model'!E45/(1+$B23)^('DCF Model'!C19+2)+'DCF Model'!F45/(1+$B23)^('DCF Model'!C19+3)+'DCF Model'!G45/(1+$B23)^('DCF Model'!C19+4)+('DCF Model'!G39+'DCF Model'!G42)*G$17/(1+$B23)^('DCF Model'!C19+4)-'DCF Model'!C16)*1000000/'DCF Model'!C15,0),"")</f>
        <v>1626</v>
      </c>
      <c r="H23" s="37">
        <f>IFERROR(ROUND(('DCF Model'!C45/(1+$B23)^('DCF Model'!C19+0)+'DCF Model'!D45/(1+$B23)^('DCF Model'!C19+1)+'DCF Model'!E45/(1+$B23)^('DCF Model'!C19+2)+'DCF Model'!F45/(1+$B23)^('DCF Model'!C19+3)+'DCF Model'!G45/(1+$B23)^('DCF Model'!C19+4)+('DCF Model'!G39+'DCF Model'!G42)*H$17/(1+$B23)^('DCF Model'!C19+4)-'DCF Model'!C16)*1000000/'DCF Model'!C15,0),"")</f>
        <v>1714</v>
      </c>
      <c r="I23" s="37">
        <f>IFERROR(ROUND(('DCF Model'!C45/(1+$B23)^('DCF Model'!C19+0)+'DCF Model'!D45/(1+$B23)^('DCF Model'!C19+1)+'DCF Model'!E45/(1+$B23)^('DCF Model'!C19+2)+'DCF Model'!F45/(1+$B23)^('DCF Model'!C19+3)+'DCF Model'!G45/(1+$B23)^('DCF Model'!C19+4)+('DCF Model'!G39+'DCF Model'!G42)*I$17/(1+$B23)^('DCF Model'!C19+4)-'DCF Model'!C16)*1000000/'DCF Model'!C15,0),"")</f>
        <v>1802</v>
      </c>
    </row>
    <row r="24" spans="2:9" ht="13.5" customHeight="1" x14ac:dyDescent="0.25">
      <c r="B24" s="39">
        <f>$C$3+0.015</f>
        <v>0.14750050000000003</v>
      </c>
      <c r="C24" s="37">
        <f>IFERROR(ROUND(('DCF Model'!C45/(1+$B24)^('DCF Model'!C19+0)+'DCF Model'!D45/(1+$B24)^('DCF Model'!C19+1)+'DCF Model'!E45/(1+$B24)^('DCF Model'!C19+2)+'DCF Model'!F45/(1+$B24)^('DCF Model'!C19+3)+'DCF Model'!G45/(1+$B24)^('DCF Model'!C19+4)+('DCF Model'!G39+'DCF Model'!G42)*C$17/(1+$B24)^('DCF Model'!C19+4)-'DCF Model'!C16)*1000000/'DCF Model'!C15,0),"")</f>
        <v>1252</v>
      </c>
      <c r="D24" s="37">
        <f>IFERROR(ROUND(('DCF Model'!C45/(1+$B24)^('DCF Model'!C19+0)+'DCF Model'!D45/(1+$B24)^('DCF Model'!C19+1)+'DCF Model'!E45/(1+$B24)^('DCF Model'!C19+2)+'DCF Model'!F45/(1+$B24)^('DCF Model'!C19+3)+'DCF Model'!G45/(1+$B24)^('DCF Model'!C19+4)+('DCF Model'!G39+'DCF Model'!G42)*D$17/(1+$B24)^('DCF Model'!C19+4)-'DCF Model'!C16)*1000000/'DCF Model'!C15,0),"")</f>
        <v>1338</v>
      </c>
      <c r="E24" s="37">
        <f>IFERROR(ROUND(('DCF Model'!C45/(1+$B24)^('DCF Model'!C19+0)+'DCF Model'!D45/(1+$B24)^('DCF Model'!C19+1)+'DCF Model'!E45/(1+$B24)^('DCF Model'!C19+2)+'DCF Model'!F45/(1+$B24)^('DCF Model'!C19+3)+'DCF Model'!G45/(1+$B24)^('DCF Model'!C19+4)+('DCF Model'!G39+'DCF Model'!G42)*E$17/(1+$B24)^('DCF Model'!C19+4)-'DCF Model'!C16)*1000000/'DCF Model'!C15,0),"")</f>
        <v>1425</v>
      </c>
      <c r="F24" s="37">
        <f>IFERROR(ROUND(('DCF Model'!C45/(1+$B24)^('DCF Model'!C19+0)+'DCF Model'!D45/(1+$B24)^('DCF Model'!C19+1)+'DCF Model'!E45/(1+$B24)^('DCF Model'!C19+2)+'DCF Model'!F45/(1+$B24)^('DCF Model'!C19+3)+'DCF Model'!G45/(1+$B24)^('DCF Model'!C19+4)+('DCF Model'!G39+'DCF Model'!G42)*F$17/(1+$B24)^('DCF Model'!C19+4)-'DCF Model'!C16)*1000000/'DCF Model'!C15,0),"")</f>
        <v>1511</v>
      </c>
      <c r="G24" s="37">
        <f>IFERROR(ROUND(('DCF Model'!C45/(1+$B24)^('DCF Model'!C19+0)+'DCF Model'!D45/(1+$B24)^('DCF Model'!C19+1)+'DCF Model'!E45/(1+$B24)^('DCF Model'!C19+2)+'DCF Model'!F45/(1+$B24)^('DCF Model'!C19+3)+'DCF Model'!G45/(1+$B24)^('DCF Model'!C19+4)+('DCF Model'!G39+'DCF Model'!G42)*G$17/(1+$B24)^('DCF Model'!C19+4)-'DCF Model'!C16)*1000000/'DCF Model'!C15,0),"")</f>
        <v>1597</v>
      </c>
      <c r="H24" s="37">
        <f>IFERROR(ROUND(('DCF Model'!C45/(1+$B24)^('DCF Model'!C19+0)+'DCF Model'!D45/(1+$B24)^('DCF Model'!C19+1)+'DCF Model'!E45/(1+$B24)^('DCF Model'!C19+2)+'DCF Model'!F45/(1+$B24)^('DCF Model'!C19+3)+'DCF Model'!G45/(1+$B24)^('DCF Model'!C19+4)+('DCF Model'!G39+'DCF Model'!G42)*H$17/(1+$B24)^('DCF Model'!C19+4)-'DCF Model'!C16)*1000000/'DCF Model'!C15,0),"")</f>
        <v>1683</v>
      </c>
      <c r="I24" s="37">
        <f>IFERROR(ROUND(('DCF Model'!C45/(1+$B24)^('DCF Model'!C19+0)+'DCF Model'!D45/(1+$B24)^('DCF Model'!C19+1)+'DCF Model'!E45/(1+$B24)^('DCF Model'!C19+2)+'DCF Model'!F45/(1+$B24)^('DCF Model'!C19+3)+'DCF Model'!G45/(1+$B24)^('DCF Model'!C19+4)+('DCF Model'!G39+'DCF Model'!G42)*I$17/(1+$B24)^('DCF Model'!C19+4)-'DCF Model'!C16)*1000000/'DCF Model'!C15,0),"")</f>
        <v>1769</v>
      </c>
    </row>
    <row r="26" spans="2:9" ht="14" customHeight="1"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customHeight="1" x14ac:dyDescent="0.3">
      <c r="B12" s="8" t="s">
        <v>256</v>
      </c>
    </row>
    <row r="13" spans="2:7" ht="14" customHeight="1" x14ac:dyDescent="0.3">
      <c r="B13" s="10" t="s">
        <v>257</v>
      </c>
      <c r="C13" s="10" t="s">
        <v>258</v>
      </c>
    </row>
    <row r="14" spans="2:7" ht="14" customHeight="1" x14ac:dyDescent="0.3">
      <c r="B14" s="4" t="s">
        <v>259</v>
      </c>
      <c r="C14" t="s">
        <v>260</v>
      </c>
    </row>
    <row r="15" spans="2:7" ht="14" customHeight="1" x14ac:dyDescent="0.3">
      <c r="B15" s="4" t="s">
        <v>261</v>
      </c>
      <c r="C15" t="s">
        <v>262</v>
      </c>
    </row>
    <row r="16" spans="2:7" ht="14" customHeight="1" x14ac:dyDescent="0.3">
      <c r="B16" s="4" t="s">
        <v>263</v>
      </c>
      <c r="C16" t="s">
        <v>264</v>
      </c>
    </row>
    <row r="17" spans="2:3" ht="14" customHeight="1" x14ac:dyDescent="0.3">
      <c r="B17" s="4" t="s">
        <v>265</v>
      </c>
      <c r="C17" t="s">
        <v>262</v>
      </c>
    </row>
    <row r="18" spans="2:3" ht="14" customHeight="1" x14ac:dyDescent="0.3">
      <c r="B18" s="4" t="s">
        <v>266</v>
      </c>
      <c r="C18" t="s">
        <v>267</v>
      </c>
    </row>
    <row r="19" spans="2:3" ht="14" customHeight="1" x14ac:dyDescent="0.3">
      <c r="B19" s="4" t="s">
        <v>268</v>
      </c>
      <c r="C19" t="s">
        <v>269</v>
      </c>
    </row>
    <row r="20" spans="2:3" ht="14" customHeight="1" x14ac:dyDescent="0.3">
      <c r="B20" s="4" t="s">
        <v>270</v>
      </c>
      <c r="C20" t="s">
        <v>271</v>
      </c>
    </row>
    <row r="21" spans="2:3" ht="14" customHeight="1" x14ac:dyDescent="0.3">
      <c r="B21" s="4" t="s">
        <v>272</v>
      </c>
      <c r="C21" t="s">
        <v>273</v>
      </c>
    </row>
    <row r="22" spans="2:3" ht="14" customHeight="1" x14ac:dyDescent="0.3">
      <c r="B22" s="4" t="s">
        <v>274</v>
      </c>
      <c r="C22" t="s">
        <v>42</v>
      </c>
    </row>
    <row r="23" spans="2:3" ht="14" customHeight="1" x14ac:dyDescent="0.3">
      <c r="B23" s="4" t="s">
        <v>275</v>
      </c>
      <c r="C23" t="s">
        <v>4</v>
      </c>
    </row>
    <row r="24" spans="2:3" ht="14" customHeight="1" x14ac:dyDescent="0.3">
      <c r="B24" s="4" t="s">
        <v>276</v>
      </c>
      <c r="C24" t="s">
        <v>246</v>
      </c>
    </row>
    <row r="25" spans="2:3" ht="14" customHeight="1" x14ac:dyDescent="0.3">
      <c r="B25" s="4" t="s">
        <v>277</v>
      </c>
      <c r="C25" t="s">
        <v>278</v>
      </c>
    </row>
    <row r="26" spans="2:3" ht="14" customHeight="1" x14ac:dyDescent="0.3">
      <c r="B26" s="4" t="s">
        <v>279</v>
      </c>
      <c r="C26" t="s">
        <v>267</v>
      </c>
    </row>
    <row r="27" spans="2:3" ht="14" customHeight="1" x14ac:dyDescent="0.3">
      <c r="B27" s="4" t="s">
        <v>280</v>
      </c>
      <c r="C27" t="s">
        <v>267</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267</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271</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2026-09-06T10:22:53Z</dcterms:created>
  <dcterms:modified xsi:type="dcterms:W3CDTF">2026-09-06T10:46:53Z</dcterms:modified>
</cp:coreProperties>
</file>