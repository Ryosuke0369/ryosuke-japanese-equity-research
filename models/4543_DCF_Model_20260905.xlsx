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A2C67A65-A2B4-4409-89E4-670F9D24CE08}"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I16" i="6" s="1"/>
  <c r="N7" i="6"/>
  <c r="M7" i="6"/>
  <c r="L7" i="6"/>
  <c r="K7" i="6"/>
  <c r="J7" i="6"/>
  <c r="O6" i="6"/>
  <c r="N6" i="6"/>
  <c r="H15" i="6" s="1"/>
  <c r="M6" i="6"/>
  <c r="G16" i="6" s="1"/>
  <c r="L6" i="6"/>
  <c r="K6" i="6"/>
  <c r="J6" i="6"/>
  <c r="O5" i="6"/>
  <c r="N5" i="6"/>
  <c r="D5" i="6"/>
  <c r="M5" i="6" s="1"/>
  <c r="C16" i="5"/>
  <c r="C14" i="5"/>
  <c r="C7" i="5"/>
  <c r="C6" i="5"/>
  <c r="C5" i="5"/>
  <c r="C13" i="4"/>
  <c r="C12" i="4"/>
  <c r="C9" i="4"/>
  <c r="C7" i="4"/>
  <c r="C6" i="4"/>
  <c r="C8" i="4" s="1"/>
  <c r="C10" i="4" s="1"/>
  <c r="D27" i="3"/>
  <c r="G5" i="5" s="1"/>
  <c r="C25" i="3"/>
  <c r="C24" i="3"/>
  <c r="C23" i="3"/>
  <c r="F28" i="2"/>
  <c r="E28" i="2"/>
  <c r="D28" i="2"/>
  <c r="C28" i="2"/>
  <c r="F16" i="2"/>
  <c r="E16" i="2"/>
  <c r="D16" i="2"/>
  <c r="F15" i="2"/>
  <c r="E15" i="2"/>
  <c r="D15" i="2"/>
  <c r="F14" i="2"/>
  <c r="E14" i="2"/>
  <c r="D14" i="2"/>
  <c r="C14" i="2"/>
  <c r="F13" i="2"/>
  <c r="E13" i="2"/>
  <c r="D13" i="2"/>
  <c r="C13" i="2"/>
  <c r="F8" i="2"/>
  <c r="F9" i="2" s="1"/>
  <c r="E8" i="2"/>
  <c r="E9" i="2" s="1"/>
  <c r="D8" i="2"/>
  <c r="D9" i="2" s="1"/>
  <c r="C8" i="2"/>
  <c r="C9" i="2" s="1"/>
  <c r="C18" i="5" l="1"/>
  <c r="F15" i="6"/>
  <c r="E5" i="6"/>
  <c r="J5" i="6" s="1"/>
  <c r="I17" i="6"/>
  <c r="C26" i="3"/>
  <c r="G36" i="4" s="1"/>
  <c r="G15" i="6"/>
  <c r="D17" i="6"/>
  <c r="E15" i="6"/>
  <c r="C71" i="4"/>
  <c r="C70" i="4"/>
  <c r="C3" i="7"/>
  <c r="C11" i="4"/>
  <c r="C24" i="4" s="1"/>
  <c r="C25" i="4" s="1"/>
  <c r="G46" i="3"/>
  <c r="B25" i="1"/>
  <c r="D36" i="4"/>
  <c r="D46" i="3"/>
  <c r="C46" i="3"/>
  <c r="E46" i="3"/>
  <c r="F36" i="4"/>
  <c r="F46" i="3"/>
  <c r="E30" i="3"/>
  <c r="F30" i="3"/>
  <c r="H6" i="5"/>
  <c r="C31" i="3"/>
  <c r="F32" i="3"/>
  <c r="H5" i="5"/>
  <c r="D7" i="5"/>
  <c r="I15" i="6"/>
  <c r="E17" i="6"/>
  <c r="I6" i="7"/>
  <c r="C32" i="3"/>
  <c r="D32" i="3"/>
  <c r="F5" i="5"/>
  <c r="D31" i="3"/>
  <c r="G32" i="3"/>
  <c r="E7" i="5"/>
  <c r="L5" i="6"/>
  <c r="D16" i="6"/>
  <c r="F17" i="6"/>
  <c r="C17" i="7"/>
  <c r="E31" i="3"/>
  <c r="D6" i="5"/>
  <c r="F7" i="5"/>
  <c r="E16" i="6"/>
  <c r="G17" i="6"/>
  <c r="C6" i="7"/>
  <c r="D17" i="7"/>
  <c r="C30" i="3"/>
  <c r="C33" i="3" s="1"/>
  <c r="F31" i="3"/>
  <c r="E6" i="5"/>
  <c r="G7" i="5"/>
  <c r="D15" i="6"/>
  <c r="F16" i="6"/>
  <c r="C28" i="6" s="1"/>
  <c r="C19" i="1" s="1"/>
  <c r="D19" i="1" s="1"/>
  <c r="H17" i="6"/>
  <c r="D6" i="7"/>
  <c r="E17" i="7"/>
  <c r="D30" i="3"/>
  <c r="G31" i="3"/>
  <c r="D5" i="5"/>
  <c r="F6" i="5"/>
  <c r="H7" i="5"/>
  <c r="E6" i="7"/>
  <c r="F17" i="7"/>
  <c r="E5" i="5"/>
  <c r="G6" i="5"/>
  <c r="H16" i="6"/>
  <c r="F6" i="7"/>
  <c r="G17" i="7"/>
  <c r="G6" i="7"/>
  <c r="H17" i="7"/>
  <c r="G30" i="3"/>
  <c r="E32" i="3"/>
  <c r="K5" i="6" l="1"/>
  <c r="H36" i="4"/>
  <c r="H43" i="4" s="1"/>
  <c r="E36" i="4"/>
  <c r="B31" i="1"/>
  <c r="C29" i="4"/>
  <c r="C27" i="4"/>
  <c r="C26" i="4"/>
  <c r="B13" i="7"/>
  <c r="B12" i="7"/>
  <c r="B11" i="7"/>
  <c r="B10" i="7"/>
  <c r="B9" i="7"/>
  <c r="B8" i="7"/>
  <c r="B7" i="7"/>
  <c r="B24" i="7"/>
  <c r="B23" i="7"/>
  <c r="B22" i="7"/>
  <c r="B21" i="7"/>
  <c r="B20" i="7"/>
  <c r="B19" i="7"/>
  <c r="B18" i="7"/>
  <c r="D45" i="4"/>
  <c r="D43" i="4"/>
  <c r="D46" i="4"/>
  <c r="D40" i="4"/>
  <c r="D44" i="4"/>
  <c r="D38" i="4"/>
  <c r="D41" i="4"/>
  <c r="D39" i="4"/>
  <c r="H40" i="4"/>
  <c r="H45" i="4"/>
  <c r="H39" i="4"/>
  <c r="E39" i="4"/>
  <c r="E46" i="4"/>
  <c r="E40" i="4"/>
  <c r="E44" i="4"/>
  <c r="E43" i="4"/>
  <c r="E38" i="4"/>
  <c r="E41" i="4"/>
  <c r="E45" i="4"/>
  <c r="F43" i="4"/>
  <c r="F40" i="4"/>
  <c r="F50" i="4" s="1"/>
  <c r="F55" i="4" s="1"/>
  <c r="F44" i="4"/>
  <c r="F38" i="4"/>
  <c r="F41" i="4"/>
  <c r="F51" i="4" s="1"/>
  <c r="F56" i="4" s="1"/>
  <c r="F45" i="4"/>
  <c r="F39" i="4"/>
  <c r="F46" i="4"/>
  <c r="G46" i="4"/>
  <c r="G44" i="4"/>
  <c r="G38" i="4"/>
  <c r="G41" i="4"/>
  <c r="G45" i="4"/>
  <c r="G39" i="4"/>
  <c r="G40" i="4"/>
  <c r="G43" i="4"/>
  <c r="C27" i="6"/>
  <c r="C18" i="1" s="1"/>
  <c r="D18" i="1" s="1"/>
  <c r="C74" i="4"/>
  <c r="B24" i="1"/>
  <c r="B29" i="1"/>
  <c r="C42" i="3"/>
  <c r="C34" i="3"/>
  <c r="D10" i="5" s="1"/>
  <c r="D9" i="5"/>
  <c r="D12" i="5" s="1"/>
  <c r="C43" i="3"/>
  <c r="C35" i="3"/>
  <c r="D33" i="3"/>
  <c r="C37" i="3"/>
  <c r="G48" i="4" l="1"/>
  <c r="G53" i="4" s="1"/>
  <c r="E50" i="4"/>
  <c r="E55" i="4" s="1"/>
  <c r="H41" i="4"/>
  <c r="H51" i="4" s="1"/>
  <c r="H56" i="4" s="1"/>
  <c r="H38" i="4"/>
  <c r="H48" i="4" s="1"/>
  <c r="H53" i="4" s="1"/>
  <c r="E49" i="4"/>
  <c r="E54" i="4" s="1"/>
  <c r="H50" i="4"/>
  <c r="H55" i="4" s="1"/>
  <c r="H46" i="4"/>
  <c r="H44" i="4"/>
  <c r="H49" i="4"/>
  <c r="H54" i="4" s="1"/>
  <c r="G51" i="4"/>
  <c r="G56" i="4" s="1"/>
  <c r="F48" i="4"/>
  <c r="F53" i="4" s="1"/>
  <c r="D50" i="4"/>
  <c r="D55" i="4" s="1"/>
  <c r="D37" i="3"/>
  <c r="E33" i="3"/>
  <c r="E9" i="5"/>
  <c r="E12" i="5" s="1"/>
  <c r="D42" i="3"/>
  <c r="D34" i="3"/>
  <c r="E10" i="5" s="1"/>
  <c r="D43" i="3"/>
  <c r="D35" i="3"/>
  <c r="D49" i="4"/>
  <c r="D54" i="4" s="1"/>
  <c r="G50" i="4"/>
  <c r="G55" i="4" s="1"/>
  <c r="F49" i="4"/>
  <c r="E51" i="4"/>
  <c r="E56" i="4" s="1"/>
  <c r="D51" i="4"/>
  <c r="D56" i="4" s="1"/>
  <c r="C38" i="3"/>
  <c r="C36" i="3"/>
  <c r="C39" i="3"/>
  <c r="D15" i="5"/>
  <c r="D16" i="5" s="1"/>
  <c r="D13" i="5"/>
  <c r="D14" i="5" s="1"/>
  <c r="D18" i="5" s="1"/>
  <c r="D19" i="5" s="1"/>
  <c r="C44" i="3" s="1"/>
  <c r="G49" i="4"/>
  <c r="G54" i="4" s="1"/>
  <c r="E48" i="4"/>
  <c r="E53" i="4" s="1"/>
  <c r="D48" i="4"/>
  <c r="D53" i="4" s="1"/>
  <c r="F9" i="5" l="1"/>
  <c r="F12" i="5" s="1"/>
  <c r="E43" i="3"/>
  <c r="F33" i="3"/>
  <c r="E42" i="3"/>
  <c r="E34" i="3"/>
  <c r="F10" i="5" s="1"/>
  <c r="E37" i="3"/>
  <c r="E35" i="3"/>
  <c r="F54" i="4"/>
  <c r="B78" i="4" s="1"/>
  <c r="C60" i="4"/>
  <c r="C40" i="3"/>
  <c r="C41" i="3" s="1"/>
  <c r="C45" i="3" s="1"/>
  <c r="D38" i="3"/>
  <c r="D36" i="3"/>
  <c r="D39" i="3"/>
  <c r="E13" i="5"/>
  <c r="E14" i="5" s="1"/>
  <c r="E18" i="5" s="1"/>
  <c r="E19" i="5" s="1"/>
  <c r="D44" i="3" s="1"/>
  <c r="E15" i="5"/>
  <c r="E16" i="5" s="1"/>
  <c r="C47" i="3" l="1"/>
  <c r="D40" i="3"/>
  <c r="D41" i="3" s="1"/>
  <c r="D45" i="3" s="1"/>
  <c r="E36" i="3"/>
  <c r="E39" i="3"/>
  <c r="E38" i="3"/>
  <c r="F43" i="3"/>
  <c r="F35" i="3"/>
  <c r="G33" i="3"/>
  <c r="F42" i="3"/>
  <c r="F34" i="3"/>
  <c r="G10" i="5" s="1"/>
  <c r="F37" i="3"/>
  <c r="G9" i="5"/>
  <c r="G12" i="5" s="1"/>
  <c r="F15" i="5"/>
  <c r="F16" i="5" s="1"/>
  <c r="F13" i="5"/>
  <c r="F14" i="5" s="1"/>
  <c r="F18" i="5" s="1"/>
  <c r="F19" i="5" s="1"/>
  <c r="E44" i="3" s="1"/>
  <c r="C64" i="4"/>
  <c r="D64" i="4" s="1"/>
  <c r="C67" i="4"/>
  <c r="D67" i="4" s="1"/>
  <c r="C63" i="4"/>
  <c r="D63" i="4" s="1"/>
  <c r="C65" i="4"/>
  <c r="D65" i="4" s="1"/>
  <c r="C66" i="4"/>
  <c r="D66" i="4" s="1"/>
  <c r="D47" i="3" l="1"/>
  <c r="E40" i="3"/>
  <c r="E41" i="3" s="1"/>
  <c r="E45" i="3" s="1"/>
  <c r="G13" i="5"/>
  <c r="G14" i="5" s="1"/>
  <c r="G15" i="5"/>
  <c r="G16" i="5" s="1"/>
  <c r="G42" i="3"/>
  <c r="G34" i="3"/>
  <c r="H10" i="5" s="1"/>
  <c r="C16" i="4"/>
  <c r="C28" i="4" s="1"/>
  <c r="G37" i="3"/>
  <c r="H9" i="5"/>
  <c r="H12" i="5" s="1"/>
  <c r="G43" i="3"/>
  <c r="F36" i="3"/>
  <c r="F39" i="3"/>
  <c r="F38" i="3"/>
  <c r="G18" i="5" l="1"/>
  <c r="G19" i="5" s="1"/>
  <c r="F44" i="3" s="1"/>
  <c r="G35" i="3"/>
  <c r="G38" i="3" s="1"/>
  <c r="E47" i="3"/>
  <c r="F40" i="3"/>
  <c r="F41" i="3" s="1"/>
  <c r="H15" i="5"/>
  <c r="H16" i="5" s="1"/>
  <c r="H13" i="5"/>
  <c r="H14" i="5" s="1"/>
  <c r="H18" i="5" s="1"/>
  <c r="H19" i="5" s="1"/>
  <c r="G44" i="3" s="1"/>
  <c r="C72" i="4"/>
  <c r="C73" i="4"/>
  <c r="F45" i="3" l="1"/>
  <c r="F47" i="3" s="1"/>
  <c r="G36" i="3"/>
  <c r="G39" i="3"/>
  <c r="C59" i="3"/>
  <c r="C60" i="3" s="1"/>
  <c r="C61" i="3" s="1"/>
  <c r="G40" i="3"/>
  <c r="G41" i="3"/>
  <c r="G45" i="3" s="1"/>
  <c r="C23" i="7" l="1"/>
  <c r="H13" i="7"/>
  <c r="F18" i="7"/>
  <c r="H9" i="7"/>
  <c r="E20" i="7"/>
  <c r="I18" i="7"/>
  <c r="D19" i="7"/>
  <c r="H12" i="7"/>
  <c r="E18" i="7"/>
  <c r="C7" i="7"/>
  <c r="G9" i="7"/>
  <c r="H19" i="7"/>
  <c r="F22" i="7"/>
  <c r="G47" i="3"/>
  <c r="C50" i="3" s="1"/>
  <c r="C51" i="3"/>
  <c r="C52" i="3" s="1"/>
  <c r="G12" i="7"/>
  <c r="F21" i="7"/>
  <c r="D22" i="7"/>
  <c r="E9" i="7"/>
  <c r="G21" i="7"/>
  <c r="C21" i="7"/>
  <c r="G8" i="7"/>
  <c r="C11" i="7"/>
  <c r="F8" i="7"/>
  <c r="F24" i="7"/>
  <c r="E22" i="7"/>
  <c r="G13" i="7"/>
  <c r="E11" i="7"/>
  <c r="C13" i="7"/>
  <c r="E10" i="7"/>
  <c r="I9" i="7"/>
  <c r="D11" i="7"/>
  <c r="C19" i="7"/>
  <c r="D7" i="7"/>
  <c r="I11" i="7"/>
  <c r="G18" i="7"/>
  <c r="D8" i="7"/>
  <c r="H23" i="7"/>
  <c r="E7" i="7"/>
  <c r="H18" i="7"/>
  <c r="H11" i="7"/>
  <c r="C8" i="7"/>
  <c r="C20" i="7"/>
  <c r="D12" i="7"/>
  <c r="G22" i="7"/>
  <c r="D21" i="7"/>
  <c r="C24" i="7"/>
  <c r="D20" i="7"/>
  <c r="I21" i="7"/>
  <c r="E23" i="7"/>
  <c r="G11" i="7"/>
  <c r="I8" i="7"/>
  <c r="E8" i="7"/>
  <c r="H7" i="7"/>
  <c r="D23" i="7"/>
  <c r="F23" i="7"/>
  <c r="F20" i="7"/>
  <c r="I7" i="7"/>
  <c r="I12" i="7"/>
  <c r="G7" i="7"/>
  <c r="C9" i="7"/>
  <c r="H21" i="7"/>
  <c r="E19" i="7"/>
  <c r="F10" i="7"/>
  <c r="G19" i="7"/>
  <c r="G24" i="7"/>
  <c r="I13" i="7"/>
  <c r="F12" i="7"/>
  <c r="I23" i="7"/>
  <c r="H20" i="7"/>
  <c r="I22" i="7"/>
  <c r="G10" i="7"/>
  <c r="F7" i="7"/>
  <c r="D13" i="7"/>
  <c r="H24" i="7"/>
  <c r="E24" i="7"/>
  <c r="E12" i="7"/>
  <c r="I10" i="7"/>
  <c r="I24" i="7"/>
  <c r="I20" i="7"/>
  <c r="G23" i="7"/>
  <c r="F13" i="7"/>
  <c r="D24" i="7"/>
  <c r="D9" i="7"/>
  <c r="E21" i="7"/>
  <c r="F19" i="7"/>
  <c r="C12" i="7"/>
  <c r="G20" i="7"/>
  <c r="F9" i="7"/>
  <c r="H10" i="7"/>
  <c r="F11" i="7"/>
  <c r="C18" i="7"/>
  <c r="H22" i="7"/>
  <c r="D18" i="7"/>
  <c r="C22" i="7"/>
  <c r="I19" i="7"/>
  <c r="H8" i="7"/>
  <c r="E13" i="7"/>
  <c r="D10" i="7"/>
  <c r="C10" i="7"/>
  <c r="C58" i="3" l="1"/>
  <c r="C62" i="3" s="1"/>
  <c r="C53" i="3"/>
  <c r="C17" i="4" l="1"/>
  <c r="C54" i="3"/>
  <c r="C55" i="3" s="1"/>
  <c r="C16" i="1"/>
  <c r="C63" i="3"/>
  <c r="C64" i="3" s="1"/>
  <c r="C17" i="1" s="1"/>
  <c r="D17" i="1" s="1"/>
  <c r="C10" i="1" l="1"/>
  <c r="D16" i="1"/>
  <c r="C21" i="1"/>
  <c r="C19" i="4"/>
  <c r="C20" i="4" s="1"/>
  <c r="B79" i="4"/>
  <c r="C12" i="1" l="1"/>
  <c r="C11" i="1" s="1"/>
  <c r="B30" i="1"/>
  <c r="B26" i="1"/>
</calcChain>
</file>

<file path=xl/sharedStrings.xml><?xml version="1.0" encoding="utf-8"?>
<sst xmlns="http://schemas.openxmlformats.org/spreadsheetml/2006/main" count="525" uniqueCount="401">
  <si>
    <t>DISCLAIMER: This is a sample analysis for demonstration purposes only. It does not constitute investment advice.</t>
  </si>
  <si>
    <t>テルモ (4543.T)</t>
  </si>
  <si>
    <t>Equity Research Report</t>
  </si>
  <si>
    <t>Company</t>
  </si>
  <si>
    <t>テルモ</t>
  </si>
  <si>
    <t>Ticker</t>
  </si>
  <si>
    <t>4543.T (TSE Prime)</t>
  </si>
  <si>
    <t>Sector</t>
  </si>
  <si>
    <t>精密機器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</si>
  <si>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</si>
  <si>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</si>
  <si>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</si>
  <si>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</si>
  <si>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</si>
  <si>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</si>
  <si>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</si>
  <si>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</si>
  <si>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</si>
  <si>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</si>
  <si>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</si>
  <si>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</si>
  <si>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</si>
  <si>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</si>
  <si>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</si>
  <si>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</si>
  <si>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テルモ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</si>
  <si>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</si>
  <si>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</si>
  <si>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</si>
  <si>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</si>
  <si>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</si>
  <si>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</si>
  <si>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</si>
  <si>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</si>
  <si>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</si>
  <si>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</si>
  <si>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</si>
  <si>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</si>
  <si>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</si>
  <si>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</si>
  <si>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</si>
  <si>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</si>
  <si>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</si>
  <si>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</si>
  <si>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</si>
  <si>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</si>
  <si>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</si>
  <si>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</si>
  <si>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</si>
  <si>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</si>
  <si>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</si>
  <si>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</si>
  <si>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</si>
  <si>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</si>
  <si>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テルモ</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</si>
  <si>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</si>
  <si>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</si>
  <si>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</si>
  <si>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</si>
  <si>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</si>
  <si>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</si>
  <si>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</si>
  <si>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</si>
  <si>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</si>
  <si>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</si>
  <si>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</si>
  <si>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</si>
  <si>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</si>
  <si>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</si>
  <si>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</si>
  <si>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</si>
  <si>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</si>
  <si>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</si>
  <si>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</si>
  <si>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</si>
  <si>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</si>
  <si>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</si>
  <si>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</si>
  <si>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</si>
  <si>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</si>
  <si>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</si>
  <si>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</si>
  <si>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</si>
  <si>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</si>
  <si>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</si>
  <si>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</si>
  <si>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</si>
  <si>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</si>
  <si>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</si>
  <si>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</si>
  <si>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</si>
  <si>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</si>
  <si>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</si>
  <si>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</si>
  <si>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</si>
  <si>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</si>
  <si>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</si>
  <si>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</si>
  <si>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</si>
  <si>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</si>
  <si>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</si>
  <si>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</si>
  <si>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</si>
  <si>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</si>
  <si>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</si>
  <si>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</si>
  <si>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</si>
  <si>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</si>
  <si>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</si>
  <si>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</si>
  <si>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</si>
  <si>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</si>
  <si>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</si>
  <si>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</si>
  <si>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</si>
  <si>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</si>
  <si>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</si>
  <si>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</si>
  <si>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テルモ (4543.T)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</si>
  <si>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</si>
  <si>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</si>
  <si>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</si>
  <si>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</si>
  <si>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</si>
  <si>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</si>
  <si>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</si>
  <si>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</si>
  <si>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</si>
  <si>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</si>
  <si>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</si>
  <si>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</si>
  <si>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</si>
  <si>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</si>
  <si>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</si>
  <si>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</si>
  <si>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</si>
  <si>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</si>
  <si>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</si>
  <si>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</si>
  <si>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</si>
  <si>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</si>
  <si>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</si>
  <si>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</si>
  <si>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</si>
  <si>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</si>
  <si>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</si>
  <si>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</si>
  <si>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</si>
  <si>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</si>
  <si>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</si>
  <si>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</si>
  <si>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</si>
  <si>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</si>
  <si>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</si>
  <si>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</si>
  <si>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</si>
  <si>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</si>
  <si>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</si>
  <si>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</si>
  <si>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</si>
  <si>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</si>
  <si>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</si>
  <si>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</si>
  <si>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</si>
  <si>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</si>
  <si>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</si>
  <si>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</si>
  <si>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</si>
  <si>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</si>
  <si>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</si>
  <si>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テルモ</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</si>
  <si>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</si>
  <si>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</si>
  <si>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</si>
  <si>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</si>
  <si>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</si>
  <si>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</si>
  <si>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</si>
  <si>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</si>
  <si>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</si>
  <si>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</si>
  <si>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</si>
  <si>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</si>
  <si>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</si>
  <si>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</si>
  <si>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</si>
  <si>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</si>
  <si>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</si>
  <si>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</si>
  <si>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</si>
  <si>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</si>
  <si>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</si>
  <si>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</si>
  <si>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</si>
  <si>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</si>
  <si>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</si>
  <si>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</si>
  <si>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</si>
  <si>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</si>
  <si>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</si>
  <si>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</si>
  <si>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</si>
  <si>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</si>
  <si>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</si>
  <si>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</si>
  <si>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Terumo Corporation</t>
  </si>
  <si>
    <t>4543.T</t>
  </si>
  <si>
    <t>Olympus Corporation</t>
  </si>
  <si>
    <t>7733.T</t>
  </si>
  <si>
    <t>HOYA Corporation</t>
  </si>
  <si>
    <t>7741.T</t>
  </si>
  <si>
    <t>Shionogi &amp; Co., Ltd.</t>
  </si>
  <si>
    <t>4507.T</t>
  </si>
  <si>
    <t>Daiichi Sankyo Company, Limited</t>
  </si>
  <si>
    <t>4568.T</t>
  </si>
  <si>
    <t>Otsuka Holdings Co., Ltd.</t>
  </si>
  <si>
    <t>4578.T</t>
  </si>
  <si>
    <t>Statistics</t>
  </si>
  <si>
    <t>25th Percentile</t>
  </si>
  <si>
    <t>Median (50th)</t>
  </si>
  <si>
    <t>75th Percentile</t>
  </si>
  <si>
    <t>Implied Valuation for テルモ</t>
  </si>
  <si>
    <t>テルモ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</si>
  <si>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</si>
  <si>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</si>
  <si>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</si>
  <si>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</si>
  <si>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</si>
  <si>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</si>
  <si>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</si>
  <si>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</si>
  <si>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</si>
  <si>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</si>
  <si>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</si>
  <si>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</si>
  <si>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</si>
  <si>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</si>
  <si>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</si>
  <si>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テルモ</t>
  </si>
  <si>
    <t>日付</t>
  </si>
  <si>
    <t>セル</t>
  </si>
  <si>
    <t>変更内容</t>
  </si>
  <si>
    <t>理由</t>
  </si>
  <si>
    <t>元の値</t>
  </si>
  <si>
    <t>状態</t>
  </si>
  <si>
    <t>2026-09-06</t>
  </si>
  <si>
    <t>-</t>
  </si>
  <si>
    <t>Generated by pipeline on 2026-09-06 10:43,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</si>
  <si>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</si>
  <si>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</si>
  <si>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</si>
  <si>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</si>
  <si>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</si>
  <si>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</si>
  <si>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</si>
  <si>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</si>
  <si>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</si>
  <si>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</si>
  <si>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</si>
  <si>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</si>
  <si>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</si>
  <si>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</si>
  <si>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</si>
  <si>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3,587,447百万円。■テンプレートの自動規則(&gt;=1兆円 -&gt; 0.0%、&gt;=1,000億円 -&gt; 1.5%)とは異なる値であり、明示指定で上書きしている。</t>
  </si>
  <si>
    <t>テンプレ自動値</t>
  </si>
  <si>
    <t>DCF Model!C8</t>
  </si>
  <si>
    <t>Beta = 0.60</t>
  </si>
  <si>
    <t>yfinance実測 0.232 はテンプレのクランプ域 [0.6, 1.75] の下限を下回り、そのまま渡すと【無言で 1.0 に置換】される。追補1 §A に従い max(0.6, min(1.75, 実測)) = 0.60 を明示指定した。**0.60 は実測値ではなくテンプレが受け付ける最小値**であることに注意。</t>
  </si>
  <si>
    <t>yfinance実測 0.232</t>
  </si>
  <si>
    <t>DCF Model!C6</t>
  </si>
  <si>
    <t>Effective Tax Rate = 25%</t>
  </si>
  <si>
    <t>バッチ共通の既定値(v2 §1-3)。当社の実績税負担率を個別に検証したものではない。</t>
  </si>
  <si>
    <t>テンプレ既定 30%</t>
  </si>
  <si>
    <t>推定</t>
  </si>
  <si>
    <t>DCF Model!C11</t>
  </si>
  <si>
    <t>After-tax Cost of Debt = 0.89%(実績ベース)</t>
  </si>
  <si>
    <t>支払利息 3,286百万円 ÷ 平均有利子負債 ((174,838 + 379,796)/2 = 277,317) = 1.18%(税引前)、× (1 − 25%) = 0.89%(validate チェック17 PASS)。■有利子負債が FY2025/3 の 174,838 から FY2026/3 に 379,796 へ倍増しており、平均残高ベースの実績Kd は今後の実効コストを下振れて表す可能性がある。■出所は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</si>
  <si>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</si>
  <si>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</si>
  <si>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</si>
  <si>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</si>
  <si>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</si>
  <si>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</si>
  <si>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</si>
  <si>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12.6x</t>
  </si>
  <si>
    <t>Peer 5社の実測EV/EBITDA中央値 12.64x（7733 / 7741 / 4507 / 4568 / 4578）。 自社の現在倍率 13.57x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</si>
  <si>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</si>
  <si>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</si>
  <si>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</si>
  <si>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**CLEAN**（docID S100YGMG。金融事業専用科目は1件も検出されず）。銀行・captive finance なし（Debt/Revenue 0.34）。NonOp/OP +1.1% で利益の主柱は営業利益。OPMレンジ**1.3pt**・赤字年なしで型Bにも該当しない。</t>
  </si>
  <si>
    <t>Financial Statements / hist_* 系列</t>
  </si>
  <si>
    <t>hist_years を FY2023-FY2026 の4期に置換し P/L 5系列を yfinance連結財務諸表から供給（予防的）</t>
  </si>
  <si>
    <t>【追補2 §F-2 の予防的 EDINET 補完（生成前適用・必須）】根本原因は scripts/generate_dcf.py:66 の _val(data_dict, key, default=0) が欠損値を None ではなく 0 に落とすことで、hist_* 全系列・net_debt・core_ebitda に波及する。バッチ中はパイプラインを変更しない方針（追補2 §F-1）のため、回避策を**発生を待たず生成前に適用**した: hist_years を直近4期（P/L 4項目がすべて揃う年）に置換し、hist_revenue / hist_operating_income / hist_net_income / hist_cogs / hist_sga を yfinance連結財務諸表から供給（配列長は全て4で hist_years と一致、契約遵守）。■hist_ocf / hist_cash / hist_debt / hist_capex / hist_depreciation は【供給していない】 — Step 4.6 の align_hist_series_to_years() が最終 hist_years に会計年度キーで再マッピングするため EDINET を一次ソースのまま使える。■hist_sga = 売上 − COGS − 営業利益 で逆算。■**結果として初回生成で合格した（リトライ0回）**。</t>
  </si>
  <si>
    <t>EDINET自動抽出値</t>
  </si>
  <si>
    <t>Comps Analysis / core_ebitda</t>
  </si>
  <si>
    <t>core_ebitda = 271,700百万円 を明示指定（営業利益 176,321 + D&amp;A 95,379）</t>
  </si>
  <si>
    <t>【追補2 §G】core_ebitda を明示指定（= 直近営業利益 + 直近CF計算書D&amp;A）。Comps の『自社 Financials』EBITDA と Via EV/EBITDA 参考株価は comps CSV ではなく config の core_ebitda を使うが、EDINET 由来の D&amp;A は銘柄により信頼できず、破綻しても validate は FAIL 0 のまま通る（4502 で参考株価が −2,761円 の負値、4151 で N/A になった実例）。Peer と同一定義（EBITDA = 営業利益 + CF計算書の減価償却費）に揃えるため予防的に明示指定した。生成後に batch/check_core_ebitda.py で comps CSV 自社行との一致を確認済み（追補2 §G の品質ゲート）。</t>
  </si>
  <si>
    <t>EDINET由来の自動計算値</t>
  </si>
  <si>
    <t>DCF Model!C5 / C18</t>
  </si>
  <si>
    <t>capex_method / da_method とも revenue_pct(capex 8.82% / D&amp;A 8.40%)</t>
  </si>
  <si>
    <t>実績は capex 7.9-9.0% / D&amp;A 8.2-8.6% で既に近接（直近 101,963 / 95,379 = 1.069倍）。ターミナル比率 1.050x でレンジ[0.90,1.15]内（validate チェック9 PASS）。direct 方式で明示パスを置く必要がない。■ただし capex は D&amp;A を一貫して上回っており、Base は両者が収束することを仮定している。高成長を維持するために設備投資が高止まりすればFCFは本モデルより低くなる。</t>
  </si>
  <si>
    <t>DCF Model シナリオ5本</t>
  </si>
  <si>
    <t>**追補8 §AE の rework wave により Base を再設計**</t>
  </si>
  <si>
    <t>【追補8 §AE の rework wave（第8セッション）】追補7 §Y の単調性判定と、追補8 §AE-2 が確定した方向別の定義に従って **Base を再設計**した。■実績OPM: 0.14% → 0.15% → 0.15% → 0.16%。**判定: 単調増加**。■**適用ルール: 単調増加 → 直近水準の維持** により Base 到達OPM = **15.58%**（旧: 15.45%、差 +0.13pt）。■**平均回帰（§4-4 の中央値収束）は使わない**: トレンドに平均回帰を当てるのは統計的な誤りであり、その理由は符号で変わらない（追補8 §AE-2）。**単調増加では『さらなる上積みの外挿はしない』という保守側のガード**を置き、直近水準の維持とした。■Upside / Downside 1 / Downside 2 は本 rework の対象外で、従前の設計を維持している。■COGS% は据え置き、SGA% = 100% − COGS% − 目標OPM で逆算した。</t>
  </si>
  <si>
    <t>rework 前の Base 設計</t>
  </si>
  <si>
    <t>設計判断(追補8 §AE)</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</si>
  <si>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</si>
  <si>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</si>
  <si>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</si>
  <si>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</si>
  <si>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</si>
  <si>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67 / DIH 229 / DPO 74 日</t>
  </si>
  <si>
    <t>実績4期平均。医療機器の在庫日数（229日）は長く、成長投資に伴う運転資本の増加がFCFを圧迫する構造。</t>
  </si>
  <si>
    <t>Comps Analysis</t>
  </si>
  <si>
    <t>Peer 5社 = 7733 オリンパス / 7741 HOYA / 4507 塩野義製薬 / 4568 第一三共 / 4578 大塚HD</t>
  </si>
  <si>
    <t>■選定理由: 時価総額バンド（v2 §5 の 0.3〜3倍 = 1.08〜10.8兆円）に**採用5社すべてが収まる**。■**比較可能性の留保**: 真の医療機器 Peer は **7733 オリンパス と 7741 HOYA の2社のみ**で、3社以上を確保するため医薬品3社（4507 / 4568 / 4578）を加えている。医薬品はロイヤリティ・特許構造が異なり、EV/EBITDA の水準も医療機器と同一視できない。**Peer中央値 12.64x はこの混成の産物である点に留保が必要**。■海外Peer（Medtronic / Abbott / Boston Scientific 等）は当社の真の比較対象だが v2 §5 により不使用。■D&amp;A取得状況: 全6社で減価償却費を取得でき統一。**D&amp;A欠損による除外はゼロ**（validate チェック12 PASS）。</t>
  </si>
  <si>
    <t>Executive Summary!C10 / Target</t>
  </si>
  <si>
    <t>Target Price = 1,817円 = PGM 1,314円 と Exit 2,319円 の2本平均。Comps 2本(EV/EBITDA 2,262円 / PER 1,803円)は [参考・Target不算入]</t>
  </si>
  <si>
    <t>メモ§2 の規約どおり。validate チェック14 PASS(C10 が C16:C17 のみを平均)。EV&lt;net_debt による INVALID 化は発生していない（チェック10・15 とも PASS）。 ■**追補8 §AE の rework 後の値に更新**: Target 1,829円 / SELL / -24.8%（rework 前 1,817円）。</t>
  </si>
  <si>
    <t>全体(納品状態)</t>
  </si>
  <si>
    <t>本ファイルは DRAFT。_FINAL は付けない</t>
  </si>
  <si>
    <t>バッチモードでの機械生成物であり人間の検証を経ていない。FINAL化は手順書v2 §6 に従い検証後に行う。</t>
  </si>
  <si>
    <t>DRAFT</t>
  </si>
  <si>
    <t>全体(未解決)</t>
  </si>
  <si>
    <t>**Base が横ばいマージンを置いているため、高成長企業に対して保守的すぎる可能性**</t>
  </si>
  <si>
    <t>売上は3年CAGR 11.33% で伸びているが、Base の OPM は 15.45%（実質横ばい）。オペレーティング・レバレッジが働けばマージンは上昇し、Target は大きく上振れる。PGM 1,314円 と Exit 2,319円 の 1.8倍の開き（WARN 11）はこの保守性の表れでもある。</t>
  </si>
  <si>
    <t>未解決</t>
  </si>
  <si>
    <t>Peer 群が医療機器と医薬品の混成である</t>
  </si>
  <si>
    <t>Peer中央値 12.64x のうち真の医療機器は 7733 オリンパス・7741 HOYA の2社のみ。海外の医療機器大手（Medtronic / Abbott 等）は 15-20x 前後で取引されており、Exit 倍率 12.6x が妥当かは人間の判断を要する。</t>
  </si>
  <si>
    <t>capex が D&amp;A を一貫して上回る</t>
  </si>
  <si>
    <t>高成長を支える設備投資が続いており、Base は5年で収束することを仮定している。高止まりすればターミナルFCFは下振れる。</t>
  </si>
  <si>
    <t>Pipeline Metadata (do not edit — read by scripts/validate_output.py)</t>
  </si>
  <si>
    <t>key</t>
  </si>
  <si>
    <t>value</t>
  </si>
  <si>
    <t>auto_log_entries</t>
  </si>
  <si>
    <t>1</t>
  </si>
  <si>
    <t>capex_pct_basis</t>
  </si>
  <si>
    <t>assumption</t>
  </si>
  <si>
    <t>capex_pct_c5</t>
  </si>
  <si>
    <t>0.0882</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</si>
  <si>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</si>
  <si>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</si>
  <si>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</si>
  <si>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</si>
  <si>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</si>
  <si>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</si>
  <si>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</si>
  <si>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</si>
  <si>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</si>
  <si>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</si>
  <si>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</si>
  <si>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</si>
  <si>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</si>
  <si>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</si>
  <si>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</si>
  <si>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</si>
  <si>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</si>
  <si>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</si>
  <si>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</si>
  <si>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</si>
  <si>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3,286 (expense 3,286 + fees 0) / avg debt 277,317 (debt_beginning/debt_ending) = 0.011849 pre-tax -&gt; 0.008900 after-tax</t>
  </si>
  <si>
    <t>cost_of_debt_at_c11</t>
  </si>
  <si>
    <t>0.0089</t>
  </si>
  <si>
    <t>cost_of_debt_avg_debt</t>
  </si>
  <si>
    <t>277317.0</t>
  </si>
  <si>
    <t>cost_of_debt_basis</t>
  </si>
  <si>
    <t>actual</t>
  </si>
  <si>
    <t>cost_of_debt_interest</t>
  </si>
  <si>
    <t>3286.0</t>
  </si>
  <si>
    <t>cost_of_debt_pretax</t>
  </si>
  <si>
    <t>0.01184925554509821</t>
  </si>
  <si>
    <t>da_pct_basis</t>
  </si>
  <si>
    <t>da_pct_c18</t>
  </si>
  <si>
    <t>0.084</t>
  </si>
  <si>
    <t>da_pct_hist3yr</t>
  </si>
  <si>
    <t>0.083327</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</si>
  <si>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</si>
  <si>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</si>
  <si>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</si>
  <si>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</si>
  <si>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</si>
  <si>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</si>
  <si>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</si>
  <si>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</si>
  <si>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</si>
  <si>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10:43:15</t>
  </si>
  <si>
    <t>ltm_revenue_c20</t>
  </si>
  <si>
    <t>1131877.0</t>
  </si>
  <si>
    <t>ltm_revenue_source</t>
  </si>
  <si>
    <t>latest FY (no LTM)</t>
  </si>
  <si>
    <t>narrative_tokens_used</t>
  </si>
  <si>
    <t>pb,per,price,target_price,upside_pct,wacc</t>
  </si>
  <si>
    <t>reverse_dcf_sheet</t>
  </si>
  <si>
    <t>op0=176,321(FY2026) peak=176,321(FY2026) peak_opm=0.1558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</si>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</sst>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2432</v>
      </c>
    </row>
    <row r="10" spans="2:5" ht="14" customHeight="1" x14ac:dyDescent="0.3">
      <c r="B10" s="4" t="s">
        <v>10</v>
      </c>
      <c r="C10" s="5">
        <f>IF(COUNT(C16:C17)=0,"N/A",ROUND(AVERAGE(C16:C17),0))</f>
        <v>1829</v>
      </c>
    </row>
    <row r="11" spans="2:5" ht="14" customHeight="1" x14ac:dyDescent="0.3">
      <c r="B11" s="4" t="s">
        <v>11</v>
      </c>
      <c r="C11" s="6" t="str">
        <f>IF(NOT(ISNUMBER(C12)),"N/A",IF(C12&gt;0.15,"BUY",IF(C12&gt;0.05,"HOLD","SELL")))</f>
        <v>SELL</v>
      </c>
    </row>
    <row r="12" spans="2:5" ht="14" customHeight="1" x14ac:dyDescent="0.3">
      <c r="B12" s="4" t="s">
        <v>12</v>
      </c>
      <c r="C12" s="7">
        <f>IF(ISNUMBER(C10),(C10-C9)/C9,"N/A")</f>
        <v>-0.24794407894736842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1326</v>
      </c>
      <c r="D16" s="7">
        <f>IF(ISNUMBER(C16),(C16-C9)/C9,"N/A")</f>
        <v>-0.45476973684210525</v>
      </c>
    </row>
    <row r="17" spans="2:5" ht="13.5" customHeight="1" x14ac:dyDescent="0.25">
      <c r="B17" t="s">
        <v>18</v>
      </c>
      <c r="C17" s="11">
        <f>IF('DCF Model'!C62&lt;'DCF Model'!C16,"INVALID (EV &lt; net debt)",'DCF Model'!C64)</f>
        <v>2332</v>
      </c>
      <c r="D17" s="7">
        <f>IF(ISNUMBER(C17),(C17-C9)/C9,"N/A")</f>
        <v>-4.1118421052631582E-2</v>
      </c>
    </row>
    <row r="18" spans="2:5" ht="13.5" customHeight="1" x14ac:dyDescent="0.25">
      <c r="B18" t="s">
        <v>19</v>
      </c>
      <c r="C18" s="11">
        <f>'Comps Analysis'!C27</f>
        <v>2262</v>
      </c>
      <c r="D18" s="7">
        <f>IF(ISNUMBER(C18),(C18-C9)/C9,"N/A")</f>
        <v>-6.9901315789473686E-2</v>
      </c>
    </row>
    <row r="19" spans="2:5" ht="13.5" customHeight="1" x14ac:dyDescent="0.25">
      <c r="B19" t="s">
        <v>20</v>
      </c>
      <c r="C19" s="11">
        <f>'Comps Analysis'!C28</f>
        <v>1803</v>
      </c>
      <c r="D19" s="7">
        <f>IF(ISNUMBER(C19),(C19-C9)/C9,"N/A")</f>
        <v>-0.25863486842105265</v>
      </c>
    </row>
    <row r="20" spans="2:5" ht="14" customHeight="1" x14ac:dyDescent="0.3">
      <c r="B20" s="46" t="s">
        <v>21</v>
      </c>
      <c r="C20" s="45"/>
      <c r="D20" s="45"/>
      <c r="E20" s="45"/>
    </row>
    <row r="21" spans="2:5" ht="14" customHeight="1" x14ac:dyDescent="0.3">
      <c r="B21" s="4" t="s">
        <v>22</v>
      </c>
      <c r="C21" s="6" t="str">
        <f>IF(COUNT(C16:C17)=0,"N/A",MIN(C16:C17)&amp;" - "&amp;MAX(C16:C17))</f>
        <v>1326 - 2332</v>
      </c>
    </row>
    <row r="23" spans="2:5" ht="14" customHeight="1" x14ac:dyDescent="0.3">
      <c r="B23" s="8" t="s">
        <v>23</v>
      </c>
      <c r="C23" s="9"/>
      <c r="D23" s="9"/>
    </row>
    <row r="24" spans="2:5" x14ac:dyDescent="0.2">
      <c r="B24" t="str">
        <f>"Terumo compounds revenue in the high single digits from catheters, blood management and pharmaceutical solutions, and the operating margin has held inside a 1.3-point band for four years; the shares trade at "&amp;TEXT('Comps Analysis'!L5,"0.0""x""")&amp;" earnings and "&amp;TEXT('Comps Analysis'!M5,"0.00""x""")&amp;" book."</f>
        <v>Terumo compounds revenue in the high single digits from catheters, blood management and pharmaceutical solutions, and the operating margin has held inside a 1.3-point band for four years; the shares trade at 26.4x earnings and 2.26x book.</v>
      </c>
    </row>
    <row r="25" spans="2:5" x14ac:dyDescent="0.2">
      <c r="B25" t="str">
        <f>"That margin stability is unusual in this batch and is what the "&amp;TEXT('DCF Model'!C26,"0.00%")&amp;" discount rate is applied to; leverage is modest and the cost of debt is taken from the filings rather than assumed."</f>
        <v>That margin stability is unusual in this batch and is what the 7.68% discount rate is applied to; leverage is modest and the cost of debt is taken from the filings rather than assumed.</v>
      </c>
    </row>
    <row r="26" spans="2:5" x14ac:dyDescent="0.2">
      <c r="B26" t="str">
        <f>"At "&amp;TEXT(C9,"#,##0")&amp;" the market pays a premium to the Japanese medical-device and pharmaceutical peer group; a base case that merely holds the current margin supports "&amp;TEXT(C10,"#,##0")&amp;", or "&amp;TEXT(C12,"+0.0%;-0.0%")&amp;" from here."</f>
        <v>At 2,432 the market pays a premium to the Japanese medical-device and pharmaceutical peer group; a base case that merely holds the current margin supports 1,829, or -24.8% from here.</v>
      </c>
    </row>
    <row r="28" spans="2:5" ht="14" customHeight="1" x14ac:dyDescent="0.3">
      <c r="B28" s="8" t="s">
        <v>24</v>
      </c>
      <c r="C28" s="9"/>
      <c r="D28" s="9"/>
    </row>
    <row r="29" spans="2:5" x14ac:dyDescent="0.2">
      <c r="B29" t="str">
        <f>"Growth has run above ten percent for three years and the base case assumes it decays only gradually; a slowdown would leave the "&amp;TEXT('Comps Analysis'!L5,"0.0""x""")&amp;" the market pays at "&amp;TEXT(C9,"#,##0")&amp;" looking expensive against the peer median."</f>
        <v>Growth has run above ten percent for three years and the base case assumes it decays only gradually; a slowdown would leave the 26.4x the market pays at 2,432 looking expensive against the peer median.</v>
      </c>
    </row>
    <row r="30" spans="2:5" x14ac:dyDescent="0.2">
      <c r="B30" t="str">
        <f>"Capital expenditure runs at roughly nine percent of revenue and above depreciation, so the free cash flow behind "&amp;TEXT(C10,"#,##0")&amp;" depends on the two converging."</f>
        <v>Capital expenditure runs at roughly nine percent of revenue and above depreciation, so the free cash flow behind 1,829 depends on the two converging.</v>
      </c>
    </row>
    <row r="31" spans="2:5" x14ac:dyDescent="0.2">
      <c r="B31" t="str">
        <f>"Overseas revenue is the majority and unhedged in this model, so yen strength compresses translated earnings without any offset in the "&amp;TEXT('DCF Model'!C26,"0.00%")&amp;" used here."</f>
        <v>Overseas revenue is the majority and unhedged in this model, so yen strength compresses translated earnings without any offset in the 7.68% used here.</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25</v>
      </c>
    </row>
    <row r="4" spans="2:6" ht="14" customHeight="1" x14ac:dyDescent="0.3">
      <c r="C4" s="10" t="s">
        <v>26</v>
      </c>
      <c r="D4" s="10" t="s">
        <v>27</v>
      </c>
      <c r="E4" s="10" t="s">
        <v>28</v>
      </c>
      <c r="F4" s="10" t="s">
        <v>29</v>
      </c>
    </row>
    <row r="5" spans="2:6" ht="14" customHeight="1" x14ac:dyDescent="0.3">
      <c r="B5" s="3" t="s">
        <v>30</v>
      </c>
    </row>
    <row r="6" spans="2:6" ht="14" customHeight="1" x14ac:dyDescent="0.3">
      <c r="B6" s="4" t="s">
        <v>31</v>
      </c>
      <c r="C6" s="5">
        <v>820209</v>
      </c>
      <c r="D6" s="5">
        <v>921863</v>
      </c>
      <c r="E6" s="5">
        <v>1036171</v>
      </c>
      <c r="F6" s="5">
        <v>1131877</v>
      </c>
    </row>
    <row r="7" spans="2:6" ht="14" customHeight="1" x14ac:dyDescent="0.3">
      <c r="B7" s="4" t="s">
        <v>32</v>
      </c>
      <c r="C7" s="5">
        <v>402839</v>
      </c>
      <c r="D7" s="5">
        <v>442688</v>
      </c>
      <c r="E7" s="5">
        <v>475501</v>
      </c>
      <c r="F7" s="5">
        <v>537201</v>
      </c>
    </row>
    <row r="8" spans="2:6" ht="14" customHeight="1" x14ac:dyDescent="0.3">
      <c r="B8" s="4" t="s">
        <v>33</v>
      </c>
      <c r="C8" s="5">
        <f>C6-C7</f>
        <v>417370</v>
      </c>
      <c r="D8" s="5">
        <f>D6-D7</f>
        <v>479175</v>
      </c>
      <c r="E8" s="5">
        <f>E6-E7</f>
        <v>560670</v>
      </c>
      <c r="F8" s="5">
        <f>F6-F7</f>
        <v>594676</v>
      </c>
    </row>
    <row r="9" spans="2:6" ht="13.5" customHeight="1" x14ac:dyDescent="0.25">
      <c r="B9" t="s">
        <v>34</v>
      </c>
      <c r="C9" s="7">
        <f>C8/C6</f>
        <v>0.50885810811634591</v>
      </c>
      <c r="D9" s="7">
        <f>D8/D6</f>
        <v>0.51978981692507453</v>
      </c>
      <c r="E9" s="7">
        <f>E8/E6</f>
        <v>0.54109794618841867</v>
      </c>
      <c r="F9" s="7">
        <f>F8/F6</f>
        <v>0.52538924282408772</v>
      </c>
    </row>
    <row r="10" spans="2:6" ht="14" customHeight="1" x14ac:dyDescent="0.3">
      <c r="B10" s="4" t="s">
        <v>35</v>
      </c>
      <c r="C10" s="5">
        <v>300037</v>
      </c>
      <c r="D10" s="5">
        <v>339080</v>
      </c>
      <c r="E10" s="5">
        <v>403000</v>
      </c>
      <c r="F10" s="5">
        <v>418355</v>
      </c>
    </row>
    <row r="11" spans="2:6" ht="14" customHeight="1" x14ac:dyDescent="0.3">
      <c r="B11" s="4" t="s">
        <v>36</v>
      </c>
      <c r="C11" s="5">
        <v>117333</v>
      </c>
      <c r="D11" s="5">
        <v>140095</v>
      </c>
      <c r="E11" s="5">
        <v>157670</v>
      </c>
      <c r="F11" s="5">
        <v>176321</v>
      </c>
    </row>
    <row r="12" spans="2:6" ht="14" customHeight="1" x14ac:dyDescent="0.3">
      <c r="B12" s="4" t="s">
        <v>37</v>
      </c>
      <c r="C12" s="5">
        <v>89325</v>
      </c>
      <c r="D12" s="5">
        <v>106374</v>
      </c>
      <c r="E12" s="5">
        <v>116978</v>
      </c>
      <c r="F12" s="5">
        <v>135914</v>
      </c>
    </row>
    <row r="13" spans="2:6" ht="13.5" customHeight="1" x14ac:dyDescent="0.25">
      <c r="B13" t="s">
        <v>38</v>
      </c>
      <c r="C13" s="7">
        <f>C11/C6</f>
        <v>0.14305256343200332</v>
      </c>
      <c r="D13" s="7">
        <f>D11/D6</f>
        <v>0.15196943580553726</v>
      </c>
      <c r="E13" s="7">
        <f>E11/E6</f>
        <v>0.15216600348784129</v>
      </c>
      <c r="F13" s="7">
        <f>F11/F6</f>
        <v>0.15577752706345302</v>
      </c>
    </row>
    <row r="14" spans="2:6" ht="13.5" customHeight="1" x14ac:dyDescent="0.25">
      <c r="B14" t="s">
        <v>39</v>
      </c>
      <c r="C14" s="7">
        <f>C12/C6</f>
        <v>0.10890516929221698</v>
      </c>
      <c r="D14" s="7">
        <f>D12/D6</f>
        <v>0.11539024779170007</v>
      </c>
      <c r="E14" s="7">
        <f>E12/E6</f>
        <v>0.11289449328344453</v>
      </c>
      <c r="F14" s="7">
        <f>F12/F6</f>
        <v>0.12007841841472174</v>
      </c>
    </row>
    <row r="15" spans="2:6" ht="13.5" customHeight="1" x14ac:dyDescent="0.25">
      <c r="B15" t="s">
        <v>40</v>
      </c>
      <c r="C15" t="s">
        <v>41</v>
      </c>
      <c r="D15" s="7">
        <f>(D6-C6)/C6</f>
        <v>0.12393670393765492</v>
      </c>
      <c r="E15" s="7">
        <f>(E6-D6)/D6</f>
        <v>0.12399673270323247</v>
      </c>
      <c r="F15" s="7">
        <f>(F6-E6)/E6</f>
        <v>9.236506329553712E-2</v>
      </c>
    </row>
    <row r="16" spans="2:6" ht="13.5" customHeight="1" x14ac:dyDescent="0.25">
      <c r="B16" t="s">
        <v>42</v>
      </c>
      <c r="C16" t="s">
        <v>41</v>
      </c>
      <c r="D16" s="7">
        <f>(D11-C11)/C11</f>
        <v>0.19399486930360599</v>
      </c>
      <c r="E16" s="7">
        <f>(E11-D11)/D11</f>
        <v>0.12545058710160961</v>
      </c>
      <c r="F16" s="7">
        <f>(F11-E11)/E11</f>
        <v>0.11829136804718716</v>
      </c>
    </row>
    <row r="18" spans="2:6" ht="14" customHeight="1" x14ac:dyDescent="0.3">
      <c r="B18" s="3" t="s">
        <v>43</v>
      </c>
    </row>
    <row r="19" spans="2:6" ht="14" customHeight="1" x14ac:dyDescent="0.3">
      <c r="B19" s="4" t="s">
        <v>44</v>
      </c>
      <c r="C19" s="5">
        <v>117536</v>
      </c>
      <c r="D19" s="5">
        <v>146330</v>
      </c>
      <c r="E19" s="5">
        <v>210802</v>
      </c>
      <c r="F19" s="5">
        <v>230852</v>
      </c>
    </row>
    <row r="20" spans="2:6" ht="14" customHeight="1" x14ac:dyDescent="0.3">
      <c r="B20" s="4" t="s">
        <v>45</v>
      </c>
      <c r="C20" s="5"/>
      <c r="D20" s="5"/>
      <c r="E20" s="5"/>
      <c r="F20" s="5"/>
    </row>
    <row r="21" spans="2:6" ht="14" customHeight="1" x14ac:dyDescent="0.3">
      <c r="B21" s="4" t="s">
        <v>46</v>
      </c>
    </row>
    <row r="22" spans="2:6" x14ac:dyDescent="0.2">
      <c r="B22" t="s">
        <v>47</v>
      </c>
    </row>
    <row r="23" spans="2:6" x14ac:dyDescent="0.2">
      <c r="B23" t="s">
        <v>48</v>
      </c>
    </row>
    <row r="25" spans="2:6" ht="14" customHeight="1" x14ac:dyDescent="0.3">
      <c r="B25" s="3" t="s">
        <v>49</v>
      </c>
    </row>
    <row r="26" spans="2:6" ht="14" customHeight="1" x14ac:dyDescent="0.3">
      <c r="B26" s="4" t="s">
        <v>50</v>
      </c>
      <c r="C26" s="5">
        <v>187322</v>
      </c>
      <c r="D26" s="5">
        <v>204883</v>
      </c>
      <c r="E26" s="5">
        <v>221872</v>
      </c>
      <c r="F26" s="5">
        <v>280494</v>
      </c>
    </row>
    <row r="27" spans="2:6" ht="14" customHeight="1" x14ac:dyDescent="0.3">
      <c r="B27" s="4" t="s">
        <v>51</v>
      </c>
      <c r="C27" s="5">
        <v>231937</v>
      </c>
      <c r="D27" s="5">
        <v>231848</v>
      </c>
      <c r="E27" s="5">
        <v>174838</v>
      </c>
      <c r="F27" s="5">
        <v>379796</v>
      </c>
    </row>
    <row r="28" spans="2:6" ht="14" customHeight="1" x14ac:dyDescent="0.3">
      <c r="B28" s="4" t="s">
        <v>52</v>
      </c>
      <c r="C28" s="5">
        <f>C27-C26</f>
        <v>44615</v>
      </c>
      <c r="D28" s="5">
        <f>D27-D26</f>
        <v>26965</v>
      </c>
      <c r="E28" s="5">
        <f>E27-E26</f>
        <v>-47034</v>
      </c>
      <c r="F28" s="5">
        <f>F27-F26</f>
        <v>99302</v>
      </c>
    </row>
    <row r="30" spans="2:6" ht="14" customHeight="1"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54</v>
      </c>
    </row>
    <row r="4" spans="2:7" ht="14" customHeight="1" x14ac:dyDescent="0.3">
      <c r="B4" s="8" t="s">
        <v>55</v>
      </c>
      <c r="C4" s="9"/>
      <c r="D4" s="9"/>
      <c r="E4" s="9"/>
      <c r="F4" s="9"/>
      <c r="G4" s="9"/>
    </row>
    <row r="5" spans="2:7" ht="14" customHeight="1" x14ac:dyDescent="0.3">
      <c r="B5" s="4" t="s">
        <v>48</v>
      </c>
      <c r="C5" s="7">
        <v>8.8200000000000001E-2</v>
      </c>
    </row>
    <row r="6" spans="2:7" ht="14" customHeight="1" x14ac:dyDescent="0.3">
      <c r="B6" s="4" t="s">
        <v>56</v>
      </c>
      <c r="C6" s="7">
        <v>0.25</v>
      </c>
    </row>
    <row r="7" spans="2:7" ht="14" customHeight="1" x14ac:dyDescent="0.3">
      <c r="B7" s="4" t="s">
        <v>57</v>
      </c>
      <c r="C7" s="7">
        <v>2.9700000000000001E-2</v>
      </c>
    </row>
    <row r="8" spans="2:7" ht="14" customHeight="1" x14ac:dyDescent="0.3">
      <c r="B8" s="4" t="s">
        <v>58</v>
      </c>
      <c r="C8" s="12">
        <v>0.6</v>
      </c>
    </row>
    <row r="9" spans="2:7" ht="14" customHeight="1" x14ac:dyDescent="0.3">
      <c r="B9" s="4" t="s">
        <v>59</v>
      </c>
      <c r="C9" s="7">
        <v>6.5000000000000002E-2</v>
      </c>
    </row>
    <row r="10" spans="2:7" ht="14" customHeight="1" x14ac:dyDescent="0.3">
      <c r="B10" s="4" t="s">
        <v>60</v>
      </c>
      <c r="C10" s="7">
        <v>0.01</v>
      </c>
    </row>
    <row r="11" spans="2:7" ht="14" customHeight="1" x14ac:dyDescent="0.3">
      <c r="B11" s="4" t="s">
        <v>61</v>
      </c>
      <c r="C11" s="7">
        <v>8.8999999999999999E-3</v>
      </c>
    </row>
    <row r="12" spans="2:7" ht="14" customHeight="1" x14ac:dyDescent="0.3">
      <c r="B12" s="4" t="s">
        <v>62</v>
      </c>
      <c r="C12" s="13">
        <v>2.7699999999999999E-2</v>
      </c>
    </row>
    <row r="13" spans="2:7" ht="14" customHeight="1" x14ac:dyDescent="0.3">
      <c r="B13" s="4" t="s">
        <v>63</v>
      </c>
      <c r="C13" s="7">
        <v>0.01</v>
      </c>
    </row>
    <row r="14" spans="2:7" ht="14" customHeight="1" x14ac:dyDescent="0.3">
      <c r="B14" s="4" t="s">
        <v>64</v>
      </c>
      <c r="C14" s="14">
        <v>12.6</v>
      </c>
    </row>
    <row r="15" spans="2:7" ht="14" customHeight="1" x14ac:dyDescent="0.3">
      <c r="B15" s="4" t="s">
        <v>65</v>
      </c>
      <c r="C15" s="15">
        <v>1475101493</v>
      </c>
    </row>
    <row r="16" spans="2:7" ht="14" customHeight="1" x14ac:dyDescent="0.3">
      <c r="B16" s="4" t="s">
        <v>66</v>
      </c>
      <c r="C16" s="5">
        <v>99302</v>
      </c>
    </row>
    <row r="17" spans="2:7" ht="14" customHeight="1" x14ac:dyDescent="0.3">
      <c r="B17" s="4" t="s">
        <v>67</v>
      </c>
      <c r="C17" s="5">
        <v>1131877</v>
      </c>
    </row>
    <row r="18" spans="2:7" ht="14" customHeight="1" x14ac:dyDescent="0.3">
      <c r="B18" s="4" t="s">
        <v>68</v>
      </c>
      <c r="C18" s="7">
        <v>8.4000000000000005E-2</v>
      </c>
    </row>
    <row r="19" spans="2:7" ht="14" customHeight="1" x14ac:dyDescent="0.3">
      <c r="B19" s="4" t="s">
        <v>69</v>
      </c>
      <c r="C19" s="12">
        <v>1</v>
      </c>
    </row>
    <row r="20" spans="2:7" ht="14" customHeight="1" x14ac:dyDescent="0.3">
      <c r="B20" s="4" t="s">
        <v>70</v>
      </c>
      <c r="C20" s="5">
        <v>1131877</v>
      </c>
    </row>
    <row r="22" spans="2:7" ht="14" customHeight="1" x14ac:dyDescent="0.3">
      <c r="B22" s="8" t="s">
        <v>71</v>
      </c>
      <c r="C22" s="9"/>
      <c r="D22" s="9"/>
      <c r="E22" s="9"/>
      <c r="F22" s="9"/>
      <c r="G22" s="9"/>
    </row>
    <row r="23" spans="2:7" ht="14" customHeight="1" x14ac:dyDescent="0.3">
      <c r="B23" s="4" t="s">
        <v>72</v>
      </c>
      <c r="C23" s="16">
        <f>C7+C8*C9+C10</f>
        <v>7.8699999999999992E-2</v>
      </c>
    </row>
    <row r="24" spans="2:7" ht="14" customHeight="1" x14ac:dyDescent="0.3">
      <c r="B24" s="4" t="s">
        <v>73</v>
      </c>
      <c r="C24" s="16">
        <f>1/(1+C12)</f>
        <v>0.97304660893256778</v>
      </c>
    </row>
    <row r="25" spans="2:7" ht="14" customHeight="1" x14ac:dyDescent="0.3">
      <c r="B25" s="4" t="s">
        <v>74</v>
      </c>
      <c r="C25" s="16">
        <f>C12/(1+C12)</f>
        <v>2.6953391067432126E-2</v>
      </c>
    </row>
    <row r="26" spans="2:7" ht="14" customHeight="1" x14ac:dyDescent="0.3">
      <c r="B26" s="4" t="s">
        <v>75</v>
      </c>
      <c r="C26" s="16">
        <f>C23*C24+C11*C25</f>
        <v>7.6818653303493231E-2</v>
      </c>
    </row>
    <row r="27" spans="2:7" ht="14" customHeight="1" x14ac:dyDescent="0.3">
      <c r="B27" s="4" t="s">
        <v>76</v>
      </c>
      <c r="C27" s="17" t="s">
        <v>77</v>
      </c>
      <c r="D27" s="6">
        <f>MATCH(C27,B69:B73,0)</f>
        <v>1</v>
      </c>
    </row>
    <row r="28" spans="2:7" ht="14" customHeight="1" x14ac:dyDescent="0.3">
      <c r="B28" s="8" t="s">
        <v>78</v>
      </c>
      <c r="C28" s="9"/>
      <c r="D28" s="9"/>
      <c r="E28" s="9"/>
      <c r="F28" s="9"/>
      <c r="G28" s="9"/>
    </row>
    <row r="29" spans="2:7" ht="14" customHeight="1" x14ac:dyDescent="0.3">
      <c r="C29" s="10" t="s">
        <v>79</v>
      </c>
      <c r="D29" s="10" t="s">
        <v>80</v>
      </c>
      <c r="E29" s="10" t="s">
        <v>81</v>
      </c>
      <c r="F29" s="10" t="s">
        <v>82</v>
      </c>
      <c r="G29" s="10" t="s">
        <v>83</v>
      </c>
    </row>
    <row r="30" spans="2:7" ht="14" customHeight="1" x14ac:dyDescent="0.3">
      <c r="B30" s="4" t="s">
        <v>40</v>
      </c>
      <c r="C30" s="18">
        <f>CHOOSE($D$27,C69,C70,C71,C72,C73)</f>
        <v>7.0000000000000007E-2</v>
      </c>
      <c r="D30" s="18">
        <f>CHOOSE($D$27,D69,D70,D71,D72,D73)</f>
        <v>0.06</v>
      </c>
      <c r="E30" s="18">
        <f>CHOOSE($D$27,E69,E70,E71,E72,E73)</f>
        <v>0.05</v>
      </c>
      <c r="F30" s="18">
        <f>CHOOSE($D$27,F69,F70,F71,F72,F73)</f>
        <v>0.04</v>
      </c>
      <c r="G30" s="18">
        <f>CHOOSE($D$27,G69,G70,G71,G72,G73)</f>
        <v>0.03</v>
      </c>
    </row>
    <row r="31" spans="2:7" ht="14" customHeight="1" x14ac:dyDescent="0.3">
      <c r="B31" s="4" t="s">
        <v>84</v>
      </c>
      <c r="C31" s="18">
        <f>CHOOSE($D$27,C76,C77,C78,C79,C80)</f>
        <v>0.47499999999999998</v>
      </c>
      <c r="D31" s="18">
        <f>CHOOSE($D$27,D76,D77,D78,D79,D80)</f>
        <v>0.47499999999999998</v>
      </c>
      <c r="E31" s="18">
        <f>CHOOSE($D$27,E76,E77,E78,E79,E80)</f>
        <v>0.47499999999999998</v>
      </c>
      <c r="F31" s="18">
        <f>CHOOSE($D$27,F76,F77,F78,F79,F80)</f>
        <v>0.47499999999999998</v>
      </c>
      <c r="G31" s="18">
        <f>CHOOSE($D$27,G76,G77,G78,G79,G80)</f>
        <v>0.47499999999999998</v>
      </c>
    </row>
    <row r="32" spans="2:7" ht="14" customHeight="1" x14ac:dyDescent="0.3">
      <c r="B32" s="4" t="s">
        <v>85</v>
      </c>
      <c r="C32" s="18">
        <f>CHOOSE($D$27,C83,C84,C85,C86,C87)</f>
        <v>0.36922199999999999</v>
      </c>
      <c r="D32" s="18">
        <f>CHOOSE($D$27,D83,D84,D85,D86,D87)</f>
        <v>0.36922199999999999</v>
      </c>
      <c r="E32" s="18">
        <f>CHOOSE($D$27,E83,E84,E85,E86,E87)</f>
        <v>0.36922199999999999</v>
      </c>
      <c r="F32" s="18">
        <f>CHOOSE($D$27,F83,F84,F85,F86,F87)</f>
        <v>0.36922199999999999</v>
      </c>
      <c r="G32" s="18">
        <f>CHOOSE($D$27,G83,G84,G85,G86,G87)</f>
        <v>0.36922199999999999</v>
      </c>
    </row>
    <row r="33" spans="2:7" ht="14" customHeight="1" x14ac:dyDescent="0.3">
      <c r="B33" s="4" t="s">
        <v>31</v>
      </c>
      <c r="C33" s="5">
        <f>C17*(1+C30)</f>
        <v>1211108.3900000001</v>
      </c>
      <c r="D33" s="5">
        <f>C33*(1+D30)</f>
        <v>1283774.8934000002</v>
      </c>
      <c r="E33" s="5">
        <f>D33*(1+E30)</f>
        <v>1347963.6380700003</v>
      </c>
      <c r="F33" s="5">
        <f>E33*(1+F30)</f>
        <v>1401882.1835928003</v>
      </c>
      <c r="G33" s="5">
        <f>F33*(1+G30)</f>
        <v>1443938.6491005844</v>
      </c>
    </row>
    <row r="34" spans="2:7" ht="14" customHeight="1" x14ac:dyDescent="0.3">
      <c r="B34" s="4" t="s">
        <v>32</v>
      </c>
      <c r="C34" s="5">
        <f>C33*C31</f>
        <v>575276.48525000003</v>
      </c>
      <c r="D34" s="5">
        <f>D33*D31</f>
        <v>609793.07436500001</v>
      </c>
      <c r="E34" s="5">
        <f>E33*E31</f>
        <v>640282.72808325011</v>
      </c>
      <c r="F34" s="5">
        <f>F33*F31</f>
        <v>665894.03720658005</v>
      </c>
      <c r="G34" s="5">
        <f>G33*G31</f>
        <v>685870.85832277755</v>
      </c>
    </row>
    <row r="35" spans="2:7" ht="14" customHeight="1" x14ac:dyDescent="0.3">
      <c r="B35" s="4" t="s">
        <v>33</v>
      </c>
      <c r="C35" s="19">
        <f>C33-C34</f>
        <v>635831.9047500001</v>
      </c>
      <c r="D35" s="19">
        <f>D33-D34</f>
        <v>673981.81903500017</v>
      </c>
      <c r="E35" s="19">
        <f>E33-E34</f>
        <v>707680.90998675022</v>
      </c>
      <c r="F35" s="19">
        <f>F33-F34</f>
        <v>735988.14638622024</v>
      </c>
      <c r="G35" s="19">
        <f>G33-G34</f>
        <v>758067.79077780689</v>
      </c>
    </row>
    <row r="36" spans="2:7" ht="14" customHeight="1" x14ac:dyDescent="0.3">
      <c r="B36" s="4" t="s">
        <v>34</v>
      </c>
      <c r="C36" s="7">
        <f>C35/C33</f>
        <v>0.52500000000000002</v>
      </c>
      <c r="D36" s="7">
        <f>D35/D33</f>
        <v>0.52500000000000002</v>
      </c>
      <c r="E36" s="7">
        <f>E35/E33</f>
        <v>0.52500000000000002</v>
      </c>
      <c r="F36" s="7">
        <f>F35/F33</f>
        <v>0.52500000000000002</v>
      </c>
      <c r="G36" s="7">
        <f>G35/G33</f>
        <v>0.52500000000000002</v>
      </c>
    </row>
    <row r="37" spans="2:7" ht="14" customHeight="1" x14ac:dyDescent="0.3">
      <c r="B37" s="4" t="s">
        <v>86</v>
      </c>
      <c r="C37" s="5">
        <f>C33*C32</f>
        <v>447167.86197258002</v>
      </c>
      <c r="D37" s="5">
        <f>D33*D32</f>
        <v>473997.93369093485</v>
      </c>
      <c r="E37" s="5">
        <f>E33*E32</f>
        <v>497697.83037548163</v>
      </c>
      <c r="F37" s="5">
        <f>F33*F32</f>
        <v>517605.7435905009</v>
      </c>
      <c r="G37" s="5">
        <f>G33*G32</f>
        <v>533133.91589821596</v>
      </c>
    </row>
    <row r="38" spans="2:7" ht="14" customHeight="1" x14ac:dyDescent="0.3">
      <c r="B38" s="4" t="s">
        <v>87</v>
      </c>
      <c r="C38" s="7">
        <f>(C35-C37)/C33</f>
        <v>0.15577800000000006</v>
      </c>
      <c r="D38" s="7">
        <f>(D35-D37)/D33</f>
        <v>0.15577800000000008</v>
      </c>
      <c r="E38" s="7">
        <f>(E35-E37)/E33</f>
        <v>0.15577800000000006</v>
      </c>
      <c r="F38" s="7">
        <f>(F35-F37)/F33</f>
        <v>0.15577800000000006</v>
      </c>
      <c r="G38" s="7">
        <f>(G35-G37)/G33</f>
        <v>0.15577800000000006</v>
      </c>
    </row>
    <row r="39" spans="2:7" ht="14" customHeight="1" x14ac:dyDescent="0.3">
      <c r="B39" s="4" t="s">
        <v>88</v>
      </c>
      <c r="C39" s="19">
        <f>C35-C37</f>
        <v>188664.04277742008</v>
      </c>
      <c r="D39" s="19">
        <f>D35-D37</f>
        <v>199983.88534406532</v>
      </c>
      <c r="E39" s="19">
        <f>E35-E37</f>
        <v>209983.07961126859</v>
      </c>
      <c r="F39" s="19">
        <f>F35-F37</f>
        <v>218382.40279571933</v>
      </c>
      <c r="G39" s="19">
        <f>G35-G37</f>
        <v>224933.87487959093</v>
      </c>
    </row>
    <row r="40" spans="2:7" ht="14" customHeight="1" x14ac:dyDescent="0.3">
      <c r="B40" s="4" t="s">
        <v>89</v>
      </c>
      <c r="C40" s="5">
        <f>MAX(0,C39*C6)</f>
        <v>47166.01069435502</v>
      </c>
      <c r="D40" s="5">
        <f>MAX(0,D39*C6)</f>
        <v>49995.97133601633</v>
      </c>
      <c r="E40" s="5">
        <f>MAX(0,E39*C6)</f>
        <v>52495.769902817148</v>
      </c>
      <c r="F40" s="5">
        <f>MAX(0,F39*C6)</f>
        <v>54595.600698929833</v>
      </c>
      <c r="G40" s="5">
        <f>MAX(0,G39*C6)</f>
        <v>56233.468719897734</v>
      </c>
    </row>
    <row r="41" spans="2:7" ht="14" customHeight="1" x14ac:dyDescent="0.3">
      <c r="B41" s="4" t="s">
        <v>90</v>
      </c>
      <c r="C41" s="19">
        <f>C39-C40</f>
        <v>141498.03208306507</v>
      </c>
      <c r="D41" s="19">
        <f>D39-D40</f>
        <v>149987.914008049</v>
      </c>
      <c r="E41" s="19">
        <f>E39-E40</f>
        <v>157487.30970845144</v>
      </c>
      <c r="F41" s="19">
        <f>F39-F40</f>
        <v>163786.8020967895</v>
      </c>
      <c r="G41" s="19">
        <f>G39-G40</f>
        <v>168700.4061596932</v>
      </c>
    </row>
    <row r="42" spans="2:7" ht="14" customHeight="1" x14ac:dyDescent="0.3">
      <c r="B42" s="4" t="s">
        <v>91</v>
      </c>
      <c r="C42" s="5">
        <f>C33*C18</f>
        <v>101733.10476000002</v>
      </c>
      <c r="D42" s="5">
        <f>D33*C18</f>
        <v>107837.09104560003</v>
      </c>
      <c r="E42" s="5">
        <f>E33*C18</f>
        <v>113228.94559788004</v>
      </c>
      <c r="F42" s="5">
        <f>F33*C18</f>
        <v>117758.10342179523</v>
      </c>
      <c r="G42" s="5">
        <f>G33*C18</f>
        <v>121290.84652444909</v>
      </c>
    </row>
    <row r="43" spans="2:7" ht="14" customHeight="1" x14ac:dyDescent="0.3">
      <c r="B43" s="4" t="s">
        <v>92</v>
      </c>
      <c r="C43" s="5">
        <f>C33*C5</f>
        <v>106819.75999800001</v>
      </c>
      <c r="D43" s="5">
        <f>D33*C5</f>
        <v>113228.94559788001</v>
      </c>
      <c r="E43" s="5">
        <f>E33*C5</f>
        <v>118890.39287777404</v>
      </c>
      <c r="F43" s="5">
        <f>F33*C5</f>
        <v>123646.00859288499</v>
      </c>
      <c r="G43" s="5">
        <f>G33*C5</f>
        <v>127355.38885067154</v>
      </c>
    </row>
    <row r="44" spans="2:7" ht="14" customHeight="1" x14ac:dyDescent="0.3">
      <c r="B44" s="4" t="s">
        <v>93</v>
      </c>
      <c r="C44" s="5">
        <f>'NWC Schedule'!D19</f>
        <v>5803.5406678083818</v>
      </c>
      <c r="D44" s="5">
        <f>'NWC Schedule'!E19</f>
        <v>27996.512440068356</v>
      </c>
      <c r="E44" s="5">
        <f>'NWC Schedule'!F19</f>
        <v>24730.252655393968</v>
      </c>
      <c r="F44" s="5">
        <f>'NWC Schedule'!G19</f>
        <v>20773.412230530754</v>
      </c>
      <c r="G44" s="5">
        <f>'NWC Schedule'!H19</f>
        <v>16203.261539814062</v>
      </c>
    </row>
    <row r="45" spans="2:7" ht="14" customHeight="1" x14ac:dyDescent="0.3">
      <c r="B45" s="4" t="s">
        <v>94</v>
      </c>
      <c r="C45" s="20">
        <f>C41+C42-C43-C44</f>
        <v>130607.83617725672</v>
      </c>
      <c r="D45" s="20">
        <f>D41+D42-D43-D44</f>
        <v>116599.54701570066</v>
      </c>
      <c r="E45" s="20">
        <f>E41+E42-E43-E44</f>
        <v>127095.60977316351</v>
      </c>
      <c r="F45" s="20">
        <f>F41+F42-F43-F44</f>
        <v>137125.48469516897</v>
      </c>
      <c r="G45" s="20">
        <f>G41+G42-G43-G44</f>
        <v>146432.60229365673</v>
      </c>
    </row>
    <row r="46" spans="2:7" ht="14" customHeight="1" x14ac:dyDescent="0.3">
      <c r="B46" s="4" t="s">
        <v>95</v>
      </c>
      <c r="C46" s="21">
        <f>1/(1+C26)^(C19+0)</f>
        <v>0.92866147603607463</v>
      </c>
      <c r="D46" s="21">
        <f>1/(1+C26)^(C19+1)</f>
        <v>0.86241213707350062</v>
      </c>
      <c r="E46" s="21">
        <f>1/(1+C26)^(C19+2)</f>
        <v>0.80088892816610269</v>
      </c>
      <c r="F46" s="21">
        <f>1/(1+C26)^(C19+3)</f>
        <v>0.74375469417168238</v>
      </c>
      <c r="G46" s="21">
        <f>1/(1+C26)^(C19+4)</f>
        <v>0.69069633209823389</v>
      </c>
    </row>
    <row r="47" spans="2:7" ht="14" customHeight="1" x14ac:dyDescent="0.3">
      <c r="B47" s="4" t="s">
        <v>96</v>
      </c>
      <c r="C47" s="19">
        <f>C45*C46</f>
        <v>121290.46592624905</v>
      </c>
      <c r="D47" s="19">
        <f>D45*D46</f>
        <v>100556.86452361252</v>
      </c>
      <c r="E47" s="19">
        <f>E45*E46</f>
        <v>101789.46668584617</v>
      </c>
      <c r="F47" s="19">
        <f>F45*F46</f>
        <v>101987.72293259911</v>
      </c>
      <c r="G47" s="19">
        <f>G45*G46</f>
        <v>101140.46130382814</v>
      </c>
    </row>
    <row r="49" spans="2:7" ht="14" customHeight="1" x14ac:dyDescent="0.3">
      <c r="B49" s="22" t="s">
        <v>97</v>
      </c>
      <c r="C49" s="23"/>
      <c r="D49" s="23"/>
      <c r="E49" s="23"/>
      <c r="F49" s="23"/>
      <c r="G49" s="23"/>
    </row>
    <row r="50" spans="2:7" ht="14" customHeight="1" x14ac:dyDescent="0.3">
      <c r="B50" s="4" t="s">
        <v>98</v>
      </c>
      <c r="C50" s="5">
        <f>SUM(C47:G47)</f>
        <v>526764.98137213499</v>
      </c>
    </row>
    <row r="51" spans="2:7" ht="14" customHeight="1" x14ac:dyDescent="0.3">
      <c r="B51" s="4" t="s">
        <v>99</v>
      </c>
      <c r="C51" s="5">
        <f>G45*(1+C13)/(C26-C13)</f>
        <v>2213407.7986402838</v>
      </c>
    </row>
    <row r="52" spans="2:7" ht="14" customHeight="1" x14ac:dyDescent="0.3">
      <c r="B52" s="4" t="s">
        <v>100</v>
      </c>
      <c r="C52" s="5">
        <f>C51*G46</f>
        <v>1528792.6479584703</v>
      </c>
    </row>
    <row r="53" spans="2:7" ht="14" customHeight="1" x14ac:dyDescent="0.3">
      <c r="B53" s="4" t="s">
        <v>101</v>
      </c>
      <c r="C53" s="5">
        <f>C50+C52</f>
        <v>2055557.6293306053</v>
      </c>
    </row>
    <row r="54" spans="2:7" ht="14" customHeight="1" x14ac:dyDescent="0.3">
      <c r="B54" s="4" t="s">
        <v>102</v>
      </c>
      <c r="C54" s="5">
        <f>C53-C16</f>
        <v>1956255.6293306053</v>
      </c>
    </row>
    <row r="55" spans="2:7" ht="14" customHeight="1" x14ac:dyDescent="0.3">
      <c r="B55" s="4" t="s">
        <v>103</v>
      </c>
      <c r="C55" s="24">
        <f>ROUND(C54*1000000/C15,0)</f>
        <v>1326</v>
      </c>
    </row>
    <row r="57" spans="2:7" ht="14" customHeight="1" x14ac:dyDescent="0.3">
      <c r="B57" s="22" t="s">
        <v>104</v>
      </c>
      <c r="C57" s="23"/>
      <c r="D57" s="23"/>
      <c r="E57" s="23"/>
      <c r="F57" s="23"/>
      <c r="G57" s="23"/>
    </row>
    <row r="58" spans="2:7" ht="14" customHeight="1" x14ac:dyDescent="0.3">
      <c r="B58" s="4" t="s">
        <v>98</v>
      </c>
      <c r="C58" s="5">
        <f>C50</f>
        <v>526764.98137213499</v>
      </c>
    </row>
    <row r="59" spans="2:7" ht="14" customHeight="1" x14ac:dyDescent="0.3">
      <c r="B59" s="4" t="s">
        <v>105</v>
      </c>
      <c r="C59" s="5">
        <f>G39+G42</f>
        <v>346224.72140404</v>
      </c>
    </row>
    <row r="60" spans="2:7" ht="14" customHeight="1" x14ac:dyDescent="0.3">
      <c r="B60" s="4" t="s">
        <v>106</v>
      </c>
      <c r="C60" s="5">
        <f>C59*C14</f>
        <v>4362431.4896909036</v>
      </c>
    </row>
    <row r="61" spans="2:7" ht="14" customHeight="1" x14ac:dyDescent="0.3">
      <c r="B61" s="4" t="s">
        <v>100</v>
      </c>
      <c r="C61" s="5">
        <f>C60*G46</f>
        <v>3013115.4289593417</v>
      </c>
    </row>
    <row r="62" spans="2:7" ht="14" customHeight="1" x14ac:dyDescent="0.3">
      <c r="B62" s="4" t="s">
        <v>101</v>
      </c>
      <c r="C62" s="5">
        <f>C58+C61</f>
        <v>3539880.4103314765</v>
      </c>
    </row>
    <row r="63" spans="2:7" ht="14" customHeight="1" x14ac:dyDescent="0.3">
      <c r="B63" s="4" t="s">
        <v>102</v>
      </c>
      <c r="C63" s="5">
        <f>C62-C16</f>
        <v>3440578.4103314765</v>
      </c>
    </row>
    <row r="64" spans="2:7" ht="14" customHeight="1" x14ac:dyDescent="0.3">
      <c r="B64" s="4" t="s">
        <v>107</v>
      </c>
      <c r="C64" s="24">
        <f>ROUND(C63*1000000/C15,0)</f>
        <v>2332</v>
      </c>
    </row>
    <row r="66" spans="2:7" ht="14" customHeight="1" x14ac:dyDescent="0.3">
      <c r="B66" s="22" t="s">
        <v>108</v>
      </c>
      <c r="C66" s="23"/>
      <c r="D66" s="23"/>
      <c r="E66" s="23"/>
      <c r="F66" s="23"/>
      <c r="G66" s="23"/>
    </row>
    <row r="67" spans="2:7" ht="14" customHeight="1" x14ac:dyDescent="0.3">
      <c r="C67" s="25" t="s">
        <v>109</v>
      </c>
      <c r="D67" s="25" t="s">
        <v>110</v>
      </c>
      <c r="E67" s="25" t="s">
        <v>111</v>
      </c>
      <c r="F67" s="25" t="s">
        <v>112</v>
      </c>
      <c r="G67" s="25" t="s">
        <v>113</v>
      </c>
    </row>
    <row r="68" spans="2:7" ht="14" customHeight="1" x14ac:dyDescent="0.3">
      <c r="B68" s="3" t="s">
        <v>40</v>
      </c>
    </row>
    <row r="69" spans="2:7" ht="14" customHeight="1" x14ac:dyDescent="0.3">
      <c r="B69" s="4" t="s">
        <v>77</v>
      </c>
      <c r="C69" s="26">
        <v>7.0000000000000007E-2</v>
      </c>
      <c r="D69" s="26">
        <v>0.06</v>
      </c>
      <c r="E69" s="26">
        <v>0.05</v>
      </c>
      <c r="F69" s="26">
        <v>0.04</v>
      </c>
      <c r="G69" s="26">
        <v>0.03</v>
      </c>
    </row>
    <row r="70" spans="2:7" ht="14" customHeight="1" x14ac:dyDescent="0.3">
      <c r="B70" s="4" t="s">
        <v>114</v>
      </c>
      <c r="C70" s="26">
        <v>0.09</v>
      </c>
      <c r="D70" s="26">
        <v>7.4999999999999997E-2</v>
      </c>
      <c r="E70" s="26">
        <v>0.06</v>
      </c>
      <c r="F70" s="26">
        <v>0.05</v>
      </c>
      <c r="G70" s="26">
        <v>0.04</v>
      </c>
    </row>
    <row r="71" spans="2:7" ht="14" customHeight="1" x14ac:dyDescent="0.3">
      <c r="B71" s="4" t="s">
        <v>115</v>
      </c>
      <c r="C71" s="26">
        <v>7.0000000000000007E-2</v>
      </c>
      <c r="D71" s="26">
        <v>0.06</v>
      </c>
      <c r="E71" s="26">
        <v>0.05</v>
      </c>
      <c r="F71" s="26">
        <v>0.04</v>
      </c>
      <c r="G71" s="26">
        <v>0.03</v>
      </c>
    </row>
    <row r="72" spans="2:7" ht="14" customHeight="1" x14ac:dyDescent="0.3">
      <c r="B72" s="4" t="s">
        <v>116</v>
      </c>
      <c r="C72" s="26">
        <v>0.02</v>
      </c>
      <c r="D72" s="26">
        <v>1.4999999999999999E-2</v>
      </c>
      <c r="E72" s="26">
        <v>0.01</v>
      </c>
      <c r="F72" s="26">
        <v>0.01</v>
      </c>
      <c r="G72" s="26">
        <v>0.01</v>
      </c>
    </row>
    <row r="73" spans="2:7" ht="14" customHeight="1" x14ac:dyDescent="0.3">
      <c r="B73" s="4" t="s">
        <v>117</v>
      </c>
      <c r="C73" s="26">
        <v>-0.06</v>
      </c>
      <c r="D73" s="26">
        <v>-0.01</v>
      </c>
      <c r="E73" s="26">
        <v>5.0000000000000001E-3</v>
      </c>
      <c r="F73" s="26">
        <v>0.01</v>
      </c>
      <c r="G73" s="26">
        <v>1.4999999999999999E-2</v>
      </c>
    </row>
    <row r="75" spans="2:7" ht="14" customHeight="1" x14ac:dyDescent="0.3">
      <c r="B75" s="3" t="s">
        <v>84</v>
      </c>
    </row>
    <row r="76" spans="2:7" ht="14" customHeight="1" x14ac:dyDescent="0.3">
      <c r="B76" s="4" t="s">
        <v>77</v>
      </c>
      <c r="C76" s="26">
        <v>0.47499999999999998</v>
      </c>
      <c r="D76" s="26">
        <v>0.47499999999999998</v>
      </c>
      <c r="E76" s="26">
        <v>0.47499999999999998</v>
      </c>
      <c r="F76" s="26">
        <v>0.47499999999999998</v>
      </c>
      <c r="G76" s="26">
        <v>0.47499999999999998</v>
      </c>
    </row>
    <row r="77" spans="2:7" ht="14" customHeight="1" x14ac:dyDescent="0.3">
      <c r="B77" s="4" t="s">
        <v>114</v>
      </c>
      <c r="C77" s="26">
        <v>0.47</v>
      </c>
      <c r="D77" s="26">
        <v>0.47</v>
      </c>
      <c r="E77" s="26">
        <v>0.47</v>
      </c>
      <c r="F77" s="26">
        <v>0.47</v>
      </c>
      <c r="G77" s="26">
        <v>0.47</v>
      </c>
    </row>
    <row r="78" spans="2:7" ht="14" customHeight="1" x14ac:dyDescent="0.3">
      <c r="B78" s="4" t="s">
        <v>115</v>
      </c>
      <c r="C78" s="26">
        <v>0.47499999999999998</v>
      </c>
      <c r="D78" s="26">
        <v>0.47499999999999998</v>
      </c>
      <c r="E78" s="26">
        <v>0.47499999999999998</v>
      </c>
      <c r="F78" s="26">
        <v>0.47499999999999998</v>
      </c>
      <c r="G78" s="26">
        <v>0.47499999999999998</v>
      </c>
    </row>
    <row r="79" spans="2:7" ht="14" customHeight="1" x14ac:dyDescent="0.3">
      <c r="B79" s="4" t="s">
        <v>116</v>
      </c>
      <c r="C79" s="26">
        <v>0.48</v>
      </c>
      <c r="D79" s="26">
        <v>0.48</v>
      </c>
      <c r="E79" s="26">
        <v>0.48</v>
      </c>
      <c r="F79" s="26">
        <v>0.48</v>
      </c>
      <c r="G79" s="26">
        <v>0.48</v>
      </c>
    </row>
    <row r="80" spans="2:7" ht="14" customHeight="1" x14ac:dyDescent="0.3">
      <c r="B80" s="4" t="s">
        <v>117</v>
      </c>
      <c r="C80" s="26">
        <v>0.495</v>
      </c>
      <c r="D80" s="26">
        <v>0.495</v>
      </c>
      <c r="E80" s="26">
        <v>0.495</v>
      </c>
      <c r="F80" s="26">
        <v>0.495</v>
      </c>
      <c r="G80" s="26">
        <v>0.495</v>
      </c>
    </row>
    <row r="82" spans="2:7" ht="14" customHeight="1" x14ac:dyDescent="0.3">
      <c r="B82" s="3" t="s">
        <v>85</v>
      </c>
    </row>
    <row r="83" spans="2:7" ht="14" customHeight="1" x14ac:dyDescent="0.3">
      <c r="B83" s="4" t="s">
        <v>77</v>
      </c>
      <c r="C83" s="26">
        <v>0.36922199999999999</v>
      </c>
      <c r="D83" s="26">
        <v>0.36922199999999999</v>
      </c>
      <c r="E83" s="26">
        <v>0.36922199999999999</v>
      </c>
      <c r="F83" s="26">
        <v>0.36922199999999999</v>
      </c>
      <c r="G83" s="26">
        <v>0.36922199999999999</v>
      </c>
    </row>
    <row r="84" spans="2:7" ht="14" customHeight="1" x14ac:dyDescent="0.3">
      <c r="B84" s="4" t="s">
        <v>114</v>
      </c>
      <c r="C84" s="26">
        <v>0.372</v>
      </c>
      <c r="D84" s="26">
        <v>0.37</v>
      </c>
      <c r="E84" s="26">
        <v>0.36799999999999999</v>
      </c>
      <c r="F84" s="26">
        <v>0.36599999999999999</v>
      </c>
      <c r="G84" s="26">
        <v>0.36420000000000002</v>
      </c>
    </row>
    <row r="85" spans="2:7" ht="14" customHeight="1" x14ac:dyDescent="0.3">
      <c r="B85" s="4" t="s">
        <v>115</v>
      </c>
      <c r="C85" s="26">
        <v>0.36922199999999999</v>
      </c>
      <c r="D85" s="26">
        <v>0.36922199999999999</v>
      </c>
      <c r="E85" s="26">
        <v>0.36922199999999999</v>
      </c>
      <c r="F85" s="26">
        <v>0.36922199999999999</v>
      </c>
      <c r="G85" s="26">
        <v>0.36922199999999999</v>
      </c>
    </row>
    <row r="86" spans="2:7" ht="14" customHeight="1" x14ac:dyDescent="0.3">
      <c r="B86" s="4" t="s">
        <v>116</v>
      </c>
      <c r="C86" s="26">
        <v>0.36699999999999999</v>
      </c>
      <c r="D86" s="26">
        <v>0.36799999999999999</v>
      </c>
      <c r="E86" s="26">
        <v>0.36899999999999999</v>
      </c>
      <c r="F86" s="26">
        <v>0.37</v>
      </c>
      <c r="G86" s="26">
        <v>0.37030000000000002</v>
      </c>
    </row>
    <row r="87" spans="2:7" ht="14" customHeight="1" x14ac:dyDescent="0.3">
      <c r="B87" s="4" t="s">
        <v>117</v>
      </c>
      <c r="C87" s="26">
        <v>0.41499999999999998</v>
      </c>
      <c r="D87" s="26">
        <v>0.42699999999999999</v>
      </c>
      <c r="E87" s="26">
        <v>0.42699999999999999</v>
      </c>
      <c r="F87" s="26">
        <v>0.42299999999999999</v>
      </c>
      <c r="G87" s="26">
        <v>0.41899999999999998</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118</v>
      </c>
    </row>
    <row r="3" spans="2:9" ht="14" customHeight="1" x14ac:dyDescent="0.3">
      <c r="B3" s="1" t="s">
        <v>119</v>
      </c>
    </row>
    <row r="5" spans="2:9" ht="14" customHeight="1" x14ac:dyDescent="0.3">
      <c r="B5" s="8" t="s">
        <v>120</v>
      </c>
      <c r="C5" s="9"/>
      <c r="D5" s="9"/>
      <c r="E5" s="9"/>
      <c r="F5" s="9"/>
      <c r="G5" s="9"/>
      <c r="H5" s="9"/>
      <c r="I5" s="9"/>
    </row>
    <row r="6" spans="2:9" ht="14" customHeight="1" x14ac:dyDescent="0.3">
      <c r="B6" s="4" t="s">
        <v>121</v>
      </c>
      <c r="C6" s="15">
        <f>'Executive Summary'!C9</f>
        <v>2432</v>
      </c>
    </row>
    <row r="7" spans="2:9" ht="14" customHeight="1" x14ac:dyDescent="0.3">
      <c r="B7" s="4" t="s">
        <v>65</v>
      </c>
      <c r="C7" s="15">
        <f>'DCF Model'!C15</f>
        <v>1475101493</v>
      </c>
    </row>
    <row r="8" spans="2:9" ht="14" customHeight="1" x14ac:dyDescent="0.3">
      <c r="B8" s="4" t="s">
        <v>122</v>
      </c>
      <c r="C8" s="5">
        <f>C6*C7/1000000</f>
        <v>3587446.8309760001</v>
      </c>
    </row>
    <row r="9" spans="2:9" ht="14" customHeight="1" x14ac:dyDescent="0.3">
      <c r="B9" s="4" t="s">
        <v>66</v>
      </c>
      <c r="C9" s="5">
        <f>'DCF Model'!C16</f>
        <v>99302</v>
      </c>
    </row>
    <row r="10" spans="2:9" ht="14" customHeight="1" x14ac:dyDescent="0.3">
      <c r="B10" s="4" t="s">
        <v>123</v>
      </c>
      <c r="C10" s="5">
        <f>C8+C9</f>
        <v>3686748.8309760001</v>
      </c>
    </row>
    <row r="11" spans="2:9" ht="14" customHeight="1" x14ac:dyDescent="0.3">
      <c r="B11" s="4" t="s">
        <v>124</v>
      </c>
      <c r="C11" s="16">
        <f>'DCF Model'!C26</f>
        <v>7.6818653303493231E-2</v>
      </c>
    </row>
    <row r="12" spans="2:9" ht="14" customHeight="1" x14ac:dyDescent="0.3">
      <c r="B12" s="4" t="s">
        <v>125</v>
      </c>
      <c r="C12" s="16">
        <f>'DCF Model'!C13</f>
        <v>0.01</v>
      </c>
    </row>
    <row r="13" spans="2:9" ht="14" customHeight="1" x14ac:dyDescent="0.3">
      <c r="B13" s="4" t="s">
        <v>126</v>
      </c>
      <c r="C13" s="16">
        <f>'DCF Model'!C6</f>
        <v>0.25</v>
      </c>
    </row>
    <row r="14" spans="2:9" ht="14" customHeight="1" x14ac:dyDescent="0.3">
      <c r="B14" s="4" t="s">
        <v>127</v>
      </c>
      <c r="C14" s="27">
        <v>176321</v>
      </c>
    </row>
    <row r="15" spans="2:9" ht="14" customHeight="1" x14ac:dyDescent="0.3">
      <c r="B15" s="4" t="s">
        <v>128</v>
      </c>
      <c r="C15" s="27">
        <v>176321</v>
      </c>
    </row>
    <row r="16" spans="2:9" ht="14" customHeight="1" x14ac:dyDescent="0.3">
      <c r="B16" s="4" t="s">
        <v>129</v>
      </c>
      <c r="C16" s="5">
        <f>'DCF Model'!G33</f>
        <v>1443938.6491005844</v>
      </c>
    </row>
    <row r="17" spans="2:9" ht="14" customHeight="1" x14ac:dyDescent="0.3">
      <c r="B17" s="4" t="s">
        <v>130</v>
      </c>
      <c r="C17" s="5">
        <f>'DCF Model'!C53</f>
        <v>2055557.6293306053</v>
      </c>
    </row>
    <row r="18" spans="2:9" ht="14" customHeight="1" x14ac:dyDescent="0.3">
      <c r="B18" s="4" t="s">
        <v>131</v>
      </c>
      <c r="C18" s="26">
        <v>0.15577752706345299</v>
      </c>
    </row>
    <row r="19" spans="2:9" ht="14" customHeight="1" x14ac:dyDescent="0.3">
      <c r="B19" s="4" t="s">
        <v>132</v>
      </c>
      <c r="C19" s="5">
        <f>C10-C17</f>
        <v>1631191.2016453948</v>
      </c>
    </row>
    <row r="20" spans="2:9" ht="14" customHeight="1" x14ac:dyDescent="0.3">
      <c r="B20" s="4" t="s">
        <v>133</v>
      </c>
      <c r="C20" s="15">
        <f>IFERROR(ROUND(C19*1000000/C7,0),"N/A")</f>
        <v>1106</v>
      </c>
    </row>
    <row r="22" spans="2:9" ht="14" customHeight="1" x14ac:dyDescent="0.3">
      <c r="B22" s="8" t="s">
        <v>134</v>
      </c>
      <c r="C22" s="9"/>
      <c r="D22" s="9"/>
      <c r="E22" s="9"/>
      <c r="F22" s="9"/>
      <c r="G22" s="9"/>
      <c r="H22" s="9"/>
      <c r="I22" s="9"/>
    </row>
    <row r="23" spans="2:9" ht="14" customHeight="1" x14ac:dyDescent="0.3">
      <c r="B23" s="1" t="s">
        <v>135</v>
      </c>
    </row>
    <row r="24" spans="2:9" ht="14" customHeight="1" x14ac:dyDescent="0.3">
      <c r="B24" s="4" t="s">
        <v>136</v>
      </c>
      <c r="C24" s="5">
        <f>C10*(C11-C12)</f>
        <v>246343.59195404433</v>
      </c>
    </row>
    <row r="25" spans="2:9" ht="14" customHeight="1" x14ac:dyDescent="0.3">
      <c r="B25" s="4" t="s">
        <v>137</v>
      </c>
      <c r="C25" s="5">
        <f>IFERROR(C24/(1-C13),"N/A")</f>
        <v>328458.12260539242</v>
      </c>
    </row>
    <row r="26" spans="2:9" ht="13.5" customHeight="1" x14ac:dyDescent="0.25">
      <c r="B26" s="6" t="s">
        <v>138</v>
      </c>
      <c r="C26" s="14">
        <f>IFERROR(C25/C15,"N/A")</f>
        <v>1.8628417636321959</v>
      </c>
    </row>
    <row r="27" spans="2:9" ht="13.5" customHeight="1" x14ac:dyDescent="0.25">
      <c r="B27" s="6" t="s">
        <v>139</v>
      </c>
      <c r="C27" s="14">
        <f>IFERROR(C25/C14,"N/A")</f>
        <v>1.8628417636321959</v>
      </c>
    </row>
    <row r="28" spans="2:9" ht="13.5" customHeight="1" x14ac:dyDescent="0.25">
      <c r="B28" s="6" t="s">
        <v>140</v>
      </c>
      <c r="C28" s="7">
        <f>IFERROR(C25/C16,"N/A")</f>
        <v>0.22747373845141264</v>
      </c>
    </row>
    <row r="29" spans="2:9" ht="13.5" customHeight="1" x14ac:dyDescent="0.25">
      <c r="B29" s="6" t="s">
        <v>141</v>
      </c>
      <c r="C29" s="5">
        <f>IFERROR(C25/C18,"N/A")</f>
        <v>2108507.7468947191</v>
      </c>
    </row>
    <row r="32" spans="2:9" ht="14" customHeight="1" x14ac:dyDescent="0.3">
      <c r="B32" s="8" t="s">
        <v>142</v>
      </c>
      <c r="C32" s="9"/>
      <c r="D32" s="9"/>
      <c r="E32" s="9"/>
      <c r="F32" s="9"/>
      <c r="G32" s="9"/>
      <c r="H32" s="9"/>
      <c r="I32" s="9"/>
    </row>
    <row r="33" spans="2:9" ht="14" customHeight="1" x14ac:dyDescent="0.3">
      <c r="B33" s="1" t="s">
        <v>143</v>
      </c>
    </row>
    <row r="34" spans="2:9" ht="14" customHeight="1" x14ac:dyDescent="0.3">
      <c r="B34" s="1" t="s">
        <v>144</v>
      </c>
    </row>
    <row r="36" spans="2:9" ht="14" customHeight="1" x14ac:dyDescent="0.3">
      <c r="B36" s="28" t="s">
        <v>145</v>
      </c>
      <c r="C36" s="28" t="s">
        <v>146</v>
      </c>
      <c r="D36" s="29">
        <f>'DCF Model'!C26-0.02</f>
        <v>5.6818653303493227E-2</v>
      </c>
      <c r="E36" s="29">
        <f>'DCF Model'!C26-0.01</f>
        <v>6.6818653303493236E-2</v>
      </c>
      <c r="F36" s="29">
        <f>'DCF Model'!C26</f>
        <v>7.6818653303493231E-2</v>
      </c>
      <c r="G36" s="29">
        <f>'DCF Model'!C26+0.01</f>
        <v>8.6818653303493226E-2</v>
      </c>
      <c r="H36" s="29">
        <f>'DCF Model'!C26+0.02</f>
        <v>9.6818653303493235E-2</v>
      </c>
    </row>
    <row r="37" spans="2:9" ht="14" customHeight="1" x14ac:dyDescent="0.3">
      <c r="B37" s="3" t="s">
        <v>147</v>
      </c>
    </row>
    <row r="38" spans="2:9" ht="14" customHeight="1" x14ac:dyDescent="0.3">
      <c r="B38" s="4" t="s">
        <v>148</v>
      </c>
      <c r="C38" s="30">
        <v>3</v>
      </c>
      <c r="D38" s="13">
        <f t="shared" ref="D38:H41" si="0">IFERROR((1-(1+D$36)^(-$C38))/D$36-(1+D$36)/(D$36^2*$C38)*(1-($C38+1)/(1+D$36)^$C38+$C38/(1+D$36)^($C38+1)),"N/A")</f>
        <v>0.92927836697412736</v>
      </c>
      <c r="E38" s="13">
        <f t="shared" si="0"/>
        <v>0.91779623710493419</v>
      </c>
      <c r="F38" s="13">
        <f t="shared" si="0"/>
        <v>0.90657836304859707</v>
      </c>
      <c r="G38" s="13">
        <f t="shared" si="0"/>
        <v>0.89561605571480518</v>
      </c>
      <c r="H38" s="13">
        <f t="shared" si="0"/>
        <v>0.8849009932969385</v>
      </c>
    </row>
    <row r="39" spans="2:9" ht="14" customHeight="1" x14ac:dyDescent="0.3">
      <c r="B39" s="4" t="s">
        <v>149</v>
      </c>
      <c r="C39" s="30">
        <v>5</v>
      </c>
      <c r="D39" s="13">
        <f t="shared" si="0"/>
        <v>1.7934313891611522</v>
      </c>
      <c r="E39" s="13">
        <f t="shared" si="0"/>
        <v>1.7609428646686647</v>
      </c>
      <c r="F39" s="13">
        <f t="shared" si="0"/>
        <v>1.7294829731737535</v>
      </c>
      <c r="G39" s="13">
        <f t="shared" si="0"/>
        <v>1.6990072775601446</v>
      </c>
      <c r="H39" s="13">
        <f t="shared" si="0"/>
        <v>1.6694737242241637</v>
      </c>
    </row>
    <row r="40" spans="2:9" ht="14" customHeight="1" x14ac:dyDescent="0.3">
      <c r="B40" s="4" t="s">
        <v>150</v>
      </c>
      <c r="C40" s="30">
        <v>7</v>
      </c>
      <c r="D40" s="13">
        <f t="shared" si="0"/>
        <v>2.5975842784720773</v>
      </c>
      <c r="E40" s="13">
        <f t="shared" si="0"/>
        <v>2.5362559205868354</v>
      </c>
      <c r="F40" s="13">
        <f t="shared" si="0"/>
        <v>2.4773807251741564</v>
      </c>
      <c r="G40" s="13">
        <f t="shared" si="0"/>
        <v>2.4208281642207465</v>
      </c>
      <c r="H40" s="13">
        <f t="shared" si="0"/>
        <v>2.3664761549781423</v>
      </c>
    </row>
    <row r="41" spans="2:9" ht="14" customHeight="1" x14ac:dyDescent="0.3">
      <c r="B41" s="4" t="s">
        <v>151</v>
      </c>
      <c r="C41" s="30">
        <v>10</v>
      </c>
      <c r="D41" s="13">
        <f t="shared" si="0"/>
        <v>3.7014762733260977</v>
      </c>
      <c r="E41" s="13">
        <f t="shared" si="0"/>
        <v>3.5853324015773964</v>
      </c>
      <c r="F41" s="13">
        <f t="shared" si="0"/>
        <v>3.4752220433583854</v>
      </c>
      <c r="G41" s="13">
        <f t="shared" si="0"/>
        <v>3.3707370315501701</v>
      </c>
      <c r="H41" s="13">
        <f t="shared" si="0"/>
        <v>3.2715021518081029</v>
      </c>
    </row>
    <row r="42" spans="2:9" ht="14" customHeight="1" x14ac:dyDescent="0.3">
      <c r="B42" s="3" t="s">
        <v>152</v>
      </c>
    </row>
    <row r="43" spans="2:9" ht="14" customHeight="1" x14ac:dyDescent="0.3">
      <c r="B43" s="4" t="s">
        <v>148</v>
      </c>
      <c r="C43" s="30">
        <v>3</v>
      </c>
      <c r="D43" s="13">
        <f t="shared" ref="D43:H46" si="1">IFERROR((1+D$36)/(D$36^2*$C43)*(1-($C43+1)/(1+D$36)^$C43+$C43/(1+D$36)^($C43+1))+(1+$C$12)/((D$36-$C$12)*(1+D$36)^$C43),"N/A")</f>
        <v>20.036382563034479</v>
      </c>
      <c r="E43" s="13">
        <f t="shared" si="1"/>
        <v>16.36244044877138</v>
      </c>
      <c r="F43" s="13">
        <f t="shared" si="1"/>
        <v>13.791252486792271</v>
      </c>
      <c r="G43" s="13">
        <f t="shared" si="1"/>
        <v>11.892068226044845</v>
      </c>
      <c r="H43" s="13">
        <f t="shared" si="1"/>
        <v>10.432600606728492</v>
      </c>
    </row>
    <row r="44" spans="2:9" ht="14" customHeight="1" x14ac:dyDescent="0.3">
      <c r="B44" s="4" t="s">
        <v>149</v>
      </c>
      <c r="C44" s="30">
        <v>5</v>
      </c>
      <c r="D44" s="13">
        <f t="shared" si="1"/>
        <v>18.820041013818237</v>
      </c>
      <c r="E44" s="13">
        <f t="shared" si="1"/>
        <v>15.238460242949428</v>
      </c>
      <c r="F44" s="13">
        <f t="shared" si="1"/>
        <v>12.73717835349191</v>
      </c>
      <c r="G44" s="13">
        <f t="shared" si="1"/>
        <v>10.893966363459676</v>
      </c>
      <c r="H44" s="13">
        <f t="shared" si="1"/>
        <v>9.4811462525809329</v>
      </c>
    </row>
    <row r="45" spans="2:9" ht="14" customHeight="1" x14ac:dyDescent="0.3">
      <c r="B45" s="4" t="s">
        <v>150</v>
      </c>
      <c r="C45" s="30">
        <v>7</v>
      </c>
      <c r="D45" s="13">
        <f t="shared" si="1"/>
        <v>17.700551609329114</v>
      </c>
      <c r="E45" s="13">
        <f t="shared" si="1"/>
        <v>14.216391124195251</v>
      </c>
      <c r="F45" s="13">
        <f t="shared" si="1"/>
        <v>11.789917198983716</v>
      </c>
      <c r="G45" s="13">
        <f t="shared" si="1"/>
        <v>10.007300575617013</v>
      </c>
      <c r="H45" s="13">
        <f t="shared" si="1"/>
        <v>8.6454238921920155</v>
      </c>
    </row>
    <row r="46" spans="2:9" ht="14" customHeight="1" x14ac:dyDescent="0.3">
      <c r="B46" s="4" t="s">
        <v>151</v>
      </c>
      <c r="C46" s="30">
        <v>10</v>
      </c>
      <c r="D46" s="13">
        <f t="shared" si="1"/>
        <v>16.184428681549143</v>
      </c>
      <c r="E46" s="13">
        <f t="shared" si="1"/>
        <v>12.852169263293248</v>
      </c>
      <c r="F46" s="13">
        <f t="shared" si="1"/>
        <v>10.543261440222549</v>
      </c>
      <c r="G46" s="13">
        <f t="shared" si="1"/>
        <v>8.8562969579825292</v>
      </c>
      <c r="H46" s="13">
        <f t="shared" si="1"/>
        <v>7.5749485523963234</v>
      </c>
    </row>
    <row r="47" spans="2:9" ht="14" customHeight="1" x14ac:dyDescent="0.3">
      <c r="B47" s="22" t="s">
        <v>153</v>
      </c>
      <c r="C47" s="23"/>
      <c r="D47" s="23"/>
      <c r="E47" s="23"/>
      <c r="F47" s="23"/>
      <c r="G47" s="23"/>
      <c r="H47" s="23"/>
      <c r="I47" s="23"/>
    </row>
    <row r="48" spans="2:9" ht="14" customHeight="1" x14ac:dyDescent="0.3">
      <c r="B48" s="4" t="s">
        <v>148</v>
      </c>
      <c r="C48" s="30">
        <v>3</v>
      </c>
      <c r="D48" s="5">
        <f t="shared" ref="D48:H51" si="2">IFERROR(($C$10/(1-$C$13)-$C$14*D38)/D43,"N/A")</f>
        <v>237159.26775082995</v>
      </c>
      <c r="E48" s="5">
        <f t="shared" si="2"/>
        <v>290533.57734312647</v>
      </c>
      <c r="F48" s="5">
        <f t="shared" si="2"/>
        <v>344842.95817015175</v>
      </c>
      <c r="G48" s="5">
        <f t="shared" si="2"/>
        <v>400077.52217468387</v>
      </c>
      <c r="H48" s="5">
        <f t="shared" si="2"/>
        <v>456227.42203503579</v>
      </c>
    </row>
    <row r="49" spans="2:9" ht="14" customHeight="1" x14ac:dyDescent="0.3">
      <c r="B49" s="4" t="s">
        <v>149</v>
      </c>
      <c r="C49" s="30">
        <v>5</v>
      </c>
      <c r="D49" s="5">
        <f t="shared" si="2"/>
        <v>244390.8325504002</v>
      </c>
      <c r="E49" s="5">
        <f t="shared" si="2"/>
        <v>302207.29835597996</v>
      </c>
      <c r="F49" s="5">
        <f t="shared" si="2"/>
        <v>361989.19514941052</v>
      </c>
      <c r="G49" s="5">
        <f t="shared" si="2"/>
        <v>423729.45645073126</v>
      </c>
      <c r="H49" s="5">
        <f t="shared" si="2"/>
        <v>487420.16084617114</v>
      </c>
    </row>
    <row r="50" spans="2:9" ht="14" customHeight="1" x14ac:dyDescent="0.3">
      <c r="B50" s="4" t="s">
        <v>150</v>
      </c>
      <c r="C50" s="30">
        <v>7</v>
      </c>
      <c r="D50" s="5">
        <f t="shared" si="2"/>
        <v>251837.14885213561</v>
      </c>
      <c r="E50" s="5">
        <f t="shared" si="2"/>
        <v>314318.16195526597</v>
      </c>
      <c r="F50" s="5">
        <f t="shared" si="2"/>
        <v>379888.23717189819</v>
      </c>
      <c r="G50" s="5">
        <f t="shared" si="2"/>
        <v>448554.75573118473</v>
      </c>
      <c r="H50" s="5">
        <f t="shared" si="2"/>
        <v>520322.16371816845</v>
      </c>
    </row>
    <row r="51" spans="2:9" ht="14" customHeight="1" x14ac:dyDescent="0.3">
      <c r="B51" s="4" t="s">
        <v>151</v>
      </c>
      <c r="C51" s="30">
        <v>10</v>
      </c>
      <c r="D51" s="5">
        <f t="shared" si="2"/>
        <v>263402.38471555494</v>
      </c>
      <c r="E51" s="5">
        <f t="shared" si="2"/>
        <v>333289.70587272407</v>
      </c>
      <c r="F51" s="5">
        <f t="shared" si="2"/>
        <v>408119.49001334631</v>
      </c>
      <c r="G51" s="5">
        <f t="shared" si="2"/>
        <v>487939.07931610785</v>
      </c>
      <c r="H51" s="5">
        <f t="shared" si="2"/>
        <v>572786.80469538784</v>
      </c>
    </row>
    <row r="52" spans="2:9" ht="14" customHeight="1" x14ac:dyDescent="0.3">
      <c r="B52" s="22" t="s">
        <v>154</v>
      </c>
      <c r="C52" s="23"/>
      <c r="D52" s="23"/>
      <c r="E52" s="23"/>
      <c r="F52" s="23"/>
      <c r="G52" s="23"/>
      <c r="H52" s="23"/>
      <c r="I52" s="23"/>
    </row>
    <row r="53" spans="2:9" ht="14" customHeight="1" x14ac:dyDescent="0.3">
      <c r="B53" s="4" t="s">
        <v>148</v>
      </c>
      <c r="C53" s="30">
        <v>3</v>
      </c>
      <c r="D53" s="14">
        <f t="shared" ref="D53:H56" si="3">IFERROR(D48/$C$15,"N/A")</f>
        <v>1.3450426650871419</v>
      </c>
      <c r="E53" s="14">
        <f t="shared" si="3"/>
        <v>1.6477536841506484</v>
      </c>
      <c r="F53" s="14">
        <f t="shared" si="3"/>
        <v>1.9557679355842568</v>
      </c>
      <c r="G53" s="14">
        <f t="shared" si="3"/>
        <v>2.2690293395266807</v>
      </c>
      <c r="H53" s="14">
        <f t="shared" si="3"/>
        <v>2.587482047147168</v>
      </c>
    </row>
    <row r="54" spans="2:9" ht="14" customHeight="1" x14ac:dyDescent="0.3">
      <c r="B54" s="4" t="s">
        <v>149</v>
      </c>
      <c r="C54" s="30">
        <v>5</v>
      </c>
      <c r="D54" s="14">
        <f t="shared" si="3"/>
        <v>1.3860562981743536</v>
      </c>
      <c r="E54" s="14">
        <f t="shared" si="3"/>
        <v>1.7139608915329425</v>
      </c>
      <c r="F54" s="14">
        <f t="shared" si="3"/>
        <v>2.0530123760040522</v>
      </c>
      <c r="G54" s="14">
        <f t="shared" si="3"/>
        <v>2.4031706742289987</v>
      </c>
      <c r="H54" s="14">
        <f t="shared" si="3"/>
        <v>2.7643908601140597</v>
      </c>
    </row>
    <row r="55" spans="2:9" ht="14" customHeight="1" x14ac:dyDescent="0.3">
      <c r="B55" s="4" t="s">
        <v>150</v>
      </c>
      <c r="C55" s="30">
        <v>7</v>
      </c>
      <c r="D55" s="14">
        <f t="shared" si="3"/>
        <v>1.428287888862561</v>
      </c>
      <c r="E55" s="14">
        <f t="shared" si="3"/>
        <v>1.7826473418099147</v>
      </c>
      <c r="F55" s="14">
        <f t="shared" si="3"/>
        <v>2.1545263307938258</v>
      </c>
      <c r="G55" s="14">
        <f t="shared" si="3"/>
        <v>2.5439667182648962</v>
      </c>
      <c r="H55" s="14">
        <f t="shared" si="3"/>
        <v>2.9509937200796754</v>
      </c>
    </row>
    <row r="56" spans="2:9" ht="14" customHeight="1" x14ac:dyDescent="0.3">
      <c r="B56" s="4" t="s">
        <v>151</v>
      </c>
      <c r="C56" s="30">
        <v>10</v>
      </c>
      <c r="D56" s="14">
        <f t="shared" si="3"/>
        <v>1.4938798255202441</v>
      </c>
      <c r="E56" s="14">
        <f t="shared" si="3"/>
        <v>1.8902439634117552</v>
      </c>
      <c r="F56" s="14">
        <f t="shared" si="3"/>
        <v>2.3146391525305909</v>
      </c>
      <c r="G56" s="14">
        <f t="shared" si="3"/>
        <v>2.7673338928210924</v>
      </c>
      <c r="H56" s="14">
        <f t="shared" si="3"/>
        <v>3.2485455770746983</v>
      </c>
    </row>
    <row r="58" spans="2:9" ht="14" customHeight="1" x14ac:dyDescent="0.3">
      <c r="B58" s="8" t="s">
        <v>155</v>
      </c>
      <c r="C58" s="9"/>
      <c r="D58" s="9"/>
      <c r="E58" s="9"/>
      <c r="F58" s="9"/>
      <c r="G58" s="9"/>
      <c r="H58" s="9"/>
      <c r="I58" s="9"/>
    </row>
    <row r="59" spans="2:9" ht="14" customHeight="1" x14ac:dyDescent="0.3">
      <c r="B59" s="1" t="s">
        <v>156</v>
      </c>
    </row>
    <row r="60" spans="2:9" ht="14" customHeight="1" x14ac:dyDescent="0.3">
      <c r="B60" s="4" t="s">
        <v>157</v>
      </c>
      <c r="C60" s="5">
        <f>F49</f>
        <v>361989.19514941052</v>
      </c>
    </row>
    <row r="62" spans="2:9" ht="14" customHeight="1" x14ac:dyDescent="0.3">
      <c r="B62" s="28" t="s">
        <v>158</v>
      </c>
      <c r="C62" s="28" t="s">
        <v>159</v>
      </c>
      <c r="D62" s="28" t="s">
        <v>160</v>
      </c>
    </row>
    <row r="63" spans="2:9" ht="14" customHeight="1" x14ac:dyDescent="0.3">
      <c r="B63" s="31">
        <v>7.7899999999999997E-2</v>
      </c>
      <c r="C63" s="5">
        <f>IFERROR($C$60/B63,"N/A")</f>
        <v>4646844.6103903791</v>
      </c>
      <c r="D63" s="14">
        <f>IFERROR(C63/'DCF Model'!C17,"N/A")</f>
        <v>4.1054324899175256</v>
      </c>
    </row>
    <row r="64" spans="2:9" ht="14" customHeight="1" x14ac:dyDescent="0.3">
      <c r="B64" s="31">
        <v>0.1168</v>
      </c>
      <c r="C64" s="5">
        <f>IFERROR($C$60/B64,"N/A")</f>
        <v>3099222.5612107064</v>
      </c>
      <c r="D64" s="14">
        <f>IFERROR(C64/'DCF Model'!C17,"N/A")</f>
        <v>2.7381266349706781</v>
      </c>
    </row>
    <row r="65" spans="2:9" ht="14" customHeight="1" x14ac:dyDescent="0.3">
      <c r="B65" s="4" t="s">
        <v>161</v>
      </c>
      <c r="C65" s="5">
        <f>IFERROR($C$60/$C$18,"N/A")</f>
        <v>2323757.489114339</v>
      </c>
      <c r="D65" s="14">
        <f>IFERROR(C65/'DCF Model'!C17,"N/A")</f>
        <v>2.0530123760040526</v>
      </c>
    </row>
    <row r="66" spans="2:9" ht="14" customHeight="1" x14ac:dyDescent="0.3">
      <c r="B66" s="31">
        <v>0.19470000000000001</v>
      </c>
      <c r="C66" s="5">
        <f>IFERROR($C$60/B66,"N/A")</f>
        <v>1859215.1779630738</v>
      </c>
      <c r="D66" s="14">
        <f>IFERROR(C66/'DCF Model'!C17,"N/A")</f>
        <v>1.6425947147641253</v>
      </c>
    </row>
    <row r="67" spans="2:9" ht="14" customHeight="1" x14ac:dyDescent="0.3">
      <c r="B67" s="31">
        <v>0.23369999999999999</v>
      </c>
      <c r="C67" s="5">
        <f>IFERROR($C$60/B67,"N/A")</f>
        <v>1548948.2034634596</v>
      </c>
      <c r="D67" s="14">
        <f>IFERROR(C67/'DCF Model'!C17,"N/A")</f>
        <v>1.3684774966391751</v>
      </c>
    </row>
    <row r="69" spans="2:9" ht="14" customHeight="1" x14ac:dyDescent="0.3">
      <c r="B69" s="8" t="s">
        <v>162</v>
      </c>
      <c r="C69" s="9"/>
      <c r="D69" s="9"/>
      <c r="E69" s="9"/>
      <c r="F69" s="9"/>
      <c r="G69" s="9"/>
      <c r="H69" s="9"/>
      <c r="I69" s="9"/>
    </row>
    <row r="70" spans="2:9" ht="13.5" customHeight="1" x14ac:dyDescent="0.25">
      <c r="B70" s="6" t="s">
        <v>163</v>
      </c>
      <c r="C70" s="14">
        <f>IFERROR(C10/'Comps Analysis'!G5,"N/A")</f>
        <v>13.569189661302907</v>
      </c>
    </row>
    <row r="71" spans="2:9" ht="13.5" customHeight="1" x14ac:dyDescent="0.25">
      <c r="B71" s="6" t="s">
        <v>164</v>
      </c>
      <c r="C71" s="14">
        <f>IFERROR(C10/'Comps Analysis'!F5,"N/A")</f>
        <v>3.2571991753308884</v>
      </c>
    </row>
    <row r="72" spans="2:9" ht="14" customHeight="1" x14ac:dyDescent="0.3">
      <c r="B72" s="4" t="s">
        <v>165</v>
      </c>
      <c r="C72" s="14">
        <f>IFERROR(C10/(C25+'DCF Model'!G42),"N/A")</f>
        <v>8.1973480408615309</v>
      </c>
    </row>
    <row r="73" spans="2:9" ht="14" customHeight="1" x14ac:dyDescent="0.3">
      <c r="B73" s="4" t="s">
        <v>166</v>
      </c>
      <c r="C73" s="14">
        <f>IFERROR(C10/(C60+'DCF Model'!G42),"N/A")</f>
        <v>7.6285973205241406</v>
      </c>
    </row>
    <row r="74" spans="2:9" ht="14" customHeight="1" x14ac:dyDescent="0.3">
      <c r="B74" s="4" t="s">
        <v>167</v>
      </c>
      <c r="C74" s="14">
        <f>IFERROR('Comps Analysis'!D16,"N/A")</f>
        <v>12.644081097406721</v>
      </c>
    </row>
    <row r="75" spans="2:9" ht="14" customHeight="1" x14ac:dyDescent="0.3">
      <c r="B75" s="1" t="s">
        <v>168</v>
      </c>
    </row>
    <row r="77" spans="2:9" ht="14" customHeight="1" x14ac:dyDescent="0.3">
      <c r="B77" s="22" t="s">
        <v>169</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2,432 yen the market is paying for a steady-state operating profit of 361,989 mn JPY - 2.05x the FY2026 cycle peak of 176,321 mn - reached in 5 years and sustained for ever, against 176,321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328,458 mn, or 1.86x the peak. The base case supports an EV of only 2,055,558 mn, leaving 1,106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170</v>
      </c>
    </row>
    <row r="4" spans="2:8" ht="14" customHeight="1" x14ac:dyDescent="0.3">
      <c r="B4" s="8" t="s">
        <v>171</v>
      </c>
      <c r="C4" s="32" t="s">
        <v>172</v>
      </c>
      <c r="D4" s="32" t="s">
        <v>79</v>
      </c>
      <c r="E4" s="32" t="s">
        <v>80</v>
      </c>
      <c r="F4" s="32" t="s">
        <v>81</v>
      </c>
      <c r="G4" s="32" t="s">
        <v>82</v>
      </c>
      <c r="H4" s="32" t="s">
        <v>83</v>
      </c>
    </row>
    <row r="5" spans="2:8" ht="14" customHeight="1" x14ac:dyDescent="0.3">
      <c r="B5" s="33" t="s">
        <v>173</v>
      </c>
      <c r="C5" s="34">
        <f>C12/C9*365</f>
        <v>69.30819779887743</v>
      </c>
      <c r="D5" s="34">
        <f>CHOOSE('DCF Model'!$D$27,D25,D26,D27,D28,D29)</f>
        <v>67</v>
      </c>
      <c r="E5" s="34">
        <f>CHOOSE('DCF Model'!$D$27,E25,E26,E27,E28,E29)</f>
        <v>67</v>
      </c>
      <c r="F5" s="34">
        <f>CHOOSE('DCF Model'!$D$27,F25,F26,F27,F28,F29)</f>
        <v>67</v>
      </c>
      <c r="G5" s="34">
        <f>CHOOSE('DCF Model'!$D$27,G25,G26,G27,G28,G29)</f>
        <v>67</v>
      </c>
      <c r="H5" s="34">
        <f>CHOOSE('DCF Model'!$D$27,H25,H26,H27,H28,H29)</f>
        <v>67</v>
      </c>
    </row>
    <row r="6" spans="2:8" ht="14" customHeight="1" x14ac:dyDescent="0.3">
      <c r="B6" s="33" t="s">
        <v>174</v>
      </c>
      <c r="C6" s="34">
        <f>C13/C10*365</f>
        <v>228.04575940848954</v>
      </c>
      <c r="D6" s="34">
        <f>CHOOSE('DCF Model'!$D$27,D32,D33,D34,D35,D36)</f>
        <v>229</v>
      </c>
      <c r="E6" s="34">
        <f>CHOOSE('DCF Model'!$D$27,E32,E33,E34,E35,E36)</f>
        <v>229</v>
      </c>
      <c r="F6" s="34">
        <f>CHOOSE('DCF Model'!$D$27,F32,F33,F34,F35,F36)</f>
        <v>229</v>
      </c>
      <c r="G6" s="34">
        <f>CHOOSE('DCF Model'!$D$27,G32,G33,G34,G35,G36)</f>
        <v>229</v>
      </c>
      <c r="H6" s="34">
        <f>CHOOSE('DCF Model'!$D$27,H32,H33,H34,H35,H36)</f>
        <v>229</v>
      </c>
    </row>
    <row r="7" spans="2:8" ht="14" customHeight="1" x14ac:dyDescent="0.3">
      <c r="B7" s="33" t="s">
        <v>175</v>
      </c>
      <c r="C7" s="34">
        <f>C15/C10*365</f>
        <v>60.984510453256789</v>
      </c>
      <c r="D7" s="34">
        <f>CHOOSE('DCF Model'!$D$27,D39,D40,D41,D42,D43)</f>
        <v>74</v>
      </c>
      <c r="E7" s="34">
        <f>CHOOSE('DCF Model'!$D$27,E39,E40,E41,E42,E43)</f>
        <v>74</v>
      </c>
      <c r="F7" s="34">
        <f>CHOOSE('DCF Model'!$D$27,F39,F40,F41,F42,F43)</f>
        <v>74</v>
      </c>
      <c r="G7" s="34">
        <f>CHOOSE('DCF Model'!$D$27,G39,G40,G41,G42,G43)</f>
        <v>74</v>
      </c>
      <c r="H7" s="34">
        <f>CHOOSE('DCF Model'!$D$27,H39,H40,H41,H42,H43)</f>
        <v>74</v>
      </c>
    </row>
    <row r="8" spans="2:8" ht="14" customHeight="1" x14ac:dyDescent="0.3">
      <c r="B8" s="8" t="s">
        <v>176</v>
      </c>
      <c r="C8" s="9"/>
      <c r="D8" s="9"/>
      <c r="E8" s="9"/>
      <c r="F8" s="9"/>
      <c r="G8" s="9"/>
      <c r="H8" s="9"/>
    </row>
    <row r="9" spans="2:8" ht="14" customHeight="1" x14ac:dyDescent="0.3">
      <c r="B9" s="33" t="s">
        <v>31</v>
      </c>
      <c r="C9" s="35">
        <v>1131877</v>
      </c>
      <c r="D9" s="35">
        <f>'DCF Model'!C33</f>
        <v>1211108.3900000001</v>
      </c>
      <c r="E9" s="35">
        <f>'DCF Model'!D33</f>
        <v>1283774.8934000002</v>
      </c>
      <c r="F9" s="35">
        <f>'DCF Model'!E33</f>
        <v>1347963.6380700003</v>
      </c>
      <c r="G9" s="35">
        <f>'DCF Model'!F33</f>
        <v>1401882.1835928003</v>
      </c>
      <c r="H9" s="35">
        <f>'DCF Model'!G33</f>
        <v>1443938.6491005844</v>
      </c>
    </row>
    <row r="10" spans="2:8" ht="14" customHeight="1" x14ac:dyDescent="0.3">
      <c r="B10" s="33" t="s">
        <v>32</v>
      </c>
      <c r="C10" s="35">
        <v>537201</v>
      </c>
      <c r="D10" s="35">
        <f>'DCF Model'!C34</f>
        <v>575276.48525000003</v>
      </c>
      <c r="E10" s="35">
        <f>'DCF Model'!D34</f>
        <v>609793.07436500001</v>
      </c>
      <c r="F10" s="35">
        <f>'DCF Model'!E34</f>
        <v>640282.72808325011</v>
      </c>
      <c r="G10" s="35">
        <f>'DCF Model'!F34</f>
        <v>665894.03720658005</v>
      </c>
      <c r="H10" s="35">
        <f>'DCF Model'!G34</f>
        <v>685870.85832277755</v>
      </c>
    </row>
    <row r="11" spans="2:8" ht="14" customHeight="1" x14ac:dyDescent="0.3">
      <c r="B11" s="8" t="s">
        <v>177</v>
      </c>
      <c r="C11" s="9"/>
      <c r="D11" s="9"/>
      <c r="E11" s="9"/>
      <c r="F11" s="9"/>
      <c r="G11" s="9"/>
      <c r="H11" s="9"/>
    </row>
    <row r="12" spans="2:8" ht="14" customHeight="1" x14ac:dyDescent="0.3">
      <c r="B12" s="33" t="s">
        <v>178</v>
      </c>
      <c r="C12" s="35">
        <v>214927</v>
      </c>
      <c r="D12" s="35">
        <f t="shared" ref="D12:H13" si="0">D9*D5/365</f>
        <v>222313.04693150689</v>
      </c>
      <c r="E12" s="35">
        <f t="shared" si="0"/>
        <v>235651.82974739728</v>
      </c>
      <c r="F12" s="35">
        <f t="shared" si="0"/>
        <v>247434.42123476721</v>
      </c>
      <c r="G12" s="35">
        <f t="shared" si="0"/>
        <v>257331.79808415787</v>
      </c>
      <c r="H12" s="35">
        <f t="shared" si="0"/>
        <v>265051.75202668266</v>
      </c>
    </row>
    <row r="13" spans="2:8" ht="14" customHeight="1" x14ac:dyDescent="0.3">
      <c r="B13" s="33" t="s">
        <v>179</v>
      </c>
      <c r="C13" s="35">
        <v>335634</v>
      </c>
      <c r="D13" s="35">
        <f t="shared" si="0"/>
        <v>360926.89074589044</v>
      </c>
      <c r="E13" s="35">
        <f t="shared" si="0"/>
        <v>382582.50419064384</v>
      </c>
      <c r="F13" s="35">
        <f t="shared" si="0"/>
        <v>401711.62940017611</v>
      </c>
      <c r="G13" s="35">
        <f t="shared" si="0"/>
        <v>417780.09457618307</v>
      </c>
      <c r="H13" s="35">
        <f t="shared" si="0"/>
        <v>430313.49741346866</v>
      </c>
    </row>
    <row r="14" spans="2:8" ht="14" customHeight="1" x14ac:dyDescent="0.3">
      <c r="B14" s="33" t="s">
        <v>180</v>
      </c>
      <c r="C14" s="35">
        <f t="shared" ref="C14:H14" si="1">C12+C13</f>
        <v>550561</v>
      </c>
      <c r="D14" s="35">
        <f t="shared" si="1"/>
        <v>583239.93767739739</v>
      </c>
      <c r="E14" s="35">
        <f t="shared" si="1"/>
        <v>618234.33393804112</v>
      </c>
      <c r="F14" s="35">
        <f t="shared" si="1"/>
        <v>649146.0506349433</v>
      </c>
      <c r="G14" s="35">
        <f t="shared" si="1"/>
        <v>675111.89266034099</v>
      </c>
      <c r="H14" s="35">
        <f t="shared" si="1"/>
        <v>695365.24944015127</v>
      </c>
    </row>
    <row r="15" spans="2:8" ht="14" customHeight="1" x14ac:dyDescent="0.3">
      <c r="B15" s="33" t="s">
        <v>181</v>
      </c>
      <c r="C15" s="35">
        <v>89756</v>
      </c>
      <c r="D15" s="35">
        <f>D10*D7/365</f>
        <v>116631.39700958904</v>
      </c>
      <c r="E15" s="35">
        <f>E10*E7/365</f>
        <v>123629.28083016438</v>
      </c>
      <c r="F15" s="35">
        <f>F10*F7/365</f>
        <v>129810.74487167262</v>
      </c>
      <c r="G15" s="35">
        <f>G10*G7/365</f>
        <v>135003.1746665395</v>
      </c>
      <c r="H15" s="35">
        <f>H10*H7/365</f>
        <v>139053.26990653572</v>
      </c>
    </row>
    <row r="16" spans="2:8" ht="14" customHeight="1" x14ac:dyDescent="0.3">
      <c r="B16" s="33" t="s">
        <v>182</v>
      </c>
      <c r="C16" s="35">
        <f t="shared" ref="C16:H16" si="2">C15</f>
        <v>89756</v>
      </c>
      <c r="D16" s="35">
        <f t="shared" si="2"/>
        <v>116631.39700958904</v>
      </c>
      <c r="E16" s="35">
        <f t="shared" si="2"/>
        <v>123629.28083016438</v>
      </c>
      <c r="F16" s="35">
        <f t="shared" si="2"/>
        <v>129810.74487167262</v>
      </c>
      <c r="G16" s="35">
        <f t="shared" si="2"/>
        <v>135003.1746665395</v>
      </c>
      <c r="H16" s="35">
        <f t="shared" si="2"/>
        <v>139053.26990653572</v>
      </c>
    </row>
    <row r="17" spans="2:8" ht="14" customHeight="1" x14ac:dyDescent="0.3">
      <c r="B17" s="22" t="s">
        <v>183</v>
      </c>
      <c r="C17" s="23"/>
      <c r="D17" s="23"/>
      <c r="E17" s="23"/>
      <c r="F17" s="23"/>
      <c r="G17" s="23"/>
      <c r="H17" s="23"/>
    </row>
    <row r="18" spans="2:8" ht="14" customHeight="1" x14ac:dyDescent="0.3">
      <c r="B18" s="33" t="s">
        <v>184</v>
      </c>
      <c r="C18" s="20">
        <f t="shared" ref="C18:H18" si="3">C14-C16</f>
        <v>460805</v>
      </c>
      <c r="D18" s="20">
        <f t="shared" si="3"/>
        <v>466608.54066780838</v>
      </c>
      <c r="E18" s="20">
        <f t="shared" si="3"/>
        <v>494605.05310787674</v>
      </c>
      <c r="F18" s="20">
        <f t="shared" si="3"/>
        <v>519335.30576327071</v>
      </c>
      <c r="G18" s="20">
        <f t="shared" si="3"/>
        <v>540108.71799380146</v>
      </c>
      <c r="H18" s="20">
        <f t="shared" si="3"/>
        <v>556311.97953361552</v>
      </c>
    </row>
    <row r="19" spans="2:8" ht="14" customHeight="1" x14ac:dyDescent="0.3">
      <c r="B19" s="33" t="s">
        <v>93</v>
      </c>
      <c r="C19" s="36" t="s">
        <v>41</v>
      </c>
      <c r="D19" s="24">
        <f>D18-C18</f>
        <v>5803.5406678083818</v>
      </c>
      <c r="E19" s="24">
        <f>E18-D18</f>
        <v>27996.512440068356</v>
      </c>
      <c r="F19" s="24">
        <f>F18-E18</f>
        <v>24730.252655393968</v>
      </c>
      <c r="G19" s="24">
        <f>G18-F18</f>
        <v>20773.412230530754</v>
      </c>
      <c r="H19" s="24">
        <f>H18-G18</f>
        <v>16203.261539814062</v>
      </c>
    </row>
    <row r="22" spans="2:8" ht="14" customHeight="1" x14ac:dyDescent="0.3">
      <c r="B22" s="22" t="s">
        <v>185</v>
      </c>
      <c r="C22" s="23"/>
      <c r="D22" s="23"/>
      <c r="E22" s="23"/>
      <c r="F22" s="23"/>
      <c r="G22" s="23"/>
      <c r="H22" s="23"/>
    </row>
    <row r="23" spans="2:8" ht="14" customHeight="1" x14ac:dyDescent="0.3">
      <c r="D23" s="25" t="s">
        <v>79</v>
      </c>
      <c r="E23" s="25" t="s">
        <v>80</v>
      </c>
      <c r="F23" s="25" t="s">
        <v>81</v>
      </c>
      <c r="G23" s="25" t="s">
        <v>82</v>
      </c>
      <c r="H23" s="25" t="s">
        <v>83</v>
      </c>
    </row>
    <row r="24" spans="2:8" ht="14" customHeight="1" x14ac:dyDescent="0.3">
      <c r="B24" s="3" t="s">
        <v>186</v>
      </c>
    </row>
    <row r="25" spans="2:8" ht="14" customHeight="1" x14ac:dyDescent="0.3">
      <c r="B25" s="4" t="s">
        <v>77</v>
      </c>
      <c r="D25" s="30">
        <v>67</v>
      </c>
      <c r="E25" s="30">
        <v>67</v>
      </c>
      <c r="F25" s="30">
        <v>67</v>
      </c>
      <c r="G25" s="30">
        <v>67</v>
      </c>
      <c r="H25" s="30">
        <v>67</v>
      </c>
    </row>
    <row r="26" spans="2:8" ht="14" customHeight="1" x14ac:dyDescent="0.3">
      <c r="B26" s="4" t="s">
        <v>114</v>
      </c>
      <c r="D26" s="30">
        <v>64</v>
      </c>
      <c r="E26" s="30">
        <v>64</v>
      </c>
      <c r="F26" s="30">
        <v>64</v>
      </c>
      <c r="G26" s="30">
        <v>64</v>
      </c>
      <c r="H26" s="30">
        <v>64</v>
      </c>
    </row>
    <row r="27" spans="2:8" ht="14" customHeight="1" x14ac:dyDescent="0.3">
      <c r="B27" s="4" t="s">
        <v>115</v>
      </c>
      <c r="D27" s="30">
        <v>67</v>
      </c>
      <c r="E27" s="30">
        <v>67</v>
      </c>
      <c r="F27" s="30">
        <v>67</v>
      </c>
      <c r="G27" s="30">
        <v>67</v>
      </c>
      <c r="H27" s="30">
        <v>67</v>
      </c>
    </row>
    <row r="28" spans="2:8" ht="14" customHeight="1" x14ac:dyDescent="0.3">
      <c r="B28" s="4" t="s">
        <v>116</v>
      </c>
      <c r="D28" s="30">
        <v>70</v>
      </c>
      <c r="E28" s="30">
        <v>70</v>
      </c>
      <c r="F28" s="30">
        <v>70</v>
      </c>
      <c r="G28" s="30">
        <v>70</v>
      </c>
      <c r="H28" s="30">
        <v>70</v>
      </c>
    </row>
    <row r="29" spans="2:8" ht="14" customHeight="1" x14ac:dyDescent="0.3">
      <c r="B29" s="4" t="s">
        <v>117</v>
      </c>
      <c r="D29" s="30">
        <v>74</v>
      </c>
      <c r="E29" s="30">
        <v>74</v>
      </c>
      <c r="F29" s="30">
        <v>74</v>
      </c>
      <c r="G29" s="30">
        <v>74</v>
      </c>
      <c r="H29" s="30">
        <v>74</v>
      </c>
    </row>
    <row r="31" spans="2:8" ht="14" customHeight="1" x14ac:dyDescent="0.3">
      <c r="B31" s="3" t="s">
        <v>187</v>
      </c>
    </row>
    <row r="32" spans="2:8" ht="14" customHeight="1" x14ac:dyDescent="0.3">
      <c r="B32" s="4" t="s">
        <v>77</v>
      </c>
      <c r="D32" s="30">
        <v>229</v>
      </c>
      <c r="E32" s="30">
        <v>229</v>
      </c>
      <c r="F32" s="30">
        <v>229</v>
      </c>
      <c r="G32" s="30">
        <v>229</v>
      </c>
      <c r="H32" s="30">
        <v>229</v>
      </c>
    </row>
    <row r="33" spans="2:8" ht="14" customHeight="1" x14ac:dyDescent="0.3">
      <c r="B33" s="4" t="s">
        <v>114</v>
      </c>
      <c r="D33" s="30">
        <v>219</v>
      </c>
      <c r="E33" s="30">
        <v>219</v>
      </c>
      <c r="F33" s="30">
        <v>219</v>
      </c>
      <c r="G33" s="30">
        <v>219</v>
      </c>
      <c r="H33" s="30">
        <v>219</v>
      </c>
    </row>
    <row r="34" spans="2:8" ht="14" customHeight="1" x14ac:dyDescent="0.3">
      <c r="B34" s="4" t="s">
        <v>115</v>
      </c>
      <c r="D34" s="30">
        <v>229</v>
      </c>
      <c r="E34" s="30">
        <v>229</v>
      </c>
      <c r="F34" s="30">
        <v>229</v>
      </c>
      <c r="G34" s="30">
        <v>229</v>
      </c>
      <c r="H34" s="30">
        <v>229</v>
      </c>
    </row>
    <row r="35" spans="2:8" ht="14" customHeight="1" x14ac:dyDescent="0.3">
      <c r="B35" s="4" t="s">
        <v>116</v>
      </c>
      <c r="D35" s="30">
        <v>240</v>
      </c>
      <c r="E35" s="30">
        <v>240</v>
      </c>
      <c r="F35" s="30">
        <v>240</v>
      </c>
      <c r="G35" s="30">
        <v>240</v>
      </c>
      <c r="H35" s="30">
        <v>240</v>
      </c>
    </row>
    <row r="36" spans="2:8" ht="14" customHeight="1" x14ac:dyDescent="0.3">
      <c r="B36" s="4" t="s">
        <v>117</v>
      </c>
      <c r="D36" s="30">
        <v>252</v>
      </c>
      <c r="E36" s="30">
        <v>252</v>
      </c>
      <c r="F36" s="30">
        <v>252</v>
      </c>
      <c r="G36" s="30">
        <v>252</v>
      </c>
      <c r="H36" s="30">
        <v>252</v>
      </c>
    </row>
    <row r="38" spans="2:8" ht="14" customHeight="1" x14ac:dyDescent="0.3">
      <c r="B38" s="3" t="s">
        <v>188</v>
      </c>
    </row>
    <row r="39" spans="2:8" ht="14" customHeight="1" x14ac:dyDescent="0.3">
      <c r="B39" s="4" t="s">
        <v>77</v>
      </c>
      <c r="D39" s="30">
        <v>74</v>
      </c>
      <c r="E39" s="30">
        <v>74</v>
      </c>
      <c r="F39" s="30">
        <v>74</v>
      </c>
      <c r="G39" s="30">
        <v>74</v>
      </c>
      <c r="H39" s="30">
        <v>74</v>
      </c>
    </row>
    <row r="40" spans="2:8" ht="14" customHeight="1" x14ac:dyDescent="0.3">
      <c r="B40" s="4" t="s">
        <v>114</v>
      </c>
      <c r="D40" s="30">
        <v>77</v>
      </c>
      <c r="E40" s="30">
        <v>77</v>
      </c>
      <c r="F40" s="30">
        <v>77</v>
      </c>
      <c r="G40" s="30">
        <v>77</v>
      </c>
      <c r="H40" s="30">
        <v>77</v>
      </c>
    </row>
    <row r="41" spans="2:8" ht="14" customHeight="1" x14ac:dyDescent="0.3">
      <c r="B41" s="4" t="s">
        <v>115</v>
      </c>
      <c r="D41" s="30">
        <v>74</v>
      </c>
      <c r="E41" s="30">
        <v>74</v>
      </c>
      <c r="F41" s="30">
        <v>74</v>
      </c>
      <c r="G41" s="30">
        <v>74</v>
      </c>
      <c r="H41" s="30">
        <v>74</v>
      </c>
    </row>
    <row r="42" spans="2:8" ht="14" customHeight="1" x14ac:dyDescent="0.3">
      <c r="B42" s="4" t="s">
        <v>116</v>
      </c>
      <c r="D42" s="30">
        <v>71</v>
      </c>
      <c r="E42" s="30">
        <v>71</v>
      </c>
      <c r="F42" s="30">
        <v>71</v>
      </c>
      <c r="G42" s="30">
        <v>71</v>
      </c>
      <c r="H42" s="30">
        <v>71</v>
      </c>
    </row>
    <row r="43" spans="2:8" ht="14" customHeight="1" x14ac:dyDescent="0.3">
      <c r="B43" s="4" t="s">
        <v>117</v>
      </c>
      <c r="D43" s="30">
        <v>68</v>
      </c>
      <c r="E43" s="30">
        <v>68</v>
      </c>
      <c r="F43" s="30">
        <v>68</v>
      </c>
      <c r="G43" s="30">
        <v>68</v>
      </c>
      <c r="H43" s="30">
        <v>68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189</v>
      </c>
    </row>
    <row r="3" spans="2:17" ht="14" customHeight="1" x14ac:dyDescent="0.3">
      <c r="B3" s="1" t="s">
        <v>190</v>
      </c>
    </row>
    <row r="4" spans="2:17" ht="28" customHeight="1" x14ac:dyDescent="0.3">
      <c r="B4" s="10" t="s">
        <v>3</v>
      </c>
      <c r="C4" s="10" t="s">
        <v>5</v>
      </c>
      <c r="D4" s="10" t="s">
        <v>191</v>
      </c>
      <c r="E4" s="10" t="s">
        <v>192</v>
      </c>
      <c r="F4" s="10" t="s">
        <v>193</v>
      </c>
      <c r="G4" s="10" t="s">
        <v>194</v>
      </c>
      <c r="H4" s="10" t="s">
        <v>195</v>
      </c>
      <c r="I4" s="10" t="s">
        <v>196</v>
      </c>
      <c r="J4" s="10" t="s">
        <v>197</v>
      </c>
      <c r="K4" s="10" t="s">
        <v>198</v>
      </c>
      <c r="L4" s="10" t="s">
        <v>199</v>
      </c>
      <c r="M4" s="10" t="s">
        <v>200</v>
      </c>
      <c r="N4" s="10" t="s">
        <v>201</v>
      </c>
      <c r="O4" s="10" t="s">
        <v>202</v>
      </c>
      <c r="P4" s="10" t="s">
        <v>203</v>
      </c>
      <c r="Q4" s="10" t="s">
        <v>204</v>
      </c>
    </row>
    <row r="5" spans="2:17" ht="14" customHeight="1" x14ac:dyDescent="0.3">
      <c r="B5" s="4" t="s">
        <v>205</v>
      </c>
      <c r="C5" t="s">
        <v>206</v>
      </c>
      <c r="D5" s="37">
        <f>'Executive Summary'!C9*C23/1000000</f>
        <v>3587446.8309760001</v>
      </c>
      <c r="E5" s="37">
        <f>D5+C24</f>
        <v>3686748.8309760001</v>
      </c>
      <c r="F5" s="37">
        <v>1131877</v>
      </c>
      <c r="G5" s="37">
        <v>271700</v>
      </c>
      <c r="H5" s="37">
        <v>176321</v>
      </c>
      <c r="I5" s="37">
        <v>135914</v>
      </c>
      <c r="J5" s="38">
        <f t="shared" ref="J5:J10" si="0">IFERROR(E5/G5,"")</f>
        <v>13.569189661302907</v>
      </c>
      <c r="K5" s="38">
        <f t="shared" ref="K5:K10" si="1">IFERROR(E5/F5,"")</f>
        <v>3.2571991753308884</v>
      </c>
      <c r="L5" s="38">
        <f t="shared" ref="L5:L10" si="2">IFERROR(D5/I5,"")</f>
        <v>26.39497646288094</v>
      </c>
      <c r="M5" s="38">
        <f t="shared" ref="M5:M10" si="3">IFERROR(D5/P5,"")</f>
        <v>2.2640747581591523</v>
      </c>
      <c r="N5" s="39">
        <f t="shared" ref="N5:N10" si="4">IFERROR(H5/F5,"")</f>
        <v>0.15577752706345302</v>
      </c>
      <c r="O5" s="39">
        <f t="shared" ref="O5:O10" si="5">IFERROR(I5/P5,"")</f>
        <v>8.5776729573640798E-2</v>
      </c>
      <c r="P5" s="37">
        <v>1584509</v>
      </c>
    </row>
    <row r="6" spans="2:17" ht="14" customHeight="1" x14ac:dyDescent="0.3">
      <c r="B6" s="4" t="s">
        <v>207</v>
      </c>
      <c r="C6" t="s">
        <v>208</v>
      </c>
      <c r="D6" s="37">
        <v>2190539</v>
      </c>
      <c r="E6" s="37">
        <v>2242077</v>
      </c>
      <c r="F6" s="37">
        <v>1010676</v>
      </c>
      <c r="G6" s="37">
        <v>168036</v>
      </c>
      <c r="H6" s="37">
        <v>100820</v>
      </c>
      <c r="I6" s="37">
        <v>68172</v>
      </c>
      <c r="J6" s="38">
        <f t="shared" si="0"/>
        <v>13.342837249160894</v>
      </c>
      <c r="K6" s="38">
        <f t="shared" si="1"/>
        <v>2.2183934317229261</v>
      </c>
      <c r="L6" s="38">
        <f t="shared" si="2"/>
        <v>32.132532418001524</v>
      </c>
      <c r="M6" s="38">
        <f t="shared" si="3"/>
        <v>2.6975752425988868</v>
      </c>
      <c r="N6" s="39">
        <f t="shared" si="4"/>
        <v>9.9755015455002399E-2</v>
      </c>
      <c r="O6" s="39">
        <f t="shared" si="5"/>
        <v>8.3951529481306339E-2</v>
      </c>
      <c r="P6" s="37">
        <v>812040</v>
      </c>
    </row>
    <row r="7" spans="2:17" ht="14" customHeight="1" x14ac:dyDescent="0.3">
      <c r="B7" s="4" t="s">
        <v>209</v>
      </c>
      <c r="C7" t="s">
        <v>210</v>
      </c>
      <c r="D7" s="37">
        <v>8075324</v>
      </c>
      <c r="E7" s="37">
        <v>7543473</v>
      </c>
      <c r="F7" s="37">
        <v>995844</v>
      </c>
      <c r="G7" s="37">
        <v>609344</v>
      </c>
      <c r="H7" s="37">
        <v>551126</v>
      </c>
      <c r="I7" s="37">
        <v>253085</v>
      </c>
      <c r="J7" s="38">
        <f t="shared" si="0"/>
        <v>12.379662391030354</v>
      </c>
      <c r="K7" s="38">
        <f t="shared" si="1"/>
        <v>7.5749545109474976</v>
      </c>
      <c r="L7" s="38">
        <f t="shared" si="2"/>
        <v>31.907556749708597</v>
      </c>
      <c r="M7" s="38">
        <f t="shared" si="3"/>
        <v>7.9134155184916608</v>
      </c>
      <c r="N7" s="39">
        <f t="shared" si="4"/>
        <v>0.55342603861649009</v>
      </c>
      <c r="O7" s="39">
        <f t="shared" si="5"/>
        <v>0.24801070105638634</v>
      </c>
      <c r="P7" s="37">
        <v>1020460</v>
      </c>
    </row>
    <row r="8" spans="2:17" ht="14" customHeight="1" x14ac:dyDescent="0.3">
      <c r="B8" s="4" t="s">
        <v>211</v>
      </c>
      <c r="C8" t="s">
        <v>212</v>
      </c>
      <c r="D8" s="37">
        <v>2476073</v>
      </c>
      <c r="E8" s="37">
        <v>2449070</v>
      </c>
      <c r="F8" s="37">
        <v>499677</v>
      </c>
      <c r="G8" s="37">
        <v>193693</v>
      </c>
      <c r="H8" s="37">
        <v>166725</v>
      </c>
      <c r="I8" s="37">
        <v>205159</v>
      </c>
      <c r="J8" s="38">
        <f t="shared" si="0"/>
        <v>12.644081097406721</v>
      </c>
      <c r="K8" s="38">
        <f t="shared" si="1"/>
        <v>4.9013062438335169</v>
      </c>
      <c r="L8" s="38">
        <f t="shared" si="2"/>
        <v>12.069044009768033</v>
      </c>
      <c r="M8" s="38">
        <f t="shared" si="3"/>
        <v>1.4692920487890269</v>
      </c>
      <c r="N8" s="39">
        <f t="shared" si="4"/>
        <v>0.3336655479439718</v>
      </c>
      <c r="O8" s="39">
        <f t="shared" si="5"/>
        <v>0.12174054942544422</v>
      </c>
      <c r="P8" s="37">
        <v>1685215</v>
      </c>
    </row>
    <row r="9" spans="2:17" ht="14" customHeight="1" x14ac:dyDescent="0.3">
      <c r="B9" s="4" t="s">
        <v>213</v>
      </c>
      <c r="C9" t="s">
        <v>214</v>
      </c>
      <c r="D9" s="37">
        <v>5084111</v>
      </c>
      <c r="E9" s="37">
        <v>4934785</v>
      </c>
      <c r="F9" s="37">
        <v>2123045</v>
      </c>
      <c r="G9" s="37">
        <v>306549</v>
      </c>
      <c r="H9" s="37">
        <v>229089</v>
      </c>
      <c r="I9" s="37">
        <v>259874</v>
      </c>
      <c r="J9" s="38">
        <f t="shared" si="0"/>
        <v>16.097866898929698</v>
      </c>
      <c r="K9" s="38">
        <f t="shared" si="1"/>
        <v>2.3243902036932802</v>
      </c>
      <c r="L9" s="38">
        <f t="shared" si="2"/>
        <v>19.563753973079262</v>
      </c>
      <c r="M9" s="38">
        <f t="shared" si="3"/>
        <v>3.0550265326025627</v>
      </c>
      <c r="N9" s="39">
        <f t="shared" si="4"/>
        <v>0.10790586162799187</v>
      </c>
      <c r="O9" s="39">
        <f t="shared" si="5"/>
        <v>0.1561574806556266</v>
      </c>
      <c r="P9" s="37">
        <v>1664179</v>
      </c>
    </row>
    <row r="10" spans="2:17" ht="14" customHeight="1" x14ac:dyDescent="0.3">
      <c r="B10" s="4" t="s">
        <v>215</v>
      </c>
      <c r="C10" t="s">
        <v>216</v>
      </c>
      <c r="D10" s="37">
        <v>6320483</v>
      </c>
      <c r="E10" s="37">
        <v>6013813</v>
      </c>
      <c r="F10" s="37">
        <v>2468892</v>
      </c>
      <c r="G10" s="37">
        <v>588273</v>
      </c>
      <c r="H10" s="37">
        <v>472106</v>
      </c>
      <c r="I10" s="37">
        <v>363150</v>
      </c>
      <c r="J10" s="38">
        <f t="shared" si="0"/>
        <v>10.222826816801042</v>
      </c>
      <c r="K10" s="38">
        <f t="shared" si="1"/>
        <v>2.4358347793261106</v>
      </c>
      <c r="L10" s="38">
        <f t="shared" si="2"/>
        <v>17.404606911744459</v>
      </c>
      <c r="M10" s="38">
        <f t="shared" si="3"/>
        <v>2.0835996972418149</v>
      </c>
      <c r="N10" s="39">
        <f t="shared" si="4"/>
        <v>0.191221811241642</v>
      </c>
      <c r="O10" s="39">
        <f t="shared" si="5"/>
        <v>0.119715412580552</v>
      </c>
      <c r="P10" s="37">
        <v>3033444</v>
      </c>
    </row>
    <row r="14" spans="2:17" ht="14" customHeight="1" x14ac:dyDescent="0.3">
      <c r="B14" s="3" t="s">
        <v>217</v>
      </c>
    </row>
    <row r="15" spans="2:17" ht="14" customHeight="1" x14ac:dyDescent="0.3">
      <c r="B15" s="4" t="s">
        <v>218</v>
      </c>
      <c r="D15" s="38">
        <f t="shared" ref="D15:I15" si="6">PERCENTILE(J6:J10,0.25)</f>
        <v>12.379662391030354</v>
      </c>
      <c r="E15" s="38">
        <f t="shared" si="6"/>
        <v>2.3243902036932802</v>
      </c>
      <c r="F15" s="38">
        <f t="shared" si="6"/>
        <v>17.404606911744459</v>
      </c>
      <c r="G15" s="38">
        <f t="shared" si="6"/>
        <v>2.0835996972418149</v>
      </c>
      <c r="H15" s="39">
        <f t="shared" si="6"/>
        <v>0.10790586162799187</v>
      </c>
      <c r="I15" s="39">
        <f t="shared" si="6"/>
        <v>0.119715412580552</v>
      </c>
    </row>
    <row r="16" spans="2:17" ht="14" customHeight="1" x14ac:dyDescent="0.3">
      <c r="B16" s="4" t="s">
        <v>219</v>
      </c>
      <c r="D16" s="38">
        <f t="shared" ref="D16:I16" si="7">MEDIAN(J6:J10)</f>
        <v>12.644081097406721</v>
      </c>
      <c r="E16" s="38">
        <f t="shared" si="7"/>
        <v>2.4358347793261106</v>
      </c>
      <c r="F16" s="38">
        <f t="shared" si="7"/>
        <v>19.563753973079262</v>
      </c>
      <c r="G16" s="38">
        <f t="shared" si="7"/>
        <v>2.6975752425988868</v>
      </c>
      <c r="H16" s="39">
        <f t="shared" si="7"/>
        <v>0.191221811241642</v>
      </c>
      <c r="I16" s="39">
        <f t="shared" si="7"/>
        <v>0.12174054942544422</v>
      </c>
    </row>
    <row r="17" spans="2:9" ht="14" customHeight="1" x14ac:dyDescent="0.3">
      <c r="B17" s="4" t="s">
        <v>220</v>
      </c>
      <c r="D17" s="38">
        <f t="shared" ref="D17:I17" si="8">PERCENTILE(J6:J10,0.75)</f>
        <v>13.342837249160894</v>
      </c>
      <c r="E17" s="38">
        <f t="shared" si="8"/>
        <v>4.9013062438335169</v>
      </c>
      <c r="F17" s="38">
        <f t="shared" si="8"/>
        <v>31.907556749708597</v>
      </c>
      <c r="G17" s="38">
        <f t="shared" si="8"/>
        <v>3.0550265326025627</v>
      </c>
      <c r="H17" s="39">
        <f t="shared" si="8"/>
        <v>0.3336655479439718</v>
      </c>
      <c r="I17" s="39">
        <f t="shared" si="8"/>
        <v>0.1561574806556266</v>
      </c>
    </row>
    <row r="19" spans="2:9" ht="14" customHeight="1" x14ac:dyDescent="0.3">
      <c r="B19" s="22" t="s">
        <v>221</v>
      </c>
      <c r="C19" s="23"/>
      <c r="D19" s="23"/>
      <c r="E19" s="23"/>
      <c r="F19" s="23"/>
      <c r="G19" s="23"/>
      <c r="H19" s="23"/>
      <c r="I19" s="23"/>
    </row>
    <row r="20" spans="2:9" ht="14" customHeight="1" x14ac:dyDescent="0.3">
      <c r="B20" s="3" t="s">
        <v>222</v>
      </c>
    </row>
    <row r="21" spans="2:9" ht="14" customHeight="1" x14ac:dyDescent="0.3">
      <c r="B21" s="4" t="s">
        <v>223</v>
      </c>
      <c r="C21" s="5">
        <v>271700</v>
      </c>
    </row>
    <row r="22" spans="2:9" ht="14" customHeight="1" x14ac:dyDescent="0.3">
      <c r="B22" s="4" t="s">
        <v>224</v>
      </c>
      <c r="C22" s="5">
        <v>135914</v>
      </c>
    </row>
    <row r="23" spans="2:9" ht="14" customHeight="1" x14ac:dyDescent="0.3">
      <c r="B23" s="4" t="s">
        <v>225</v>
      </c>
      <c r="C23" s="15">
        <v>1475101493</v>
      </c>
    </row>
    <row r="24" spans="2:9" ht="14" customHeight="1" x14ac:dyDescent="0.3">
      <c r="B24" s="4" t="s">
        <v>66</v>
      </c>
      <c r="C24" s="5">
        <v>99302</v>
      </c>
    </row>
    <row r="26" spans="2:9" ht="14" customHeight="1" x14ac:dyDescent="0.3">
      <c r="B26" s="3" t="s">
        <v>226</v>
      </c>
    </row>
    <row r="27" spans="2:9" ht="14" customHeight="1" x14ac:dyDescent="0.3">
      <c r="B27" s="4" t="s">
        <v>227</v>
      </c>
      <c r="C27" s="24">
        <f>ROUND((C21*D16-C24)*1000000/C23,0)</f>
        <v>2262</v>
      </c>
    </row>
    <row r="28" spans="2:9" ht="14" customHeight="1" x14ac:dyDescent="0.3">
      <c r="B28" s="4" t="s">
        <v>228</v>
      </c>
      <c r="C28" s="24">
        <f>ROUND(C22*F16*1000000/C23,0)</f>
        <v>1803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229</v>
      </c>
    </row>
    <row r="3" spans="2:9" ht="14" customHeight="1" x14ac:dyDescent="0.3">
      <c r="B3" s="4" t="s">
        <v>230</v>
      </c>
      <c r="C3" s="16">
        <f>'DCF Model'!C26</f>
        <v>7.6818653303493231E-2</v>
      </c>
      <c r="E3" s="4" t="s">
        <v>231</v>
      </c>
      <c r="F3" s="16">
        <f>'DCF Model'!C13</f>
        <v>0.01</v>
      </c>
      <c r="H3" s="4" t="s">
        <v>232</v>
      </c>
      <c r="I3" s="14">
        <f>'DCF Model'!C14</f>
        <v>12.6</v>
      </c>
    </row>
    <row r="5" spans="2:9" ht="14" customHeight="1" x14ac:dyDescent="0.3">
      <c r="B5" s="3" t="s">
        <v>233</v>
      </c>
    </row>
    <row r="6" spans="2:9" ht="14" customHeight="1" x14ac:dyDescent="0.3">
      <c r="B6" s="40" t="s">
        <v>234</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6.1818653303493232E-2</v>
      </c>
      <c r="C7" s="37">
        <f>IFERROR(ROUND(('DCF Model'!C45/(1+$B7)^('DCF Model'!C19+0)+'DCF Model'!D45/(1+$B7)^('DCF Model'!C19+1)+'DCF Model'!E45/(1+$B7)^('DCF Model'!C19+2)+'DCF Model'!F45/(1+$B7)^('DCF Model'!C19+3)+'DCF Model'!G45/(1+$B7)^('DCF Model'!C19+4)+'DCF Model'!G45*(1+C$6)/($B7-C$6)/(1+$B7)^('DCF Model'!C19+4)-'DCF Model'!C16)*1000000/'DCF Model'!C15,0),"")</f>
        <v>1548</v>
      </c>
      <c r="D7" s="37">
        <f>IFERROR(ROUND(('DCF Model'!C45/(1+$B7)^('DCF Model'!C19+0)+'DCF Model'!D45/(1+$B7)^('DCF Model'!C19+1)+'DCF Model'!E45/(1+$B7)^('DCF Model'!C19+2)+'DCF Model'!F45/(1+$B7)^('DCF Model'!C19+3)+'DCF Model'!G45/(1+$B7)^('DCF Model'!C19+4)+'DCF Model'!G45*(1+D$6)/($B7-D$6)/(1+$B7)^('DCF Model'!C19+4)-'DCF Model'!C16)*1000000/'DCF Model'!C15,0),"")</f>
        <v>1606</v>
      </c>
      <c r="E7" s="37">
        <f>IFERROR(ROUND(('DCF Model'!C45/(1+$B7)^('DCF Model'!C19+0)+'DCF Model'!D45/(1+$B7)^('DCF Model'!C19+1)+'DCF Model'!E45/(1+$B7)^('DCF Model'!C19+2)+'DCF Model'!F45/(1+$B7)^('DCF Model'!C19+3)+'DCF Model'!G45/(1+$B7)^('DCF Model'!C19+4)+'DCF Model'!G45*(1+E$6)/($B7-E$6)/(1+$B7)^('DCF Model'!C19+4)-'DCF Model'!C16)*1000000/'DCF Model'!C15,0),"")</f>
        <v>1669</v>
      </c>
      <c r="F7" s="37">
        <f>IFERROR(ROUND(('DCF Model'!C45/(1+$B7)^('DCF Model'!C19+0)+'DCF Model'!D45/(1+$B7)^('DCF Model'!C19+1)+'DCF Model'!E45/(1+$B7)^('DCF Model'!C19+2)+'DCF Model'!F45/(1+$B7)^('DCF Model'!C19+3)+'DCF Model'!G45/(1+$B7)^('DCF Model'!C19+4)+'DCF Model'!G45*(1+F$6)/($B7-F$6)/(1+$B7)^('DCF Model'!C19+4)-'DCF Model'!C16)*1000000/'DCF Model'!C15,0),"")</f>
        <v>1738</v>
      </c>
      <c r="G7" s="37">
        <f>IFERROR(ROUND(('DCF Model'!C45/(1+$B7)^('DCF Model'!C19+0)+'DCF Model'!D45/(1+$B7)^('DCF Model'!C19+1)+'DCF Model'!E45/(1+$B7)^('DCF Model'!C19+2)+'DCF Model'!F45/(1+$B7)^('DCF Model'!C19+3)+'DCF Model'!G45/(1+$B7)^('DCF Model'!C19+4)+'DCF Model'!G45*(1+G$6)/($B7-G$6)/(1+$B7)^('DCF Model'!C19+4)-'DCF Model'!C16)*1000000/'DCF Model'!C15,0),"")</f>
        <v>1815</v>
      </c>
      <c r="H7" s="37">
        <f>IFERROR(ROUND(('DCF Model'!C45/(1+$B7)^('DCF Model'!C19+0)+'DCF Model'!D45/(1+$B7)^('DCF Model'!C19+1)+'DCF Model'!E45/(1+$B7)^('DCF Model'!C19+2)+'DCF Model'!F45/(1+$B7)^('DCF Model'!C19+3)+'DCF Model'!G45/(1+$B7)^('DCF Model'!C19+4)+'DCF Model'!G45*(1+H$6)/($B7-H$6)/(1+$B7)^('DCF Model'!C19+4)-'DCF Model'!C16)*1000000/'DCF Model'!C15,0),"")</f>
        <v>1899</v>
      </c>
      <c r="I7" s="37">
        <f>IFERROR(ROUND(('DCF Model'!C45/(1+$B7)^('DCF Model'!C19+0)+'DCF Model'!D45/(1+$B7)^('DCF Model'!C19+1)+'DCF Model'!E45/(1+$B7)^('DCF Model'!C19+2)+'DCF Model'!F45/(1+$B7)^('DCF Model'!C19+3)+'DCF Model'!G45/(1+$B7)^('DCF Model'!C19+4)+'DCF Model'!G45*(1+I$6)/($B7-I$6)/(1+$B7)^('DCF Model'!C19+4)-'DCF Model'!C16)*1000000/'DCF Model'!C15,0),"")</f>
        <v>1993</v>
      </c>
    </row>
    <row r="8" spans="2:9" ht="13.5" customHeight="1" x14ac:dyDescent="0.25">
      <c r="B8" s="39">
        <f>$C$3-0.01</f>
        <v>6.6818653303493236E-2</v>
      </c>
      <c r="C8" s="37">
        <f>IFERROR(ROUND(('DCF Model'!C45/(1+$B8)^('DCF Model'!C19+0)+'DCF Model'!D45/(1+$B8)^('DCF Model'!C19+1)+'DCF Model'!E45/(1+$B8)^('DCF Model'!C19+2)+'DCF Model'!F45/(1+$B8)^('DCF Model'!C19+3)+'DCF Model'!G45/(1+$B8)^('DCF Model'!C19+4)+'DCF Model'!G45*(1+C$6)/($B8-C$6)/(1+$B8)^('DCF Model'!C19+4)-'DCF Model'!C16)*1000000/'DCF Model'!C15,0),"")</f>
        <v>1419</v>
      </c>
      <c r="D8" s="37">
        <f>IFERROR(ROUND(('DCF Model'!C45/(1+$B8)^('DCF Model'!C19+0)+'DCF Model'!D45/(1+$B8)^('DCF Model'!C19+1)+'DCF Model'!E45/(1+$B8)^('DCF Model'!C19+2)+'DCF Model'!F45/(1+$B8)^('DCF Model'!C19+3)+'DCF Model'!G45/(1+$B8)^('DCF Model'!C19+4)+'DCF Model'!G45*(1+D$6)/($B8-D$6)/(1+$B8)^('DCF Model'!C19+4)-'DCF Model'!C16)*1000000/'DCF Model'!C15,0),"")</f>
        <v>1468</v>
      </c>
      <c r="E8" s="37">
        <f>IFERROR(ROUND(('DCF Model'!C45/(1+$B8)^('DCF Model'!C19+0)+'DCF Model'!D45/(1+$B8)^('DCF Model'!C19+1)+'DCF Model'!E45/(1+$B8)^('DCF Model'!C19+2)+'DCF Model'!F45/(1+$B8)^('DCF Model'!C19+3)+'DCF Model'!G45/(1+$B8)^('DCF Model'!C19+4)+'DCF Model'!G45*(1+E$6)/($B8-E$6)/(1+$B8)^('DCF Model'!C19+4)-'DCF Model'!C16)*1000000/'DCF Model'!C15,0),"")</f>
        <v>1520</v>
      </c>
      <c r="F8" s="37">
        <f>IFERROR(ROUND(('DCF Model'!C45/(1+$B8)^('DCF Model'!C19+0)+'DCF Model'!D45/(1+$B8)^('DCF Model'!C19+1)+'DCF Model'!E45/(1+$B8)^('DCF Model'!C19+2)+'DCF Model'!F45/(1+$B8)^('DCF Model'!C19+3)+'DCF Model'!G45/(1+$B8)^('DCF Model'!C19+4)+'DCF Model'!G45*(1+F$6)/($B8-F$6)/(1+$B8)^('DCF Model'!C19+4)-'DCF Model'!C16)*1000000/'DCF Model'!C15,0),"")</f>
        <v>1577</v>
      </c>
      <c r="G8" s="37">
        <f>IFERROR(ROUND(('DCF Model'!C45/(1+$B8)^('DCF Model'!C19+0)+'DCF Model'!D45/(1+$B8)^('DCF Model'!C19+1)+'DCF Model'!E45/(1+$B8)^('DCF Model'!C19+2)+'DCF Model'!F45/(1+$B8)^('DCF Model'!C19+3)+'DCF Model'!G45/(1+$B8)^('DCF Model'!C19+4)+'DCF Model'!G45*(1+G$6)/($B8-G$6)/(1+$B8)^('DCF Model'!C19+4)-'DCF Model'!C16)*1000000/'DCF Model'!C15,0),"")</f>
        <v>1639</v>
      </c>
      <c r="H8" s="37">
        <f>IFERROR(ROUND(('DCF Model'!C45/(1+$B8)^('DCF Model'!C19+0)+'DCF Model'!D45/(1+$B8)^('DCF Model'!C19+1)+'DCF Model'!E45/(1+$B8)^('DCF Model'!C19+2)+'DCF Model'!F45/(1+$B8)^('DCF Model'!C19+3)+'DCF Model'!G45/(1+$B8)^('DCF Model'!C19+4)+'DCF Model'!G45*(1+H$6)/($B8-H$6)/(1+$B8)^('DCF Model'!C19+4)-'DCF Model'!C16)*1000000/'DCF Model'!C15,0),"")</f>
        <v>1707</v>
      </c>
      <c r="I8" s="37">
        <f>IFERROR(ROUND(('DCF Model'!C45/(1+$B8)^('DCF Model'!C19+0)+'DCF Model'!D45/(1+$B8)^('DCF Model'!C19+1)+'DCF Model'!E45/(1+$B8)^('DCF Model'!C19+2)+'DCF Model'!F45/(1+$B8)^('DCF Model'!C19+3)+'DCF Model'!G45/(1+$B8)^('DCF Model'!C19+4)+'DCF Model'!G45*(1+I$6)/($B8-I$6)/(1+$B8)^('DCF Model'!C19+4)-'DCF Model'!C16)*1000000/'DCF Model'!C15,0),"")</f>
        <v>1782</v>
      </c>
    </row>
    <row r="9" spans="2:9" ht="13.5" customHeight="1" x14ac:dyDescent="0.25">
      <c r="B9" s="39">
        <f>$C$3-0.005</f>
        <v>7.1818653303493227E-2</v>
      </c>
      <c r="C9" s="37">
        <f>IFERROR(ROUND(('DCF Model'!C45/(1+$B9)^('DCF Model'!C19+0)+'DCF Model'!D45/(1+$B9)^('DCF Model'!C19+1)+'DCF Model'!E45/(1+$B9)^('DCF Model'!C19+2)+'DCF Model'!F45/(1+$B9)^('DCF Model'!C19+3)+'DCF Model'!G45/(1+$B9)^('DCF Model'!C19+4)+'DCF Model'!G45*(1+C$6)/($B9-C$6)/(1+$B9)^('DCF Model'!C19+4)-'DCF Model'!C16)*1000000/'DCF Model'!C15,0),"")</f>
        <v>1310</v>
      </c>
      <c r="D9" s="37">
        <f>IFERROR(ROUND(('DCF Model'!C45/(1+$B9)^('DCF Model'!C19+0)+'DCF Model'!D45/(1+$B9)^('DCF Model'!C19+1)+'DCF Model'!E45/(1+$B9)^('DCF Model'!C19+2)+'DCF Model'!F45/(1+$B9)^('DCF Model'!C19+3)+'DCF Model'!G45/(1+$B9)^('DCF Model'!C19+4)+'DCF Model'!G45*(1+D$6)/($B9-D$6)/(1+$B9)^('DCF Model'!C19+4)-'DCF Model'!C16)*1000000/'DCF Model'!C15,0),"")</f>
        <v>1350</v>
      </c>
      <c r="E9" s="37">
        <f>IFERROR(ROUND(('DCF Model'!C45/(1+$B9)^('DCF Model'!C19+0)+'DCF Model'!D45/(1+$B9)^('DCF Model'!C19+1)+'DCF Model'!E45/(1+$B9)^('DCF Model'!C19+2)+'DCF Model'!F45/(1+$B9)^('DCF Model'!C19+3)+'DCF Model'!G45/(1+$B9)^('DCF Model'!C19+4)+'DCF Model'!G45*(1+E$6)/($B9-E$6)/(1+$B9)^('DCF Model'!C19+4)-'DCF Model'!C16)*1000000/'DCF Model'!C15,0),"")</f>
        <v>1394</v>
      </c>
      <c r="F9" s="37">
        <f>IFERROR(ROUND(('DCF Model'!C45/(1+$B9)^('DCF Model'!C19+0)+'DCF Model'!D45/(1+$B9)^('DCF Model'!C19+1)+'DCF Model'!E45/(1+$B9)^('DCF Model'!C19+2)+'DCF Model'!F45/(1+$B9)^('DCF Model'!C19+3)+'DCF Model'!G45/(1+$B9)^('DCF Model'!C19+4)+'DCF Model'!G45*(1+F$6)/($B9-F$6)/(1+$B9)^('DCF Model'!C19+4)-'DCF Model'!C16)*1000000/'DCF Model'!C15,0),"")</f>
        <v>1441</v>
      </c>
      <c r="G9" s="37">
        <f>IFERROR(ROUND(('DCF Model'!C45/(1+$B9)^('DCF Model'!C19+0)+'DCF Model'!D45/(1+$B9)^('DCF Model'!C19+1)+'DCF Model'!E45/(1+$B9)^('DCF Model'!C19+2)+'DCF Model'!F45/(1+$B9)^('DCF Model'!C19+3)+'DCF Model'!G45/(1+$B9)^('DCF Model'!C19+4)+'DCF Model'!G45*(1+G$6)/($B9-G$6)/(1+$B9)^('DCF Model'!C19+4)-'DCF Model'!C16)*1000000/'DCF Model'!C15,0),"")</f>
        <v>1493</v>
      </c>
      <c r="H9" s="37">
        <f>IFERROR(ROUND(('DCF Model'!C45/(1+$B9)^('DCF Model'!C19+0)+'DCF Model'!D45/(1+$B9)^('DCF Model'!C19+1)+'DCF Model'!E45/(1+$B9)^('DCF Model'!C19+2)+'DCF Model'!F45/(1+$B9)^('DCF Model'!C19+3)+'DCF Model'!G45/(1+$B9)^('DCF Model'!C19+4)+'DCF Model'!G45*(1+H$6)/($B9-H$6)/(1+$B9)^('DCF Model'!C19+4)-'DCF Model'!C16)*1000000/'DCF Model'!C15,0),"")</f>
        <v>1548</v>
      </c>
      <c r="I9" s="37">
        <f>IFERROR(ROUND(('DCF Model'!C45/(1+$B9)^('DCF Model'!C19+0)+'DCF Model'!D45/(1+$B9)^('DCF Model'!C19+1)+'DCF Model'!E45/(1+$B9)^('DCF Model'!C19+2)+'DCF Model'!F45/(1+$B9)^('DCF Model'!C19+3)+'DCF Model'!G45/(1+$B9)^('DCF Model'!C19+4)+'DCF Model'!G45*(1+I$6)/($B9-I$6)/(1+$B9)^('DCF Model'!C19+4)-'DCF Model'!C16)*1000000/'DCF Model'!C15,0),"")</f>
        <v>1609</v>
      </c>
    </row>
    <row r="10" spans="2:9" ht="13.5" customHeight="1" x14ac:dyDescent="0.25">
      <c r="B10" s="39">
        <f>$C$3</f>
        <v>7.6818653303493231E-2</v>
      </c>
      <c r="C10" s="37">
        <f>IFERROR(ROUND(('DCF Model'!C45/(1+$B10)^('DCF Model'!C19+0)+'DCF Model'!D45/(1+$B10)^('DCF Model'!C19+1)+'DCF Model'!E45/(1+$B10)^('DCF Model'!C19+2)+'DCF Model'!F45/(1+$B10)^('DCF Model'!C19+3)+'DCF Model'!G45/(1+$B10)^('DCF Model'!C19+4)+'DCF Model'!G45*(1+C$6)/($B10-C$6)/(1+$B10)^('DCF Model'!C19+4)-'DCF Model'!C16)*1000000/'DCF Model'!C15,0),"")</f>
        <v>1215</v>
      </c>
      <c r="D10" s="37">
        <f>IFERROR(ROUND(('DCF Model'!C45/(1+$B10)^('DCF Model'!C19+0)+'DCF Model'!D45/(1+$B10)^('DCF Model'!C19+1)+'DCF Model'!E45/(1+$B10)^('DCF Model'!C19+2)+'DCF Model'!F45/(1+$B10)^('DCF Model'!C19+3)+'DCF Model'!G45/(1+$B10)^('DCF Model'!C19+4)+'DCF Model'!G45*(1+D$6)/($B10-D$6)/(1+$B10)^('DCF Model'!C19+4)-'DCF Model'!C16)*1000000/'DCF Model'!C15,0),"")</f>
        <v>1249</v>
      </c>
      <c r="E10" s="37">
        <f>IFERROR(ROUND(('DCF Model'!C45/(1+$B10)^('DCF Model'!C19+0)+'DCF Model'!D45/(1+$B10)^('DCF Model'!C19+1)+'DCF Model'!E45/(1+$B10)^('DCF Model'!C19+2)+'DCF Model'!F45/(1+$B10)^('DCF Model'!C19+3)+'DCF Model'!G45/(1+$B10)^('DCF Model'!C19+4)+'DCF Model'!G45*(1+E$6)/($B10-E$6)/(1+$B10)^('DCF Model'!C19+4)-'DCF Model'!C16)*1000000/'DCF Model'!C15,0),"")</f>
        <v>1286</v>
      </c>
      <c r="F10" s="37">
        <f>IFERROR(ROUND(('DCF Model'!C45/(1+$B10)^('DCF Model'!C19+0)+'DCF Model'!D45/(1+$B10)^('DCF Model'!C19+1)+'DCF Model'!E45/(1+$B10)^('DCF Model'!C19+2)+'DCF Model'!F45/(1+$B10)^('DCF Model'!C19+3)+'DCF Model'!G45/(1+$B10)^('DCF Model'!C19+4)+'DCF Model'!G45*(1+F$6)/($B10-F$6)/(1+$B10)^('DCF Model'!C19+4)-'DCF Model'!C16)*1000000/'DCF Model'!C15,0),"")</f>
        <v>1326</v>
      </c>
      <c r="G10" s="37">
        <f>IFERROR(ROUND(('DCF Model'!C45/(1+$B10)^('DCF Model'!C19+0)+'DCF Model'!D45/(1+$B10)^('DCF Model'!C19+1)+'DCF Model'!E45/(1+$B10)^('DCF Model'!C19+2)+'DCF Model'!F45/(1+$B10)^('DCF Model'!C19+3)+'DCF Model'!G45/(1+$B10)^('DCF Model'!C19+4)+'DCF Model'!G45*(1+G$6)/($B10-G$6)/(1+$B10)^('DCF Model'!C19+4)-'DCF Model'!C16)*1000000/'DCF Model'!C15,0),"")</f>
        <v>1369</v>
      </c>
      <c r="H10" s="37">
        <f>IFERROR(ROUND(('DCF Model'!C45/(1+$B10)^('DCF Model'!C19+0)+'DCF Model'!D45/(1+$B10)^('DCF Model'!C19+1)+'DCF Model'!E45/(1+$B10)^('DCF Model'!C19+2)+'DCF Model'!F45/(1+$B10)^('DCF Model'!C19+3)+'DCF Model'!G45/(1+$B10)^('DCF Model'!C19+4)+'DCF Model'!G45*(1+H$6)/($B10-H$6)/(1+$B10)^('DCF Model'!C19+4)-'DCF Model'!C16)*1000000/'DCF Model'!C15,0),"")</f>
        <v>1416</v>
      </c>
      <c r="I10" s="37">
        <f>IFERROR(ROUND(('DCF Model'!C45/(1+$B10)^('DCF Model'!C19+0)+'DCF Model'!D45/(1+$B10)^('DCF Model'!C19+1)+'DCF Model'!E45/(1+$B10)^('DCF Model'!C19+2)+'DCF Model'!F45/(1+$B10)^('DCF Model'!C19+3)+'DCF Model'!G45/(1+$B10)^('DCF Model'!C19+4)+'DCF Model'!G45*(1+I$6)/($B10-I$6)/(1+$B10)^('DCF Model'!C19+4)-'DCF Model'!C16)*1000000/'DCF Model'!C15,0),"")</f>
        <v>1466</v>
      </c>
    </row>
    <row r="11" spans="2:9" ht="13.5" customHeight="1" x14ac:dyDescent="0.25">
      <c r="B11" s="39">
        <f>$C$3+0.005</f>
        <v>8.1818653303493236E-2</v>
      </c>
      <c r="C11" s="37">
        <f>IFERROR(ROUND(('DCF Model'!C45/(1+$B11)^('DCF Model'!C19+0)+'DCF Model'!D45/(1+$B11)^('DCF Model'!C19+1)+'DCF Model'!E45/(1+$B11)^('DCF Model'!C19+2)+'DCF Model'!F45/(1+$B11)^('DCF Model'!C19+3)+'DCF Model'!G45/(1+$B11)^('DCF Model'!C19+4)+'DCF Model'!G45*(1+C$6)/($B11-C$6)/(1+$B11)^('DCF Model'!C19+4)-'DCF Model'!C16)*1000000/'DCF Model'!C15,0),"")</f>
        <v>1132</v>
      </c>
      <c r="D11" s="37">
        <f>IFERROR(ROUND(('DCF Model'!C45/(1+$B11)^('DCF Model'!C19+0)+'DCF Model'!D45/(1+$B11)^('DCF Model'!C19+1)+'DCF Model'!E45/(1+$B11)^('DCF Model'!C19+2)+'DCF Model'!F45/(1+$B11)^('DCF Model'!C19+3)+'DCF Model'!G45/(1+$B11)^('DCF Model'!C19+4)+'DCF Model'!G45*(1+D$6)/($B11-D$6)/(1+$B11)^('DCF Model'!C19+4)-'DCF Model'!C16)*1000000/'DCF Model'!C15,0),"")</f>
        <v>1161</v>
      </c>
      <c r="E11" s="37">
        <f>IFERROR(ROUND(('DCF Model'!C45/(1+$B11)^('DCF Model'!C19+0)+'DCF Model'!D45/(1+$B11)^('DCF Model'!C19+1)+'DCF Model'!E45/(1+$B11)^('DCF Model'!C19+2)+'DCF Model'!F45/(1+$B11)^('DCF Model'!C19+3)+'DCF Model'!G45/(1+$B11)^('DCF Model'!C19+4)+'DCF Model'!G45*(1+E$6)/($B11-E$6)/(1+$B11)^('DCF Model'!C19+4)-'DCF Model'!C16)*1000000/'DCF Model'!C15,0),"")</f>
        <v>1193</v>
      </c>
      <c r="F11" s="37">
        <f>IFERROR(ROUND(('DCF Model'!C45/(1+$B11)^('DCF Model'!C19+0)+'DCF Model'!D45/(1+$B11)^('DCF Model'!C19+1)+'DCF Model'!E45/(1+$B11)^('DCF Model'!C19+2)+'DCF Model'!F45/(1+$B11)^('DCF Model'!C19+3)+'DCF Model'!G45/(1+$B11)^('DCF Model'!C19+4)+'DCF Model'!G45*(1+F$6)/($B11-F$6)/(1+$B11)^('DCF Model'!C19+4)-'DCF Model'!C16)*1000000/'DCF Model'!C15,0),"")</f>
        <v>1227</v>
      </c>
      <c r="G11" s="37">
        <f>IFERROR(ROUND(('DCF Model'!C45/(1+$B11)^('DCF Model'!C19+0)+'DCF Model'!D45/(1+$B11)^('DCF Model'!C19+1)+'DCF Model'!E45/(1+$B11)^('DCF Model'!C19+2)+'DCF Model'!F45/(1+$B11)^('DCF Model'!C19+3)+'DCF Model'!G45/(1+$B11)^('DCF Model'!C19+4)+'DCF Model'!G45*(1+G$6)/($B11-G$6)/(1+$B11)^('DCF Model'!C19+4)-'DCF Model'!C16)*1000000/'DCF Model'!C15,0),"")</f>
        <v>1264</v>
      </c>
      <c r="H11" s="37">
        <f>IFERROR(ROUND(('DCF Model'!C45/(1+$B11)^('DCF Model'!C19+0)+'DCF Model'!D45/(1+$B11)^('DCF Model'!C19+1)+'DCF Model'!E45/(1+$B11)^('DCF Model'!C19+2)+'DCF Model'!F45/(1+$B11)^('DCF Model'!C19+3)+'DCF Model'!G45/(1+$B11)^('DCF Model'!C19+4)+'DCF Model'!G45*(1+H$6)/($B11-H$6)/(1+$B11)^('DCF Model'!C19+4)-'DCF Model'!C16)*1000000/'DCF Model'!C15,0),"")</f>
        <v>1303</v>
      </c>
      <c r="I11" s="37">
        <f>IFERROR(ROUND(('DCF Model'!C45/(1+$B11)^('DCF Model'!C19+0)+'DCF Model'!D45/(1+$B11)^('DCF Model'!C19+1)+'DCF Model'!E45/(1+$B11)^('DCF Model'!C19+2)+'DCF Model'!F45/(1+$B11)^('DCF Model'!C19+3)+'DCF Model'!G45/(1+$B11)^('DCF Model'!C19+4)+'DCF Model'!G45*(1+I$6)/($B11-I$6)/(1+$B11)^('DCF Model'!C19+4)-'DCF Model'!C16)*1000000/'DCF Model'!C15,0),"")</f>
        <v>1345</v>
      </c>
    </row>
    <row r="12" spans="2:9" ht="13.5" customHeight="1" x14ac:dyDescent="0.25">
      <c r="B12" s="39">
        <f>$C$3+0.01</f>
        <v>8.6818653303493226E-2</v>
      </c>
      <c r="C12" s="37">
        <f>IFERROR(ROUND(('DCF Model'!C45/(1+$B12)^('DCF Model'!C19+0)+'DCF Model'!D45/(1+$B12)^('DCF Model'!C19+1)+'DCF Model'!E45/(1+$B12)^('DCF Model'!C19+2)+'DCF Model'!F45/(1+$B12)^('DCF Model'!C19+3)+'DCF Model'!G45/(1+$B12)^('DCF Model'!C19+4)+'DCF Model'!G45*(1+C$6)/($B12-C$6)/(1+$B12)^('DCF Model'!C19+4)-'DCF Model'!C16)*1000000/'DCF Model'!C15,0),"")</f>
        <v>1059</v>
      </c>
      <c r="D12" s="37">
        <f>IFERROR(ROUND(('DCF Model'!C45/(1+$B12)^('DCF Model'!C19+0)+'DCF Model'!D45/(1+$B12)^('DCF Model'!C19+1)+'DCF Model'!E45/(1+$B12)^('DCF Model'!C19+2)+'DCF Model'!F45/(1+$B12)^('DCF Model'!C19+3)+'DCF Model'!G45/(1+$B12)^('DCF Model'!C19+4)+'DCF Model'!G45*(1+D$6)/($B12-D$6)/(1+$B12)^('DCF Model'!C19+4)-'DCF Model'!C16)*1000000/'DCF Model'!C15,0),"")</f>
        <v>1084</v>
      </c>
      <c r="E12" s="37">
        <f>IFERROR(ROUND(('DCF Model'!C45/(1+$B12)^('DCF Model'!C19+0)+'DCF Model'!D45/(1+$B12)^('DCF Model'!C19+1)+'DCF Model'!E45/(1+$B12)^('DCF Model'!C19+2)+'DCF Model'!F45/(1+$B12)^('DCF Model'!C19+3)+'DCF Model'!G45/(1+$B12)^('DCF Model'!C19+4)+'DCF Model'!G45*(1+E$6)/($B12-E$6)/(1+$B12)^('DCF Model'!C19+4)-'DCF Model'!C16)*1000000/'DCF Model'!C15,0),"")</f>
        <v>1112</v>
      </c>
      <c r="F12" s="37">
        <f>IFERROR(ROUND(('DCF Model'!C45/(1+$B12)^('DCF Model'!C19+0)+'DCF Model'!D45/(1+$B12)^('DCF Model'!C19+1)+'DCF Model'!E45/(1+$B12)^('DCF Model'!C19+2)+'DCF Model'!F45/(1+$B12)^('DCF Model'!C19+3)+'DCF Model'!G45/(1+$B12)^('DCF Model'!C19+4)+'DCF Model'!G45*(1+F$6)/($B12-F$6)/(1+$B12)^('DCF Model'!C19+4)-'DCF Model'!C16)*1000000/'DCF Model'!C15,0),"")</f>
        <v>1141</v>
      </c>
      <c r="G12" s="37">
        <f>IFERROR(ROUND(('DCF Model'!C45/(1+$B12)^('DCF Model'!C19+0)+'DCF Model'!D45/(1+$B12)^('DCF Model'!C19+1)+'DCF Model'!E45/(1+$B12)^('DCF Model'!C19+2)+'DCF Model'!F45/(1+$B12)^('DCF Model'!C19+3)+'DCF Model'!G45/(1+$B12)^('DCF Model'!C19+4)+'DCF Model'!G45*(1+G$6)/($B12-G$6)/(1+$B12)^('DCF Model'!C19+4)-'DCF Model'!C16)*1000000/'DCF Model'!C15,0),"")</f>
        <v>1172</v>
      </c>
      <c r="H12" s="37">
        <f>IFERROR(ROUND(('DCF Model'!C45/(1+$B12)^('DCF Model'!C19+0)+'DCF Model'!D45/(1+$B12)^('DCF Model'!C19+1)+'DCF Model'!E45/(1+$B12)^('DCF Model'!C19+2)+'DCF Model'!F45/(1+$B12)^('DCF Model'!C19+3)+'DCF Model'!G45/(1+$B12)^('DCF Model'!C19+4)+'DCF Model'!G45*(1+H$6)/($B12-H$6)/(1+$B12)^('DCF Model'!C19+4)-'DCF Model'!C16)*1000000/'DCF Model'!C15,0),"")</f>
        <v>1206</v>
      </c>
      <c r="I12" s="37">
        <f>IFERROR(ROUND(('DCF Model'!C45/(1+$B12)^('DCF Model'!C19+0)+'DCF Model'!D45/(1+$B12)^('DCF Model'!C19+1)+'DCF Model'!E45/(1+$B12)^('DCF Model'!C19+2)+'DCF Model'!F45/(1+$B12)^('DCF Model'!C19+3)+'DCF Model'!G45/(1+$B12)^('DCF Model'!C19+4)+'DCF Model'!G45*(1+I$6)/($B12-I$6)/(1+$B12)^('DCF Model'!C19+4)-'DCF Model'!C16)*1000000/'DCF Model'!C15,0),"")</f>
        <v>1241</v>
      </c>
    </row>
    <row r="13" spans="2:9" ht="13.5" customHeight="1" x14ac:dyDescent="0.25">
      <c r="B13" s="39">
        <f>$C$3+0.015</f>
        <v>9.1818653303493231E-2</v>
      </c>
      <c r="C13" s="37">
        <f>IFERROR(ROUND(('DCF Model'!C45/(1+$B13)^('DCF Model'!C19+0)+'DCF Model'!D45/(1+$B13)^('DCF Model'!C19+1)+'DCF Model'!E45/(1+$B13)^('DCF Model'!C19+2)+'DCF Model'!F45/(1+$B13)^('DCF Model'!C19+3)+'DCF Model'!G45/(1+$B13)^('DCF Model'!C19+4)+'DCF Model'!G45*(1+C$6)/($B13-C$6)/(1+$B13)^('DCF Model'!C19+4)-'DCF Model'!C16)*1000000/'DCF Model'!C15,0),"")</f>
        <v>994</v>
      </c>
      <c r="D13" s="37">
        <f>IFERROR(ROUND(('DCF Model'!C45/(1+$B13)^('DCF Model'!C19+0)+'DCF Model'!D45/(1+$B13)^('DCF Model'!C19+1)+'DCF Model'!E45/(1+$B13)^('DCF Model'!C19+2)+'DCF Model'!F45/(1+$B13)^('DCF Model'!C19+3)+'DCF Model'!G45/(1+$B13)^('DCF Model'!C19+4)+'DCF Model'!G45*(1+D$6)/($B13-D$6)/(1+$B13)^('DCF Model'!C19+4)-'DCF Model'!C16)*1000000/'DCF Model'!C15,0),"")</f>
        <v>1016</v>
      </c>
      <c r="E13" s="37">
        <f>IFERROR(ROUND(('DCF Model'!C45/(1+$B13)^('DCF Model'!C19+0)+'DCF Model'!D45/(1+$B13)^('DCF Model'!C19+1)+'DCF Model'!E45/(1+$B13)^('DCF Model'!C19+2)+'DCF Model'!F45/(1+$B13)^('DCF Model'!C19+3)+'DCF Model'!G45/(1+$B13)^('DCF Model'!C19+4)+'DCF Model'!G45*(1+E$6)/($B13-E$6)/(1+$B13)^('DCF Model'!C19+4)-'DCF Model'!C16)*1000000/'DCF Model'!C15,0),"")</f>
        <v>1040</v>
      </c>
      <c r="F13" s="37">
        <f>IFERROR(ROUND(('DCF Model'!C45/(1+$B13)^('DCF Model'!C19+0)+'DCF Model'!D45/(1+$B13)^('DCF Model'!C19+1)+'DCF Model'!E45/(1+$B13)^('DCF Model'!C19+2)+'DCF Model'!F45/(1+$B13)^('DCF Model'!C19+3)+'DCF Model'!G45/(1+$B13)^('DCF Model'!C19+4)+'DCF Model'!G45*(1+F$6)/($B13-F$6)/(1+$B13)^('DCF Model'!C19+4)-'DCF Model'!C16)*1000000/'DCF Model'!C15,0),"")</f>
        <v>1066</v>
      </c>
      <c r="G13" s="37">
        <f>IFERROR(ROUND(('DCF Model'!C45/(1+$B13)^('DCF Model'!C19+0)+'DCF Model'!D45/(1+$B13)^('DCF Model'!C19+1)+'DCF Model'!E45/(1+$B13)^('DCF Model'!C19+2)+'DCF Model'!F45/(1+$B13)^('DCF Model'!C19+3)+'DCF Model'!G45/(1+$B13)^('DCF Model'!C19+4)+'DCF Model'!G45*(1+G$6)/($B13-G$6)/(1+$B13)^('DCF Model'!C19+4)-'DCF Model'!C16)*1000000/'DCF Model'!C15,0),"")</f>
        <v>1092</v>
      </c>
      <c r="H13" s="37">
        <f>IFERROR(ROUND(('DCF Model'!C45/(1+$B13)^('DCF Model'!C19+0)+'DCF Model'!D45/(1+$B13)^('DCF Model'!C19+1)+'DCF Model'!E45/(1+$B13)^('DCF Model'!C19+2)+'DCF Model'!F45/(1+$B13)^('DCF Model'!C19+3)+'DCF Model'!G45/(1+$B13)^('DCF Model'!C19+4)+'DCF Model'!G45*(1+H$6)/($B13-H$6)/(1+$B13)^('DCF Model'!C19+4)-'DCF Model'!C16)*1000000/'DCF Model'!C15,0),"")</f>
        <v>1121</v>
      </c>
      <c r="I13" s="37">
        <f>IFERROR(ROUND(('DCF Model'!C45/(1+$B13)^('DCF Model'!C19+0)+'DCF Model'!D45/(1+$B13)^('DCF Model'!C19+1)+'DCF Model'!E45/(1+$B13)^('DCF Model'!C19+2)+'DCF Model'!F45/(1+$B13)^('DCF Model'!C19+3)+'DCF Model'!G45/(1+$B13)^('DCF Model'!C19+4)+'DCF Model'!G45*(1+I$6)/($B13-I$6)/(1+$B13)^('DCF Model'!C19+4)-'DCF Model'!C16)*1000000/'DCF Model'!C15,0),"")</f>
        <v>1152</v>
      </c>
    </row>
    <row r="16" spans="2:9" ht="14" customHeight="1" x14ac:dyDescent="0.3">
      <c r="B16" s="3" t="s">
        <v>235</v>
      </c>
    </row>
    <row r="17" spans="2:9" ht="14" customHeight="1" x14ac:dyDescent="0.3">
      <c r="B17" s="40" t="s">
        <v>236</v>
      </c>
      <c r="C17" s="42">
        <f>$I$3-3</f>
        <v>9.6</v>
      </c>
      <c r="D17" s="42">
        <f>$I$3-2</f>
        <v>10.6</v>
      </c>
      <c r="E17" s="42">
        <f>$I$3-1</f>
        <v>11.6</v>
      </c>
      <c r="F17" s="42">
        <f>$I$3</f>
        <v>12.6</v>
      </c>
      <c r="G17" s="42">
        <f>$I$3+1</f>
        <v>13.6</v>
      </c>
      <c r="H17" s="42">
        <f>$I$3+2</f>
        <v>14.6</v>
      </c>
      <c r="I17" s="42">
        <f>$I$3+3</f>
        <v>15.6</v>
      </c>
    </row>
    <row r="18" spans="2:9" ht="13.5" customHeight="1" x14ac:dyDescent="0.25">
      <c r="B18" s="39">
        <f>$C$3-0.015</f>
        <v>6.1818653303493232E-2</v>
      </c>
      <c r="C18" s="37">
        <f>IFERROR(ROUND(('DCF Model'!C45/(1+$B18)^('DCF Model'!C19+0)+'DCF Model'!D45/(1+$B18)^('DCF Model'!C19+1)+'DCF Model'!E45/(1+$B18)^('DCF Model'!C19+2)+'DCF Model'!F45/(1+$B18)^('DCF Model'!C19+3)+'DCF Model'!G45/(1+$B18)^('DCF Model'!C19+4)+('DCF Model'!G39+'DCF Model'!G42)*C$17/(1+$B18)^('DCF Model'!C19+4)-'DCF Model'!C16)*1000000/'DCF Model'!C15,0),"")</f>
        <v>1974</v>
      </c>
      <c r="D18" s="37">
        <f>IFERROR(ROUND(('DCF Model'!C45/(1+$B18)^('DCF Model'!C19+0)+'DCF Model'!D45/(1+$B18)^('DCF Model'!C19+1)+'DCF Model'!E45/(1+$B18)^('DCF Model'!C19+2)+'DCF Model'!F45/(1+$B18)^('DCF Model'!C19+3)+'DCF Model'!G45/(1+$B18)^('DCF Model'!C19+4)+('DCF Model'!G39+'DCF Model'!G42)*D$17/(1+$B18)^('DCF Model'!C19+4)-'DCF Model'!C16)*1000000/'DCF Model'!C15,0),"")</f>
        <v>2148</v>
      </c>
      <c r="E18" s="37">
        <f>IFERROR(ROUND(('DCF Model'!C45/(1+$B18)^('DCF Model'!C19+0)+'DCF Model'!D45/(1+$B18)^('DCF Model'!C19+1)+'DCF Model'!E45/(1+$B18)^('DCF Model'!C19+2)+'DCF Model'!F45/(1+$B18)^('DCF Model'!C19+3)+'DCF Model'!G45/(1+$B18)^('DCF Model'!C19+4)+('DCF Model'!G39+'DCF Model'!G42)*E$17/(1+$B18)^('DCF Model'!C19+4)-'DCF Model'!C16)*1000000/'DCF Model'!C15,0),"")</f>
        <v>2322</v>
      </c>
      <c r="F18" s="37">
        <f>IFERROR(ROUND(('DCF Model'!C45/(1+$B18)^('DCF Model'!C19+0)+'DCF Model'!D45/(1+$B18)^('DCF Model'!C19+1)+'DCF Model'!E45/(1+$B18)^('DCF Model'!C19+2)+'DCF Model'!F45/(1+$B18)^('DCF Model'!C19+3)+'DCF Model'!G45/(1+$B18)^('DCF Model'!C19+4)+('DCF Model'!G39+'DCF Model'!G42)*F$17/(1+$B18)^('DCF Model'!C19+4)-'DCF Model'!C16)*1000000/'DCF Model'!C15,0),"")</f>
        <v>2496</v>
      </c>
      <c r="G18" s="37">
        <f>IFERROR(ROUND(('DCF Model'!C45/(1+$B18)^('DCF Model'!C19+0)+'DCF Model'!D45/(1+$B18)^('DCF Model'!C19+1)+'DCF Model'!E45/(1+$B18)^('DCF Model'!C19+2)+'DCF Model'!F45/(1+$B18)^('DCF Model'!C19+3)+'DCF Model'!G45/(1+$B18)^('DCF Model'!C19+4)+('DCF Model'!G39+'DCF Model'!G42)*G$17/(1+$B18)^('DCF Model'!C19+4)-'DCF Model'!C16)*1000000/'DCF Model'!C15,0),"")</f>
        <v>2670</v>
      </c>
      <c r="H18" s="37">
        <f>IFERROR(ROUND(('DCF Model'!C45/(1+$B18)^('DCF Model'!C19+0)+'DCF Model'!D45/(1+$B18)^('DCF Model'!C19+1)+'DCF Model'!E45/(1+$B18)^('DCF Model'!C19+2)+'DCF Model'!F45/(1+$B18)^('DCF Model'!C19+3)+'DCF Model'!G45/(1+$B18)^('DCF Model'!C19+4)+('DCF Model'!G39+'DCF Model'!G42)*H$17/(1+$B18)^('DCF Model'!C19+4)-'DCF Model'!C16)*1000000/'DCF Model'!C15,0),"")</f>
        <v>2844</v>
      </c>
      <c r="I18" s="37">
        <f>IFERROR(ROUND(('DCF Model'!C45/(1+$B18)^('DCF Model'!C19+0)+'DCF Model'!D45/(1+$B18)^('DCF Model'!C19+1)+'DCF Model'!E45/(1+$B18)^('DCF Model'!C19+2)+'DCF Model'!F45/(1+$B18)^('DCF Model'!C19+3)+'DCF Model'!G45/(1+$B18)^('DCF Model'!C19+4)+('DCF Model'!G39+'DCF Model'!G42)*I$17/(1+$B18)^('DCF Model'!C19+4)-'DCF Model'!C16)*1000000/'DCF Model'!C15,0),"")</f>
        <v>3018</v>
      </c>
    </row>
    <row r="19" spans="2:9" ht="13.5" customHeight="1" x14ac:dyDescent="0.25">
      <c r="B19" s="39">
        <f>$C$3-0.01</f>
        <v>6.6818653303493236E-2</v>
      </c>
      <c r="C19" s="37">
        <f>IFERROR(ROUND(('DCF Model'!C45/(1+$B19)^('DCF Model'!C19+0)+'DCF Model'!D45/(1+$B19)^('DCF Model'!C19+1)+'DCF Model'!E45/(1+$B19)^('DCF Model'!C19+2)+'DCF Model'!F45/(1+$B19)^('DCF Model'!C19+3)+'DCF Model'!G45/(1+$B19)^('DCF Model'!C19+4)+('DCF Model'!G39+'DCF Model'!G42)*C$17/(1+$B19)^('DCF Model'!C19+4)-'DCF Model'!C16)*1000000/'DCF Model'!C15,0),"")</f>
        <v>1930</v>
      </c>
      <c r="D19" s="37">
        <f>IFERROR(ROUND(('DCF Model'!C45/(1+$B19)^('DCF Model'!C19+0)+'DCF Model'!D45/(1+$B19)^('DCF Model'!C19+1)+'DCF Model'!E45/(1+$B19)^('DCF Model'!C19+2)+'DCF Model'!F45/(1+$B19)^('DCF Model'!C19+3)+'DCF Model'!G45/(1+$B19)^('DCF Model'!C19+4)+('DCF Model'!G39+'DCF Model'!G42)*D$17/(1+$B19)^('DCF Model'!C19+4)-'DCF Model'!C16)*1000000/'DCF Model'!C15,0),"")</f>
        <v>2100</v>
      </c>
      <c r="E19" s="37">
        <f>IFERROR(ROUND(('DCF Model'!C45/(1+$B19)^('DCF Model'!C19+0)+'DCF Model'!D45/(1+$B19)^('DCF Model'!C19+1)+'DCF Model'!E45/(1+$B19)^('DCF Model'!C19+2)+'DCF Model'!F45/(1+$B19)^('DCF Model'!C19+3)+'DCF Model'!G45/(1+$B19)^('DCF Model'!C19+4)+('DCF Model'!G39+'DCF Model'!G42)*E$17/(1+$B19)^('DCF Model'!C19+4)-'DCF Model'!C16)*1000000/'DCF Model'!C15,0),"")</f>
        <v>2270</v>
      </c>
      <c r="F19" s="37">
        <f>IFERROR(ROUND(('DCF Model'!C45/(1+$B19)^('DCF Model'!C19+0)+'DCF Model'!D45/(1+$B19)^('DCF Model'!C19+1)+'DCF Model'!E45/(1+$B19)^('DCF Model'!C19+2)+'DCF Model'!F45/(1+$B19)^('DCF Model'!C19+3)+'DCF Model'!G45/(1+$B19)^('DCF Model'!C19+4)+('DCF Model'!G39+'DCF Model'!G42)*F$17/(1+$B19)^('DCF Model'!C19+4)-'DCF Model'!C16)*1000000/'DCF Model'!C15,0),"")</f>
        <v>2440</v>
      </c>
      <c r="G19" s="37">
        <f>IFERROR(ROUND(('DCF Model'!C45/(1+$B19)^('DCF Model'!C19+0)+'DCF Model'!D45/(1+$B19)^('DCF Model'!C19+1)+'DCF Model'!E45/(1+$B19)^('DCF Model'!C19+2)+'DCF Model'!F45/(1+$B19)^('DCF Model'!C19+3)+'DCF Model'!G45/(1+$B19)^('DCF Model'!C19+4)+('DCF Model'!G39+'DCF Model'!G42)*G$17/(1+$B19)^('DCF Model'!C19+4)-'DCF Model'!C16)*1000000/'DCF Model'!C15,0),"")</f>
        <v>2610</v>
      </c>
      <c r="H19" s="37">
        <f>IFERROR(ROUND(('DCF Model'!C45/(1+$B19)^('DCF Model'!C19+0)+'DCF Model'!D45/(1+$B19)^('DCF Model'!C19+1)+'DCF Model'!E45/(1+$B19)^('DCF Model'!C19+2)+'DCF Model'!F45/(1+$B19)^('DCF Model'!C19+3)+'DCF Model'!G45/(1+$B19)^('DCF Model'!C19+4)+('DCF Model'!G39+'DCF Model'!G42)*H$17/(1+$B19)^('DCF Model'!C19+4)-'DCF Model'!C16)*1000000/'DCF Model'!C15,0),"")</f>
        <v>2780</v>
      </c>
      <c r="I19" s="37">
        <f>IFERROR(ROUND(('DCF Model'!C45/(1+$B19)^('DCF Model'!C19+0)+'DCF Model'!D45/(1+$B19)^('DCF Model'!C19+1)+'DCF Model'!E45/(1+$B19)^('DCF Model'!C19+2)+'DCF Model'!F45/(1+$B19)^('DCF Model'!C19+3)+'DCF Model'!G45/(1+$B19)^('DCF Model'!C19+4)+('DCF Model'!G39+'DCF Model'!G42)*I$17/(1+$B19)^('DCF Model'!C19+4)-'DCF Model'!C16)*1000000/'DCF Model'!C15,0),"")</f>
        <v>2949</v>
      </c>
    </row>
    <row r="20" spans="2:9" ht="13.5" customHeight="1" x14ac:dyDescent="0.25">
      <c r="B20" s="39">
        <f>$C$3-0.005</f>
        <v>7.1818653303493227E-2</v>
      </c>
      <c r="C20" s="37">
        <f>IFERROR(ROUND(('DCF Model'!C45/(1+$B20)^('DCF Model'!C19+0)+'DCF Model'!D45/(1+$B20)^('DCF Model'!C19+1)+'DCF Model'!E45/(1+$B20)^('DCF Model'!C19+2)+'DCF Model'!F45/(1+$B20)^('DCF Model'!C19+3)+'DCF Model'!G45/(1+$B20)^('DCF Model'!C19+4)+('DCF Model'!G39+'DCF Model'!G42)*C$17/(1+$B20)^('DCF Model'!C19+4)-'DCF Model'!C16)*1000000/'DCF Model'!C15,0),"")</f>
        <v>1888</v>
      </c>
      <c r="D20" s="37">
        <f>IFERROR(ROUND(('DCF Model'!C45/(1+$B20)^('DCF Model'!C19+0)+'DCF Model'!D45/(1+$B20)^('DCF Model'!C19+1)+'DCF Model'!E45/(1+$B20)^('DCF Model'!C19+2)+'DCF Model'!F45/(1+$B20)^('DCF Model'!C19+3)+'DCF Model'!G45/(1+$B20)^('DCF Model'!C19+4)+('DCF Model'!G39+'DCF Model'!G42)*D$17/(1+$B20)^('DCF Model'!C19+4)-'DCF Model'!C16)*1000000/'DCF Model'!C15,0),"")</f>
        <v>2054</v>
      </c>
      <c r="E20" s="37">
        <f>IFERROR(ROUND(('DCF Model'!C45/(1+$B20)^('DCF Model'!C19+0)+'DCF Model'!D45/(1+$B20)^('DCF Model'!C19+1)+'DCF Model'!E45/(1+$B20)^('DCF Model'!C19+2)+'DCF Model'!F45/(1+$B20)^('DCF Model'!C19+3)+'DCF Model'!G45/(1+$B20)^('DCF Model'!C19+4)+('DCF Model'!G39+'DCF Model'!G42)*E$17/(1+$B20)^('DCF Model'!C19+4)-'DCF Model'!C16)*1000000/'DCF Model'!C15,0),"")</f>
        <v>2219</v>
      </c>
      <c r="F20" s="37">
        <f>IFERROR(ROUND(('DCF Model'!C45/(1+$B20)^('DCF Model'!C19+0)+'DCF Model'!D45/(1+$B20)^('DCF Model'!C19+1)+'DCF Model'!E45/(1+$B20)^('DCF Model'!C19+2)+'DCF Model'!F45/(1+$B20)^('DCF Model'!C19+3)+'DCF Model'!G45/(1+$B20)^('DCF Model'!C19+4)+('DCF Model'!G39+'DCF Model'!G42)*F$17/(1+$B20)^('DCF Model'!C19+4)-'DCF Model'!C16)*1000000/'DCF Model'!C15,0),"")</f>
        <v>2385</v>
      </c>
      <c r="G20" s="37">
        <f>IFERROR(ROUND(('DCF Model'!C45/(1+$B20)^('DCF Model'!C19+0)+'DCF Model'!D45/(1+$B20)^('DCF Model'!C19+1)+'DCF Model'!E45/(1+$B20)^('DCF Model'!C19+2)+'DCF Model'!F45/(1+$B20)^('DCF Model'!C19+3)+'DCF Model'!G45/(1+$B20)^('DCF Model'!C19+4)+('DCF Model'!G39+'DCF Model'!G42)*G$17/(1+$B20)^('DCF Model'!C19+4)-'DCF Model'!C16)*1000000/'DCF Model'!C15,0),"")</f>
        <v>2551</v>
      </c>
      <c r="H20" s="37">
        <f>IFERROR(ROUND(('DCF Model'!C45/(1+$B20)^('DCF Model'!C19+0)+'DCF Model'!D45/(1+$B20)^('DCF Model'!C19+1)+'DCF Model'!E45/(1+$B20)^('DCF Model'!C19+2)+'DCF Model'!F45/(1+$B20)^('DCF Model'!C19+3)+'DCF Model'!G45/(1+$B20)^('DCF Model'!C19+4)+('DCF Model'!G39+'DCF Model'!G42)*H$17/(1+$B20)^('DCF Model'!C19+4)-'DCF Model'!C16)*1000000/'DCF Model'!C15,0),"")</f>
        <v>2717</v>
      </c>
      <c r="I20" s="37">
        <f>IFERROR(ROUND(('DCF Model'!C45/(1+$B20)^('DCF Model'!C19+0)+'DCF Model'!D45/(1+$B20)^('DCF Model'!C19+1)+'DCF Model'!E45/(1+$B20)^('DCF Model'!C19+2)+'DCF Model'!F45/(1+$B20)^('DCF Model'!C19+3)+'DCF Model'!G45/(1+$B20)^('DCF Model'!C19+4)+('DCF Model'!G39+'DCF Model'!G42)*I$17/(1+$B20)^('DCF Model'!C19+4)-'DCF Model'!C16)*1000000/'DCF Model'!C15,0),"")</f>
        <v>2883</v>
      </c>
    </row>
    <row r="21" spans="2:9" ht="13.5" customHeight="1" x14ac:dyDescent="0.25">
      <c r="B21" s="39">
        <f>$C$3</f>
        <v>7.6818653303493231E-2</v>
      </c>
      <c r="C21" s="37">
        <f>IFERROR(ROUND(('DCF Model'!C45/(1+$B21)^('DCF Model'!C19+0)+'DCF Model'!D45/(1+$B21)^('DCF Model'!C19+1)+'DCF Model'!E45/(1+$B21)^('DCF Model'!C19+2)+'DCF Model'!F45/(1+$B21)^('DCF Model'!C19+3)+'DCF Model'!G45/(1+$B21)^('DCF Model'!C19+4)+('DCF Model'!G39+'DCF Model'!G42)*C$17/(1+$B21)^('DCF Model'!C19+4)-'DCF Model'!C16)*1000000/'DCF Model'!C15,0),"")</f>
        <v>1846</v>
      </c>
      <c r="D21" s="37">
        <f>IFERROR(ROUND(('DCF Model'!C45/(1+$B21)^('DCF Model'!C19+0)+'DCF Model'!D45/(1+$B21)^('DCF Model'!C19+1)+'DCF Model'!E45/(1+$B21)^('DCF Model'!C19+2)+'DCF Model'!F45/(1+$B21)^('DCF Model'!C19+3)+'DCF Model'!G45/(1+$B21)^('DCF Model'!C19+4)+('DCF Model'!G39+'DCF Model'!G42)*D$17/(1+$B21)^('DCF Model'!C19+4)-'DCF Model'!C16)*1000000/'DCF Model'!C15,0),"")</f>
        <v>2008</v>
      </c>
      <c r="E21" s="37">
        <f>IFERROR(ROUND(('DCF Model'!C45/(1+$B21)^('DCF Model'!C19+0)+'DCF Model'!D45/(1+$B21)^('DCF Model'!C19+1)+'DCF Model'!E45/(1+$B21)^('DCF Model'!C19+2)+'DCF Model'!F45/(1+$B21)^('DCF Model'!C19+3)+'DCF Model'!G45/(1+$B21)^('DCF Model'!C19+4)+('DCF Model'!G39+'DCF Model'!G42)*E$17/(1+$B21)^('DCF Model'!C19+4)-'DCF Model'!C16)*1000000/'DCF Model'!C15,0),"")</f>
        <v>2170</v>
      </c>
      <c r="F21" s="37">
        <f>IFERROR(ROUND(('DCF Model'!C45/(1+$B21)^('DCF Model'!C19+0)+'DCF Model'!D45/(1+$B21)^('DCF Model'!C19+1)+'DCF Model'!E45/(1+$B21)^('DCF Model'!C19+2)+'DCF Model'!F45/(1+$B21)^('DCF Model'!C19+3)+'DCF Model'!G45/(1+$B21)^('DCF Model'!C19+4)+('DCF Model'!G39+'DCF Model'!G42)*F$17/(1+$B21)^('DCF Model'!C19+4)-'DCF Model'!C16)*1000000/'DCF Model'!C15,0),"")</f>
        <v>2332</v>
      </c>
      <c r="G21" s="37">
        <f>IFERROR(ROUND(('DCF Model'!C45/(1+$B21)^('DCF Model'!C19+0)+'DCF Model'!D45/(1+$B21)^('DCF Model'!C19+1)+'DCF Model'!E45/(1+$B21)^('DCF Model'!C19+2)+'DCF Model'!F45/(1+$B21)^('DCF Model'!C19+3)+'DCF Model'!G45/(1+$B21)^('DCF Model'!C19+4)+('DCF Model'!G39+'DCF Model'!G42)*G$17/(1+$B21)^('DCF Model'!C19+4)-'DCF Model'!C16)*1000000/'DCF Model'!C15,0),"")</f>
        <v>2495</v>
      </c>
      <c r="H21" s="37">
        <f>IFERROR(ROUND(('DCF Model'!C45/(1+$B21)^('DCF Model'!C19+0)+'DCF Model'!D45/(1+$B21)^('DCF Model'!C19+1)+'DCF Model'!E45/(1+$B21)^('DCF Model'!C19+2)+'DCF Model'!F45/(1+$B21)^('DCF Model'!C19+3)+'DCF Model'!G45/(1+$B21)^('DCF Model'!C19+4)+('DCF Model'!G39+'DCF Model'!G42)*H$17/(1+$B21)^('DCF Model'!C19+4)-'DCF Model'!C16)*1000000/'DCF Model'!C15,0),"")</f>
        <v>2657</v>
      </c>
      <c r="I21" s="37">
        <f>IFERROR(ROUND(('DCF Model'!C45/(1+$B21)^('DCF Model'!C19+0)+'DCF Model'!D45/(1+$B21)^('DCF Model'!C19+1)+'DCF Model'!E45/(1+$B21)^('DCF Model'!C19+2)+'DCF Model'!F45/(1+$B21)^('DCF Model'!C19+3)+'DCF Model'!G45/(1+$B21)^('DCF Model'!C19+4)+('DCF Model'!G39+'DCF Model'!G42)*I$17/(1+$B21)^('DCF Model'!C19+4)-'DCF Model'!C16)*1000000/'DCF Model'!C15,0),"")</f>
        <v>2819</v>
      </c>
    </row>
    <row r="22" spans="2:9" ht="13.5" customHeight="1" x14ac:dyDescent="0.25">
      <c r="B22" s="39">
        <f>$C$3+0.005</f>
        <v>8.1818653303493236E-2</v>
      </c>
      <c r="C22" s="37">
        <f>IFERROR(ROUND(('DCF Model'!C45/(1+$B22)^('DCF Model'!C19+0)+'DCF Model'!D45/(1+$B22)^('DCF Model'!C19+1)+'DCF Model'!E45/(1+$B22)^('DCF Model'!C19+2)+'DCF Model'!F45/(1+$B22)^('DCF Model'!C19+3)+'DCF Model'!G45/(1+$B22)^('DCF Model'!C19+4)+('DCF Model'!G39+'DCF Model'!G42)*C$17/(1+$B22)^('DCF Model'!C19+4)-'DCF Model'!C16)*1000000/'DCF Model'!C15,0),"")</f>
        <v>1806</v>
      </c>
      <c r="D22" s="37">
        <f>IFERROR(ROUND(('DCF Model'!C45/(1+$B22)^('DCF Model'!C19+0)+'DCF Model'!D45/(1+$B22)^('DCF Model'!C19+1)+'DCF Model'!E45/(1+$B22)^('DCF Model'!C19+2)+'DCF Model'!F45/(1+$B22)^('DCF Model'!C19+3)+'DCF Model'!G45/(1+$B22)^('DCF Model'!C19+4)+('DCF Model'!G39+'DCF Model'!G42)*D$17/(1+$B22)^('DCF Model'!C19+4)-'DCF Model'!C16)*1000000/'DCF Model'!C15,0),"")</f>
        <v>1964</v>
      </c>
      <c r="E22" s="37">
        <f>IFERROR(ROUND(('DCF Model'!C45/(1+$B22)^('DCF Model'!C19+0)+'DCF Model'!D45/(1+$B22)^('DCF Model'!C19+1)+'DCF Model'!E45/(1+$B22)^('DCF Model'!C19+2)+'DCF Model'!F45/(1+$B22)^('DCF Model'!C19+3)+'DCF Model'!G45/(1+$B22)^('DCF Model'!C19+4)+('DCF Model'!G39+'DCF Model'!G42)*E$17/(1+$B22)^('DCF Model'!C19+4)-'DCF Model'!C16)*1000000/'DCF Model'!C15,0),"")</f>
        <v>2122</v>
      </c>
      <c r="F22" s="37">
        <f>IFERROR(ROUND(('DCF Model'!C45/(1+$B22)^('DCF Model'!C19+0)+'DCF Model'!D45/(1+$B22)^('DCF Model'!C19+1)+'DCF Model'!E45/(1+$B22)^('DCF Model'!C19+2)+'DCF Model'!F45/(1+$B22)^('DCF Model'!C19+3)+'DCF Model'!G45/(1+$B22)^('DCF Model'!C19+4)+('DCF Model'!G39+'DCF Model'!G42)*F$17/(1+$B22)^('DCF Model'!C19+4)-'DCF Model'!C16)*1000000/'DCF Model'!C15,0),"")</f>
        <v>2281</v>
      </c>
      <c r="G22" s="37">
        <f>IFERROR(ROUND(('DCF Model'!C45/(1+$B22)^('DCF Model'!C19+0)+'DCF Model'!D45/(1+$B22)^('DCF Model'!C19+1)+'DCF Model'!E45/(1+$B22)^('DCF Model'!C19+2)+'DCF Model'!F45/(1+$B22)^('DCF Model'!C19+3)+'DCF Model'!G45/(1+$B22)^('DCF Model'!C19+4)+('DCF Model'!G39+'DCF Model'!G42)*G$17/(1+$B22)^('DCF Model'!C19+4)-'DCF Model'!C16)*1000000/'DCF Model'!C15,0),"")</f>
        <v>2439</v>
      </c>
      <c r="H22" s="37">
        <f>IFERROR(ROUND(('DCF Model'!C45/(1+$B22)^('DCF Model'!C19+0)+'DCF Model'!D45/(1+$B22)^('DCF Model'!C19+1)+'DCF Model'!E45/(1+$B22)^('DCF Model'!C19+2)+'DCF Model'!F45/(1+$B22)^('DCF Model'!C19+3)+'DCF Model'!G45/(1+$B22)^('DCF Model'!C19+4)+('DCF Model'!G39+'DCF Model'!G42)*H$17/(1+$B22)^('DCF Model'!C19+4)-'DCF Model'!C16)*1000000/'DCF Model'!C15,0),"")</f>
        <v>2598</v>
      </c>
      <c r="I22" s="37">
        <f>IFERROR(ROUND(('DCF Model'!C45/(1+$B22)^('DCF Model'!C19+0)+'DCF Model'!D45/(1+$B22)^('DCF Model'!C19+1)+'DCF Model'!E45/(1+$B22)^('DCF Model'!C19+2)+'DCF Model'!F45/(1+$B22)^('DCF Model'!C19+3)+'DCF Model'!G45/(1+$B22)^('DCF Model'!C19+4)+('DCF Model'!G39+'DCF Model'!G42)*I$17/(1+$B22)^('DCF Model'!C19+4)-'DCF Model'!C16)*1000000/'DCF Model'!C15,0),"")</f>
        <v>2756</v>
      </c>
    </row>
    <row r="23" spans="2:9" ht="13.5" customHeight="1" x14ac:dyDescent="0.25">
      <c r="B23" s="39">
        <f>$C$3+0.01</f>
        <v>8.6818653303493226E-2</v>
      </c>
      <c r="C23" s="37">
        <f>IFERROR(ROUND(('DCF Model'!C45/(1+$B23)^('DCF Model'!C19+0)+'DCF Model'!D45/(1+$B23)^('DCF Model'!C19+1)+'DCF Model'!E45/(1+$B23)^('DCF Model'!C19+2)+'DCF Model'!F45/(1+$B23)^('DCF Model'!C19+3)+'DCF Model'!G45/(1+$B23)^('DCF Model'!C19+4)+('DCF Model'!G39+'DCF Model'!G42)*C$17/(1+$B23)^('DCF Model'!C19+4)-'DCF Model'!C16)*1000000/'DCF Model'!C15,0),"")</f>
        <v>1766</v>
      </c>
      <c r="D23" s="37">
        <f>IFERROR(ROUND(('DCF Model'!C45/(1+$B23)^('DCF Model'!C19+0)+'DCF Model'!D45/(1+$B23)^('DCF Model'!C19+1)+'DCF Model'!E45/(1+$B23)^('DCF Model'!C19+2)+'DCF Model'!F45/(1+$B23)^('DCF Model'!C19+3)+'DCF Model'!G45/(1+$B23)^('DCF Model'!C19+4)+('DCF Model'!G39+'DCF Model'!G42)*D$17/(1+$B23)^('DCF Model'!C19+4)-'DCF Model'!C16)*1000000/'DCF Model'!C15,0),"")</f>
        <v>1921</v>
      </c>
      <c r="E23" s="37">
        <f>IFERROR(ROUND(('DCF Model'!C45/(1+$B23)^('DCF Model'!C19+0)+'DCF Model'!D45/(1+$B23)^('DCF Model'!C19+1)+'DCF Model'!E45/(1+$B23)^('DCF Model'!C19+2)+'DCF Model'!F45/(1+$B23)^('DCF Model'!C19+3)+'DCF Model'!G45/(1+$B23)^('DCF Model'!C19+4)+('DCF Model'!G39+'DCF Model'!G42)*E$17/(1+$B23)^('DCF Model'!C19+4)-'DCF Model'!C16)*1000000/'DCF Model'!C15,0),"")</f>
        <v>2076</v>
      </c>
      <c r="F23" s="37">
        <f>IFERROR(ROUND(('DCF Model'!C45/(1+$B23)^('DCF Model'!C19+0)+'DCF Model'!D45/(1+$B23)^('DCF Model'!C19+1)+'DCF Model'!E45/(1+$B23)^('DCF Model'!C19+2)+'DCF Model'!F45/(1+$B23)^('DCF Model'!C19+3)+'DCF Model'!G45/(1+$B23)^('DCF Model'!C19+4)+('DCF Model'!G39+'DCF Model'!G42)*F$17/(1+$B23)^('DCF Model'!C19+4)-'DCF Model'!C16)*1000000/'DCF Model'!C15,0),"")</f>
        <v>2231</v>
      </c>
      <c r="G23" s="37">
        <f>IFERROR(ROUND(('DCF Model'!C45/(1+$B23)^('DCF Model'!C19+0)+'DCF Model'!D45/(1+$B23)^('DCF Model'!C19+1)+'DCF Model'!E45/(1+$B23)^('DCF Model'!C19+2)+'DCF Model'!F45/(1+$B23)^('DCF Model'!C19+3)+'DCF Model'!G45/(1+$B23)^('DCF Model'!C19+4)+('DCF Model'!G39+'DCF Model'!G42)*G$17/(1+$B23)^('DCF Model'!C19+4)-'DCF Model'!C16)*1000000/'DCF Model'!C15,0),"")</f>
        <v>2385</v>
      </c>
      <c r="H23" s="37">
        <f>IFERROR(ROUND(('DCF Model'!C45/(1+$B23)^('DCF Model'!C19+0)+'DCF Model'!D45/(1+$B23)^('DCF Model'!C19+1)+'DCF Model'!E45/(1+$B23)^('DCF Model'!C19+2)+'DCF Model'!F45/(1+$B23)^('DCF Model'!C19+3)+'DCF Model'!G45/(1+$B23)^('DCF Model'!C19+4)+('DCF Model'!G39+'DCF Model'!G42)*H$17/(1+$B23)^('DCF Model'!C19+4)-'DCF Model'!C16)*1000000/'DCF Model'!C15,0),"")</f>
        <v>2540</v>
      </c>
      <c r="I23" s="37">
        <f>IFERROR(ROUND(('DCF Model'!C45/(1+$B23)^('DCF Model'!C19+0)+'DCF Model'!D45/(1+$B23)^('DCF Model'!C19+1)+'DCF Model'!E45/(1+$B23)^('DCF Model'!C19+2)+'DCF Model'!F45/(1+$B23)^('DCF Model'!C19+3)+'DCF Model'!G45/(1+$B23)^('DCF Model'!C19+4)+('DCF Model'!G39+'DCF Model'!G42)*I$17/(1+$B23)^('DCF Model'!C19+4)-'DCF Model'!C16)*1000000/'DCF Model'!C15,0),"")</f>
        <v>2695</v>
      </c>
    </row>
    <row r="24" spans="2:9" ht="13.5" customHeight="1" x14ac:dyDescent="0.25">
      <c r="B24" s="39">
        <f>$C$3+0.015</f>
        <v>9.1818653303493231E-2</v>
      </c>
      <c r="C24" s="37">
        <f>IFERROR(ROUND(('DCF Model'!C45/(1+$B24)^('DCF Model'!C19+0)+'DCF Model'!D45/(1+$B24)^('DCF Model'!C19+1)+'DCF Model'!E45/(1+$B24)^('DCF Model'!C19+2)+'DCF Model'!F45/(1+$B24)^('DCF Model'!C19+3)+'DCF Model'!G45/(1+$B24)^('DCF Model'!C19+4)+('DCF Model'!G39+'DCF Model'!G42)*C$17/(1+$B24)^('DCF Model'!C19+4)-'DCF Model'!C16)*1000000/'DCF Model'!C15,0),"")</f>
        <v>1728</v>
      </c>
      <c r="D24" s="37">
        <f>IFERROR(ROUND(('DCF Model'!C45/(1+$B24)^('DCF Model'!C19+0)+'DCF Model'!D45/(1+$B24)^('DCF Model'!C19+1)+'DCF Model'!E45/(1+$B24)^('DCF Model'!C19+2)+'DCF Model'!F45/(1+$B24)^('DCF Model'!C19+3)+'DCF Model'!G45/(1+$B24)^('DCF Model'!C19+4)+('DCF Model'!G39+'DCF Model'!G42)*D$17/(1+$B24)^('DCF Model'!C19+4)-'DCF Model'!C16)*1000000/'DCF Model'!C15,0),"")</f>
        <v>1879</v>
      </c>
      <c r="E24" s="37">
        <f>IFERROR(ROUND(('DCF Model'!C45/(1+$B24)^('DCF Model'!C19+0)+'DCF Model'!D45/(1+$B24)^('DCF Model'!C19+1)+'DCF Model'!E45/(1+$B24)^('DCF Model'!C19+2)+'DCF Model'!F45/(1+$B24)^('DCF Model'!C19+3)+'DCF Model'!G45/(1+$B24)^('DCF Model'!C19+4)+('DCF Model'!G39+'DCF Model'!G42)*E$17/(1+$B24)^('DCF Model'!C19+4)-'DCF Model'!C16)*1000000/'DCF Model'!C15,0),"")</f>
        <v>2031</v>
      </c>
      <c r="F24" s="37">
        <f>IFERROR(ROUND(('DCF Model'!C45/(1+$B24)^('DCF Model'!C19+0)+'DCF Model'!D45/(1+$B24)^('DCF Model'!C19+1)+'DCF Model'!E45/(1+$B24)^('DCF Model'!C19+2)+'DCF Model'!F45/(1+$B24)^('DCF Model'!C19+3)+'DCF Model'!G45/(1+$B24)^('DCF Model'!C19+4)+('DCF Model'!G39+'DCF Model'!G42)*F$17/(1+$B24)^('DCF Model'!C19+4)-'DCF Model'!C16)*1000000/'DCF Model'!C15,0),"")</f>
        <v>2182</v>
      </c>
      <c r="G24" s="37">
        <f>IFERROR(ROUND(('DCF Model'!C45/(1+$B24)^('DCF Model'!C19+0)+'DCF Model'!D45/(1+$B24)^('DCF Model'!C19+1)+'DCF Model'!E45/(1+$B24)^('DCF Model'!C19+2)+'DCF Model'!F45/(1+$B24)^('DCF Model'!C19+3)+'DCF Model'!G45/(1+$B24)^('DCF Model'!C19+4)+('DCF Model'!G39+'DCF Model'!G42)*G$17/(1+$B24)^('DCF Model'!C19+4)-'DCF Model'!C16)*1000000/'DCF Model'!C15,0),"")</f>
        <v>2333</v>
      </c>
      <c r="H24" s="37">
        <f>IFERROR(ROUND(('DCF Model'!C45/(1+$B24)^('DCF Model'!C19+0)+'DCF Model'!D45/(1+$B24)^('DCF Model'!C19+1)+'DCF Model'!E45/(1+$B24)^('DCF Model'!C19+2)+'DCF Model'!F45/(1+$B24)^('DCF Model'!C19+3)+'DCF Model'!G45/(1+$B24)^('DCF Model'!C19+4)+('DCF Model'!G39+'DCF Model'!G42)*H$17/(1+$B24)^('DCF Model'!C19+4)-'DCF Model'!C16)*1000000/'DCF Model'!C15,0),"")</f>
        <v>2484</v>
      </c>
      <c r="I24" s="37">
        <f>IFERROR(ROUND(('DCF Model'!C45/(1+$B24)^('DCF Model'!C19+0)+'DCF Model'!D45/(1+$B24)^('DCF Model'!C19+1)+'DCF Model'!E45/(1+$B24)^('DCF Model'!C19+2)+'DCF Model'!F45/(1+$B24)^('DCF Model'!C19+3)+'DCF Model'!G45/(1+$B24)^('DCF Model'!C19+4)+('DCF Model'!G39+'DCF Model'!G42)*I$17/(1+$B24)^('DCF Model'!C19+4)-'DCF Model'!C16)*1000000/'DCF Model'!C15,0),"")</f>
        <v>2636</v>
      </c>
    </row>
    <row r="26" spans="2:9" ht="14" customHeight="1" x14ac:dyDescent="0.3">
      <c r="B26" s="46" t="s">
        <v>237</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6"/>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238</v>
      </c>
    </row>
    <row r="4" spans="2:7" ht="14" customHeight="1"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s="43" t="s">
        <v>250</v>
      </c>
      <c r="C6" s="4" t="s">
        <v>251</v>
      </c>
      <c r="D6" s="43" t="s">
        <v>252</v>
      </c>
      <c r="E6" s="43" t="s">
        <v>253</v>
      </c>
      <c r="F6" s="43" t="s">
        <v>254</v>
      </c>
      <c r="G6" s="43" t="s">
        <v>255</v>
      </c>
    </row>
    <row r="7" spans="2:7" ht="30" customHeight="1" x14ac:dyDescent="0.3">
      <c r="B7" s="43" t="s">
        <v>250</v>
      </c>
      <c r="C7" s="4" t="s">
        <v>256</v>
      </c>
      <c r="D7" s="43" t="s">
        <v>257</v>
      </c>
      <c r="E7" s="43" t="s">
        <v>258</v>
      </c>
      <c r="F7" s="43" t="s">
        <v>259</v>
      </c>
      <c r="G7" s="43" t="s">
        <v>260</v>
      </c>
    </row>
    <row r="8" spans="2:7" ht="30" customHeight="1" x14ac:dyDescent="0.3">
      <c r="B8" s="43" t="s">
        <v>250</v>
      </c>
      <c r="C8" s="4" t="s">
        <v>261</v>
      </c>
      <c r="D8" s="43" t="s">
        <v>262</v>
      </c>
      <c r="E8" s="43" t="s">
        <v>263</v>
      </c>
      <c r="F8" s="43" t="s">
        <v>264</v>
      </c>
      <c r="G8" s="43" t="s">
        <v>260</v>
      </c>
    </row>
    <row r="9" spans="2:7" ht="30" customHeight="1" x14ac:dyDescent="0.3">
      <c r="B9" s="43" t="s">
        <v>250</v>
      </c>
      <c r="C9" s="4" t="s">
        <v>265</v>
      </c>
      <c r="D9" s="43" t="s">
        <v>266</v>
      </c>
      <c r="E9" s="43" t="s">
        <v>267</v>
      </c>
      <c r="F9" s="43" t="s">
        <v>268</v>
      </c>
      <c r="G9" s="43" t="s">
        <v>260</v>
      </c>
    </row>
    <row r="10" spans="2:7" ht="30" customHeight="1" x14ac:dyDescent="0.3">
      <c r="B10" s="43" t="s">
        <v>250</v>
      </c>
      <c r="C10" s="4" t="s">
        <v>269</v>
      </c>
      <c r="D10" s="43" t="s">
        <v>270</v>
      </c>
      <c r="E10" s="43" t="s">
        <v>271</v>
      </c>
      <c r="F10" s="43" t="s">
        <v>272</v>
      </c>
      <c r="G10" s="43" t="s">
        <v>273</v>
      </c>
    </row>
    <row r="11" spans="2:7" ht="30" customHeight="1" x14ac:dyDescent="0.3">
      <c r="B11" s="43" t="s">
        <v>250</v>
      </c>
      <c r="C11" s="4" t="s">
        <v>274</v>
      </c>
      <c r="D11" s="43" t="s">
        <v>275</v>
      </c>
      <c r="E11" s="43" t="s">
        <v>276</v>
      </c>
      <c r="F11" s="43" t="s">
        <v>277</v>
      </c>
      <c r="G11" s="43" t="s">
        <v>278</v>
      </c>
    </row>
    <row r="12" spans="2:7" ht="30" customHeight="1" x14ac:dyDescent="0.3">
      <c r="B12" s="43" t="s">
        <v>250</v>
      </c>
      <c r="C12" s="4" t="s">
        <v>279</v>
      </c>
      <c r="D12" s="43" t="s">
        <v>280</v>
      </c>
      <c r="E12" s="43" t="s">
        <v>281</v>
      </c>
      <c r="F12" s="43" t="s">
        <v>282</v>
      </c>
      <c r="G12" s="43" t="s">
        <v>260</v>
      </c>
    </row>
    <row r="13" spans="2:7" ht="30" customHeight="1" x14ac:dyDescent="0.3">
      <c r="B13" s="43" t="s">
        <v>250</v>
      </c>
      <c r="C13" s="4" t="s">
        <v>283</v>
      </c>
      <c r="D13" s="43" t="s">
        <v>284</v>
      </c>
      <c r="E13" s="43" t="s">
        <v>285</v>
      </c>
      <c r="F13" s="43" t="s">
        <v>286</v>
      </c>
      <c r="G13" s="43" t="s">
        <v>260</v>
      </c>
    </row>
    <row r="14" spans="2:7" ht="30" customHeight="1" x14ac:dyDescent="0.3">
      <c r="B14" s="43" t="s">
        <v>250</v>
      </c>
      <c r="C14" s="4" t="s">
        <v>287</v>
      </c>
      <c r="D14" s="43" t="s">
        <v>288</v>
      </c>
      <c r="E14" s="43" t="s">
        <v>289</v>
      </c>
      <c r="F14" s="43" t="s">
        <v>246</v>
      </c>
      <c r="G14" s="43" t="s">
        <v>260</v>
      </c>
    </row>
    <row r="15" spans="2:7" ht="30" customHeight="1" x14ac:dyDescent="0.3">
      <c r="B15" s="43" t="s">
        <v>250</v>
      </c>
      <c r="C15" s="4" t="s">
        <v>290</v>
      </c>
      <c r="D15" s="43" t="s">
        <v>291</v>
      </c>
      <c r="E15" s="43" t="s">
        <v>292</v>
      </c>
      <c r="F15" s="43" t="s">
        <v>293</v>
      </c>
      <c r="G15" s="43" t="s">
        <v>260</v>
      </c>
    </row>
    <row r="16" spans="2:7" ht="30" customHeight="1" x14ac:dyDescent="0.3">
      <c r="B16" s="43" t="s">
        <v>250</v>
      </c>
      <c r="C16" s="4" t="s">
        <v>294</v>
      </c>
      <c r="D16" s="43" t="s">
        <v>295</v>
      </c>
      <c r="E16" s="43" t="s">
        <v>296</v>
      </c>
      <c r="F16" s="43" t="s">
        <v>297</v>
      </c>
      <c r="G16" s="43" t="s">
        <v>260</v>
      </c>
    </row>
    <row r="17" spans="2:7" ht="30" customHeight="1" x14ac:dyDescent="0.3">
      <c r="B17" s="43" t="s">
        <v>250</v>
      </c>
      <c r="C17" s="4" t="s">
        <v>298</v>
      </c>
      <c r="D17" s="43" t="s">
        <v>299</v>
      </c>
      <c r="E17" s="43" t="s">
        <v>300</v>
      </c>
      <c r="F17" s="43" t="s">
        <v>264</v>
      </c>
      <c r="G17" s="43" t="s">
        <v>260</v>
      </c>
    </row>
    <row r="18" spans="2:7" ht="30" customHeight="1" x14ac:dyDescent="0.3">
      <c r="B18" s="43" t="s">
        <v>250</v>
      </c>
      <c r="C18" s="4" t="s">
        <v>301</v>
      </c>
      <c r="D18" s="43" t="s">
        <v>302</v>
      </c>
      <c r="E18" s="43" t="s">
        <v>303</v>
      </c>
      <c r="F18" s="43" t="s">
        <v>304</v>
      </c>
      <c r="G18" s="43" t="s">
        <v>305</v>
      </c>
    </row>
    <row r="19" spans="2:7" ht="30" customHeight="1" x14ac:dyDescent="0.3">
      <c r="B19" s="43" t="s">
        <v>250</v>
      </c>
      <c r="C19" s="4" t="s">
        <v>306</v>
      </c>
      <c r="D19" s="43" t="s">
        <v>307</v>
      </c>
      <c r="E19" s="43" t="s">
        <v>308</v>
      </c>
      <c r="F19" s="43" t="s">
        <v>246</v>
      </c>
      <c r="G19" s="43" t="s">
        <v>309</v>
      </c>
    </row>
    <row r="20" spans="2:7" ht="30" customHeight="1" x14ac:dyDescent="0.3">
      <c r="B20" s="43" t="s">
        <v>250</v>
      </c>
      <c r="C20" s="4" t="s">
        <v>310</v>
      </c>
      <c r="D20" s="43" t="s">
        <v>311</v>
      </c>
      <c r="E20" s="43" t="s">
        <v>312</v>
      </c>
      <c r="F20" s="43" t="s">
        <v>264</v>
      </c>
      <c r="G20" s="43" t="s">
        <v>260</v>
      </c>
    </row>
    <row r="21" spans="2:7" ht="30" customHeight="1" x14ac:dyDescent="0.3">
      <c r="B21" s="43" t="s">
        <v>250</v>
      </c>
      <c r="C21" s="4" t="s">
        <v>313</v>
      </c>
      <c r="D21" s="43" t="s">
        <v>314</v>
      </c>
      <c r="E21" s="43" t="s">
        <v>315</v>
      </c>
      <c r="F21" s="43" t="s">
        <v>246</v>
      </c>
      <c r="G21" s="43" t="s">
        <v>260</v>
      </c>
    </row>
    <row r="22" spans="2:7" ht="30" customHeight="1" x14ac:dyDescent="0.3">
      <c r="B22" s="43" t="s">
        <v>250</v>
      </c>
      <c r="C22" s="4" t="s">
        <v>316</v>
      </c>
      <c r="D22" s="43" t="s">
        <v>317</v>
      </c>
      <c r="E22" s="43" t="s">
        <v>318</v>
      </c>
      <c r="F22" s="43" t="s">
        <v>246</v>
      </c>
      <c r="G22" s="43" t="s">
        <v>255</v>
      </c>
    </row>
    <row r="23" spans="2:7" ht="30" customHeight="1" x14ac:dyDescent="0.3">
      <c r="B23" s="43" t="s">
        <v>250</v>
      </c>
      <c r="C23" s="4" t="s">
        <v>319</v>
      </c>
      <c r="D23" s="43" t="s">
        <v>320</v>
      </c>
      <c r="E23" s="43" t="s">
        <v>321</v>
      </c>
      <c r="F23" s="43" t="s">
        <v>246</v>
      </c>
      <c r="G23" s="43" t="s">
        <v>322</v>
      </c>
    </row>
    <row r="24" spans="2:7" ht="30" customHeight="1" x14ac:dyDescent="0.3">
      <c r="B24" s="43" t="s">
        <v>250</v>
      </c>
      <c r="C24" s="4" t="s">
        <v>323</v>
      </c>
      <c r="D24" s="43" t="s">
        <v>324</v>
      </c>
      <c r="E24" s="43" t="s">
        <v>325</v>
      </c>
      <c r="F24" s="43" t="s">
        <v>246</v>
      </c>
      <c r="G24" s="43" t="s">
        <v>326</v>
      </c>
    </row>
    <row r="25" spans="2:7" ht="30" customHeight="1" x14ac:dyDescent="0.3">
      <c r="B25" s="43" t="s">
        <v>250</v>
      </c>
      <c r="C25" s="4" t="s">
        <v>323</v>
      </c>
      <c r="D25" s="43" t="s">
        <v>327</v>
      </c>
      <c r="E25" s="43" t="s">
        <v>328</v>
      </c>
      <c r="F25" s="43" t="s">
        <v>246</v>
      </c>
      <c r="G25" s="43" t="s">
        <v>326</v>
      </c>
    </row>
    <row r="26" spans="2:7" ht="30" customHeight="1" x14ac:dyDescent="0.3">
      <c r="B26" s="43" t="s">
        <v>250</v>
      </c>
      <c r="C26" s="4" t="s">
        <v>323</v>
      </c>
      <c r="D26" s="43" t="s">
        <v>329</v>
      </c>
      <c r="E26" s="43" t="s">
        <v>330</v>
      </c>
      <c r="F26" s="43" t="s">
        <v>246</v>
      </c>
      <c r="G26" s="43" t="s">
        <v>326</v>
      </c>
    </row>
    <row r="27" spans="2:7" ht="14" customHeight="1" x14ac:dyDescent="0.2"/>
    <row r="28" spans="2:7" ht="14" customHeight="1" x14ac:dyDescent="0.3">
      <c r="B28" s="8" t="s">
        <v>331</v>
      </c>
    </row>
    <row r="29" spans="2:7" ht="14" customHeight="1" x14ac:dyDescent="0.3">
      <c r="B29" s="10" t="s">
        <v>332</v>
      </c>
      <c r="C29" s="10" t="s">
        <v>333</v>
      </c>
    </row>
    <row r="30" spans="2:7" ht="14" customHeight="1" x14ac:dyDescent="0.3">
      <c r="B30" s="4" t="s">
        <v>334</v>
      </c>
      <c r="C30" t="s">
        <v>335</v>
      </c>
    </row>
    <row r="31" spans="2:7" ht="14" customHeight="1" x14ac:dyDescent="0.3">
      <c r="B31" s="4" t="s">
        <v>336</v>
      </c>
      <c r="C31" t="s">
        <v>337</v>
      </c>
    </row>
    <row r="32" spans="2:7" ht="14" customHeight="1" x14ac:dyDescent="0.3">
      <c r="B32" s="4" t="s">
        <v>338</v>
      </c>
      <c r="C32" t="s">
        <v>339</v>
      </c>
    </row>
    <row r="33" spans="2:3" ht="14" customHeight="1" x14ac:dyDescent="0.3">
      <c r="B33" s="4" t="s">
        <v>340</v>
      </c>
      <c r="C33" t="s">
        <v>41</v>
      </c>
    </row>
    <row r="34" spans="2:3" ht="14" customHeight="1" x14ac:dyDescent="0.3">
      <c r="B34" s="4" t="s">
        <v>341</v>
      </c>
      <c r="C34" t="s">
        <v>4</v>
      </c>
    </row>
    <row r="35" spans="2:3" ht="14" customHeight="1" x14ac:dyDescent="0.3">
      <c r="B35" s="4" t="s">
        <v>342</v>
      </c>
      <c r="C35" t="s">
        <v>245</v>
      </c>
    </row>
    <row r="36" spans="2:3" ht="14" customHeight="1" x14ac:dyDescent="0.3">
      <c r="B36" s="4" t="s">
        <v>343</v>
      </c>
      <c r="C36" t="s">
        <v>344</v>
      </c>
    </row>
    <row r="37" spans="2:3" ht="14" customHeight="1" x14ac:dyDescent="0.3">
      <c r="B37" s="4" t="s">
        <v>345</v>
      </c>
      <c r="C37" t="s">
        <v>346</v>
      </c>
    </row>
    <row r="38" spans="2:3" ht="14" customHeight="1" x14ac:dyDescent="0.3">
      <c r="B38" s="4" t="s">
        <v>347</v>
      </c>
      <c r="C38" t="s">
        <v>348</v>
      </c>
    </row>
    <row r="39" spans="2:3" ht="14" customHeight="1" x14ac:dyDescent="0.3">
      <c r="B39" s="4" t="s">
        <v>349</v>
      </c>
      <c r="C39" t="s">
        <v>350</v>
      </c>
    </row>
    <row r="40" spans="2:3" ht="14" customHeight="1" x14ac:dyDescent="0.3">
      <c r="B40" s="4" t="s">
        <v>351</v>
      </c>
      <c r="C40" t="s">
        <v>352</v>
      </c>
    </row>
    <row r="41" spans="2:3" ht="14" customHeight="1" x14ac:dyDescent="0.3">
      <c r="B41" s="4" t="s">
        <v>353</v>
      </c>
      <c r="C41" t="s">
        <v>348</v>
      </c>
    </row>
    <row r="42" spans="2:3" ht="14" customHeight="1" x14ac:dyDescent="0.3">
      <c r="B42" s="4" t="s">
        <v>354</v>
      </c>
      <c r="C42" t="s">
        <v>344</v>
      </c>
    </row>
    <row r="43" spans="2:3" ht="14" customHeight="1" x14ac:dyDescent="0.3">
      <c r="B43" s="4" t="s">
        <v>355</v>
      </c>
      <c r="C43" t="s">
        <v>356</v>
      </c>
    </row>
    <row r="44" spans="2:3" ht="14" customHeight="1" x14ac:dyDescent="0.3">
      <c r="B44" s="4" t="s">
        <v>357</v>
      </c>
      <c r="C44" t="s">
        <v>358</v>
      </c>
    </row>
    <row r="45" spans="2:3" ht="14" customHeight="1" x14ac:dyDescent="0.3">
      <c r="B45" s="4" t="s">
        <v>359</v>
      </c>
      <c r="C45" t="s">
        <v>360</v>
      </c>
    </row>
    <row r="46" spans="2:3" ht="14" customHeight="1" x14ac:dyDescent="0.3">
      <c r="B46" s="4" t="s">
        <v>361</v>
      </c>
      <c r="C46" t="s">
        <v>362</v>
      </c>
    </row>
    <row r="47" spans="2:3" ht="14" customHeight="1" x14ac:dyDescent="0.3">
      <c r="B47" s="4" t="s">
        <v>363</v>
      </c>
      <c r="C47" t="s">
        <v>364</v>
      </c>
    </row>
    <row r="48" spans="2:3" ht="14" customHeight="1" x14ac:dyDescent="0.3">
      <c r="B48" s="4" t="s">
        <v>365</v>
      </c>
      <c r="C48" t="s">
        <v>366</v>
      </c>
    </row>
    <row r="49" spans="2:3" ht="14" customHeight="1" x14ac:dyDescent="0.3">
      <c r="B49" s="4" t="s">
        <v>367</v>
      </c>
      <c r="C49" t="s">
        <v>368</v>
      </c>
    </row>
    <row r="50" spans="2:3" ht="14" customHeight="1" x14ac:dyDescent="0.3">
      <c r="B50" s="4" t="s">
        <v>369</v>
      </c>
      <c r="C50" t="s">
        <v>370</v>
      </c>
    </row>
    <row r="51" spans="2:3" ht="14" x14ac:dyDescent="0.3">
      <c r="B51" s="4" t="s">
        <v>371</v>
      </c>
      <c r="C51" t="s">
        <v>337</v>
      </c>
    </row>
    <row r="52" spans="2:3" ht="14" x14ac:dyDescent="0.3">
      <c r="B52" s="4" t="s">
        <v>372</v>
      </c>
      <c r="C52" t="s">
        <v>373</v>
      </c>
    </row>
    <row r="53" spans="2:3" ht="14" x14ac:dyDescent="0.3">
      <c r="B53" s="4" t="s">
        <v>374</v>
      </c>
      <c r="C53" t="s">
        <v>375</v>
      </c>
    </row>
    <row r="54" spans="2:3" ht="14" x14ac:dyDescent="0.3">
      <c r="B54" s="4" t="s">
        <v>376</v>
      </c>
      <c r="C54" t="s">
        <v>377</v>
      </c>
    </row>
    <row r="55" spans="2:3" ht="14" x14ac:dyDescent="0.3">
      <c r="B55" s="4" t="s">
        <v>378</v>
      </c>
      <c r="C55" t="s">
        <v>379</v>
      </c>
    </row>
    <row r="56" spans="2:3" ht="14" x14ac:dyDescent="0.3">
      <c r="B56" s="4" t="s">
        <v>380</v>
      </c>
      <c r="C56" t="s">
        <v>381</v>
      </c>
    </row>
    <row r="57" spans="2:3" ht="14" x14ac:dyDescent="0.3">
      <c r="B57" s="4" t="s">
        <v>382</v>
      </c>
      <c r="C57" t="s">
        <v>383</v>
      </c>
    </row>
    <row r="58" spans="2:3" ht="14" x14ac:dyDescent="0.3">
      <c r="B58" s="4" t="s">
        <v>384</v>
      </c>
      <c r="C58" t="s">
        <v>385</v>
      </c>
    </row>
    <row r="59" spans="2:3" ht="14" x14ac:dyDescent="0.3">
      <c r="B59" s="4" t="s">
        <v>386</v>
      </c>
      <c r="C59" t="s">
        <v>387</v>
      </c>
    </row>
    <row r="60" spans="2:3" ht="14" x14ac:dyDescent="0.3">
      <c r="B60" s="4" t="s">
        <v>388</v>
      </c>
      <c r="C60" t="s">
        <v>389</v>
      </c>
    </row>
    <row r="61" spans="2:3" ht="14" x14ac:dyDescent="0.3">
      <c r="B61" s="4" t="s">
        <v>390</v>
      </c>
      <c r="C61" t="s">
        <v>391</v>
      </c>
    </row>
    <row r="62" spans="2:3" ht="14" x14ac:dyDescent="0.3">
      <c r="B62" s="4" t="s">
        <v>392</v>
      </c>
      <c r="C62" t="s">
        <v>393</v>
      </c>
    </row>
    <row r="63" spans="2:3" ht="14" x14ac:dyDescent="0.3">
      <c r="B63" s="4" t="s">
        <v>394</v>
      </c>
      <c r="C63" t="s">
        <v>395</v>
      </c>
    </row>
    <row r="64" spans="2:3" ht="14" x14ac:dyDescent="0.3">
      <c r="B64" s="4" t="s">
        <v>396</v>
      </c>
      <c r="C64" t="s">
        <v>397</v>
      </c>
    </row>
    <row r="65" spans="2:3" ht="14" x14ac:dyDescent="0.3">
      <c r="B65" s="4" t="s">
        <v>398</v>
      </c>
      <c r="C65" t="s">
        <v>399</v>
      </c>
    </row>
    <row r="66" spans="2:3" ht="14" x14ac:dyDescent="0.3">
      <c r="B66" s="4" t="s">
        <v>400</v>
      </c>
      <c r="C66" t="s">
        <v>206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2026-09-06T01:43:15Z</dcterms:created>
  <dcterms:modified xsi:type="dcterms:W3CDTF">2026-09-06T02:32:57Z</dcterms:modified>
</cp:coreProperties>
</file>