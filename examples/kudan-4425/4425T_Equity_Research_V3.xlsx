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examples\kudan-4425\"/>
    </mc:Choice>
  </mc:AlternateContent>
  <xr:revisionPtr revIDLastSave="0" documentId="13_ncr:1_{56E138E1-381F-479F-A6B3-C939EF11B31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Comps Analysis" sheetId="4" r:id="rId4"/>
    <sheet name="Sensitivity Analysis" sheetId="5" r:id="rId5"/>
  </sheets>
  <calcPr calcId="181029"/>
</workbook>
</file>

<file path=xl/calcChain.xml><?xml version="1.0" encoding="utf-8"?>
<calcChain xmlns="http://schemas.openxmlformats.org/spreadsheetml/2006/main">
  <c r="E42" i="3" l="1"/>
  <c r="E44" i="3"/>
  <c r="C10" i="1"/>
  <c r="I17" i="4"/>
  <c r="G17" i="4"/>
  <c r="I16" i="4"/>
  <c r="G16" i="4"/>
  <c r="I15" i="4"/>
  <c r="G15" i="4"/>
  <c r="E15" i="4"/>
  <c r="N10" i="4"/>
  <c r="K10" i="4"/>
  <c r="N9" i="4"/>
  <c r="L9" i="4"/>
  <c r="K9" i="4"/>
  <c r="J9" i="4"/>
  <c r="N8" i="4"/>
  <c r="L8" i="4"/>
  <c r="K8" i="4"/>
  <c r="J8" i="4"/>
  <c r="N7" i="4"/>
  <c r="K7" i="4"/>
  <c r="N6" i="4"/>
  <c r="K6" i="4"/>
  <c r="E16" i="4" s="1"/>
  <c r="C27" i="4" s="1"/>
  <c r="C18" i="1" s="1"/>
  <c r="D18" i="1" s="1"/>
  <c r="J6" i="4"/>
  <c r="N5" i="4"/>
  <c r="H16" i="4" s="1"/>
  <c r="L5" i="4"/>
  <c r="F15" i="4" s="1"/>
  <c r="K5" i="4"/>
  <c r="E17" i="4" s="1"/>
  <c r="J5" i="4"/>
  <c r="D15" i="4" s="1"/>
  <c r="G35" i="3"/>
  <c r="F35" i="3"/>
  <c r="E35" i="3"/>
  <c r="D35" i="3"/>
  <c r="C35" i="3"/>
  <c r="C31" i="3"/>
  <c r="D31" i="3" s="1"/>
  <c r="C23" i="3"/>
  <c r="C22" i="3"/>
  <c r="C21" i="3"/>
  <c r="F28" i="2"/>
  <c r="E28" i="2"/>
  <c r="D28" i="2"/>
  <c r="C28" i="2"/>
  <c r="F23" i="2"/>
  <c r="E23" i="2"/>
  <c r="D23" i="2"/>
  <c r="C23" i="2"/>
  <c r="C22" i="2"/>
  <c r="F21" i="2"/>
  <c r="F22" i="2" s="1"/>
  <c r="E21" i="2"/>
  <c r="E22" i="2" s="1"/>
  <c r="D21" i="2"/>
  <c r="D22" i="2" s="1"/>
  <c r="C21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9" i="2"/>
  <c r="F8" i="2"/>
  <c r="E8" i="2"/>
  <c r="E9" i="2" s="1"/>
  <c r="D8" i="2"/>
  <c r="D9" i="2" s="1"/>
  <c r="C8" i="2"/>
  <c r="C9" i="2" s="1"/>
  <c r="C24" i="3" l="1"/>
  <c r="C48" i="3" s="1"/>
  <c r="D40" i="3"/>
  <c r="D32" i="3"/>
  <c r="D41" i="3"/>
  <c r="D33" i="3"/>
  <c r="E31" i="3"/>
  <c r="E43" i="3"/>
  <c r="D43" i="3"/>
  <c r="C43" i="3"/>
  <c r="G43" i="3"/>
  <c r="F43" i="3"/>
  <c r="C41" i="3"/>
  <c r="H15" i="4"/>
  <c r="D17" i="4"/>
  <c r="D16" i="4"/>
  <c r="F17" i="4"/>
  <c r="C32" i="3"/>
  <c r="C33" i="3" s="1"/>
  <c r="C40" i="3"/>
  <c r="F16" i="4"/>
  <c r="C28" i="4" s="1"/>
  <c r="C19" i="1" s="1"/>
  <c r="D19" i="1" s="1"/>
  <c r="H17" i="4"/>
  <c r="C49" i="3" l="1"/>
  <c r="C36" i="3"/>
  <c r="C34" i="3"/>
  <c r="C37" i="3"/>
  <c r="E41" i="3"/>
  <c r="E40" i="3"/>
  <c r="E32" i="3"/>
  <c r="E33" i="3" s="1"/>
  <c r="F31" i="3"/>
  <c r="D37" i="3"/>
  <c r="D34" i="3"/>
  <c r="D36" i="3"/>
  <c r="E34" i="3" l="1"/>
  <c r="E37" i="3"/>
  <c r="E36" i="3"/>
  <c r="F41" i="3"/>
  <c r="G31" i="3"/>
  <c r="F40" i="3"/>
  <c r="F32" i="3"/>
  <c r="F33" i="3" s="1"/>
  <c r="C38" i="3"/>
  <c r="C39" i="3" s="1"/>
  <c r="C42" i="3" s="1"/>
  <c r="C44" i="3" s="1"/>
  <c r="D38" i="3"/>
  <c r="D39" i="3" s="1"/>
  <c r="D42" i="3" s="1"/>
  <c r="D44" i="3" s="1"/>
  <c r="F37" i="3" l="1"/>
  <c r="F36" i="3"/>
  <c r="F34" i="3"/>
  <c r="G40" i="3"/>
  <c r="G32" i="3"/>
  <c r="G41" i="3"/>
  <c r="G33" i="3"/>
  <c r="E38" i="3"/>
  <c r="E39" i="3" s="1"/>
  <c r="G36" i="3" l="1"/>
  <c r="G34" i="3"/>
  <c r="G37" i="3"/>
  <c r="F38" i="3"/>
  <c r="F39" i="3"/>
  <c r="F42" i="3" s="1"/>
  <c r="F44" i="3" s="1"/>
  <c r="C56" i="3" l="1"/>
  <c r="C57" i="3" s="1"/>
  <c r="C58" i="3" s="1"/>
  <c r="G38" i="3"/>
  <c r="G39" i="3" s="1"/>
  <c r="G42" i="3" s="1"/>
  <c r="G44" i="3" l="1"/>
  <c r="C47" i="3" s="1"/>
  <c r="C50" i="3" l="1"/>
  <c r="C51" i="3" s="1"/>
  <c r="C52" i="3" s="1"/>
  <c r="C16" i="1" s="1"/>
  <c r="C55" i="3"/>
  <c r="C59" i="3" s="1"/>
  <c r="C60" i="3" s="1"/>
  <c r="C61" i="3" s="1"/>
  <c r="C17" i="1" s="1"/>
  <c r="D17" i="1" s="1"/>
  <c r="D16" i="1" l="1"/>
  <c r="C21" i="1"/>
  <c r="C12" i="1"/>
  <c r="C11" i="1" s="1"/>
</calcChain>
</file>

<file path=xl/sharedStrings.xml><?xml version="1.0" encoding="utf-8"?>
<sst xmlns="http://schemas.openxmlformats.org/spreadsheetml/2006/main" count="168" uniqueCount="149">
  <si>
    <t>DISCLAIMER: This is a sample analysis for demonstration purposes only. It does not constitute investment advice.</t>
  </si>
  <si>
    <t>Kudan Inc. (4425.T)</t>
  </si>
  <si>
    <t>Equity Research Report</t>
  </si>
  <si>
    <t>Company</t>
  </si>
  <si>
    <t>Kudan Inc.</t>
  </si>
  <si>
    <t>Ticker</t>
  </si>
  <si>
    <t>4425.T (TSE Growth)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</si>
  <si>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</si>
  <si>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</si>
  <si>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</si>
  <si>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</si>
  <si>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</si>
  <si>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</si>
  <si>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</si>
  <si>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</si>
  <si>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</si>
  <si>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</si>
  <si>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</si>
  <si>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</si>
  <si>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EV/Sales Median</t>
  </si>
  <si>
    <t>Comps - PER Median</t>
  </si>
  <si>
    <t>Integrated Valuation Range</t>
  </si>
  <si>
    <t>Key Investment Thesis</t>
  </si>
  <si>
    <t>1. Global leader in Artificial Perception (SLAM) technology</t>
  </si>
  <si>
    <t>2. High leverage on revenue growth due to fixed-cost intensive IP licensing model</t>
  </si>
  <si>
    <t>3. Transitioning from R&amp;D phase to commercial scaling phase</t>
  </si>
  <si>
    <t>Key Risks</t>
  </si>
  <si>
    <t>1. Prolonged losses and negative free cash flow burning cash runway</t>
  </si>
  <si>
    <t>2. Long sales cycles converting PoC (Proof of Concept) to commercial licenses</t>
  </si>
  <si>
    <t>3. High WACC (17.7%) depressing present value heavily</t>
  </si>
  <si>
    <t>Kudan Inc. - Historical Financials (JPY mn)</t>
  </si>
  <si>
    <t>FY2022 (Mar-22)</t>
  </si>
  <si>
    <t>FY2023 (Mar-23)</t>
  </si>
  <si>
    <t>FY2024 (Mar-24)</t>
  </si>
  <si>
    <t>FY2025 (Mar-25)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</si>
  <si>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</si>
  <si>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</si>
  <si>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</si>
  <si>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</si>
  <si>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</si>
  <si>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</si>
  <si>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</si>
  <si>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</si>
  <si>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</si>
  <si>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</si>
  <si>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</si>
  <si>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</si>
  <si>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</si>
  <si>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</si>
  <si>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</si>
  <si>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</si>
  <si>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</si>
  <si>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</si>
  <si>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</si>
  <si>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</si>
  <si>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</si>
  <si>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</si>
  <si>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</si>
  <si>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Kudan Inc.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</si>
  <si>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</si>
  <si>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</si>
  <si>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</si>
  <si>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</si>
  <si>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</si>
  <si>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</si>
  <si>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</si>
  <si>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</si>
  <si>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</si>
  <si>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</si>
  <si>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</si>
  <si>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</si>
  <si>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</si>
  <si>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</si>
  <si>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WACC Calculation</t>
  </si>
  <si>
    <t>Cost of Equity (Ke)</t>
  </si>
  <si>
    <t>Weight of Equity</t>
  </si>
  <si>
    <t>Weight of Debt</t>
  </si>
  <si>
    <t>WACC</t>
  </si>
  <si>
    <t>Projected Free Cash Flow</t>
  </si>
  <si>
    <t>Year 1</t>
  </si>
  <si>
    <t>Year 2</t>
  </si>
  <si>
    <t>Year 3</t>
  </si>
  <si>
    <t>Year 4</t>
  </si>
  <si>
    <t>Year 5</t>
  </si>
  <si>
    <t>COGS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</si>
  <si>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</si>
  <si>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</si>
  <si>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</si>
  <si>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</si>
  <si>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</si>
  <si>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</si>
  <si>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</si>
  <si>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</si>
  <si>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</si>
  <si>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</si>
  <si>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</si>
  <si>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</si>
  <si>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</si>
  <si>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</si>
  <si>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</si>
  <si>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</si>
  <si>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</si>
  <si>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</si>
  <si>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</si>
  <si>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</si>
  <si>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</si>
  <si>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</si>
  <si>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</si>
  <si>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</si>
  <si>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</si>
  <si>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</si>
  <si>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</si>
  <si>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</si>
  <si>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</si>
  <si>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</si>
  <si>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</si>
  <si>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</si>
  <si>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</si>
  <si>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</si>
  <si>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PKSHA Technology</t>
  </si>
  <si>
    <t>3993.T</t>
  </si>
  <si>
    <t>Morpho</t>
  </si>
  <si>
    <t>3653.T</t>
  </si>
  <si>
    <t>N/A</t>
  </si>
  <si>
    <t>DMP</t>
  </si>
  <si>
    <t>3652.T</t>
  </si>
  <si>
    <t>HEROZ</t>
  </si>
  <si>
    <t>4382.T</t>
  </si>
  <si>
    <t>Headwaters</t>
  </si>
  <si>
    <t>4011.T</t>
  </si>
  <si>
    <t>Neural Group</t>
  </si>
  <si>
    <t>4056.T</t>
  </si>
  <si>
    <t>Statistics</t>
  </si>
  <si>
    <t>25th Percentile</t>
  </si>
  <si>
    <t>Median (50th)</t>
  </si>
  <si>
    <t>75th Percentile</t>
  </si>
  <si>
    <t>Implied Valuation for Kudan Inc.</t>
  </si>
  <si>
    <t>Kudan Financials</t>
  </si>
  <si>
    <t>Revenue (JPY mn)</t>
  </si>
  <si>
    <t>Net Income (JPY mn)</t>
  </si>
  <si>
    <t>Shares Outstanding</t>
  </si>
  <si>
    <t>Implied Share Price (Median Multiples)</t>
  </si>
  <si>
    <t>Via EV/Sales (Median)</t>
  </si>
  <si>
    <t>Via PER (Median)</t>
  </si>
  <si>
    <t>Sensitivity Analysis</t>
  </si>
  <si>
    <t>Table 1: WACC vs Terminal Growth Rate (Implied Share Price, JPY)</t>
  </si>
  <si>
    <t>WACC \ Terminal g</t>
  </si>
  <si>
    <t>Table 2: Revenue Growth vs Gross Margin % (Implied Share Price, JPY)</t>
  </si>
  <si>
    <t>Rev Growth \ 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</si>
</sst>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CC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3366"/>
        <bgColor rgb="FF003366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176" fontId="6" fillId="0" borderId="0" xfId="0" applyNumberFormat="1" applyFont="1"/>
    <xf numFmtId="0" fontId="6" fillId="0" borderId="0" xfId="0" applyFont="1"/>
    <xf numFmtId="177" fontId="6" fillId="0" borderId="0" xfId="0" applyNumberFormat="1" applyFont="1"/>
    <xf numFmtId="0" fontId="3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horizontal="center" wrapText="1"/>
    </xf>
    <xf numFmtId="176" fontId="8" fillId="0" borderId="0" xfId="0" applyNumberFormat="1" applyFont="1"/>
    <xf numFmtId="177" fontId="5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6" fillId="0" borderId="0" xfId="0" applyNumberFormat="1" applyFont="1"/>
    <xf numFmtId="177" fontId="5" fillId="4" borderId="0" xfId="0" applyNumberFormat="1" applyFont="1" applyFill="1"/>
    <xf numFmtId="176" fontId="5" fillId="4" borderId="0" xfId="0" applyNumberFormat="1" applyFont="1" applyFill="1"/>
    <xf numFmtId="181" fontId="6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6" fillId="0" borderId="2" xfId="0" applyNumberFormat="1" applyFont="1" applyBorder="1"/>
    <xf numFmtId="176" fontId="5" fillId="0" borderId="1" xfId="0" applyNumberFormat="1" applyFont="1" applyBorder="1"/>
    <xf numFmtId="179" fontId="6" fillId="0" borderId="1" xfId="0" applyNumberFormat="1" applyFont="1" applyBorder="1"/>
    <xf numFmtId="179" fontId="5" fillId="0" borderId="1" xfId="0" applyNumberFormat="1" applyFont="1" applyBorder="1"/>
    <xf numFmtId="177" fontId="6" fillId="0" borderId="1" xfId="0" applyNumberFormat="1" applyFont="1" applyBorder="1"/>
    <xf numFmtId="177" fontId="5" fillId="0" borderId="1" xfId="0" applyNumberFormat="1" applyFont="1" applyBorder="1"/>
    <xf numFmtId="0" fontId="6" fillId="0" borderId="1" xfId="0" applyFont="1" applyBorder="1" applyAlignment="1">
      <alignment horizontal="right"/>
    </xf>
    <xf numFmtId="177" fontId="7" fillId="3" borderId="1" xfId="0" applyNumberFormat="1" applyFont="1" applyFill="1" applyBorder="1" applyAlignment="1">
      <alignment horizontal="center"/>
    </xf>
    <xf numFmtId="177" fontId="4" fillId="0" borderId="1" xfId="0" applyNumberFormat="1" applyFont="1" applyBorder="1"/>
    <xf numFmtId="176" fontId="6" fillId="0" borderId="1" xfId="0" applyNumberFormat="1" applyFont="1" applyBorder="1"/>
    <xf numFmtId="176" fontId="6" fillId="6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4" workbookViewId="0">
      <selection activeCell="E15" sqref="E15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36" t="s">
        <v>0</v>
      </c>
      <c r="C1" s="35"/>
      <c r="D1" s="35"/>
      <c r="E1" s="35"/>
    </row>
    <row r="3" spans="2:5" ht="18" x14ac:dyDescent="0.4">
      <c r="B3" s="34" t="s">
        <v>1</v>
      </c>
      <c r="C3" s="35"/>
      <c r="D3" s="35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2124</v>
      </c>
    </row>
    <row r="10" spans="2:5" ht="14" x14ac:dyDescent="0.3">
      <c r="B10" s="3" t="s">
        <v>10</v>
      </c>
      <c r="C10" s="5">
        <f>ROUND(AVERAGE(C16:C18),0)</f>
        <v>527</v>
      </c>
    </row>
    <row r="11" spans="2:5" ht="14" x14ac:dyDescent="0.3">
      <c r="B11" s="3" t="s">
        <v>11</v>
      </c>
      <c r="C11" s="6" t="str">
        <f>IF(C12&gt;0.15,"BUY",IF(C12&gt;0.05,"HOLD","SELL"))</f>
        <v>SELL</v>
      </c>
    </row>
    <row r="12" spans="2:5" ht="14" x14ac:dyDescent="0.3">
      <c r="B12" s="3" t="s">
        <v>12</v>
      </c>
      <c r="C12" s="7">
        <f>(C10-C9)/C9</f>
        <v>-0.75188323917137478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Model'!C52</f>
        <v>400</v>
      </c>
      <c r="D16" s="7">
        <f>(C16-C9)/C9</f>
        <v>-0.81167608286252357</v>
      </c>
    </row>
    <row r="17" spans="2:4" ht="13.5" x14ac:dyDescent="0.25">
      <c r="B17" t="s">
        <v>18</v>
      </c>
      <c r="C17" s="11">
        <f>'DCF Model'!C61</f>
        <v>872</v>
      </c>
      <c r="D17" s="7">
        <f>(C17-C9)/C9</f>
        <v>-0.58945386064030136</v>
      </c>
    </row>
    <row r="18" spans="2:4" ht="13.5" x14ac:dyDescent="0.25">
      <c r="B18" t="s">
        <v>19</v>
      </c>
      <c r="C18" s="11">
        <f>'Comps Analysis'!C27</f>
        <v>308</v>
      </c>
      <c r="D18" s="7">
        <f>(C18-C9)/C9</f>
        <v>-0.85499058380414317</v>
      </c>
    </row>
    <row r="19" spans="2:4" ht="13.5" x14ac:dyDescent="0.25">
      <c r="B19" t="s">
        <v>20</v>
      </c>
      <c r="C19" s="11">
        <f>'Comps Analysis'!C28</f>
        <v>-3042</v>
      </c>
      <c r="D19" s="7">
        <f>(C19-C9)/C9</f>
        <v>-2.4322033898305087</v>
      </c>
    </row>
    <row r="21" spans="2:4" ht="14" x14ac:dyDescent="0.3">
      <c r="B21" s="3" t="s">
        <v>21</v>
      </c>
      <c r="C21" s="6" t="str">
        <f>MIN(C16:C19)&amp;" - "&amp;MAX(C16:C19)</f>
        <v>-3042 - 872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28"/>
  <sheetViews>
    <sheetView topLeftCell="A12"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1" t="s">
        <v>30</v>
      </c>
    </row>
    <row r="4" spans="2:6" ht="14" x14ac:dyDescent="0.3">
      <c r="C4" s="10" t="s">
        <v>31</v>
      </c>
      <c r="D4" s="10" t="s">
        <v>32</v>
      </c>
      <c r="E4" s="10" t="s">
        <v>33</v>
      </c>
      <c r="F4" s="10" t="s">
        <v>34</v>
      </c>
    </row>
    <row r="5" spans="2:6" ht="14" x14ac:dyDescent="0.3">
      <c r="B5" s="2" t="s">
        <v>35</v>
      </c>
    </row>
    <row r="6" spans="2:6" ht="14" x14ac:dyDescent="0.3">
      <c r="B6" s="3" t="s">
        <v>36</v>
      </c>
      <c r="C6" s="4">
        <v>271</v>
      </c>
      <c r="D6" s="4">
        <v>332</v>
      </c>
      <c r="E6" s="4">
        <v>490</v>
      </c>
      <c r="F6" s="4">
        <v>517</v>
      </c>
    </row>
    <row r="7" spans="2:6" ht="14" x14ac:dyDescent="0.3">
      <c r="B7" s="3" t="s">
        <v>37</v>
      </c>
      <c r="C7" s="4">
        <v>147</v>
      </c>
      <c r="D7" s="4">
        <v>156</v>
      </c>
      <c r="E7" s="4">
        <v>52</v>
      </c>
      <c r="F7" s="4">
        <v>177</v>
      </c>
    </row>
    <row r="8" spans="2:6" ht="14" x14ac:dyDescent="0.3">
      <c r="B8" s="3" t="s">
        <v>38</v>
      </c>
      <c r="C8" s="5">
        <f>C6-C7</f>
        <v>124</v>
      </c>
      <c r="D8" s="5">
        <f>D6-D7</f>
        <v>176</v>
      </c>
      <c r="E8" s="5">
        <f>E6-E7</f>
        <v>438</v>
      </c>
      <c r="F8" s="5">
        <f>F6-F7</f>
        <v>340</v>
      </c>
    </row>
    <row r="9" spans="2:6" ht="13.5" x14ac:dyDescent="0.25">
      <c r="B9" t="s">
        <v>39</v>
      </c>
      <c r="C9" s="7">
        <f>C8/C6</f>
        <v>0.45756457564575648</v>
      </c>
      <c r="D9" s="7">
        <f>D8/D6</f>
        <v>0.53012048192771088</v>
      </c>
      <c r="E9" s="7">
        <f>E8/E6</f>
        <v>0.89387755102040811</v>
      </c>
      <c r="F9" s="7">
        <f>F8/F6</f>
        <v>0.65764023210831724</v>
      </c>
    </row>
    <row r="10" spans="2:6" ht="14" x14ac:dyDescent="0.3">
      <c r="B10" s="3" t="s">
        <v>40</v>
      </c>
      <c r="C10" s="4">
        <v>558</v>
      </c>
      <c r="D10" s="4">
        <v>775</v>
      </c>
      <c r="E10" s="4">
        <v>966</v>
      </c>
      <c r="F10" s="4">
        <v>1141</v>
      </c>
    </row>
    <row r="11" spans="2:6" ht="14" x14ac:dyDescent="0.3">
      <c r="B11" s="3" t="s">
        <v>41</v>
      </c>
      <c r="C11" s="4">
        <v>-433</v>
      </c>
      <c r="D11" s="4">
        <v>-598</v>
      </c>
      <c r="E11" s="4">
        <v>-527</v>
      </c>
      <c r="F11" s="4">
        <v>-800</v>
      </c>
    </row>
    <row r="12" spans="2:6" ht="14" x14ac:dyDescent="0.3">
      <c r="B12" s="3" t="s">
        <v>42</v>
      </c>
      <c r="C12" s="4">
        <v>-2237</v>
      </c>
      <c r="D12" s="4">
        <v>-413</v>
      </c>
      <c r="E12" s="4">
        <v>-69</v>
      </c>
      <c r="F12" s="4">
        <v>-801</v>
      </c>
    </row>
    <row r="13" spans="2:6" ht="13.5" x14ac:dyDescent="0.25">
      <c r="B13" t="s">
        <v>43</v>
      </c>
      <c r="C13" s="7">
        <f>C11/C6</f>
        <v>-1.5977859778597785</v>
      </c>
      <c r="D13" s="7">
        <f>D11/D6</f>
        <v>-1.8012048192771084</v>
      </c>
      <c r="E13" s="7">
        <f>E11/E6</f>
        <v>-1.0755102040816327</v>
      </c>
      <c r="F13" s="7">
        <f>F11/F6</f>
        <v>-1.5473887814313345</v>
      </c>
    </row>
    <row r="14" spans="2:6" ht="13.5" x14ac:dyDescent="0.25">
      <c r="B14" t="s">
        <v>44</v>
      </c>
      <c r="C14" s="7">
        <f>C12/C6</f>
        <v>-8.2546125461254611</v>
      </c>
      <c r="D14" s="7">
        <f>D12/D6</f>
        <v>-1.2439759036144578</v>
      </c>
      <c r="E14" s="7">
        <f>E12/E6</f>
        <v>-0.14081632653061224</v>
      </c>
      <c r="F14" s="7">
        <f>F12/F6</f>
        <v>-1.5493230174081238</v>
      </c>
    </row>
    <row r="15" spans="2:6" ht="13.5" x14ac:dyDescent="0.25">
      <c r="B15" t="s">
        <v>45</v>
      </c>
      <c r="C15" t="s">
        <v>46</v>
      </c>
      <c r="D15" s="7">
        <f>(D6-C6)/C6</f>
        <v>0.22509225092250923</v>
      </c>
      <c r="E15" s="7">
        <f>(E6-D6)/D6</f>
        <v>0.4759036144578313</v>
      </c>
      <c r="F15" s="7">
        <f>(F6-E6)/E6</f>
        <v>5.5102040816326532E-2</v>
      </c>
    </row>
    <row r="16" spans="2:6" ht="13.5" x14ac:dyDescent="0.25">
      <c r="B16" t="s">
        <v>47</v>
      </c>
      <c r="C16" t="s">
        <v>46</v>
      </c>
      <c r="D16" s="7">
        <f>(D11-C11)/C11</f>
        <v>0.38106235565819863</v>
      </c>
      <c r="E16" s="7">
        <f>(E11-D11)/D11</f>
        <v>-0.11872909698996656</v>
      </c>
      <c r="F16" s="7">
        <f>(F11-E11)/E11</f>
        <v>0.51802656546489567</v>
      </c>
    </row>
    <row r="18" spans="2:6" ht="14" x14ac:dyDescent="0.3">
      <c r="B18" s="2" t="s">
        <v>48</v>
      </c>
    </row>
    <row r="19" spans="2:6" ht="14" x14ac:dyDescent="0.3">
      <c r="B19" s="3" t="s">
        <v>49</v>
      </c>
      <c r="C19" s="4">
        <v>-515</v>
      </c>
      <c r="D19" s="4">
        <v>-619</v>
      </c>
      <c r="E19" s="4">
        <v>-491</v>
      </c>
      <c r="F19" s="4">
        <v>-815</v>
      </c>
    </row>
    <row r="20" spans="2:6" ht="14" x14ac:dyDescent="0.3">
      <c r="B20" s="3" t="s">
        <v>50</v>
      </c>
      <c r="C20" s="4">
        <v>137</v>
      </c>
      <c r="D20" s="4">
        <v>20</v>
      </c>
      <c r="E20" s="4">
        <v>433</v>
      </c>
      <c r="F20" s="4">
        <v>162</v>
      </c>
    </row>
    <row r="21" spans="2:6" ht="14" x14ac:dyDescent="0.3">
      <c r="B21" s="3" t="s">
        <v>51</v>
      </c>
      <c r="C21" s="5">
        <f>C19-C20</f>
        <v>-652</v>
      </c>
      <c r="D21" s="5">
        <f>D19-D20</f>
        <v>-639</v>
      </c>
      <c r="E21" s="5">
        <f>E19-E20</f>
        <v>-924</v>
      </c>
      <c r="F21" s="5">
        <f>F19-F20</f>
        <v>-977</v>
      </c>
    </row>
    <row r="22" spans="2:6" ht="13.5" x14ac:dyDescent="0.25">
      <c r="B22" t="s">
        <v>52</v>
      </c>
      <c r="C22" s="7">
        <f>C21/C6</f>
        <v>-2.4059040590405902</v>
      </c>
      <c r="D22" s="7">
        <f>D21/D6</f>
        <v>-1.9246987951807228</v>
      </c>
      <c r="E22" s="7">
        <f>E21/E6</f>
        <v>-1.8857142857142857</v>
      </c>
      <c r="F22" s="7">
        <f>F21/F6</f>
        <v>-1.8897485493230175</v>
      </c>
    </row>
    <row r="23" spans="2:6" ht="13.5" x14ac:dyDescent="0.25">
      <c r="B23" t="s">
        <v>53</v>
      </c>
      <c r="C23" s="7">
        <f>C20/C6</f>
        <v>0.50553505535055354</v>
      </c>
      <c r="D23" s="7">
        <f>D20/D6</f>
        <v>6.0240963855421686E-2</v>
      </c>
      <c r="E23" s="7">
        <f>E20/E6</f>
        <v>0.88367346938775515</v>
      </c>
      <c r="F23" s="7">
        <f>F20/F6</f>
        <v>0.31334622823984526</v>
      </c>
    </row>
    <row r="25" spans="2:6" ht="14" x14ac:dyDescent="0.3">
      <c r="B25" s="2" t="s">
        <v>54</v>
      </c>
    </row>
    <row r="26" spans="2:6" ht="14" x14ac:dyDescent="0.3">
      <c r="B26" s="3" t="s">
        <v>55</v>
      </c>
      <c r="C26" s="4">
        <v>604</v>
      </c>
      <c r="D26" s="4">
        <v>852</v>
      </c>
      <c r="E26" s="4">
        <v>1720</v>
      </c>
      <c r="F26" s="4">
        <v>2594</v>
      </c>
    </row>
    <row r="27" spans="2:6" ht="14" x14ac:dyDescent="0.3">
      <c r="B27" s="3" t="s">
        <v>56</v>
      </c>
      <c r="C27" s="4">
        <v>0</v>
      </c>
      <c r="D27" s="4">
        <v>200</v>
      </c>
      <c r="E27" s="4">
        <v>200</v>
      </c>
      <c r="F27" s="4">
        <v>200</v>
      </c>
    </row>
    <row r="28" spans="2:6" ht="14" x14ac:dyDescent="0.3">
      <c r="B28" s="3" t="s">
        <v>57</v>
      </c>
      <c r="C28" s="5">
        <f>C27-C26</f>
        <v>-604</v>
      </c>
      <c r="D28" s="5">
        <f>D27-D26</f>
        <v>-652</v>
      </c>
      <c r="E28" s="5">
        <f>E27-E26</f>
        <v>-1520</v>
      </c>
      <c r="F28" s="5">
        <f>F27-F26</f>
        <v>-2394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1"/>
  <sheetViews>
    <sheetView tabSelected="1" topLeftCell="A27" workbookViewId="0">
      <selection activeCell="E43" sqref="E43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58</v>
      </c>
    </row>
    <row r="4" spans="2:7" ht="14" x14ac:dyDescent="0.3">
      <c r="B4" s="8" t="s">
        <v>59</v>
      </c>
      <c r="C4" s="9"/>
      <c r="D4" s="9"/>
      <c r="E4" s="9"/>
      <c r="F4" s="9"/>
      <c r="G4" s="9"/>
    </row>
    <row r="5" spans="2:7" ht="14" x14ac:dyDescent="0.3">
      <c r="B5" s="3" t="s">
        <v>53</v>
      </c>
      <c r="C5" s="12">
        <v>0.03</v>
      </c>
    </row>
    <row r="6" spans="2:7" ht="14" x14ac:dyDescent="0.3">
      <c r="B6" s="3" t="s">
        <v>60</v>
      </c>
      <c r="C6" s="12">
        <v>0.3</v>
      </c>
    </row>
    <row r="7" spans="2:7" ht="14" x14ac:dyDescent="0.3">
      <c r="B7" s="3" t="s">
        <v>61</v>
      </c>
      <c r="C7" s="12">
        <v>2.1999999999999999E-2</v>
      </c>
    </row>
    <row r="8" spans="2:7" ht="14" x14ac:dyDescent="0.3">
      <c r="B8" s="3" t="s">
        <v>62</v>
      </c>
      <c r="C8" s="13">
        <v>1.75</v>
      </c>
    </row>
    <row r="9" spans="2:7" ht="14" x14ac:dyDescent="0.3">
      <c r="B9" s="3" t="s">
        <v>63</v>
      </c>
      <c r="C9" s="12">
        <v>0.06</v>
      </c>
    </row>
    <row r="10" spans="2:7" ht="14" x14ac:dyDescent="0.3">
      <c r="B10" s="3" t="s">
        <v>64</v>
      </c>
      <c r="C10" s="12">
        <v>0.04</v>
      </c>
    </row>
    <row r="11" spans="2:7" ht="14" x14ac:dyDescent="0.3">
      <c r="B11" s="3" t="s">
        <v>65</v>
      </c>
      <c r="C11" s="12">
        <v>1.4999999999999999E-2</v>
      </c>
    </row>
    <row r="12" spans="2:7" ht="14" x14ac:dyDescent="0.3">
      <c r="B12" s="3" t="s">
        <v>66</v>
      </c>
      <c r="C12" s="14">
        <v>0.05</v>
      </c>
    </row>
    <row r="13" spans="2:7" ht="14" x14ac:dyDescent="0.3">
      <c r="B13" s="3" t="s">
        <v>67</v>
      </c>
      <c r="C13" s="12">
        <v>0.02</v>
      </c>
    </row>
    <row r="14" spans="2:7" ht="14" x14ac:dyDescent="0.3">
      <c r="B14" s="3" t="s">
        <v>68</v>
      </c>
      <c r="C14" s="15">
        <v>15</v>
      </c>
    </row>
    <row r="15" spans="2:7" ht="14" x14ac:dyDescent="0.3">
      <c r="B15" s="3" t="s">
        <v>69</v>
      </c>
      <c r="C15" s="16">
        <v>11284425</v>
      </c>
    </row>
    <row r="16" spans="2:7" ht="14" x14ac:dyDescent="0.3">
      <c r="B16" s="3" t="s">
        <v>70</v>
      </c>
      <c r="C16" s="4">
        <v>-2394</v>
      </c>
    </row>
    <row r="17" spans="2:7" ht="14" x14ac:dyDescent="0.3">
      <c r="B17" s="3" t="s">
        <v>71</v>
      </c>
      <c r="C17" s="4">
        <v>517</v>
      </c>
    </row>
    <row r="18" spans="2:7" ht="14" x14ac:dyDescent="0.3">
      <c r="B18" s="3" t="s">
        <v>72</v>
      </c>
      <c r="C18" s="12">
        <v>1.4999999999999999E-2</v>
      </c>
    </row>
    <row r="20" spans="2:7" ht="14" x14ac:dyDescent="0.3">
      <c r="B20" s="8" t="s">
        <v>73</v>
      </c>
      <c r="C20" s="9"/>
      <c r="D20" s="9"/>
      <c r="E20" s="9"/>
      <c r="F20" s="9"/>
      <c r="G20" s="9"/>
    </row>
    <row r="21" spans="2:7" ht="14" x14ac:dyDescent="0.3">
      <c r="B21" s="3" t="s">
        <v>74</v>
      </c>
      <c r="C21" s="17">
        <f>C7+C8*C9+C10</f>
        <v>0.16700000000000001</v>
      </c>
    </row>
    <row r="22" spans="2:7" ht="14" x14ac:dyDescent="0.3">
      <c r="B22" s="3" t="s">
        <v>75</v>
      </c>
      <c r="C22" s="17">
        <f>1/(1+C12)</f>
        <v>0.95238095238095233</v>
      </c>
    </row>
    <row r="23" spans="2:7" ht="14" x14ac:dyDescent="0.3">
      <c r="B23" s="3" t="s">
        <v>76</v>
      </c>
      <c r="C23" s="17">
        <f>C12/(1+C12)</f>
        <v>4.7619047619047616E-2</v>
      </c>
    </row>
    <row r="24" spans="2:7" ht="14" x14ac:dyDescent="0.3">
      <c r="B24" s="3" t="s">
        <v>77</v>
      </c>
      <c r="C24" s="17">
        <f>C21*C22+C11*C23</f>
        <v>0.15976190476190477</v>
      </c>
    </row>
    <row r="26" spans="2:7" ht="14" x14ac:dyDescent="0.3">
      <c r="B26" s="8" t="s">
        <v>78</v>
      </c>
      <c r="C26" s="9"/>
      <c r="D26" s="9"/>
      <c r="E26" s="9"/>
      <c r="F26" s="9"/>
      <c r="G26" s="9"/>
    </row>
    <row r="27" spans="2:7" ht="14" x14ac:dyDescent="0.3">
      <c r="C27" s="10" t="s">
        <v>79</v>
      </c>
      <c r="D27" s="10" t="s">
        <v>80</v>
      </c>
      <c r="E27" s="10" t="s">
        <v>81</v>
      </c>
      <c r="F27" s="10" t="s">
        <v>82</v>
      </c>
      <c r="G27" s="10" t="s">
        <v>83</v>
      </c>
    </row>
    <row r="28" spans="2:7" ht="14" x14ac:dyDescent="0.3">
      <c r="B28" s="3" t="s">
        <v>45</v>
      </c>
      <c r="C28" s="18">
        <v>0.8</v>
      </c>
      <c r="D28" s="18">
        <v>0.6</v>
      </c>
      <c r="E28" s="18">
        <v>0.5</v>
      </c>
      <c r="F28" s="18">
        <v>0.3</v>
      </c>
      <c r="G28" s="18">
        <v>0.2</v>
      </c>
    </row>
    <row r="29" spans="2:7" ht="14" x14ac:dyDescent="0.3">
      <c r="B29" s="3" t="s">
        <v>84</v>
      </c>
      <c r="C29" s="18">
        <v>0.34</v>
      </c>
      <c r="D29" s="18">
        <v>0.34</v>
      </c>
      <c r="E29" s="18">
        <v>0.3</v>
      </c>
      <c r="F29" s="18">
        <v>0.25</v>
      </c>
      <c r="G29" s="18">
        <v>0.25</v>
      </c>
    </row>
    <row r="30" spans="2:7" ht="14" x14ac:dyDescent="0.3">
      <c r="B30" s="3" t="s">
        <v>85</v>
      </c>
      <c r="C30" s="19">
        <v>1200</v>
      </c>
      <c r="D30" s="19">
        <v>1300</v>
      </c>
      <c r="E30" s="19">
        <v>1400</v>
      </c>
      <c r="F30" s="19">
        <v>1500</v>
      </c>
      <c r="G30" s="19">
        <v>1600</v>
      </c>
    </row>
    <row r="31" spans="2:7" ht="14" x14ac:dyDescent="0.3">
      <c r="B31" s="3" t="s">
        <v>36</v>
      </c>
      <c r="C31" s="5">
        <f>C17*(1+C28)</f>
        <v>930.6</v>
      </c>
      <c r="D31" s="5">
        <f>C31*(1+D28)</f>
        <v>1488.96</v>
      </c>
      <c r="E31" s="5">
        <f>D31*(1+E28)</f>
        <v>2233.44</v>
      </c>
      <c r="F31" s="5">
        <f>E31*(1+F28)</f>
        <v>2903.4720000000002</v>
      </c>
      <c r="G31" s="5">
        <f>F31*(1+G28)</f>
        <v>3484.1664000000001</v>
      </c>
    </row>
    <row r="32" spans="2:7" ht="14" x14ac:dyDescent="0.3">
      <c r="B32" s="3" t="s">
        <v>37</v>
      </c>
      <c r="C32" s="5">
        <f>C31*C29</f>
        <v>316.40400000000005</v>
      </c>
      <c r="D32" s="5">
        <f>D31*D29</f>
        <v>506.24640000000005</v>
      </c>
      <c r="E32" s="5">
        <f>E31*E29</f>
        <v>670.03200000000004</v>
      </c>
      <c r="F32" s="5">
        <f>F31*F29</f>
        <v>725.86800000000005</v>
      </c>
      <c r="G32" s="5">
        <f>G31*G29</f>
        <v>871.04160000000002</v>
      </c>
    </row>
    <row r="33" spans="2:7" ht="14" x14ac:dyDescent="0.3">
      <c r="B33" s="3" t="s">
        <v>38</v>
      </c>
      <c r="C33" s="5">
        <f>C31-C32</f>
        <v>614.19599999999991</v>
      </c>
      <c r="D33" s="5">
        <f>D31-D32</f>
        <v>982.71360000000004</v>
      </c>
      <c r="E33" s="5">
        <f>E31-E32</f>
        <v>1563.4079999999999</v>
      </c>
      <c r="F33" s="5">
        <f>F31-F32</f>
        <v>2177.6040000000003</v>
      </c>
      <c r="G33" s="5">
        <f>G31-G32</f>
        <v>2613.1248000000001</v>
      </c>
    </row>
    <row r="34" spans="2:7" ht="14" x14ac:dyDescent="0.3">
      <c r="B34" s="3" t="s">
        <v>39</v>
      </c>
      <c r="C34" s="7">
        <f>C33/C31</f>
        <v>0.65999999999999992</v>
      </c>
      <c r="D34" s="7">
        <f>D33/D31</f>
        <v>0.66</v>
      </c>
      <c r="E34" s="7">
        <f>E33/E31</f>
        <v>0.7</v>
      </c>
      <c r="F34" s="7">
        <f>F33/F31</f>
        <v>0.75</v>
      </c>
      <c r="G34" s="7">
        <f>G33/G31</f>
        <v>0.75</v>
      </c>
    </row>
    <row r="35" spans="2:7" ht="14" x14ac:dyDescent="0.3">
      <c r="B35" s="3" t="s">
        <v>85</v>
      </c>
      <c r="C35" s="5">
        <f>C30</f>
        <v>1200</v>
      </c>
      <c r="D35" s="5">
        <f>D30</f>
        <v>1300</v>
      </c>
      <c r="E35" s="5">
        <f>E30</f>
        <v>1400</v>
      </c>
      <c r="F35" s="5">
        <f>F30</f>
        <v>1500</v>
      </c>
      <c r="G35" s="5">
        <f>G30</f>
        <v>1600</v>
      </c>
    </row>
    <row r="36" spans="2:7" ht="14" x14ac:dyDescent="0.3">
      <c r="B36" s="3" t="s">
        <v>86</v>
      </c>
      <c r="C36" s="7">
        <f>(C33-C35)/C31</f>
        <v>-0.62949065119277892</v>
      </c>
      <c r="D36" s="7">
        <f>(D33-D35)/D31</f>
        <v>-0.21309262841177731</v>
      </c>
      <c r="E36" s="7">
        <f>(E33-E35)/E31</f>
        <v>7.3164266781288012E-2</v>
      </c>
      <c r="F36" s="7">
        <f>(F33-F35)/F31</f>
        <v>0.23337714295161111</v>
      </c>
      <c r="G36" s="7">
        <f>(G33-G35)/G31</f>
        <v>0.29077968262365428</v>
      </c>
    </row>
    <row r="37" spans="2:7" ht="14" x14ac:dyDescent="0.3">
      <c r="B37" s="3" t="s">
        <v>87</v>
      </c>
      <c r="C37" s="5">
        <f>C33-C35</f>
        <v>-585.80400000000009</v>
      </c>
      <c r="D37" s="5">
        <f>D33-D35</f>
        <v>-317.28639999999996</v>
      </c>
      <c r="E37" s="5">
        <f>E33-E35</f>
        <v>163.4079999999999</v>
      </c>
      <c r="F37" s="5">
        <f>F33-F35</f>
        <v>677.60400000000027</v>
      </c>
      <c r="G37" s="5">
        <f>G33-G35</f>
        <v>1013.1248000000001</v>
      </c>
    </row>
    <row r="38" spans="2:7" ht="14" x14ac:dyDescent="0.3">
      <c r="B38" s="3" t="s">
        <v>88</v>
      </c>
      <c r="C38" s="5">
        <f>MAX(0,C37*C6)</f>
        <v>0</v>
      </c>
      <c r="D38" s="5">
        <f>MAX(0,D37*C6)</f>
        <v>0</v>
      </c>
      <c r="E38" s="5">
        <f>MAX(0,E37*C6)</f>
        <v>49.022399999999969</v>
      </c>
      <c r="F38" s="5">
        <f>MAX(0,F37*C6)</f>
        <v>203.28120000000007</v>
      </c>
      <c r="G38" s="5">
        <f>MAX(0,G37*C6)</f>
        <v>303.93743999999998</v>
      </c>
    </row>
    <row r="39" spans="2:7" ht="14" x14ac:dyDescent="0.3">
      <c r="B39" s="3" t="s">
        <v>89</v>
      </c>
      <c r="C39" s="5">
        <f>C37-C38</f>
        <v>-585.80400000000009</v>
      </c>
      <c r="D39" s="5">
        <f>D37-D38</f>
        <v>-317.28639999999996</v>
      </c>
      <c r="E39" s="5">
        <f>E37-E38</f>
        <v>114.38559999999993</v>
      </c>
      <c r="F39" s="5">
        <f>F37-F38</f>
        <v>474.3228000000002</v>
      </c>
      <c r="G39" s="5">
        <f>G37-G38</f>
        <v>709.18736000000013</v>
      </c>
    </row>
    <row r="40" spans="2:7" ht="14" x14ac:dyDescent="0.3">
      <c r="B40" s="3" t="s">
        <v>90</v>
      </c>
      <c r="C40" s="5">
        <f>C31*C18</f>
        <v>13.959</v>
      </c>
      <c r="D40" s="5">
        <f>D31*C18</f>
        <v>22.334399999999999</v>
      </c>
      <c r="E40" s="5">
        <f>E31*C18</f>
        <v>33.501599999999996</v>
      </c>
      <c r="F40" s="5">
        <f>F31*C18</f>
        <v>43.552080000000004</v>
      </c>
      <c r="G40" s="5">
        <f>G31*C18</f>
        <v>52.262495999999999</v>
      </c>
    </row>
    <row r="41" spans="2:7" ht="14" x14ac:dyDescent="0.3">
      <c r="B41" s="3" t="s">
        <v>91</v>
      </c>
      <c r="C41" s="5">
        <f>C31*C5</f>
        <v>27.917999999999999</v>
      </c>
      <c r="D41" s="5">
        <f>D31*C5</f>
        <v>44.668799999999997</v>
      </c>
      <c r="E41" s="5">
        <f>E31*C5</f>
        <v>67.003199999999993</v>
      </c>
      <c r="F41" s="5">
        <f>F31*C5</f>
        <v>87.104160000000007</v>
      </c>
      <c r="G41" s="5">
        <f>G31*C5</f>
        <v>104.524992</v>
      </c>
    </row>
    <row r="42" spans="2:7" ht="14" x14ac:dyDescent="0.3">
      <c r="B42" s="3" t="s">
        <v>92</v>
      </c>
      <c r="C42" s="5">
        <f>C39+C40-C41</f>
        <v>-599.76300000000015</v>
      </c>
      <c r="D42" s="5">
        <f>D39+D40-D41</f>
        <v>-339.62079999999992</v>
      </c>
      <c r="E42" s="5">
        <f>E39+E40-E41</f>
        <v>80.883999999999929</v>
      </c>
      <c r="F42" s="5">
        <f>F39+F40-F41</f>
        <v>430.77072000000021</v>
      </c>
      <c r="G42" s="5">
        <f>G39+G40-G41</f>
        <v>656.92486400000018</v>
      </c>
    </row>
    <row r="43" spans="2:7" ht="14" x14ac:dyDescent="0.3">
      <c r="B43" s="3" t="s">
        <v>93</v>
      </c>
      <c r="C43" s="20">
        <f>1/(1+C24)^1</f>
        <v>0.86224594539109012</v>
      </c>
      <c r="D43" s="20">
        <f>1/(1+C24)^2</f>
        <v>0.74346807034337481</v>
      </c>
      <c r="E43" s="20">
        <f>1/(1+C24)^3</f>
        <v>0.64105232918131272</v>
      </c>
      <c r="F43" s="20">
        <f>1/(1+C24)^4</f>
        <v>0.55274477162010138</v>
      </c>
      <c r="G43" s="20">
        <f>1/(1+C24)^5</f>
        <v>0.47660193816555646</v>
      </c>
    </row>
    <row r="44" spans="2:7" ht="14" x14ac:dyDescent="0.3">
      <c r="B44" s="3" t="s">
        <v>94</v>
      </c>
      <c r="C44" s="5">
        <f>C42*C43</f>
        <v>-517.14321494559647</v>
      </c>
      <c r="D44" s="5">
        <f>D42*D43</f>
        <v>-252.49722082447317</v>
      </c>
      <c r="E44" s="5">
        <f>E42*E43</f>
        <v>51.850876593501255</v>
      </c>
      <c r="F44" s="5">
        <f>F42*F43</f>
        <v>238.10626324702676</v>
      </c>
      <c r="G44" s="5">
        <f>G42*G43</f>
        <v>313.09166341154469</v>
      </c>
    </row>
    <row r="46" spans="2:7" ht="14" x14ac:dyDescent="0.3">
      <c r="B46" s="21" t="s">
        <v>95</v>
      </c>
      <c r="C46" s="22"/>
      <c r="D46" s="22"/>
      <c r="E46" s="22"/>
      <c r="F46" s="22"/>
      <c r="G46" s="22"/>
    </row>
    <row r="47" spans="2:7" ht="14" x14ac:dyDescent="0.3">
      <c r="B47" s="3" t="s">
        <v>96</v>
      </c>
      <c r="C47" s="5">
        <f>SUM(C44:G44)</f>
        <v>-166.59163251799703</v>
      </c>
    </row>
    <row r="48" spans="2:7" ht="14" x14ac:dyDescent="0.3">
      <c r="B48" s="3" t="s">
        <v>97</v>
      </c>
      <c r="C48" s="5">
        <f>G42*(1+C13)/(C24-C13)</f>
        <v>4794.3204725315172</v>
      </c>
    </row>
    <row r="49" spans="2:7" ht="14" x14ac:dyDescent="0.3">
      <c r="B49" s="3" t="s">
        <v>98</v>
      </c>
      <c r="C49" s="5">
        <f>C48*G43</f>
        <v>2284.9824293953275</v>
      </c>
    </row>
    <row r="50" spans="2:7" ht="14" x14ac:dyDescent="0.3">
      <c r="B50" s="3" t="s">
        <v>99</v>
      </c>
      <c r="C50" s="5">
        <f>C47+C49</f>
        <v>2118.3907968773306</v>
      </c>
    </row>
    <row r="51" spans="2:7" ht="14" x14ac:dyDescent="0.3">
      <c r="B51" s="3" t="s">
        <v>100</v>
      </c>
      <c r="C51" s="5">
        <f>C50-C16</f>
        <v>4512.390796877331</v>
      </c>
    </row>
    <row r="52" spans="2:7" ht="14" x14ac:dyDescent="0.3">
      <c r="B52" s="3" t="s">
        <v>101</v>
      </c>
      <c r="C52" s="23">
        <f>ROUND(C51*1000000/C15,0)</f>
        <v>400</v>
      </c>
    </row>
    <row r="54" spans="2:7" ht="14" x14ac:dyDescent="0.3">
      <c r="B54" s="21" t="s">
        <v>102</v>
      </c>
      <c r="C54" s="22"/>
      <c r="D54" s="22"/>
      <c r="E54" s="22"/>
      <c r="F54" s="22"/>
      <c r="G54" s="22"/>
    </row>
    <row r="55" spans="2:7" ht="14" x14ac:dyDescent="0.3">
      <c r="B55" s="3" t="s">
        <v>96</v>
      </c>
      <c r="C55" s="5">
        <f>C47</f>
        <v>-166.59163251799703</v>
      </c>
    </row>
    <row r="56" spans="2:7" ht="14" x14ac:dyDescent="0.3">
      <c r="B56" s="3" t="s">
        <v>103</v>
      </c>
      <c r="C56" s="5">
        <f>G37+G40</f>
        <v>1065.3872960000001</v>
      </c>
    </row>
    <row r="57" spans="2:7" ht="14" x14ac:dyDescent="0.3">
      <c r="B57" s="3" t="s">
        <v>104</v>
      </c>
      <c r="C57" s="5">
        <f>C56*C14</f>
        <v>15980.809440000001</v>
      </c>
    </row>
    <row r="58" spans="2:7" ht="14" x14ac:dyDescent="0.3">
      <c r="B58" s="3" t="s">
        <v>98</v>
      </c>
      <c r="C58" s="5">
        <f>C57*G43</f>
        <v>7616.484752558421</v>
      </c>
    </row>
    <row r="59" spans="2:7" ht="14" x14ac:dyDescent="0.3">
      <c r="B59" s="3" t="s">
        <v>99</v>
      </c>
      <c r="C59" s="5">
        <f>C55+C58</f>
        <v>7449.893120040424</v>
      </c>
    </row>
    <row r="60" spans="2:7" ht="14" x14ac:dyDescent="0.3">
      <c r="B60" s="3" t="s">
        <v>100</v>
      </c>
      <c r="C60" s="5">
        <f>C59-C16</f>
        <v>9843.893120040424</v>
      </c>
    </row>
    <row r="61" spans="2:7" ht="14" x14ac:dyDescent="0.3">
      <c r="B61" s="3" t="s">
        <v>105</v>
      </c>
      <c r="C61" s="23">
        <f>ROUND(C60*1000000/C15,0)</f>
        <v>872</v>
      </c>
    </row>
  </sheetData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106</v>
      </c>
    </row>
    <row r="4" spans="2:15" ht="28" x14ac:dyDescent="0.3">
      <c r="B4" s="10" t="s">
        <v>3</v>
      </c>
      <c r="C4" s="10" t="s">
        <v>5</v>
      </c>
      <c r="D4" s="10" t="s">
        <v>107</v>
      </c>
      <c r="E4" s="10" t="s">
        <v>108</v>
      </c>
      <c r="F4" s="10" t="s">
        <v>109</v>
      </c>
      <c r="G4" s="10" t="s">
        <v>110</v>
      </c>
      <c r="H4" s="10" t="s">
        <v>111</v>
      </c>
      <c r="I4" s="10" t="s">
        <v>112</v>
      </c>
      <c r="J4" s="10" t="s">
        <v>113</v>
      </c>
      <c r="K4" s="10" t="s">
        <v>114</v>
      </c>
      <c r="L4" s="10" t="s">
        <v>115</v>
      </c>
      <c r="M4" s="10" t="s">
        <v>116</v>
      </c>
      <c r="N4" s="10" t="s">
        <v>117</v>
      </c>
      <c r="O4" s="10" t="s">
        <v>118</v>
      </c>
    </row>
    <row r="5" spans="2:15" ht="14" x14ac:dyDescent="0.3">
      <c r="B5" s="3" t="s">
        <v>119</v>
      </c>
      <c r="C5" t="s">
        <v>120</v>
      </c>
      <c r="D5" s="24">
        <v>85700</v>
      </c>
      <c r="E5" s="24">
        <v>70700</v>
      </c>
      <c r="F5" s="24">
        <v>21800</v>
      </c>
      <c r="G5" s="24">
        <v>3500</v>
      </c>
      <c r="H5" s="24">
        <v>3000</v>
      </c>
      <c r="I5" s="24">
        <v>2000</v>
      </c>
      <c r="J5" s="25">
        <f>E5/G5</f>
        <v>20.2</v>
      </c>
      <c r="K5" s="25">
        <f t="shared" ref="K5:K10" si="0">E5/F5</f>
        <v>3.2431192660550461</v>
      </c>
      <c r="L5" s="25">
        <f>D5/I5</f>
        <v>42.85</v>
      </c>
      <c r="M5" s="26">
        <v>4.5</v>
      </c>
      <c r="N5" s="27">
        <f t="shared" ref="N5:N10" si="1">H5/F5</f>
        <v>0.13761467889908258</v>
      </c>
      <c r="O5" s="28">
        <v>0.12</v>
      </c>
    </row>
    <row r="6" spans="2:15" ht="14" x14ac:dyDescent="0.3">
      <c r="B6" s="3" t="s">
        <v>121</v>
      </c>
      <c r="C6" t="s">
        <v>122</v>
      </c>
      <c r="D6" s="24">
        <v>4300</v>
      </c>
      <c r="E6" s="24">
        <v>2300</v>
      </c>
      <c r="F6" s="24">
        <v>3400</v>
      </c>
      <c r="G6" s="24">
        <v>100</v>
      </c>
      <c r="H6" s="24">
        <v>50</v>
      </c>
      <c r="I6" s="24">
        <v>-10</v>
      </c>
      <c r="J6" s="25">
        <f>E6/G6</f>
        <v>23</v>
      </c>
      <c r="K6" s="25">
        <f t="shared" si="0"/>
        <v>0.67647058823529416</v>
      </c>
      <c r="L6" s="29" t="s">
        <v>123</v>
      </c>
      <c r="M6" s="26">
        <v>1.2</v>
      </c>
      <c r="N6" s="27">
        <f t="shared" si="1"/>
        <v>1.4705882352941176E-2</v>
      </c>
      <c r="O6" s="28">
        <v>-0.01</v>
      </c>
    </row>
    <row r="7" spans="2:15" ht="14" x14ac:dyDescent="0.3">
      <c r="B7" s="3" t="s">
        <v>124</v>
      </c>
      <c r="C7" t="s">
        <v>125</v>
      </c>
      <c r="D7" s="24">
        <v>8500</v>
      </c>
      <c r="E7" s="24">
        <v>5500</v>
      </c>
      <c r="F7" s="24">
        <v>1200</v>
      </c>
      <c r="G7" s="24">
        <v>-200</v>
      </c>
      <c r="H7" s="24">
        <v>-300</v>
      </c>
      <c r="I7" s="24">
        <v>-400</v>
      </c>
      <c r="J7" s="29" t="s">
        <v>123</v>
      </c>
      <c r="K7" s="25">
        <f t="shared" si="0"/>
        <v>4.583333333333333</v>
      </c>
      <c r="L7" s="29" t="s">
        <v>123</v>
      </c>
      <c r="M7" s="26">
        <v>2.5</v>
      </c>
      <c r="N7" s="27">
        <f t="shared" si="1"/>
        <v>-0.25</v>
      </c>
      <c r="O7" s="28">
        <v>-0.15</v>
      </c>
    </row>
    <row r="8" spans="2:15" ht="14" x14ac:dyDescent="0.3">
      <c r="B8" s="3" t="s">
        <v>126</v>
      </c>
      <c r="C8" t="s">
        <v>127</v>
      </c>
      <c r="D8" s="24">
        <v>12000</v>
      </c>
      <c r="E8" s="24">
        <v>7000</v>
      </c>
      <c r="F8" s="24">
        <v>2500</v>
      </c>
      <c r="G8" s="24">
        <v>400</v>
      </c>
      <c r="H8" s="24">
        <v>300</v>
      </c>
      <c r="I8" s="24">
        <v>200</v>
      </c>
      <c r="J8" s="25">
        <f>E8/G8</f>
        <v>17.5</v>
      </c>
      <c r="K8" s="25">
        <f t="shared" si="0"/>
        <v>2.8</v>
      </c>
      <c r="L8" s="25">
        <f>D8/I8</f>
        <v>60</v>
      </c>
      <c r="M8" s="26">
        <v>3</v>
      </c>
      <c r="N8" s="27">
        <f t="shared" si="1"/>
        <v>0.12</v>
      </c>
      <c r="O8" s="28">
        <v>0.08</v>
      </c>
    </row>
    <row r="9" spans="2:15" ht="14" x14ac:dyDescent="0.3">
      <c r="B9" s="3" t="s">
        <v>128</v>
      </c>
      <c r="C9" t="s">
        <v>129</v>
      </c>
      <c r="D9" s="24">
        <v>8000</v>
      </c>
      <c r="E9" s="24">
        <v>6000</v>
      </c>
      <c r="F9" s="24">
        <v>5500</v>
      </c>
      <c r="G9" s="24">
        <v>800</v>
      </c>
      <c r="H9" s="24">
        <v>700</v>
      </c>
      <c r="I9" s="24">
        <v>500</v>
      </c>
      <c r="J9" s="25">
        <f>E9/G9</f>
        <v>7.5</v>
      </c>
      <c r="K9" s="25">
        <f t="shared" si="0"/>
        <v>1.0909090909090908</v>
      </c>
      <c r="L9" s="25">
        <f>D9/I9</f>
        <v>16</v>
      </c>
      <c r="M9" s="26">
        <v>6.5</v>
      </c>
      <c r="N9" s="27">
        <f t="shared" si="1"/>
        <v>0.12727272727272726</v>
      </c>
      <c r="O9" s="28">
        <v>0.2</v>
      </c>
    </row>
    <row r="10" spans="2:15" ht="14" x14ac:dyDescent="0.3">
      <c r="B10" s="3" t="s">
        <v>130</v>
      </c>
      <c r="C10" t="s">
        <v>131</v>
      </c>
      <c r="D10" s="24">
        <v>3500</v>
      </c>
      <c r="E10" s="24">
        <v>2500</v>
      </c>
      <c r="F10" s="24">
        <v>1800</v>
      </c>
      <c r="G10" s="24">
        <v>-100</v>
      </c>
      <c r="H10" s="24">
        <v>-150</v>
      </c>
      <c r="I10" s="24">
        <v>-200</v>
      </c>
      <c r="J10" s="29" t="s">
        <v>123</v>
      </c>
      <c r="K10" s="25">
        <f t="shared" si="0"/>
        <v>1.3888888888888888</v>
      </c>
      <c r="L10" s="29" t="s">
        <v>123</v>
      </c>
      <c r="M10" s="26">
        <v>4</v>
      </c>
      <c r="N10" s="27">
        <f t="shared" si="1"/>
        <v>-8.3333333333333329E-2</v>
      </c>
      <c r="O10" s="28">
        <v>-0.1</v>
      </c>
    </row>
    <row r="14" spans="2:15" ht="14" x14ac:dyDescent="0.3">
      <c r="B14" s="2" t="s">
        <v>132</v>
      </c>
    </row>
    <row r="15" spans="2:15" ht="14" x14ac:dyDescent="0.3">
      <c r="B15" s="3" t="s">
        <v>133</v>
      </c>
      <c r="D15" s="25">
        <f t="shared" ref="D15:I15" si="2">PERCENTILE(J5:J10,0.25)</f>
        <v>15</v>
      </c>
      <c r="E15" s="25">
        <f t="shared" si="2"/>
        <v>1.1654040404040402</v>
      </c>
      <c r="F15" s="25">
        <f t="shared" si="2"/>
        <v>29.425000000000001</v>
      </c>
      <c r="G15" s="25">
        <f t="shared" si="2"/>
        <v>2.625</v>
      </c>
      <c r="H15" s="27">
        <f t="shared" si="2"/>
        <v>-5.8823529411764705E-2</v>
      </c>
      <c r="I15" s="27">
        <f t="shared" si="2"/>
        <v>-7.7499999999999999E-2</v>
      </c>
    </row>
    <row r="16" spans="2:15" ht="14" x14ac:dyDescent="0.3">
      <c r="B16" s="3" t="s">
        <v>134</v>
      </c>
      <c r="D16" s="25">
        <f t="shared" ref="D16:I16" si="3">MEDIAN(J5:J10)</f>
        <v>18.850000000000001</v>
      </c>
      <c r="E16" s="25">
        <f t="shared" si="3"/>
        <v>2.0944444444444441</v>
      </c>
      <c r="F16" s="25">
        <f t="shared" si="3"/>
        <v>42.85</v>
      </c>
      <c r="G16" s="25">
        <f t="shared" si="3"/>
        <v>3.5</v>
      </c>
      <c r="H16" s="27">
        <f t="shared" si="3"/>
        <v>6.7352941176470588E-2</v>
      </c>
      <c r="I16" s="27">
        <f t="shared" si="3"/>
        <v>3.4999999999999996E-2</v>
      </c>
    </row>
    <row r="17" spans="2:9" ht="14" x14ac:dyDescent="0.3">
      <c r="B17" s="3" t="s">
        <v>135</v>
      </c>
      <c r="D17" s="25">
        <f t="shared" ref="D17:I17" si="4">PERCENTILE(J5:J10,0.75)</f>
        <v>20.9</v>
      </c>
      <c r="E17" s="25">
        <f t="shared" si="4"/>
        <v>3.1323394495412846</v>
      </c>
      <c r="F17" s="25">
        <f t="shared" si="4"/>
        <v>51.424999999999997</v>
      </c>
      <c r="G17" s="25">
        <f t="shared" si="4"/>
        <v>4.375</v>
      </c>
      <c r="H17" s="27">
        <f t="shared" si="4"/>
        <v>0.12545454545454543</v>
      </c>
      <c r="I17" s="27">
        <f t="shared" si="4"/>
        <v>0.11</v>
      </c>
    </row>
    <row r="19" spans="2:9" ht="14" x14ac:dyDescent="0.3">
      <c r="B19" s="21" t="s">
        <v>136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137</v>
      </c>
    </row>
    <row r="21" spans="2:9" ht="14" x14ac:dyDescent="0.3">
      <c r="B21" s="3" t="s">
        <v>138</v>
      </c>
      <c r="C21" s="4">
        <v>517</v>
      </c>
    </row>
    <row r="22" spans="2:9" ht="14" x14ac:dyDescent="0.3">
      <c r="B22" s="3" t="s">
        <v>139</v>
      </c>
      <c r="C22" s="4">
        <v>-801</v>
      </c>
    </row>
    <row r="23" spans="2:9" ht="14" x14ac:dyDescent="0.3">
      <c r="B23" s="3" t="s">
        <v>140</v>
      </c>
      <c r="C23" s="16">
        <v>11284425</v>
      </c>
    </row>
    <row r="24" spans="2:9" ht="14" x14ac:dyDescent="0.3">
      <c r="B24" s="3" t="s">
        <v>70</v>
      </c>
      <c r="C24" s="4">
        <v>-2394</v>
      </c>
    </row>
    <row r="26" spans="2:9" ht="14" x14ac:dyDescent="0.3">
      <c r="B26" s="2" t="s">
        <v>141</v>
      </c>
    </row>
    <row r="27" spans="2:9" ht="14" x14ac:dyDescent="0.3">
      <c r="B27" s="3" t="s">
        <v>142</v>
      </c>
      <c r="C27" s="23">
        <f>ROUND((C21*E16-C24)*1000000/C23,0)</f>
        <v>308</v>
      </c>
    </row>
    <row r="28" spans="2:9" ht="14" x14ac:dyDescent="0.3">
      <c r="B28" s="3" t="s">
        <v>143</v>
      </c>
      <c r="C28" s="23">
        <f>ROUND(C22*F16*1000000/C23,0)</f>
        <v>-3042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00"/>
  </sheetPr>
  <dimension ref="B2:I22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144</v>
      </c>
    </row>
    <row r="4" spans="2:9" ht="14" x14ac:dyDescent="0.3">
      <c r="B4" s="2" t="s">
        <v>145</v>
      </c>
    </row>
    <row r="5" spans="2:9" ht="14" x14ac:dyDescent="0.3">
      <c r="B5" s="10" t="s">
        <v>146</v>
      </c>
      <c r="C5" s="30">
        <v>5.0000000000000001E-3</v>
      </c>
      <c r="D5" s="30">
        <v>0.01</v>
      </c>
      <c r="E5" s="30">
        <v>1.4999999999999999E-2</v>
      </c>
      <c r="F5" s="30">
        <v>0.02</v>
      </c>
      <c r="G5" s="30">
        <v>2.5000000000000001E-2</v>
      </c>
      <c r="H5" s="30">
        <v>0.03</v>
      </c>
      <c r="I5" s="30">
        <v>3.5000000000000003E-2</v>
      </c>
    </row>
    <row r="6" spans="2:9" ht="14" x14ac:dyDescent="0.3">
      <c r="B6" s="31">
        <v>0.13</v>
      </c>
      <c r="C6" s="32">
        <v>1659</v>
      </c>
      <c r="D6" s="32">
        <v>1718</v>
      </c>
      <c r="E6" s="32">
        <v>1782</v>
      </c>
      <c r="F6" s="32">
        <v>1851</v>
      </c>
      <c r="G6" s="32">
        <v>1928</v>
      </c>
      <c r="H6" s="32">
        <v>2012</v>
      </c>
      <c r="I6" s="32">
        <v>2105</v>
      </c>
    </row>
    <row r="7" spans="2:9" ht="14" x14ac:dyDescent="0.3">
      <c r="B7" s="31">
        <v>0.15</v>
      </c>
      <c r="C7" s="32">
        <v>1377</v>
      </c>
      <c r="D7" s="32">
        <v>1417</v>
      </c>
      <c r="E7" s="32">
        <v>1461</v>
      </c>
      <c r="F7" s="32">
        <v>1508</v>
      </c>
      <c r="G7" s="32">
        <v>1558</v>
      </c>
      <c r="H7" s="32">
        <v>1613</v>
      </c>
      <c r="I7" s="32">
        <v>1673</v>
      </c>
    </row>
    <row r="8" spans="2:9" ht="14" x14ac:dyDescent="0.3">
      <c r="B8" s="31">
        <v>0.17</v>
      </c>
      <c r="C8" s="32">
        <v>1168</v>
      </c>
      <c r="D8" s="32">
        <v>1198</v>
      </c>
      <c r="E8" s="32">
        <v>1229</v>
      </c>
      <c r="F8" s="33">
        <v>1262</v>
      </c>
      <c r="G8" s="32">
        <v>1297</v>
      </c>
      <c r="H8" s="32">
        <v>1335</v>
      </c>
      <c r="I8" s="32">
        <v>1375</v>
      </c>
    </row>
    <row r="9" spans="2:9" ht="14" x14ac:dyDescent="0.3">
      <c r="B9" s="31">
        <v>0.17699999999999999</v>
      </c>
      <c r="C9" s="32">
        <v>1108</v>
      </c>
      <c r="D9" s="32">
        <v>1134</v>
      </c>
      <c r="E9" s="32">
        <v>1162</v>
      </c>
      <c r="F9" s="32">
        <v>1191</v>
      </c>
      <c r="G9" s="32">
        <v>1223</v>
      </c>
      <c r="H9" s="32">
        <v>1256</v>
      </c>
      <c r="I9" s="32">
        <v>1292</v>
      </c>
    </row>
    <row r="10" spans="2:9" ht="14" x14ac:dyDescent="0.3">
      <c r="B10" s="31">
        <v>0.19</v>
      </c>
      <c r="C10" s="32">
        <v>1009</v>
      </c>
      <c r="D10" s="32">
        <v>1031</v>
      </c>
      <c r="E10" s="32">
        <v>1054</v>
      </c>
      <c r="F10" s="32">
        <v>1078</v>
      </c>
      <c r="G10" s="32">
        <v>1103</v>
      </c>
      <c r="H10" s="32">
        <v>1131</v>
      </c>
      <c r="I10" s="32">
        <v>1160</v>
      </c>
    </row>
    <row r="11" spans="2:9" ht="14" x14ac:dyDescent="0.3">
      <c r="B11" s="31">
        <v>0.21</v>
      </c>
      <c r="C11" s="32">
        <v>885</v>
      </c>
      <c r="D11" s="32">
        <v>901</v>
      </c>
      <c r="E11" s="32">
        <v>919</v>
      </c>
      <c r="F11" s="32">
        <v>937</v>
      </c>
      <c r="G11" s="32">
        <v>956</v>
      </c>
      <c r="H11" s="32">
        <v>976</v>
      </c>
      <c r="I11" s="32">
        <v>997</v>
      </c>
    </row>
    <row r="12" spans="2:9" ht="14" x14ac:dyDescent="0.3">
      <c r="B12" s="31">
        <v>0.23</v>
      </c>
      <c r="C12" s="32">
        <v>786</v>
      </c>
      <c r="D12" s="32">
        <v>798</v>
      </c>
      <c r="E12" s="32">
        <v>812</v>
      </c>
      <c r="F12" s="32">
        <v>825</v>
      </c>
      <c r="G12" s="32">
        <v>840</v>
      </c>
      <c r="H12" s="32">
        <v>855</v>
      </c>
      <c r="I12" s="32">
        <v>872</v>
      </c>
    </row>
    <row r="15" spans="2:9" ht="14" x14ac:dyDescent="0.3">
      <c r="B15" s="2" t="s">
        <v>147</v>
      </c>
    </row>
    <row r="16" spans="2:9" ht="28" x14ac:dyDescent="0.3">
      <c r="B16" s="10" t="s">
        <v>148</v>
      </c>
      <c r="C16" s="30">
        <v>0.5</v>
      </c>
      <c r="D16" s="30">
        <v>0.55000000000000004</v>
      </c>
      <c r="E16" s="30">
        <v>0.6</v>
      </c>
      <c r="F16" s="30">
        <v>0.65</v>
      </c>
      <c r="G16" s="30">
        <v>0.7</v>
      </c>
      <c r="H16" s="30">
        <v>0.75</v>
      </c>
    </row>
    <row r="17" spans="2:8" ht="14" x14ac:dyDescent="0.3">
      <c r="B17" s="31">
        <v>0.3</v>
      </c>
      <c r="C17" s="32">
        <v>-208</v>
      </c>
      <c r="D17" s="32">
        <v>-165</v>
      </c>
      <c r="E17" s="32">
        <v>-123</v>
      </c>
      <c r="F17" s="32">
        <v>-80</v>
      </c>
      <c r="G17" s="32">
        <v>-38</v>
      </c>
      <c r="H17" s="32">
        <v>5</v>
      </c>
    </row>
    <row r="18" spans="2:8" ht="14" x14ac:dyDescent="0.3">
      <c r="B18" s="31">
        <v>0.4</v>
      </c>
      <c r="C18" s="32">
        <v>-49</v>
      </c>
      <c r="D18" s="32">
        <v>9</v>
      </c>
      <c r="E18" s="32">
        <v>62</v>
      </c>
      <c r="F18" s="32">
        <v>107</v>
      </c>
      <c r="G18" s="32">
        <v>153</v>
      </c>
      <c r="H18" s="32">
        <v>198</v>
      </c>
    </row>
    <row r="19" spans="2:8" ht="14" x14ac:dyDescent="0.3">
      <c r="B19" s="31">
        <v>0.5</v>
      </c>
      <c r="C19" s="32">
        <v>122</v>
      </c>
      <c r="D19" s="32">
        <v>184</v>
      </c>
      <c r="E19" s="32">
        <v>244</v>
      </c>
      <c r="F19" s="32">
        <v>304</v>
      </c>
      <c r="G19" s="32">
        <v>363</v>
      </c>
      <c r="H19" s="32">
        <v>423</v>
      </c>
    </row>
    <row r="20" spans="2:8" ht="14" x14ac:dyDescent="0.3">
      <c r="B20" s="31">
        <v>0.6</v>
      </c>
      <c r="C20" s="32">
        <v>313</v>
      </c>
      <c r="D20" s="32">
        <v>393</v>
      </c>
      <c r="E20" s="32">
        <v>472</v>
      </c>
      <c r="F20" s="32">
        <v>551</v>
      </c>
      <c r="G20" s="32">
        <v>629</v>
      </c>
      <c r="H20" s="32">
        <v>706</v>
      </c>
    </row>
    <row r="21" spans="2:8" ht="14" x14ac:dyDescent="0.3">
      <c r="B21" s="31">
        <v>0.7</v>
      </c>
      <c r="C21" s="32">
        <v>551</v>
      </c>
      <c r="D21" s="32">
        <v>655</v>
      </c>
      <c r="E21" s="32">
        <v>757</v>
      </c>
      <c r="F21" s="32">
        <v>859</v>
      </c>
      <c r="G21" s="32">
        <v>961</v>
      </c>
      <c r="H21" s="32">
        <v>1062</v>
      </c>
    </row>
    <row r="22" spans="2:8" ht="14" x14ac:dyDescent="0.3">
      <c r="B22" s="31">
        <v>0.8</v>
      </c>
      <c r="C22" s="32">
        <v>845</v>
      </c>
      <c r="D22" s="32">
        <v>978</v>
      </c>
      <c r="E22" s="32">
        <v>1110</v>
      </c>
      <c r="F22" s="32">
        <v>1243</v>
      </c>
      <c r="G22" s="32">
        <v>1375</v>
      </c>
      <c r="H22" s="32">
        <v>1507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Executive Summary</vt:lpstr>
      <vt:lpstr>Financial Statements</vt:lpstr>
      <vt:lpstr>DCF Model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2026-03-02T01:58:30Z</dcterms:created>
  <dcterms:modified xsi:type="dcterms:W3CDTF">2026-03-03T03:23:51Z</dcterms:modified>
</cp:coreProperties>
</file>