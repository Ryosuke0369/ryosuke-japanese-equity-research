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Financial Statements" sheetId="2" state="visible" r:id="rId2"/>
    <sheet name="DCF Model" sheetId="3" state="visible" r:id="rId3"/>
    <sheet name="Comps Analysis" sheetId="4" state="visible" r:id="rId4"/>
    <sheet name="Sensitivity Analysi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"/>
    <numFmt numFmtId="165" formatCode="0.0%;(0.0%)"/>
    <numFmt numFmtId="166" formatCode="0.000"/>
    <numFmt numFmtId="167" formatCode="0.00&quot;x&quot;"/>
    <numFmt numFmtId="168" formatCode="0.00%;(0.00%)"/>
    <numFmt numFmtId="169" formatCode="0.0000"/>
  </numFmts>
  <fonts count="9">
    <font>
      <name val="Calibri"/>
      <family val="2"/>
      <color theme="1"/>
      <sz val="11"/>
      <scheme val="minor"/>
    </font>
    <font>
      <name val="Arial"/>
      <i val="1"/>
      <color rgb="00808080"/>
      <sz val="9"/>
    </font>
    <font>
      <name val="Arial"/>
      <b val="1"/>
      <sz val="14"/>
    </font>
    <font>
      <name val="Arial"/>
      <b val="1"/>
      <sz val="11"/>
    </font>
    <font>
      <name val="Arial"/>
      <b val="1"/>
      <sz val="10"/>
    </font>
    <font>
      <name val="Arial"/>
      <color rgb="000000CC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color rgb="00006600"/>
      <sz val="10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thin"/>
      <bottom style="double"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164" fontId="6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7" fillId="3" borderId="1" applyAlignment="1" pivotButton="0" quotePrefix="0" xfId="0">
      <alignment horizontal="center" wrapText="1"/>
    </xf>
    <xf numFmtId="164" fontId="8" fillId="0" borderId="0" pivotButton="0" quotePrefix="0" xfId="0"/>
    <xf numFmtId="165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3" fontId="5" fillId="0" borderId="0" pivotButton="0" quotePrefix="0" xfId="0"/>
    <xf numFmtId="168" fontId="6" fillId="0" borderId="0" pivotButton="0" quotePrefix="0" xfId="0"/>
    <xf numFmtId="165" fontId="5" fillId="4" borderId="0" pivotButton="0" quotePrefix="0" xfId="0"/>
    <xf numFmtId="164" fontId="5" fillId="4" borderId="0" pivotButton="0" quotePrefix="0" xfId="0"/>
    <xf numFmtId="169" fontId="6" fillId="0" borderId="0" pivotButton="0" quotePrefix="0" xfId="0"/>
    <xf numFmtId="0" fontId="3" fillId="5" borderId="0" pivotButton="0" quotePrefix="0" xfId="0"/>
    <xf numFmtId="0" fontId="0" fillId="5" borderId="0" pivotButton="0" quotePrefix="0" xfId="0"/>
    <xf numFmtId="164" fontId="6" fillId="0" borderId="2" pivotButton="0" quotePrefix="0" xfId="0"/>
    <xf numFmtId="164" fontId="5" fillId="0" borderId="1" pivotButton="0" quotePrefix="0" xfId="0"/>
    <xf numFmtId="167" fontId="6" fillId="0" borderId="1" pivotButton="0" quotePrefix="0" xfId="0"/>
    <xf numFmtId="167" fontId="5" fillId="0" borderId="1" pivotButton="0" quotePrefix="0" xfId="0"/>
    <xf numFmtId="165" fontId="6" fillId="0" borderId="1" pivotButton="0" quotePrefix="0" xfId="0"/>
    <xf numFmtId="165" fontId="5" fillId="0" borderId="1" pivotButton="0" quotePrefix="0" xfId="0"/>
    <xf numFmtId="0" fontId="6" fillId="0" borderId="1" applyAlignment="1" pivotButton="0" quotePrefix="0" xfId="0">
      <alignment horizontal="right"/>
    </xf>
    <xf numFmtId="165" fontId="7" fillId="3" borderId="1" applyAlignment="1" pivotButton="0" quotePrefix="0" xfId="0">
      <alignment horizontal="center"/>
    </xf>
    <xf numFmtId="165" fontId="4" fillId="0" borderId="1" pivotButton="0" quotePrefix="0" xfId="0"/>
    <xf numFmtId="164" fontId="6" fillId="0" borderId="1" pivotButton="0" quotePrefix="0" xfId="0"/>
    <xf numFmtId="164" fontId="6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366"/>
    <outlinePr summaryBelow="1" summaryRight="1"/>
    <pageSetUpPr/>
  </sheetPr>
  <dimension ref="B1:E31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22" customWidth="1" min="4" max="4"/>
    <col width="22" customWidth="1" min="5" max="5"/>
  </cols>
  <sheetData>
    <row r="1">
      <c r="B1" s="1" t="inlineStr">
        <is>
          <t>DISCLAIMER: This is a sample analysis for demonstration purposes only. It does not constitute investment advice.</t>
        </is>
      </c>
    </row>
    <row r="3">
      <c r="B3" s="2" t="inlineStr">
        <is>
          <t>Kudan Inc. (4425.T)</t>
        </is>
      </c>
    </row>
    <row r="4">
      <c r="B4" s="3" t="inlineStr">
        <is>
          <t>Equity Research Report</t>
        </is>
      </c>
    </row>
    <row r="6">
      <c r="B6" s="4" t="inlineStr">
        <is>
          <t>Company</t>
        </is>
      </c>
      <c r="C6" t="inlineStr">
        <is>
          <t>Kudan Inc.</t>
        </is>
      </c>
    </row>
    <row r="7">
      <c r="B7" s="4" t="inlineStr">
        <is>
          <t>Ticker</t>
        </is>
      </c>
      <c r="C7" t="inlineStr">
        <is>
          <t>4425.T (TSE Growth)</t>
        </is>
      </c>
    </row>
    <row r="8">
      <c r="B8" s="4" t="inlineStr">
        <is>
          <t>Sector</t>
        </is>
      </c>
      <c r="C8" t="inlineStr">
        <is>
          <t>Information &amp; Communication</t>
        </is>
      </c>
    </row>
    <row r="9">
      <c r="B9" s="4" t="inlineStr">
        <is>
          <t>Current Price</t>
        </is>
      </c>
      <c r="C9" s="5" t="n">
        <v>2124</v>
      </c>
    </row>
    <row r="10">
      <c r="B10" s="4" t="inlineStr">
        <is>
          <t>Target Price (Mid)</t>
        </is>
      </c>
      <c r="C10" s="6">
        <f>ROUND(AVERAGE(C16:C19),0)</f>
        <v/>
      </c>
    </row>
    <row r="11">
      <c r="B11" s="4" t="inlineStr">
        <is>
          <t>Recommendation</t>
        </is>
      </c>
      <c r="C11" s="7">
        <f>IF(C12&gt;0.15,"BUY",IF(C12&gt;0.05,"HOLD","SELL"))</f>
        <v/>
      </c>
    </row>
    <row r="12">
      <c r="B12" s="4" t="inlineStr">
        <is>
          <t>Upside / Downside</t>
        </is>
      </c>
      <c r="C12" s="8">
        <f>(C10-C9)/C9</f>
        <v/>
      </c>
    </row>
    <row r="14">
      <c r="B14" s="9" t="inlineStr">
        <is>
          <t>Valuation Summary</t>
        </is>
      </c>
      <c r="C14" s="10" t="n"/>
      <c r="D14" s="10" t="n"/>
    </row>
    <row r="15">
      <c r="B15" s="11" t="inlineStr">
        <is>
          <t>Methodology</t>
        </is>
      </c>
      <c r="C15" s="11" t="inlineStr">
        <is>
          <t>Implied Value (JPY)</t>
        </is>
      </c>
      <c r="D15" s="11" t="inlineStr">
        <is>
          <t>vs Current Price</t>
        </is>
      </c>
    </row>
    <row r="16">
      <c r="B16" t="inlineStr">
        <is>
          <t>DCF - Perpetuity Growth</t>
        </is>
      </c>
      <c r="C16" s="12">
        <f>'DCF Model'!C52</f>
        <v/>
      </c>
      <c r="D16" s="8">
        <f>(C16-C9)/C9</f>
        <v/>
      </c>
    </row>
    <row r="17">
      <c r="B17" t="inlineStr">
        <is>
          <t>DCF - Exit Multiple</t>
        </is>
      </c>
      <c r="C17" s="12">
        <f>'DCF Model'!C61</f>
        <v/>
      </c>
      <c r="D17" s="8">
        <f>(C17-C9)/C9</f>
        <v/>
      </c>
    </row>
    <row r="18">
      <c r="B18" t="inlineStr">
        <is>
          <t>Comps - EV/Sales Median</t>
        </is>
      </c>
      <c r="C18" s="12">
        <f>'Comps Analysis'!C27</f>
        <v/>
      </c>
      <c r="D18" s="8">
        <f>(C18-C9)/C9</f>
        <v/>
      </c>
    </row>
    <row r="19">
      <c r="B19" t="inlineStr">
        <is>
          <t>Comps - PER Median</t>
        </is>
      </c>
      <c r="C19" s="12">
        <f>'Comps Analysis'!C28</f>
        <v/>
      </c>
      <c r="D19" s="8">
        <f>(C19-C9)/C9</f>
        <v/>
      </c>
    </row>
    <row r="21">
      <c r="B21" s="4" t="inlineStr">
        <is>
          <t>Integrated Valuation Range</t>
        </is>
      </c>
      <c r="C21" s="7">
        <f>MIN(C16:C19)&amp;" - "&amp;MAX(C16:C19)</f>
        <v/>
      </c>
    </row>
    <row r="23">
      <c r="B23" s="9" t="inlineStr">
        <is>
          <t>Key Investment Thesis</t>
        </is>
      </c>
      <c r="C23" s="10" t="n"/>
      <c r="D23" s="10" t="n"/>
    </row>
    <row r="24">
      <c r="B24" t="inlineStr">
        <is>
          <t>1. Global leader in Artificial Perception (SLAM) technology</t>
        </is>
      </c>
    </row>
    <row r="25">
      <c r="B25" t="inlineStr">
        <is>
          <t>2. High leverage on revenue growth due to fixed-cost intensive IP licensing model</t>
        </is>
      </c>
    </row>
    <row r="26">
      <c r="B26" t="inlineStr">
        <is>
          <t>3. Transitioning from R&amp;D phase to commercial scaling phase</t>
        </is>
      </c>
    </row>
    <row r="28">
      <c r="B28" s="9" t="inlineStr">
        <is>
          <t>Key Risks</t>
        </is>
      </c>
      <c r="C28" s="10" t="n"/>
      <c r="D28" s="10" t="n"/>
    </row>
    <row r="29">
      <c r="B29" t="inlineStr">
        <is>
          <t>1. Prolonged losses and negative free cash flow burning cash runway</t>
        </is>
      </c>
    </row>
    <row r="30">
      <c r="B30" t="inlineStr">
        <is>
          <t>2. Long sales cycles converting PoC (Proof of Concept) to commercial licenses</t>
        </is>
      </c>
    </row>
    <row r="31">
      <c r="B31" t="inlineStr">
        <is>
          <t>3. High WACC (17.7%) depressing present value heavily</t>
        </is>
      </c>
    </row>
  </sheetData>
  <mergeCells count="2">
    <mergeCell ref="B3:D3"/>
    <mergeCell ref="B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3366"/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>
      <c r="B2" s="2" t="inlineStr">
        <is>
          <t>Kudan Inc. - Historical Financials (JPY mn)</t>
        </is>
      </c>
    </row>
    <row r="4">
      <c r="C4" s="11" t="inlineStr">
        <is>
          <t>FY2022 (Mar-22)</t>
        </is>
      </c>
      <c r="D4" s="11" t="inlineStr">
        <is>
          <t>FY2023 (Mar-23)</t>
        </is>
      </c>
      <c r="E4" s="11" t="inlineStr">
        <is>
          <t>FY2024 (Mar-24)</t>
        </is>
      </c>
      <c r="F4" s="11" t="inlineStr">
        <is>
          <t>FY2025 (Mar-25)</t>
        </is>
      </c>
    </row>
    <row r="5">
      <c r="B5" s="3" t="inlineStr">
        <is>
          <t>Income Statement</t>
        </is>
      </c>
    </row>
    <row r="6">
      <c r="B6" s="4" t="inlineStr">
        <is>
          <t>Revenue</t>
        </is>
      </c>
      <c r="C6" s="5" t="n">
        <v>271</v>
      </c>
      <c r="D6" s="5" t="n">
        <v>332</v>
      </c>
      <c r="E6" s="5" t="n">
        <v>490</v>
      </c>
      <c r="F6" s="5" t="n">
        <v>517</v>
      </c>
    </row>
    <row r="7">
      <c r="B7" s="4" t="inlineStr">
        <is>
          <t>COGS</t>
        </is>
      </c>
      <c r="C7" s="5" t="n">
        <v>147</v>
      </c>
      <c r="D7" s="5" t="n">
        <v>156</v>
      </c>
      <c r="E7" s="5" t="n">
        <v>52</v>
      </c>
      <c r="F7" s="5" t="n">
        <v>177</v>
      </c>
    </row>
    <row r="8">
      <c r="B8" s="4" t="inlineStr">
        <is>
          <t>Gross Profit</t>
        </is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</row>
    <row r="9">
      <c r="B9" t="inlineStr">
        <is>
          <t>Gross Margin</t>
        </is>
      </c>
      <c r="C9" s="8">
        <f>C8/C6</f>
        <v/>
      </c>
      <c r="D9" s="8">
        <f>D8/D6</f>
        <v/>
      </c>
      <c r="E9" s="8">
        <f>E8/E6</f>
        <v/>
      </c>
      <c r="F9" s="8">
        <f>F8/F6</f>
        <v/>
      </c>
    </row>
    <row r="10">
      <c r="B10" s="4" t="inlineStr">
        <is>
          <t>SGA</t>
        </is>
      </c>
      <c r="C10" s="5" t="n">
        <v>558</v>
      </c>
      <c r="D10" s="5" t="n">
        <v>775</v>
      </c>
      <c r="E10" s="5" t="n">
        <v>966</v>
      </c>
      <c r="F10" s="5" t="n">
        <v>1141</v>
      </c>
    </row>
    <row r="11">
      <c r="B11" s="4" t="inlineStr">
        <is>
          <t>Operating Income</t>
        </is>
      </c>
      <c r="C11" s="5" t="n">
        <v>-433</v>
      </c>
      <c r="D11" s="5" t="n">
        <v>-598</v>
      </c>
      <c r="E11" s="5" t="n">
        <v>-527</v>
      </c>
      <c r="F11" s="5" t="n">
        <v>-800</v>
      </c>
    </row>
    <row r="12">
      <c r="B12" s="4" t="inlineStr">
        <is>
          <t>Net Income</t>
        </is>
      </c>
      <c r="C12" s="5" t="n">
        <v>-2237</v>
      </c>
      <c r="D12" s="5" t="n">
        <v>-413</v>
      </c>
      <c r="E12" s="5" t="n">
        <v>-69</v>
      </c>
      <c r="F12" s="5" t="n">
        <v>-801</v>
      </c>
    </row>
    <row r="13">
      <c r="B13" t="inlineStr">
        <is>
          <t>Operating Margin</t>
        </is>
      </c>
      <c r="C13" s="8">
        <f>C11/C6</f>
        <v/>
      </c>
      <c r="D13" s="8">
        <f>D11/D6</f>
        <v/>
      </c>
      <c r="E13" s="8">
        <f>E11/E6</f>
        <v/>
      </c>
      <c r="F13" s="8">
        <f>F11/F6</f>
        <v/>
      </c>
    </row>
    <row r="14">
      <c r="B14" t="inlineStr">
        <is>
          <t>Net Margin</t>
        </is>
      </c>
      <c r="C14" s="8">
        <f>C12/C6</f>
        <v/>
      </c>
      <c r="D14" s="8">
        <f>D12/D6</f>
        <v/>
      </c>
      <c r="E14" s="8">
        <f>E12/E6</f>
        <v/>
      </c>
      <c r="F14" s="8">
        <f>F12/F6</f>
        <v/>
      </c>
    </row>
    <row r="15">
      <c r="B15" t="inlineStr">
        <is>
          <t>Revenue Growth (YoY)</t>
        </is>
      </c>
      <c r="C15" t="inlineStr">
        <is>
          <t>n/a</t>
        </is>
      </c>
      <c r="D15" s="8">
        <f>(D6-C6)/C6</f>
        <v/>
      </c>
      <c r="E15" s="8">
        <f>(E6-D6)/D6</f>
        <v/>
      </c>
      <c r="F15" s="8">
        <f>(F6-E6)/E6</f>
        <v/>
      </c>
    </row>
    <row r="16">
      <c r="B16" t="inlineStr">
        <is>
          <t>Operating Income Growth (YoY)</t>
        </is>
      </c>
      <c r="C16" t="inlineStr">
        <is>
          <t>n/a</t>
        </is>
      </c>
      <c r="D16" s="8">
        <f>(D11-C11)/C11</f>
        <v/>
      </c>
      <c r="E16" s="8">
        <f>(E11-D11)/D11</f>
        <v/>
      </c>
      <c r="F16" s="8">
        <f>(F11-E11)/E11</f>
        <v/>
      </c>
    </row>
    <row r="18">
      <c r="B18" s="3" t="inlineStr">
        <is>
          <t>Cash Flow Statement</t>
        </is>
      </c>
    </row>
    <row r="19">
      <c r="B19" s="4" t="inlineStr">
        <is>
          <t>Operating Cash Flow</t>
        </is>
      </c>
      <c r="C19" s="5" t="n">
        <v>-515</v>
      </c>
      <c r="D19" s="5" t="n">
        <v>-619</v>
      </c>
      <c r="E19" s="5" t="n">
        <v>-491</v>
      </c>
      <c r="F19" s="5" t="n">
        <v>-815</v>
      </c>
    </row>
    <row r="20">
      <c r="B20" s="4" t="inlineStr">
        <is>
          <t>Capex</t>
        </is>
      </c>
      <c r="C20" s="5" t="n">
        <v>137</v>
      </c>
      <c r="D20" s="5" t="n">
        <v>20</v>
      </c>
      <c r="E20" s="5" t="n">
        <v>433</v>
      </c>
      <c r="F20" s="5" t="n">
        <v>162</v>
      </c>
    </row>
    <row r="21">
      <c r="B21" s="4" t="inlineStr">
        <is>
          <t>Free Cash Flow</t>
        </is>
      </c>
      <c r="C21" s="6">
        <f>C19-C20</f>
        <v/>
      </c>
      <c r="D21" s="6">
        <f>D19-D20</f>
        <v/>
      </c>
      <c r="E21" s="6">
        <f>E19-E20</f>
        <v/>
      </c>
      <c r="F21" s="6">
        <f>F19-F20</f>
        <v/>
      </c>
    </row>
    <row r="22">
      <c r="B22" t="inlineStr">
        <is>
          <t>FCF Margin</t>
        </is>
      </c>
      <c r="C22" s="8">
        <f>C21/C6</f>
        <v/>
      </c>
      <c r="D22" s="8">
        <f>D21/D6</f>
        <v/>
      </c>
      <c r="E22" s="8">
        <f>E21/E6</f>
        <v/>
      </c>
      <c r="F22" s="8">
        <f>F21/F6</f>
        <v/>
      </c>
    </row>
    <row r="23">
      <c r="B23" t="inlineStr">
        <is>
          <t>Capex / Revenue</t>
        </is>
      </c>
      <c r="C23" s="8">
        <f>C20/C6</f>
        <v/>
      </c>
      <c r="D23" s="8">
        <f>D20/D6</f>
        <v/>
      </c>
      <c r="E23" s="8">
        <f>E20/E6</f>
        <v/>
      </c>
      <c r="F23" s="8">
        <f>F20/F6</f>
        <v/>
      </c>
    </row>
    <row r="25">
      <c r="B25" s="3" t="inlineStr">
        <is>
          <t>Balance Sheet Highlights</t>
        </is>
      </c>
    </row>
    <row r="26">
      <c r="B26" s="4" t="inlineStr">
        <is>
          <t>Cash &amp; Deposits</t>
        </is>
      </c>
      <c r="C26" s="5" t="n">
        <v>604</v>
      </c>
      <c r="D26" s="5" t="n">
        <v>852</v>
      </c>
      <c r="E26" s="5" t="n">
        <v>1720</v>
      </c>
      <c r="F26" s="5" t="n">
        <v>2594</v>
      </c>
    </row>
    <row r="27">
      <c r="B27" s="4" t="inlineStr">
        <is>
          <t>Short-term Debt</t>
        </is>
      </c>
      <c r="C27" s="5" t="n">
        <v>0</v>
      </c>
      <c r="D27" s="5" t="n">
        <v>200</v>
      </c>
      <c r="E27" s="5" t="n">
        <v>200</v>
      </c>
      <c r="F27" s="5" t="n">
        <v>200</v>
      </c>
    </row>
    <row r="28">
      <c r="B28" s="4" t="inlineStr">
        <is>
          <t>Net Debt (Cash)</t>
        </is>
      </c>
      <c r="C28" s="6">
        <f>C27-C26</f>
        <v/>
      </c>
      <c r="D28" s="6">
        <f>D27-D26</f>
        <v/>
      </c>
      <c r="E28" s="6">
        <f>E27-E26</f>
        <v/>
      </c>
      <c r="F28" s="6">
        <f>F27-F26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6600"/>
    <outlinePr summaryBelow="1" summaryRight="1"/>
    <pageSetUpPr/>
  </sheetPr>
  <dimension ref="B2:G61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2" t="inlineStr">
        <is>
          <t>DCF Valuation Model - Kudan Inc.</t>
        </is>
      </c>
    </row>
    <row r="4">
      <c r="B4" s="9" t="inlineStr">
        <is>
          <t>Assumptions</t>
        </is>
      </c>
      <c r="C4" s="10" t="n"/>
      <c r="D4" s="10" t="n"/>
      <c r="E4" s="10" t="n"/>
      <c r="F4" s="10" t="n"/>
      <c r="G4" s="10" t="n"/>
    </row>
    <row r="5">
      <c r="B5" s="4" t="inlineStr">
        <is>
          <t>Capex / Revenue</t>
        </is>
      </c>
      <c r="C5" s="13" t="n">
        <v>0.03</v>
      </c>
    </row>
    <row r="6">
      <c r="B6" s="4" t="inlineStr">
        <is>
          <t>Effective Tax Rate</t>
        </is>
      </c>
      <c r="C6" s="13" t="n">
        <v>0.3</v>
      </c>
    </row>
    <row r="7">
      <c r="B7" s="4" t="inlineStr">
        <is>
          <t>Risk-Free Rate</t>
        </is>
      </c>
      <c r="C7" s="13" t="n">
        <v>0.022</v>
      </c>
    </row>
    <row r="8">
      <c r="B8" s="4" t="inlineStr">
        <is>
          <t>Beta</t>
        </is>
      </c>
      <c r="C8" s="14" t="n">
        <v>1.75</v>
      </c>
    </row>
    <row r="9">
      <c r="B9" s="4" t="inlineStr">
        <is>
          <t>Equity Risk Premium</t>
        </is>
      </c>
      <c r="C9" s="13" t="n">
        <v>0.06</v>
      </c>
    </row>
    <row r="10">
      <c r="B10" s="4" t="inlineStr">
        <is>
          <t>Size Premium</t>
        </is>
      </c>
      <c r="C10" s="13" t="n">
        <v>0.05</v>
      </c>
    </row>
    <row r="11">
      <c r="B11" s="4" t="inlineStr">
        <is>
          <t>After-tax Cost of Debt</t>
        </is>
      </c>
      <c r="C11" s="13" t="n">
        <v>0.015</v>
      </c>
    </row>
    <row r="12">
      <c r="B12" s="4" t="inlineStr">
        <is>
          <t>D/E Ratio</t>
        </is>
      </c>
      <c r="C12" s="15" t="n">
        <v>0.05</v>
      </c>
    </row>
    <row r="13">
      <c r="B13" s="4" t="inlineStr">
        <is>
          <t>Terminal Growth Rate</t>
        </is>
      </c>
      <c r="C13" s="13" t="n">
        <v>0.02</v>
      </c>
    </row>
    <row r="14">
      <c r="B14" s="4" t="inlineStr">
        <is>
          <t>Exit Multiple (EV/EBITDA)</t>
        </is>
      </c>
      <c r="C14" s="16" t="n">
        <v>15</v>
      </c>
    </row>
    <row r="15">
      <c r="B15" s="4" t="inlineStr">
        <is>
          <t>Fully Diluted Shares</t>
        </is>
      </c>
      <c r="C15" s="17" t="n">
        <v>11284425</v>
      </c>
    </row>
    <row r="16">
      <c r="B16" s="4" t="inlineStr">
        <is>
          <t>Net Debt (JPY mn)</t>
        </is>
      </c>
      <c r="C16" s="5" t="n">
        <v>-2394</v>
      </c>
    </row>
    <row r="17">
      <c r="B17" s="4" t="inlineStr">
        <is>
          <t>Base Year Revenue (JPY mn)</t>
        </is>
      </c>
      <c r="C17" s="5" t="n">
        <v>517</v>
      </c>
    </row>
    <row r="18">
      <c r="B18" s="4" t="inlineStr">
        <is>
          <t>D&amp;A / Revenue</t>
        </is>
      </c>
      <c r="C18" s="13" t="n">
        <v>0.015</v>
      </c>
    </row>
    <row r="20">
      <c r="B20" s="9" t="inlineStr">
        <is>
          <t>WACC Calculation</t>
        </is>
      </c>
      <c r="C20" s="10" t="n"/>
      <c r="D20" s="10" t="n"/>
      <c r="E20" s="10" t="n"/>
      <c r="F20" s="10" t="n"/>
      <c r="G20" s="10" t="n"/>
    </row>
    <row r="21">
      <c r="B21" s="4" t="inlineStr">
        <is>
          <t>Cost of Equity (Ke)</t>
        </is>
      </c>
      <c r="C21" s="18">
        <f>C7+C8*C9+C10</f>
        <v/>
      </c>
    </row>
    <row r="22">
      <c r="B22" s="4" t="inlineStr">
        <is>
          <t>Weight of Equity</t>
        </is>
      </c>
      <c r="C22" s="18">
        <f>1/(1+C12)</f>
        <v/>
      </c>
    </row>
    <row r="23">
      <c r="B23" s="4" t="inlineStr">
        <is>
          <t>Weight of Debt</t>
        </is>
      </c>
      <c r="C23" s="18">
        <f>C12/(1+C12)</f>
        <v/>
      </c>
    </row>
    <row r="24">
      <c r="B24" s="4" t="inlineStr">
        <is>
          <t>WACC</t>
        </is>
      </c>
      <c r="C24" s="18">
        <f>C21*C22+C11*C23</f>
        <v/>
      </c>
    </row>
    <row r="26">
      <c r="B26" s="9" t="inlineStr">
        <is>
          <t>Projected Free Cash Flow</t>
        </is>
      </c>
      <c r="C26" s="10" t="n"/>
      <c r="D26" s="10" t="n"/>
      <c r="E26" s="10" t="n"/>
      <c r="F26" s="10" t="n"/>
      <c r="G26" s="10" t="n"/>
    </row>
    <row r="27">
      <c r="C27" s="11" t="inlineStr">
        <is>
          <t>Year 1</t>
        </is>
      </c>
      <c r="D27" s="11" t="inlineStr">
        <is>
          <t>Year 2</t>
        </is>
      </c>
      <c r="E27" s="11" t="inlineStr">
        <is>
          <t>Year 3</t>
        </is>
      </c>
      <c r="F27" s="11" t="inlineStr">
        <is>
          <t>Year 4</t>
        </is>
      </c>
      <c r="G27" s="11" t="inlineStr">
        <is>
          <t>Year 5</t>
        </is>
      </c>
    </row>
    <row r="28">
      <c r="B28" s="4" t="inlineStr">
        <is>
          <t>Revenue Growth (YoY)</t>
        </is>
      </c>
      <c r="C28" s="19" t="n">
        <v>0.8</v>
      </c>
      <c r="D28" s="19" t="n">
        <v>0.55</v>
      </c>
      <c r="E28" s="19" t="n">
        <v>0.4</v>
      </c>
      <c r="F28" s="19" t="n">
        <v>0.3</v>
      </c>
      <c r="G28" s="19" t="n">
        <v>0.2</v>
      </c>
    </row>
    <row r="29">
      <c r="B29" s="4" t="inlineStr">
        <is>
          <t>COGS % of Revenue</t>
        </is>
      </c>
      <c r="C29" s="19" t="n">
        <v>0.34</v>
      </c>
      <c r="D29" s="19" t="n">
        <v>0.34</v>
      </c>
      <c r="E29" s="19" t="n">
        <v>0.3</v>
      </c>
      <c r="F29" s="19" t="n">
        <v>0.25</v>
      </c>
      <c r="G29" s="19" t="n">
        <v>0.25</v>
      </c>
    </row>
    <row r="30">
      <c r="B30" s="4" t="inlineStr">
        <is>
          <t>SGA Expense</t>
        </is>
      </c>
      <c r="C30" s="20" t="n">
        <v>1200</v>
      </c>
      <c r="D30" s="20" t="n">
        <v>1300</v>
      </c>
      <c r="E30" s="20" t="n">
        <v>1400</v>
      </c>
      <c r="F30" s="20" t="n">
        <v>1500</v>
      </c>
      <c r="G30" s="20" t="n">
        <v>1600</v>
      </c>
    </row>
    <row r="31">
      <c r="B31" s="4" t="inlineStr">
        <is>
          <t>Revenue</t>
        </is>
      </c>
      <c r="C31" s="6">
        <f>C17*(1+C28)</f>
        <v/>
      </c>
      <c r="D31" s="6">
        <f>C31*(1+D28)</f>
        <v/>
      </c>
      <c r="E31" s="6">
        <f>D31*(1+E28)</f>
        <v/>
      </c>
      <c r="F31" s="6">
        <f>E31*(1+F28)</f>
        <v/>
      </c>
      <c r="G31" s="6">
        <f>F31*(1+G28)</f>
        <v/>
      </c>
    </row>
    <row r="32">
      <c r="B32" s="4" t="inlineStr">
        <is>
          <t>COGS</t>
        </is>
      </c>
      <c r="C32" s="6">
        <f>C31*C29</f>
        <v/>
      </c>
      <c r="D32" s="6">
        <f>D31*D29</f>
        <v/>
      </c>
      <c r="E32" s="6">
        <f>E31*E29</f>
        <v/>
      </c>
      <c r="F32" s="6">
        <f>F31*F29</f>
        <v/>
      </c>
      <c r="G32" s="6">
        <f>G31*G29</f>
        <v/>
      </c>
    </row>
    <row r="33">
      <c r="B33" s="4" t="inlineStr">
        <is>
          <t>Gross Profit</t>
        </is>
      </c>
      <c r="C33" s="6">
        <f>C31-C32</f>
        <v/>
      </c>
      <c r="D33" s="6">
        <f>D31-D32</f>
        <v/>
      </c>
      <c r="E33" s="6">
        <f>E31-E32</f>
        <v/>
      </c>
      <c r="F33" s="6">
        <f>F31-F32</f>
        <v/>
      </c>
      <c r="G33" s="6">
        <f>G31-G32</f>
        <v/>
      </c>
    </row>
    <row r="34">
      <c r="B34" s="4" t="inlineStr">
        <is>
          <t>Gross Margin</t>
        </is>
      </c>
      <c r="C34" s="8">
        <f>C33/C31</f>
        <v/>
      </c>
      <c r="D34" s="8">
        <f>D33/D31</f>
        <v/>
      </c>
      <c r="E34" s="8">
        <f>E33/E31</f>
        <v/>
      </c>
      <c r="F34" s="8">
        <f>F33/F31</f>
        <v/>
      </c>
      <c r="G34" s="8">
        <f>G33/G31</f>
        <v/>
      </c>
    </row>
    <row r="35">
      <c r="B35" s="4" t="inlineStr">
        <is>
          <t>SGA Expense</t>
        </is>
      </c>
      <c r="C35" s="6">
        <f>C30</f>
        <v/>
      </c>
      <c r="D35" s="6">
        <f>D30</f>
        <v/>
      </c>
      <c r="E35" s="6">
        <f>E30</f>
        <v/>
      </c>
      <c r="F35" s="6">
        <f>F30</f>
        <v/>
      </c>
      <c r="G35" s="6">
        <f>G30</f>
        <v/>
      </c>
    </row>
    <row r="36">
      <c r="B36" s="4" t="inlineStr">
        <is>
          <t>Implied Operating Margin</t>
        </is>
      </c>
      <c r="C36" s="8">
        <f>(C33-C35)/C31</f>
        <v/>
      </c>
      <c r="D36" s="8">
        <f>(D33-D35)/D31</f>
        <v/>
      </c>
      <c r="E36" s="8">
        <f>(E33-E35)/E31</f>
        <v/>
      </c>
      <c r="F36" s="8">
        <f>(F33-F35)/F31</f>
        <v/>
      </c>
      <c r="G36" s="8">
        <f>(G33-G35)/G31</f>
        <v/>
      </c>
    </row>
    <row r="37">
      <c r="B37" s="4" t="inlineStr">
        <is>
          <t>Operating Income (EBIT)</t>
        </is>
      </c>
      <c r="C37" s="6">
        <f>C33-C35</f>
        <v/>
      </c>
      <c r="D37" s="6">
        <f>D33-D35</f>
        <v/>
      </c>
      <c r="E37" s="6">
        <f>E33-E35</f>
        <v/>
      </c>
      <c r="F37" s="6">
        <f>F33-F35</f>
        <v/>
      </c>
      <c r="G37" s="6">
        <f>G33-G35</f>
        <v/>
      </c>
    </row>
    <row r="38">
      <c r="B38" s="4" t="inlineStr">
        <is>
          <t>Less: Tax</t>
        </is>
      </c>
      <c r="C38" s="6">
        <f>MAX(0,C37*C6)</f>
        <v/>
      </c>
      <c r="D38" s="6">
        <f>MAX(0,D37*C6)</f>
        <v/>
      </c>
      <c r="E38" s="6">
        <f>MAX(0,E37*C6)</f>
        <v/>
      </c>
      <c r="F38" s="6">
        <f>MAX(0,F37*C6)</f>
        <v/>
      </c>
      <c r="G38" s="6">
        <f>MAX(0,G37*C6)</f>
        <v/>
      </c>
    </row>
    <row r="39">
      <c r="B39" s="4" t="inlineStr">
        <is>
          <t>NOPAT</t>
        </is>
      </c>
      <c r="C39" s="6">
        <f>C37-C38</f>
        <v/>
      </c>
      <c r="D39" s="6">
        <f>D37-D38</f>
        <v/>
      </c>
      <c r="E39" s="6">
        <f>E37-E38</f>
        <v/>
      </c>
      <c r="F39" s="6">
        <f>F37-F38</f>
        <v/>
      </c>
      <c r="G39" s="6">
        <f>G37-G38</f>
        <v/>
      </c>
    </row>
    <row r="40">
      <c r="B40" s="4" t="inlineStr">
        <is>
          <t>Plus: D&amp;A</t>
        </is>
      </c>
      <c r="C40" s="6">
        <f>C31*C18</f>
        <v/>
      </c>
      <c r="D40" s="6">
        <f>D31*C18</f>
        <v/>
      </c>
      <c r="E40" s="6">
        <f>E31*C18</f>
        <v/>
      </c>
      <c r="F40" s="6">
        <f>F31*C18</f>
        <v/>
      </c>
      <c r="G40" s="6">
        <f>G31*C18</f>
        <v/>
      </c>
    </row>
    <row r="41">
      <c r="B41" s="4" t="inlineStr">
        <is>
          <t>Less: Capex</t>
        </is>
      </c>
      <c r="C41" s="6">
        <f>C31*C5</f>
        <v/>
      </c>
      <c r="D41" s="6">
        <f>D31*C5</f>
        <v/>
      </c>
      <c r="E41" s="6">
        <f>E31*C5</f>
        <v/>
      </c>
      <c r="F41" s="6">
        <f>F31*C5</f>
        <v/>
      </c>
      <c r="G41" s="6">
        <f>G31*C5</f>
        <v/>
      </c>
    </row>
    <row r="42">
      <c r="B42" s="4" t="inlineStr">
        <is>
          <t>Unlevered Free Cash Flow</t>
        </is>
      </c>
      <c r="C42" s="6">
        <f>C39+C40-C41</f>
        <v/>
      </c>
      <c r="D42" s="6">
        <f>D39+D40-D41</f>
        <v/>
      </c>
      <c r="E42" s="6">
        <f>E39+E40-E41</f>
        <v/>
      </c>
      <c r="F42" s="6">
        <f>F39+F40-F41</f>
        <v/>
      </c>
      <c r="G42" s="6">
        <f>G39+G40-G41</f>
        <v/>
      </c>
    </row>
    <row r="43">
      <c r="B43" s="4" t="inlineStr">
        <is>
          <t>Discount Factor</t>
        </is>
      </c>
      <c r="C43" s="21">
        <f>1/(1+C24)^1</f>
        <v/>
      </c>
      <c r="D43" s="21">
        <f>1/(1+C24)^2</f>
        <v/>
      </c>
      <c r="E43" s="21">
        <f>1/(1+C24)^3</f>
        <v/>
      </c>
      <c r="F43" s="21">
        <f>1/(1+C24)^4</f>
        <v/>
      </c>
      <c r="G43" s="21">
        <f>1/(1+C24)^5</f>
        <v/>
      </c>
    </row>
    <row r="44">
      <c r="B44" s="4" t="inlineStr">
        <is>
          <t>PV of FCF</t>
        </is>
      </c>
      <c r="C44" s="6">
        <f>C42*C43</f>
        <v/>
      </c>
      <c r="D44" s="6">
        <f>D42*D43</f>
        <v/>
      </c>
      <c r="E44" s="6">
        <f>E42*E43</f>
        <v/>
      </c>
      <c r="F44" s="6">
        <f>F42*F43</f>
        <v/>
      </c>
      <c r="G44" s="6">
        <f>G42*G43</f>
        <v/>
      </c>
    </row>
    <row r="46">
      <c r="B46" s="22" t="inlineStr">
        <is>
          <t>Valuation - Perpetuity Growth Method</t>
        </is>
      </c>
      <c r="C46" s="23" t="n"/>
      <c r="D46" s="23" t="n"/>
      <c r="E46" s="23" t="n"/>
      <c r="F46" s="23" t="n"/>
      <c r="G46" s="23" t="n"/>
    </row>
    <row r="47">
      <c r="B47" s="4" t="inlineStr">
        <is>
          <t>Sum of PV of FCFs</t>
        </is>
      </c>
      <c r="C47" s="6">
        <f>SUM(C44:G44)</f>
        <v/>
      </c>
    </row>
    <row r="48">
      <c r="B48" s="4" t="inlineStr">
        <is>
          <t>Terminal Value (PGM)</t>
        </is>
      </c>
      <c r="C48" s="6">
        <f>G42*(1+C13)/(C24-C13)</f>
        <v/>
      </c>
    </row>
    <row r="49">
      <c r="B49" s="4" t="inlineStr">
        <is>
          <t>PV of Terminal Value</t>
        </is>
      </c>
      <c r="C49" s="6">
        <f>C48*G43</f>
        <v/>
      </c>
    </row>
    <row r="50">
      <c r="B50" s="4" t="inlineStr">
        <is>
          <t>Enterprise Value</t>
        </is>
      </c>
      <c r="C50" s="6">
        <f>C47+C49</f>
        <v/>
      </c>
    </row>
    <row r="51">
      <c r="B51" s="4" t="inlineStr">
        <is>
          <t>Equity Value</t>
        </is>
      </c>
      <c r="C51" s="6">
        <f>C50-C16</f>
        <v/>
      </c>
    </row>
    <row r="52">
      <c r="B52" s="4" t="inlineStr">
        <is>
          <t>Implied Share Price (PGM)</t>
        </is>
      </c>
      <c r="C52" s="24">
        <f>ROUND(C51*1000000/C15,0)</f>
        <v/>
      </c>
    </row>
    <row r="54">
      <c r="B54" s="22" t="inlineStr">
        <is>
          <t>Valuation - Exit Multiple Method</t>
        </is>
      </c>
      <c r="C54" s="23" t="n"/>
      <c r="D54" s="23" t="n"/>
      <c r="E54" s="23" t="n"/>
      <c r="F54" s="23" t="n"/>
      <c r="G54" s="23" t="n"/>
    </row>
    <row r="55">
      <c r="B55" s="4" t="inlineStr">
        <is>
          <t>Sum of PV of FCFs</t>
        </is>
      </c>
      <c r="C55" s="6">
        <f>C47</f>
        <v/>
      </c>
    </row>
    <row r="56">
      <c r="B56" s="4" t="inlineStr">
        <is>
          <t>Year 5 EBITDA</t>
        </is>
      </c>
      <c r="C56" s="6">
        <f>G37+G40</f>
        <v/>
      </c>
    </row>
    <row r="57">
      <c r="B57" s="4" t="inlineStr">
        <is>
          <t>Terminal Value (Exit Multiple)</t>
        </is>
      </c>
      <c r="C57" s="6">
        <f>C56*C14</f>
        <v/>
      </c>
    </row>
    <row r="58">
      <c r="B58" s="4" t="inlineStr">
        <is>
          <t>PV of Terminal Value</t>
        </is>
      </c>
      <c r="C58" s="6">
        <f>C57*G43</f>
        <v/>
      </c>
    </row>
    <row r="59">
      <c r="B59" s="4" t="inlineStr">
        <is>
          <t>Enterprise Value</t>
        </is>
      </c>
      <c r="C59" s="6">
        <f>C55+C58</f>
        <v/>
      </c>
    </row>
    <row r="60">
      <c r="B60" s="4" t="inlineStr">
        <is>
          <t>Equity Value</t>
        </is>
      </c>
      <c r="C60" s="6">
        <f>C59-C16</f>
        <v/>
      </c>
    </row>
    <row r="61">
      <c r="B61" s="4" t="inlineStr">
        <is>
          <t>Implied Share Price (Exit Multiple)</t>
        </is>
      </c>
      <c r="C61" s="24">
        <f>ROUND(C60*1000000/C15,0)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6600"/>
    <outlinePr summaryBelow="1" summaryRight="1"/>
    <pageSetUpPr/>
  </sheetPr>
  <dimension ref="B2:O28"/>
  <sheetViews>
    <sheetView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2">
      <c r="B2" s="2" t="inlineStr">
        <is>
          <t>Comparable Company Analysis</t>
        </is>
      </c>
    </row>
    <row r="4">
      <c r="B4" s="11" t="inlineStr">
        <is>
          <t>Company</t>
        </is>
      </c>
      <c r="C4" s="11" t="inlineStr">
        <is>
          <t>Ticker</t>
        </is>
      </c>
      <c r="D4" s="11" t="inlineStr">
        <is>
          <t>Mkt Cap
(JPY mn)</t>
        </is>
      </c>
      <c r="E4" s="11" t="inlineStr">
        <is>
          <t>EV
(JPY mn)</t>
        </is>
      </c>
      <c r="F4" s="11" t="inlineStr">
        <is>
          <t>Revenue
(JPY mn)</t>
        </is>
      </c>
      <c r="G4" s="11" t="inlineStr">
        <is>
          <t>EBITDA
(JPY mn)</t>
        </is>
      </c>
      <c r="H4" s="11" t="inlineStr">
        <is>
          <t>Op Income
(JPY mn)</t>
        </is>
      </c>
      <c r="I4" s="11" t="inlineStr">
        <is>
          <t>Net Income
(JPY mn)</t>
        </is>
      </c>
      <c r="J4" s="11" t="inlineStr">
        <is>
          <t>EV/EBITDA</t>
        </is>
      </c>
      <c r="K4" s="11" t="inlineStr">
        <is>
          <t>EV/Revenue</t>
        </is>
      </c>
      <c r="L4" s="11" t="inlineStr">
        <is>
          <t>PER</t>
        </is>
      </c>
      <c r="M4" s="11" t="inlineStr">
        <is>
          <t>PBR</t>
        </is>
      </c>
      <c r="N4" s="11" t="inlineStr">
        <is>
          <t>Op Margin</t>
        </is>
      </c>
      <c r="O4" s="11" t="inlineStr">
        <is>
          <t>ROE</t>
        </is>
      </c>
    </row>
    <row r="5">
      <c r="B5" s="4" t="inlineStr">
        <is>
          <t>PKSHA Technology</t>
        </is>
      </c>
      <c r="C5" t="inlineStr">
        <is>
          <t>3993.T</t>
        </is>
      </c>
      <c r="D5" s="25" t="n">
        <v>85700</v>
      </c>
      <c r="E5" s="25" t="n">
        <v>70700</v>
      </c>
      <c r="F5" s="25" t="n">
        <v>21800</v>
      </c>
      <c r="G5" s="25" t="n">
        <v>3500</v>
      </c>
      <c r="H5" s="25" t="n">
        <v>3000</v>
      </c>
      <c r="I5" s="25" t="n">
        <v>2000</v>
      </c>
      <c r="J5" s="26">
        <f>E5/G5</f>
        <v/>
      </c>
      <c r="K5" s="26">
        <f>E5/F5</f>
        <v/>
      </c>
      <c r="L5" s="26">
        <f>D5/I5</f>
        <v/>
      </c>
      <c r="M5" s="27" t="n">
        <v>4.5</v>
      </c>
      <c r="N5" s="28">
        <f>H5/F5</f>
        <v/>
      </c>
      <c r="O5" s="29" t="n">
        <v>0.12</v>
      </c>
    </row>
    <row r="6">
      <c r="B6" s="4" t="inlineStr">
        <is>
          <t>Morpho</t>
        </is>
      </c>
      <c r="C6" t="inlineStr">
        <is>
          <t>3653.T</t>
        </is>
      </c>
      <c r="D6" s="25" t="n">
        <v>4300</v>
      </c>
      <c r="E6" s="25" t="n">
        <v>2300</v>
      </c>
      <c r="F6" s="25" t="n">
        <v>3400</v>
      </c>
      <c r="G6" s="25" t="n">
        <v>100</v>
      </c>
      <c r="H6" s="25" t="n">
        <v>50</v>
      </c>
      <c r="I6" s="25" t="n">
        <v>-10</v>
      </c>
      <c r="J6" s="26">
        <f>E6/G6</f>
        <v/>
      </c>
      <c r="K6" s="26">
        <f>E6/F6</f>
        <v/>
      </c>
      <c r="L6" s="30" t="inlineStr">
        <is>
          <t>N/A</t>
        </is>
      </c>
      <c r="M6" s="27" t="n">
        <v>1.2</v>
      </c>
      <c r="N6" s="28">
        <f>H6/F6</f>
        <v/>
      </c>
      <c r="O6" s="29" t="n">
        <v>-0.01</v>
      </c>
    </row>
    <row r="7">
      <c r="B7" s="4" t="inlineStr">
        <is>
          <t>DMP</t>
        </is>
      </c>
      <c r="C7" t="inlineStr">
        <is>
          <t>3652.T</t>
        </is>
      </c>
      <c r="D7" s="25" t="n">
        <v>8500</v>
      </c>
      <c r="E7" s="25" t="n">
        <v>5500</v>
      </c>
      <c r="F7" s="25" t="n">
        <v>1200</v>
      </c>
      <c r="G7" s="25" t="n">
        <v>-200</v>
      </c>
      <c r="H7" s="25" t="n">
        <v>-300</v>
      </c>
      <c r="I7" s="25" t="n">
        <v>-400</v>
      </c>
      <c r="J7" s="30" t="inlineStr">
        <is>
          <t>N/A</t>
        </is>
      </c>
      <c r="K7" s="26">
        <f>E7/F7</f>
        <v/>
      </c>
      <c r="L7" s="30" t="inlineStr">
        <is>
          <t>N/A</t>
        </is>
      </c>
      <c r="M7" s="27" t="n">
        <v>2.5</v>
      </c>
      <c r="N7" s="28">
        <f>H7/F7</f>
        <v/>
      </c>
      <c r="O7" s="29" t="n">
        <v>-0.15</v>
      </c>
    </row>
    <row r="8">
      <c r="B8" s="4" t="inlineStr">
        <is>
          <t>HEROZ</t>
        </is>
      </c>
      <c r="C8" t="inlineStr">
        <is>
          <t>4382.T</t>
        </is>
      </c>
      <c r="D8" s="25" t="n">
        <v>12000</v>
      </c>
      <c r="E8" s="25" t="n">
        <v>7000</v>
      </c>
      <c r="F8" s="25" t="n">
        <v>2500</v>
      </c>
      <c r="G8" s="25" t="n">
        <v>400</v>
      </c>
      <c r="H8" s="25" t="n">
        <v>300</v>
      </c>
      <c r="I8" s="25" t="n">
        <v>200</v>
      </c>
      <c r="J8" s="26">
        <f>E8/G8</f>
        <v/>
      </c>
      <c r="K8" s="26">
        <f>E8/F8</f>
        <v/>
      </c>
      <c r="L8" s="26">
        <f>D8/I8</f>
        <v/>
      </c>
      <c r="M8" s="27" t="n">
        <v>3</v>
      </c>
      <c r="N8" s="28">
        <f>H8/F8</f>
        <v/>
      </c>
      <c r="O8" s="29" t="n">
        <v>0.08</v>
      </c>
    </row>
    <row r="9">
      <c r="B9" s="4" t="inlineStr">
        <is>
          <t>Headwaters</t>
        </is>
      </c>
      <c r="C9" t="inlineStr">
        <is>
          <t>4011.T</t>
        </is>
      </c>
      <c r="D9" s="25" t="n">
        <v>8000</v>
      </c>
      <c r="E9" s="25" t="n">
        <v>6000</v>
      </c>
      <c r="F9" s="25" t="n">
        <v>5500</v>
      </c>
      <c r="G9" s="25" t="n">
        <v>800</v>
      </c>
      <c r="H9" s="25" t="n">
        <v>700</v>
      </c>
      <c r="I9" s="25" t="n">
        <v>500</v>
      </c>
      <c r="J9" s="26">
        <f>E9/G9</f>
        <v/>
      </c>
      <c r="K9" s="26">
        <f>E9/F9</f>
        <v/>
      </c>
      <c r="L9" s="26">
        <f>D9/I9</f>
        <v/>
      </c>
      <c r="M9" s="27" t="n">
        <v>6.5</v>
      </c>
      <c r="N9" s="28">
        <f>H9/F9</f>
        <v/>
      </c>
      <c r="O9" s="29" t="n">
        <v>0.2</v>
      </c>
    </row>
    <row r="10">
      <c r="B10" s="4" t="inlineStr">
        <is>
          <t>Neural Group</t>
        </is>
      </c>
      <c r="C10" t="inlineStr">
        <is>
          <t>4056.T</t>
        </is>
      </c>
      <c r="D10" s="25" t="n">
        <v>3500</v>
      </c>
      <c r="E10" s="25" t="n">
        <v>2500</v>
      </c>
      <c r="F10" s="25" t="n">
        <v>1800</v>
      </c>
      <c r="G10" s="25" t="n">
        <v>-100</v>
      </c>
      <c r="H10" s="25" t="n">
        <v>-150</v>
      </c>
      <c r="I10" s="25" t="n">
        <v>-200</v>
      </c>
      <c r="J10" s="30" t="inlineStr">
        <is>
          <t>N/A</t>
        </is>
      </c>
      <c r="K10" s="26">
        <f>E10/F10</f>
        <v/>
      </c>
      <c r="L10" s="30" t="inlineStr">
        <is>
          <t>N/A</t>
        </is>
      </c>
      <c r="M10" s="27" t="n">
        <v>4</v>
      </c>
      <c r="N10" s="28">
        <f>H10/F10</f>
        <v/>
      </c>
      <c r="O10" s="29" t="n">
        <v>-0.1</v>
      </c>
    </row>
    <row r="14">
      <c r="B14" s="3" t="inlineStr">
        <is>
          <t>Statistics</t>
        </is>
      </c>
    </row>
    <row r="15">
      <c r="B15" s="4" t="inlineStr">
        <is>
          <t>25th Percentile</t>
        </is>
      </c>
      <c r="D15" s="26">
        <f>PERCENTILE(J5:J10,0.25)</f>
        <v/>
      </c>
      <c r="E15" s="26">
        <f>PERCENTILE(K5:K10,0.25)</f>
        <v/>
      </c>
      <c r="F15" s="26">
        <f>PERCENTILE(L5:L10,0.25)</f>
        <v/>
      </c>
      <c r="G15" s="26">
        <f>PERCENTILE(M5:M10,0.25)</f>
        <v/>
      </c>
      <c r="H15" s="28">
        <f>PERCENTILE(N5:N10,0.25)</f>
        <v/>
      </c>
      <c r="I15" s="28">
        <f>PERCENTILE(O5:O10,0.25)</f>
        <v/>
      </c>
    </row>
    <row r="16">
      <c r="B16" s="4" t="inlineStr">
        <is>
          <t>Median (50th)</t>
        </is>
      </c>
      <c r="D16" s="26">
        <f>MEDIAN(J5:J10)</f>
        <v/>
      </c>
      <c r="E16" s="26">
        <f>MEDIAN(K5:K10)</f>
        <v/>
      </c>
      <c r="F16" s="26">
        <f>MEDIAN(L5:L10)</f>
        <v/>
      </c>
      <c r="G16" s="26">
        <f>MEDIAN(M5:M10)</f>
        <v/>
      </c>
      <c r="H16" s="28">
        <f>MEDIAN(N5:N10)</f>
        <v/>
      </c>
      <c r="I16" s="28">
        <f>MEDIAN(O5:O10)</f>
        <v/>
      </c>
    </row>
    <row r="17">
      <c r="B17" s="4" t="inlineStr">
        <is>
          <t>75th Percentile</t>
        </is>
      </c>
      <c r="D17" s="26">
        <f>PERCENTILE(J5:J10,0.75)</f>
        <v/>
      </c>
      <c r="E17" s="26">
        <f>PERCENTILE(K5:K10,0.75)</f>
        <v/>
      </c>
      <c r="F17" s="26">
        <f>PERCENTILE(L5:L10,0.75)</f>
        <v/>
      </c>
      <c r="G17" s="26">
        <f>PERCENTILE(M5:M10,0.75)</f>
        <v/>
      </c>
      <c r="H17" s="28">
        <f>PERCENTILE(N5:N10,0.75)</f>
        <v/>
      </c>
      <c r="I17" s="28">
        <f>PERCENTILE(O5:O10,0.75)</f>
        <v/>
      </c>
    </row>
    <row r="19">
      <c r="B19" s="22" t="inlineStr">
        <is>
          <t>Implied Valuation for Kudan Inc.</t>
        </is>
      </c>
      <c r="C19" s="23" t="n"/>
      <c r="D19" s="23" t="n"/>
      <c r="E19" s="23" t="n"/>
      <c r="F19" s="23" t="n"/>
      <c r="G19" s="23" t="n"/>
      <c r="H19" s="23" t="n"/>
      <c r="I19" s="23" t="n"/>
    </row>
    <row r="20">
      <c r="B20" s="3" t="inlineStr">
        <is>
          <t>Kudan Financials</t>
        </is>
      </c>
    </row>
    <row r="21">
      <c r="B21" s="4" t="inlineStr">
        <is>
          <t>Revenue (JPY mn)</t>
        </is>
      </c>
      <c r="C21" s="5" t="n">
        <v>517</v>
      </c>
    </row>
    <row r="22">
      <c r="B22" s="4" t="inlineStr">
        <is>
          <t>Net Income (JPY mn)</t>
        </is>
      </c>
      <c r="C22" s="5" t="n">
        <v>-801</v>
      </c>
    </row>
    <row r="23">
      <c r="B23" s="4" t="inlineStr">
        <is>
          <t>Shares Outstanding</t>
        </is>
      </c>
      <c r="C23" s="17" t="n">
        <v>11284425</v>
      </c>
    </row>
    <row r="24">
      <c r="B24" s="4" t="inlineStr">
        <is>
          <t>Net Debt (JPY mn)</t>
        </is>
      </c>
      <c r="C24" s="5" t="n">
        <v>-2394</v>
      </c>
    </row>
    <row r="26">
      <c r="B26" s="3" t="inlineStr">
        <is>
          <t>Implied Share Price (Median Multiples)</t>
        </is>
      </c>
    </row>
    <row r="27">
      <c r="B27" s="4" t="inlineStr">
        <is>
          <t>Via EV/Sales (Median)</t>
        </is>
      </c>
      <c r="C27" s="24">
        <f>ROUND((C21*E16-C24)*1000000/C23,0)</f>
        <v/>
      </c>
    </row>
    <row r="28">
      <c r="B28" s="4" t="inlineStr">
        <is>
          <t>Via PER (Median)</t>
        </is>
      </c>
      <c r="C28" s="24">
        <f>ROUND(C22*F16*1000000/C23,0)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96600"/>
    <outlinePr summaryBelow="1" summaryRight="1"/>
    <pageSetUpPr/>
  </sheetPr>
  <dimension ref="B2:I22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2" t="inlineStr">
        <is>
          <t>Sensitivity Analysis</t>
        </is>
      </c>
    </row>
    <row r="4">
      <c r="B4" s="3" t="inlineStr">
        <is>
          <t>Table 1: WACC vs Terminal Growth Rate (Implied Share Price, JPY)</t>
        </is>
      </c>
    </row>
    <row r="5">
      <c r="B5" s="11" t="inlineStr">
        <is>
          <t>WACC \ Terminal g</t>
        </is>
      </c>
      <c r="C5" s="31" t="n">
        <v>0.005</v>
      </c>
      <c r="D5" s="31" t="n">
        <v>0.01</v>
      </c>
      <c r="E5" s="31" t="n">
        <v>0.015</v>
      </c>
      <c r="F5" s="31" t="n">
        <v>0.02</v>
      </c>
      <c r="G5" s="31" t="n">
        <v>0.025</v>
      </c>
      <c r="H5" s="31" t="n">
        <v>0.03</v>
      </c>
      <c r="I5" s="31" t="n">
        <v>0.035</v>
      </c>
    </row>
    <row r="6">
      <c r="B6" s="32" t="n">
        <v>0.13</v>
      </c>
      <c r="C6" s="33" t="n">
        <v>1659</v>
      </c>
      <c r="D6" s="33" t="n">
        <v>1718</v>
      </c>
      <c r="E6" s="33" t="n">
        <v>1782</v>
      </c>
      <c r="F6" s="33" t="n">
        <v>1851</v>
      </c>
      <c r="G6" s="33" t="n">
        <v>1928</v>
      </c>
      <c r="H6" s="33" t="n">
        <v>2012</v>
      </c>
      <c r="I6" s="33" t="n">
        <v>2105</v>
      </c>
    </row>
    <row r="7">
      <c r="B7" s="32" t="n">
        <v>0.15</v>
      </c>
      <c r="C7" s="33" t="n">
        <v>1377</v>
      </c>
      <c r="D7" s="33" t="n">
        <v>1417</v>
      </c>
      <c r="E7" s="33" t="n">
        <v>1461</v>
      </c>
      <c r="F7" s="33" t="n">
        <v>1508</v>
      </c>
      <c r="G7" s="33" t="n">
        <v>1558</v>
      </c>
      <c r="H7" s="33" t="n">
        <v>1613</v>
      </c>
      <c r="I7" s="33" t="n">
        <v>1673</v>
      </c>
    </row>
    <row r="8">
      <c r="B8" s="32" t="n">
        <v>0.17</v>
      </c>
      <c r="C8" s="33" t="n">
        <v>1168</v>
      </c>
      <c r="D8" s="33" t="n">
        <v>1198</v>
      </c>
      <c r="E8" s="33" t="n">
        <v>1229</v>
      </c>
      <c r="F8" s="34" t="n">
        <v>1262</v>
      </c>
      <c r="G8" s="33" t="n">
        <v>1297</v>
      </c>
      <c r="H8" s="33" t="n">
        <v>1335</v>
      </c>
      <c r="I8" s="33" t="n">
        <v>1375</v>
      </c>
    </row>
    <row r="9">
      <c r="B9" s="32" t="n">
        <v>0.177</v>
      </c>
      <c r="C9" s="33" t="n">
        <v>1108</v>
      </c>
      <c r="D9" s="33" t="n">
        <v>1134</v>
      </c>
      <c r="E9" s="33" t="n">
        <v>1162</v>
      </c>
      <c r="F9" s="33" t="n">
        <v>1191</v>
      </c>
      <c r="G9" s="33" t="n">
        <v>1223</v>
      </c>
      <c r="H9" s="33" t="n">
        <v>1256</v>
      </c>
      <c r="I9" s="33" t="n">
        <v>1292</v>
      </c>
    </row>
    <row r="10">
      <c r="B10" s="32" t="n">
        <v>0.19</v>
      </c>
      <c r="C10" s="33" t="n">
        <v>1009</v>
      </c>
      <c r="D10" s="33" t="n">
        <v>1031</v>
      </c>
      <c r="E10" s="33" t="n">
        <v>1054</v>
      </c>
      <c r="F10" s="33" t="n">
        <v>1078</v>
      </c>
      <c r="G10" s="33" t="n">
        <v>1103</v>
      </c>
      <c r="H10" s="33" t="n">
        <v>1131</v>
      </c>
      <c r="I10" s="33" t="n">
        <v>1160</v>
      </c>
    </row>
    <row r="11">
      <c r="B11" s="32" t="n">
        <v>0.21</v>
      </c>
      <c r="C11" s="33" t="n">
        <v>885</v>
      </c>
      <c r="D11" s="33" t="n">
        <v>901</v>
      </c>
      <c r="E11" s="33" t="n">
        <v>919</v>
      </c>
      <c r="F11" s="33" t="n">
        <v>937</v>
      </c>
      <c r="G11" s="33" t="n">
        <v>956</v>
      </c>
      <c r="H11" s="33" t="n">
        <v>976</v>
      </c>
      <c r="I11" s="33" t="n">
        <v>997</v>
      </c>
    </row>
    <row r="12">
      <c r="B12" s="32" t="n">
        <v>0.23</v>
      </c>
      <c r="C12" s="33" t="n">
        <v>786</v>
      </c>
      <c r="D12" s="33" t="n">
        <v>798</v>
      </c>
      <c r="E12" s="33" t="n">
        <v>812</v>
      </c>
      <c r="F12" s="33" t="n">
        <v>825</v>
      </c>
      <c r="G12" s="33" t="n">
        <v>840</v>
      </c>
      <c r="H12" s="33" t="n">
        <v>855</v>
      </c>
      <c r="I12" s="33" t="n">
        <v>872</v>
      </c>
    </row>
    <row r="15">
      <c r="B15" s="3" t="inlineStr">
        <is>
          <t>Table 2: Revenue Growth vs Gross Margin % (Implied Share Price, JPY)</t>
        </is>
      </c>
    </row>
    <row r="16">
      <c r="B16" s="11" t="inlineStr">
        <is>
          <t>Rev Growth \ Gross Margin</t>
        </is>
      </c>
      <c r="C16" s="31" t="n">
        <v>0.5</v>
      </c>
      <c r="D16" s="31" t="n">
        <v>0.55</v>
      </c>
      <c r="E16" s="31" t="n">
        <v>0.6</v>
      </c>
      <c r="F16" s="31" t="n">
        <v>0.65</v>
      </c>
      <c r="G16" s="31" t="n">
        <v>0.7</v>
      </c>
      <c r="H16" s="31" t="n">
        <v>0.75</v>
      </c>
    </row>
    <row r="17">
      <c r="B17" s="32" t="n">
        <v>0.3</v>
      </c>
      <c r="C17" s="33" t="n">
        <v>-208</v>
      </c>
      <c r="D17" s="33" t="n">
        <v>-165</v>
      </c>
      <c r="E17" s="33" t="n">
        <v>-123</v>
      </c>
      <c r="F17" s="33" t="n">
        <v>-80</v>
      </c>
      <c r="G17" s="33" t="n">
        <v>-38</v>
      </c>
      <c r="H17" s="33" t="n">
        <v>5</v>
      </c>
    </row>
    <row r="18">
      <c r="B18" s="32" t="n">
        <v>0.4</v>
      </c>
      <c r="C18" s="33" t="n">
        <v>-49</v>
      </c>
      <c r="D18" s="33" t="n">
        <v>9</v>
      </c>
      <c r="E18" s="33" t="n">
        <v>62</v>
      </c>
      <c r="F18" s="33" t="n">
        <v>107</v>
      </c>
      <c r="G18" s="33" t="n">
        <v>153</v>
      </c>
      <c r="H18" s="33" t="n">
        <v>198</v>
      </c>
    </row>
    <row r="19">
      <c r="B19" s="32" t="n">
        <v>0.5</v>
      </c>
      <c r="C19" s="33" t="n">
        <v>122</v>
      </c>
      <c r="D19" s="33" t="n">
        <v>184</v>
      </c>
      <c r="E19" s="33" t="n">
        <v>244</v>
      </c>
      <c r="F19" s="33" t="n">
        <v>304</v>
      </c>
      <c r="G19" s="33" t="n">
        <v>363</v>
      </c>
      <c r="H19" s="33" t="n">
        <v>423</v>
      </c>
    </row>
    <row r="20">
      <c r="B20" s="32" t="n">
        <v>0.6</v>
      </c>
      <c r="C20" s="33" t="n">
        <v>313</v>
      </c>
      <c r="D20" s="33" t="n">
        <v>393</v>
      </c>
      <c r="E20" s="33" t="n">
        <v>472</v>
      </c>
      <c r="F20" s="33" t="n">
        <v>551</v>
      </c>
      <c r="G20" s="33" t="n">
        <v>629</v>
      </c>
      <c r="H20" s="33" t="n">
        <v>706</v>
      </c>
    </row>
    <row r="21">
      <c r="B21" s="32" t="n">
        <v>0.7</v>
      </c>
      <c r="C21" s="33" t="n">
        <v>551</v>
      </c>
      <c r="D21" s="33" t="n">
        <v>655</v>
      </c>
      <c r="E21" s="33" t="n">
        <v>757</v>
      </c>
      <c r="F21" s="33" t="n">
        <v>859</v>
      </c>
      <c r="G21" s="33" t="n">
        <v>961</v>
      </c>
      <c r="H21" s="33" t="n">
        <v>1062</v>
      </c>
    </row>
    <row r="22">
      <c r="B22" s="32" t="n">
        <v>0.8</v>
      </c>
      <c r="C22" s="33" t="n">
        <v>845</v>
      </c>
      <c r="D22" s="33" t="n">
        <v>978</v>
      </c>
      <c r="E22" s="33" t="n">
        <v>1110</v>
      </c>
      <c r="F22" s="33" t="n">
        <v>1243</v>
      </c>
      <c r="G22" s="33" t="n">
        <v>1375</v>
      </c>
      <c r="H22" s="33" t="n">
        <v>1507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2026-03-02T01:58:30Z</dcterms:created>
  <dcterms:modified xsi:type="dcterms:W3CDTF">2026-03-02T01:58:30Z</dcterms:modified>
</cp:coreProperties>
</file>