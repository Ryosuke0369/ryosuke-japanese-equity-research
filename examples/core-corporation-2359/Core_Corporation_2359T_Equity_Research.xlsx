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4" autoFilterDateGrouping="1"/>
  </bookViews>
  <sheets>
    <sheet name="Executive Summary" sheetId="1" state="visible" r:id="rId1"/>
    <sheet name="Financial Statements" sheetId="2" state="visible" r:id="rId2"/>
    <sheet name="DCF Model" sheetId="3" state="visible" r:id="rId3"/>
    <sheet name="Comps Analysis" sheetId="4" state="visible" r:id="rId4"/>
    <sheet name="Sensitivity Analysis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9">
    <numFmt numFmtId="164" formatCode="#,##0;\(#,##0\)"/>
    <numFmt numFmtId="165" formatCode="0.0%;\(0.0%\)"/>
    <numFmt numFmtId="166" formatCode="0.000"/>
    <numFmt numFmtId="167" formatCode="0.00&quot;x&quot;"/>
    <numFmt numFmtId="168" formatCode="0.00%;\(0.00%\)"/>
    <numFmt numFmtId="169" formatCode="0.0000"/>
    <numFmt numFmtId="170" formatCode="0.00%;(0.00%)"/>
    <numFmt numFmtId="171" formatCode="0.0%;(0.0%)"/>
    <numFmt numFmtId="172" formatCode="#,##0;(#,##0)"/>
  </numFmts>
  <fonts count="20">
    <font>
      <name val="ＭＳ Ｐゴシック"/>
      <family val="2"/>
      <color theme="1"/>
      <sz val="11"/>
      <scheme val="minor"/>
    </font>
    <font>
      <name val="Arial"/>
      <i val="1"/>
      <color rgb="FF808080"/>
      <sz val="9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color rgb="FF0000CC"/>
      <sz val="10"/>
    </font>
    <font>
      <name val="Arial"/>
      <color rgb="FF000000"/>
      <sz val="10"/>
    </font>
    <font>
      <name val="Arial"/>
      <b val="1"/>
      <color rgb="FFFFFFFF"/>
      <sz val="11"/>
    </font>
    <font>
      <name val="Arial"/>
      <color rgb="FF006600"/>
      <sz val="10"/>
    </font>
    <font>
      <name val="ＭＳ Ｐゴシック"/>
      <charset val="128"/>
      <family val="3"/>
      <sz val="6"/>
      <scheme val="minor"/>
    </font>
    <font>
      <name val="Arial"/>
      <family val="2"/>
      <color rgb="FF0000CC"/>
      <sz val="10"/>
    </font>
    <font>
      <name val="Arial"/>
      <color rgb="FF000000"/>
      <sz val="10"/>
    </font>
    <font>
      <name val="Arial"/>
      <b val="1"/>
      <color rgb="FFFFFFFF"/>
      <sz val="11"/>
    </font>
    <font>
      <name val="Arial"/>
      <color rgb="FF0000CC"/>
      <sz val="10"/>
    </font>
    <font>
      <name val="Arial"/>
      <i val="1"/>
      <color rgb="FF808080"/>
      <sz val="9"/>
    </font>
    <font>
      <name val="Arial"/>
      <family val="2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CC"/>
      <sz val="10"/>
    </font>
    <font>
      <name val="Arial"/>
      <i val="1"/>
      <color rgb="00808080"/>
      <sz val="9"/>
    </font>
  </fonts>
  <fills count="10">
    <fill>
      <patternFill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3366"/>
        <bgColor rgb="FF003366"/>
      </patternFill>
    </fill>
    <fill>
      <patternFill patternType="solid">
        <fgColor rgb="FFFFFFCC"/>
        <bgColor rgb="FFFFFFCC"/>
      </patternFill>
    </fill>
    <fill>
      <patternFill patternType="solid">
        <fgColor rgb="FFE2EFDA"/>
        <bgColor rgb="FFE2EFDA"/>
      </patternFill>
    </fill>
    <fill>
      <patternFill patternType="solid">
        <fgColor rgb="FF003366"/>
        <bgColor rgb="FF003366"/>
      </patternFill>
    </fill>
    <fill>
      <patternFill patternType="solid">
        <fgColor rgb="FFFFFFCC"/>
        <bgColor rgb="FFFFFFCC"/>
      </patternFill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3" borderId="1" applyAlignment="1" pivotButton="0" quotePrefix="0" xfId="0">
      <alignment horizontal="center" wrapText="1"/>
    </xf>
    <xf numFmtId="164" fontId="8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8" fontId="6" fillId="0" borderId="0" pivotButton="0" quotePrefix="0" xfId="0"/>
    <xf numFmtId="0" fontId="5" fillId="4" borderId="0" pivotButton="0" quotePrefix="0" xfId="0"/>
    <xf numFmtId="165" fontId="6" fillId="2" borderId="0" pivotButton="0" quotePrefix="0" xfId="0"/>
    <xf numFmtId="169" fontId="6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164" fontId="6" fillId="0" borderId="2" pivotButton="0" quotePrefix="0" xfId="0"/>
    <xf numFmtId="0" fontId="7" fillId="3" borderId="0" applyAlignment="1" pivotButton="0" quotePrefix="0" xfId="0">
      <alignment horizontal="center"/>
    </xf>
    <xf numFmtId="165" fontId="5" fillId="4" borderId="0" pivotButton="0" quotePrefix="0" xfId="0"/>
    <xf numFmtId="164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5" fontId="10" fillId="4" borderId="0" pivotButton="0" quotePrefix="0" xfId="0"/>
    <xf numFmtId="165" fontId="10" fillId="0" borderId="0" pivotButton="0" quotePrefix="0" xfId="0"/>
    <xf numFmtId="168" fontId="11" fillId="0" borderId="0" pivotButton="0" quotePrefix="0" xfId="0"/>
    <xf numFmtId="167" fontId="11" fillId="0" borderId="0" pivotButton="0" quotePrefix="0" xfId="0"/>
    <xf numFmtId="0" fontId="12" fillId="6" borderId="3" applyAlignment="1" pivotButton="0" quotePrefix="0" xfId="0">
      <alignment horizontal="center" wrapText="1"/>
    </xf>
    <xf numFmtId="165" fontId="12" fillId="6" borderId="3" applyAlignment="1" pivotButton="0" quotePrefix="0" xfId="0">
      <alignment horizontal="center"/>
    </xf>
    <xf numFmtId="165" fontId="13" fillId="7" borderId="3" pivotButton="0" quotePrefix="0" xfId="0"/>
    <xf numFmtId="164" fontId="11" fillId="0" borderId="3" pivotButton="0" quotePrefix="0" xfId="0"/>
    <xf numFmtId="167" fontId="12" fillId="6" borderId="3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165" fontId="10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6" fillId="0" borderId="0" pivotButton="0" quotePrefix="0" xfId="0"/>
    <xf numFmtId="165" fontId="6" fillId="2" borderId="0" pivotButton="0" quotePrefix="0" xfId="0"/>
    <xf numFmtId="169" fontId="6" fillId="0" borderId="0" pivotButton="0" quotePrefix="0" xfId="0"/>
    <xf numFmtId="164" fontId="6" fillId="0" borderId="2" pivotButton="0" quotePrefix="0" xfId="0"/>
    <xf numFmtId="165" fontId="5" fillId="4" borderId="0" pivotButton="0" quotePrefix="0" xfId="0"/>
    <xf numFmtId="165" fontId="10" fillId="4" borderId="0" pivotButton="0" quotePrefix="0" xfId="0"/>
    <xf numFmtId="164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70" fontId="16" fillId="0" borderId="0" pivotButton="0" quotePrefix="0" xfId="0"/>
    <xf numFmtId="167" fontId="16" fillId="0" borderId="0" pivotButton="0" quotePrefix="0" xfId="0"/>
    <xf numFmtId="0" fontId="17" fillId="8" borderId="4" applyAlignment="1" pivotButton="0" quotePrefix="0" xfId="0">
      <alignment horizontal="center" wrapText="1"/>
    </xf>
    <xf numFmtId="171" fontId="17" fillId="8" borderId="4" applyAlignment="1" pivotButton="0" quotePrefix="0" xfId="0">
      <alignment horizontal="center"/>
    </xf>
    <xf numFmtId="171" fontId="18" fillId="9" borderId="4" pivotButton="0" quotePrefix="0" xfId="0"/>
    <xf numFmtId="172" fontId="16" fillId="0" borderId="4" pivotButton="0" quotePrefix="0" xfId="0"/>
    <xf numFmtId="167" fontId="17" fillId="8" borderId="4" applyAlignment="1" pivotButton="0" quotePrefix="0" xfId="0">
      <alignment horizontal="center"/>
    </xf>
    <xf numFmtId="0" fontId="19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3366"/>
    <outlinePr summaryBelow="1" summaryRight="1"/>
    <pageSetUpPr/>
  </sheetPr>
  <dimension ref="B1:E31"/>
  <sheetViews>
    <sheetView topLeftCell="A3" zoomScale="86" workbookViewId="0">
      <selection activeCell="E13" sqref="E13"/>
    </sheetView>
  </sheetViews>
  <sheetFormatPr baseColWidth="8" defaultRowHeight="13"/>
  <cols>
    <col width="3" customWidth="1" style="41" min="1" max="1"/>
    <col width="30" customWidth="1" style="41" min="2" max="2"/>
    <col width="22" customWidth="1" style="41" min="3" max="5"/>
  </cols>
  <sheetData>
    <row r="1" ht="14" customHeight="1" s="41">
      <c r="B1" s="42" t="inlineStr">
        <is>
          <t>DISCLAIMER: This is a sample analysis for demonstration purposes only. It does not constitute investment advice.</t>
        </is>
      </c>
    </row>
    <row r="3" ht="18" customHeight="1" s="41">
      <c r="B3" s="40" t="inlineStr">
        <is>
          <t>Core Corporation (2359.T)</t>
        </is>
      </c>
    </row>
    <row r="4" ht="14" customHeight="1" s="41">
      <c r="B4" s="2" t="inlineStr">
        <is>
          <t>Equity Research Report</t>
        </is>
      </c>
    </row>
    <row r="6" ht="14" customHeight="1" s="41">
      <c r="B6" s="3" t="inlineStr">
        <is>
          <t>Company</t>
        </is>
      </c>
      <c r="C6" t="inlineStr">
        <is>
          <t>Core Corporation</t>
        </is>
      </c>
    </row>
    <row r="7" ht="14" customHeight="1" s="41">
      <c r="B7" s="3" t="inlineStr">
        <is>
          <t>Ticker</t>
        </is>
      </c>
      <c r="C7" t="inlineStr">
        <is>
          <t>2359.T (TSE Prime)</t>
        </is>
      </c>
    </row>
    <row r="8" ht="14" customHeight="1" s="41">
      <c r="B8" s="3" t="inlineStr">
        <is>
          <t>Sector</t>
        </is>
      </c>
      <c r="C8" t="inlineStr">
        <is>
          <t>Information &amp; Communication</t>
        </is>
      </c>
    </row>
    <row r="9" ht="14" customHeight="1" s="41">
      <c r="B9" s="3" t="inlineStr">
        <is>
          <t>Current Price</t>
        </is>
      </c>
      <c r="C9" s="45" t="n">
        <v>2230</v>
      </c>
    </row>
    <row r="10" ht="14" customHeight="1" s="41">
      <c r="B10" s="3" t="inlineStr">
        <is>
          <t>Target Price (Mid)</t>
        </is>
      </c>
      <c r="C10" s="46">
        <f>ROUND(AVERAGE(C16:C18),0)</f>
        <v/>
      </c>
    </row>
    <row r="11" ht="14" customHeight="1" s="41">
      <c r="B11" s="3" t="inlineStr">
        <is>
          <t>Recommendation</t>
        </is>
      </c>
      <c r="C11" s="6">
        <f>IF(C12&gt;0.15,"BUY",IF(C12&gt;0.05,"HOLD","SELL"))</f>
        <v/>
      </c>
    </row>
    <row r="12" ht="14" customHeight="1" s="41">
      <c r="B12" s="3" t="inlineStr">
        <is>
          <t>Upside / Downside</t>
        </is>
      </c>
      <c r="C12" s="47">
        <f>(C10-C9)/C9</f>
        <v/>
      </c>
    </row>
    <row r="14" ht="14" customHeight="1" s="41">
      <c r="B14" s="8" t="inlineStr">
        <is>
          <t>Valuation Summary</t>
        </is>
      </c>
      <c r="C14" s="9" t="n"/>
      <c r="D14" s="9" t="n"/>
    </row>
    <row r="15" ht="14" customHeight="1" s="41">
      <c r="B15" s="10" t="inlineStr">
        <is>
          <t>Methodology</t>
        </is>
      </c>
      <c r="C15" s="10" t="inlineStr">
        <is>
          <t>Implied Value (JPY)</t>
        </is>
      </c>
      <c r="D15" s="10" t="inlineStr">
        <is>
          <t>vs Current Price</t>
        </is>
      </c>
    </row>
    <row r="16" ht="13.5" customHeight="1" s="41">
      <c r="B16" t="inlineStr">
        <is>
          <t>DCF - Perpetuity Growth</t>
        </is>
      </c>
      <c r="C16" s="48">
        <f>'DCF Model'!C55</f>
        <v/>
      </c>
      <c r="D16" s="47">
        <f>(C16-C9)/C9</f>
        <v/>
      </c>
    </row>
    <row r="17" ht="13.5" customHeight="1" s="41">
      <c r="B17" t="inlineStr">
        <is>
          <t>DCF - Exit Multiple</t>
        </is>
      </c>
      <c r="C17" s="48">
        <f>'DCF Model'!C64</f>
        <v/>
      </c>
      <c r="D17" s="47">
        <f>(C17-C9)/C9</f>
        <v/>
      </c>
    </row>
    <row r="18" ht="13.5" customHeight="1" s="41">
      <c r="B18" t="inlineStr">
        <is>
          <t>Comps - EV/EBITDA Median</t>
        </is>
      </c>
      <c r="C18" s="48">
        <f>'Comps Analysis'!C27</f>
        <v/>
      </c>
      <c r="D18" s="47">
        <f>(C18-C9)/C9</f>
        <v/>
      </c>
    </row>
    <row r="19" ht="13.5" customHeight="1" s="41">
      <c r="B19" t="inlineStr">
        <is>
          <t>Comps - PER Median</t>
        </is>
      </c>
      <c r="C19" s="48">
        <f>'Comps Analysis'!C28</f>
        <v/>
      </c>
      <c r="D19" s="47">
        <f>(C19-C9)/C9</f>
        <v/>
      </c>
    </row>
    <row r="21" ht="14" customHeight="1" s="41">
      <c r="B21" s="3" t="inlineStr">
        <is>
          <t>Integrated Valuation Range</t>
        </is>
      </c>
      <c r="C21" s="6">
        <f>MIN(C16:C19)&amp;" - "&amp;MAX(C16:C19)</f>
        <v/>
      </c>
    </row>
    <row r="23" ht="14" customHeight="1" s="41">
      <c r="B23" s="8" t="inlineStr">
        <is>
          <t>Key Investment Thesis</t>
        </is>
      </c>
      <c r="C23" s="9" t="n"/>
      <c r="D23" s="9" t="n"/>
    </row>
    <row r="24">
      <c r="B24" t="inlineStr">
        <is>
          <t>1. Stable IT services business with consistent revenue growth</t>
        </is>
      </c>
    </row>
    <row r="25">
      <c r="B25" t="inlineStr">
        <is>
          <t>2. Strong net cash position (JPY 10.5bn) providing downside protection</t>
        </is>
      </c>
    </row>
    <row r="26">
      <c r="B26" t="inlineStr">
        <is>
          <t>3. Expanding margins through operational efficiency improvements</t>
        </is>
      </c>
    </row>
    <row r="28" ht="14" customHeight="1" s="41">
      <c r="B28" s="8" t="inlineStr">
        <is>
          <t>Key Risks</t>
        </is>
      </c>
      <c r="C28" s="9" t="n"/>
      <c r="D28" s="9" t="n"/>
    </row>
    <row r="29">
      <c r="B29" t="inlineStr">
        <is>
          <t>1. Mature domestic IT services market with limited upside surprise</t>
        </is>
      </c>
    </row>
    <row r="30">
      <c r="B30" t="inlineStr">
        <is>
          <t>2. Labor shortage in Japan's IT sector could pressure margins</t>
        </is>
      </c>
    </row>
    <row r="31">
      <c r="B31" t="inlineStr">
        <is>
          <t>3. Low growth profile limits re-rating potential</t>
        </is>
      </c>
    </row>
  </sheetData>
  <mergeCells count="2">
    <mergeCell ref="B3:D3"/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3366"/>
    <outlinePr summaryBelow="1" summaryRight="1"/>
    <pageSetUpPr/>
  </sheetPr>
  <dimension ref="B2:G28"/>
  <sheetViews>
    <sheetView workbookViewId="0">
      <selection activeCell="A1" sqref="A1"/>
    </sheetView>
  </sheetViews>
  <sheetFormatPr baseColWidth="8" defaultRowHeight="13"/>
  <cols>
    <col width="3" customWidth="1" style="41" min="1" max="1"/>
    <col width="32" customWidth="1" style="41" min="2" max="2"/>
    <col width="18" customWidth="1" style="41" min="3" max="7"/>
  </cols>
  <sheetData>
    <row r="2" ht="18" customHeight="1" s="41">
      <c r="B2" s="40" t="inlineStr">
        <is>
          <t>Core Corporation - Historical Financials (JPY mn)</t>
        </is>
      </c>
    </row>
    <row r="4" ht="14" customHeight="1" s="41">
      <c r="C4" s="10" t="inlineStr">
        <is>
          <t>FY2020</t>
        </is>
      </c>
      <c r="D4" s="10" t="inlineStr">
        <is>
          <t>FY2021</t>
        </is>
      </c>
      <c r="E4" s="10" t="inlineStr">
        <is>
          <t>FY2022</t>
        </is>
      </c>
      <c r="F4" s="10" t="inlineStr">
        <is>
          <t>FY2023</t>
        </is>
      </c>
      <c r="G4" s="10" t="inlineStr">
        <is>
          <t>FY2024E</t>
        </is>
      </c>
    </row>
    <row r="5" ht="14" customHeight="1" s="41">
      <c r="B5" s="2" t="inlineStr">
        <is>
          <t>Income Statement</t>
        </is>
      </c>
    </row>
    <row r="6" ht="14" customHeight="1" s="41">
      <c r="B6" s="3" t="inlineStr">
        <is>
          <t>Revenue</t>
        </is>
      </c>
      <c r="C6" s="45" t="n">
        <v>20904</v>
      </c>
      <c r="D6" s="45" t="n">
        <v>21919</v>
      </c>
      <c r="E6" s="45" t="n">
        <v>22534</v>
      </c>
      <c r="F6" s="45" t="n">
        <v>23554</v>
      </c>
      <c r="G6" s="45" t="n">
        <v>24500</v>
      </c>
    </row>
    <row r="7" ht="14" customHeight="1" s="41">
      <c r="B7" s="3" t="inlineStr">
        <is>
          <t>COGS</t>
        </is>
      </c>
      <c r="C7" s="45" t="n">
        <v>16570</v>
      </c>
      <c r="D7" s="45" t="n">
        <v>17290</v>
      </c>
      <c r="E7" s="45" t="n">
        <v>17578</v>
      </c>
      <c r="F7" s="45" t="n">
        <v>18378</v>
      </c>
      <c r="G7" s="45" t="n">
        <v>19110</v>
      </c>
    </row>
    <row r="8" ht="14" customHeight="1" s="41">
      <c r="B8" s="3" t="inlineStr">
        <is>
          <t>Gross Profit</t>
        </is>
      </c>
      <c r="C8" s="46">
        <f>C6-C7</f>
        <v/>
      </c>
      <c r="D8" s="46">
        <f>D6-D7</f>
        <v/>
      </c>
      <c r="E8" s="46">
        <f>E6-E7</f>
        <v/>
      </c>
      <c r="F8" s="46">
        <f>F6-F7</f>
        <v/>
      </c>
      <c r="G8" s="46">
        <f>G6-G7</f>
        <v/>
      </c>
    </row>
    <row r="9" ht="13.5" customHeight="1" s="41">
      <c r="B9" t="inlineStr">
        <is>
          <t>Gross Margin</t>
        </is>
      </c>
      <c r="C9" s="47">
        <f>C8/C6</f>
        <v/>
      </c>
      <c r="D9" s="47">
        <f>D8/D6</f>
        <v/>
      </c>
      <c r="E9" s="47">
        <f>E8/E6</f>
        <v/>
      </c>
      <c r="F9" s="47">
        <f>F8/F6</f>
        <v/>
      </c>
      <c r="G9" s="47">
        <f>G8/G6</f>
        <v/>
      </c>
    </row>
    <row r="10" ht="14" customHeight="1" s="41">
      <c r="B10" s="3" t="inlineStr">
        <is>
          <t>SGA</t>
        </is>
      </c>
      <c r="C10" s="45" t="n">
        <v>2525</v>
      </c>
      <c r="D10" s="45" t="n">
        <v>2649</v>
      </c>
      <c r="E10" s="45" t="n">
        <v>2816</v>
      </c>
      <c r="F10" s="45" t="n">
        <v>2981</v>
      </c>
      <c r="G10" s="45" t="n">
        <v>3100</v>
      </c>
    </row>
    <row r="11" ht="14" customHeight="1" s="41">
      <c r="B11" s="3" t="inlineStr">
        <is>
          <t>Operating Income</t>
        </is>
      </c>
      <c r="C11" s="45" t="n">
        <v>1808</v>
      </c>
      <c r="D11" s="45" t="n">
        <v>1979</v>
      </c>
      <c r="E11" s="45" t="n">
        <v>2139</v>
      </c>
      <c r="F11" s="45" t="n">
        <v>2194</v>
      </c>
      <c r="G11" s="45" t="n">
        <v>2290</v>
      </c>
    </row>
    <row r="12" ht="14" customHeight="1" s="41">
      <c r="B12" s="3" t="inlineStr">
        <is>
          <t>Net Income</t>
        </is>
      </c>
      <c r="C12" s="45" t="n">
        <v>1186</v>
      </c>
      <c r="D12" s="45" t="n">
        <v>1284</v>
      </c>
      <c r="E12" s="45" t="n">
        <v>1515</v>
      </c>
      <c r="F12" s="45" t="n">
        <v>1488</v>
      </c>
      <c r="G12" s="45" t="n">
        <v>1550</v>
      </c>
    </row>
    <row r="13" ht="13.5" customHeight="1" s="41">
      <c r="B13" t="inlineStr">
        <is>
          <t>Operating Margin</t>
        </is>
      </c>
      <c r="C13" s="47">
        <f>C11/C6</f>
        <v/>
      </c>
      <c r="D13" s="47">
        <f>D11/D6</f>
        <v/>
      </c>
      <c r="E13" s="47">
        <f>E11/E6</f>
        <v/>
      </c>
      <c r="F13" s="47">
        <f>F11/F6</f>
        <v/>
      </c>
      <c r="G13" s="47">
        <f>G11/G6</f>
        <v/>
      </c>
    </row>
    <row r="14" ht="13.5" customHeight="1" s="41">
      <c r="B14" t="inlineStr">
        <is>
          <t>Net Margin</t>
        </is>
      </c>
      <c r="C14" s="47">
        <f>C12/C6</f>
        <v/>
      </c>
      <c r="D14" s="47">
        <f>D12/D6</f>
        <v/>
      </c>
      <c r="E14" s="47">
        <f>E12/E6</f>
        <v/>
      </c>
      <c r="F14" s="47">
        <f>F12/F6</f>
        <v/>
      </c>
      <c r="G14" s="47">
        <f>G12/G6</f>
        <v/>
      </c>
    </row>
    <row r="15" ht="13.5" customHeight="1" s="41">
      <c r="B15" t="inlineStr">
        <is>
          <t>Revenue Growth (YoY)</t>
        </is>
      </c>
      <c r="C15" t="inlineStr">
        <is>
          <t>n/a</t>
        </is>
      </c>
      <c r="D15" s="47">
        <f>(D6-C6)/C6</f>
        <v/>
      </c>
      <c r="E15" s="47">
        <f>(E6-D6)/D6</f>
        <v/>
      </c>
      <c r="F15" s="47">
        <f>(F6-E6)/E6</f>
        <v/>
      </c>
      <c r="G15" s="47">
        <f>(G6-F6)/F6</f>
        <v/>
      </c>
    </row>
    <row r="16" ht="13.5" customHeight="1" s="41">
      <c r="B16" t="inlineStr">
        <is>
          <t>Operating Income Growth (YoY)</t>
        </is>
      </c>
      <c r="C16" t="inlineStr">
        <is>
          <t>n/a</t>
        </is>
      </c>
      <c r="D16" s="47">
        <f>(D11-C11)/C11</f>
        <v/>
      </c>
      <c r="E16" s="47">
        <f>(E11-D11)/D11</f>
        <v/>
      </c>
      <c r="F16" s="47">
        <f>(F11-E11)/E11</f>
        <v/>
      </c>
      <c r="G16" s="47">
        <f>(G11-F11)/F11</f>
        <v/>
      </c>
    </row>
    <row r="18" ht="14" customHeight="1" s="41">
      <c r="B18" s="2" t="inlineStr">
        <is>
          <t>Cash Flow Statement</t>
        </is>
      </c>
    </row>
    <row r="19" ht="14" customHeight="1" s="41">
      <c r="B19" s="3" t="inlineStr">
        <is>
          <t>Operating Cash Flow</t>
        </is>
      </c>
      <c r="C19" s="45" t="n">
        <v>1323</v>
      </c>
      <c r="D19" s="45" t="n">
        <v>2118</v>
      </c>
      <c r="E19" s="45" t="n">
        <v>1172</v>
      </c>
      <c r="F19" s="45" t="n">
        <v>2302</v>
      </c>
      <c r="G19" s="45" t="n">
        <v>2000</v>
      </c>
    </row>
    <row r="20" ht="14" customHeight="1" s="41">
      <c r="B20" s="3" t="inlineStr">
        <is>
          <t>Capex</t>
        </is>
      </c>
      <c r="C20" s="45" t="n">
        <v>151</v>
      </c>
      <c r="D20" s="45" t="n">
        <v>144</v>
      </c>
      <c r="E20" s="45" t="n">
        <v>202</v>
      </c>
      <c r="F20" s="45" t="n">
        <v>107</v>
      </c>
      <c r="G20" s="45" t="n">
        <v>150</v>
      </c>
    </row>
    <row r="21" ht="14" customHeight="1" s="41">
      <c r="B21" s="3" t="inlineStr">
        <is>
          <t>Free Cash Flow</t>
        </is>
      </c>
      <c r="C21" s="46">
        <f>C19-C20</f>
        <v/>
      </c>
      <c r="D21" s="46">
        <f>D19-D20</f>
        <v/>
      </c>
      <c r="E21" s="46">
        <f>E19-E20</f>
        <v/>
      </c>
      <c r="F21" s="46">
        <f>F19-F20</f>
        <v/>
      </c>
      <c r="G21" s="46">
        <f>G19-G20</f>
        <v/>
      </c>
    </row>
    <row r="22" ht="13.5" customHeight="1" s="41">
      <c r="B22" t="inlineStr">
        <is>
          <t>FCF Margin</t>
        </is>
      </c>
      <c r="C22" s="47">
        <f>C21/C6</f>
        <v/>
      </c>
      <c r="D22" s="47">
        <f>D21/D6</f>
        <v/>
      </c>
      <c r="E22" s="47">
        <f>E21/E6</f>
        <v/>
      </c>
      <c r="F22" s="47">
        <f>F21/F6</f>
        <v/>
      </c>
      <c r="G22" s="47">
        <f>G21/G6</f>
        <v/>
      </c>
    </row>
    <row r="23" ht="13.5" customHeight="1" s="41">
      <c r="B23" t="inlineStr">
        <is>
          <t>Capex / Revenue</t>
        </is>
      </c>
      <c r="C23" s="47">
        <f>C20/C6</f>
        <v/>
      </c>
      <c r="D23" s="47">
        <f>D20/D6</f>
        <v/>
      </c>
      <c r="E23" s="47">
        <f>E20/E6</f>
        <v/>
      </c>
      <c r="F23" s="47">
        <f>F20/F6</f>
        <v/>
      </c>
      <c r="G23" s="47">
        <f>G20/G6</f>
        <v/>
      </c>
    </row>
    <row r="25" ht="14" customHeight="1" s="41">
      <c r="B25" s="2" t="inlineStr">
        <is>
          <t>Balance Sheet Highlights</t>
        </is>
      </c>
    </row>
    <row r="26" ht="14" customHeight="1" s="41">
      <c r="B26" s="3" t="inlineStr">
        <is>
          <t>Cash &amp; Deposits</t>
        </is>
      </c>
      <c r="C26" s="45" t="n">
        <v>7703</v>
      </c>
      <c r="D26" s="45" t="n">
        <v>9089</v>
      </c>
      <c r="E26" s="45" t="n">
        <v>9370</v>
      </c>
      <c r="F26" s="45" t="n">
        <v>10260</v>
      </c>
      <c r="G26" s="45" t="n">
        <v>10500</v>
      </c>
    </row>
    <row r="27" ht="14" customHeight="1" s="41">
      <c r="B27" s="3" t="inlineStr">
        <is>
          <t>Short-term Debt</t>
        </is>
      </c>
      <c r="C27" s="45" t="n">
        <v>38</v>
      </c>
      <c r="D27" s="45" t="n">
        <v>30</v>
      </c>
      <c r="E27" s="45" t="n">
        <v>8</v>
      </c>
      <c r="F27" s="45" t="n">
        <v>3</v>
      </c>
      <c r="G27" s="45" t="n">
        <v>0</v>
      </c>
    </row>
    <row r="28" ht="14" customHeight="1" s="41">
      <c r="B28" s="3" t="inlineStr">
        <is>
          <t>Net Debt (Cash)</t>
        </is>
      </c>
      <c r="C28" s="46">
        <f>C27-C26</f>
        <v/>
      </c>
      <c r="D28" s="46">
        <f>D27-D26</f>
        <v/>
      </c>
      <c r="E28" s="46">
        <f>E27-E26</f>
        <v/>
      </c>
      <c r="F28" s="46">
        <f>F27-F26</f>
        <v/>
      </c>
      <c r="G28" s="46">
        <f>G27-G26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600"/>
    <outlinePr summaryBelow="1" summaryRight="1"/>
    <pageSetUpPr/>
  </sheetPr>
  <dimension ref="B2:G94"/>
  <sheetViews>
    <sheetView topLeftCell="A29" zoomScale="59" workbookViewId="0">
      <selection activeCell="C14" sqref="C14"/>
    </sheetView>
  </sheetViews>
  <sheetFormatPr baseColWidth="8" defaultRowHeight="13"/>
  <cols>
    <col width="3" customWidth="1" style="41" min="1" max="1"/>
    <col width="32" customWidth="1" style="41" min="2" max="2"/>
    <col width="16" customWidth="1" style="41" min="3" max="7"/>
  </cols>
  <sheetData>
    <row r="2" ht="18" customHeight="1" s="41">
      <c r="B2" s="40" t="inlineStr">
        <is>
          <t>DCF Valuation Model - Core Corporation</t>
        </is>
      </c>
    </row>
    <row r="4" ht="14" customHeight="1" s="41">
      <c r="B4" s="8" t="inlineStr">
        <is>
          <t>Assumptions</t>
        </is>
      </c>
      <c r="C4" s="9" t="n"/>
      <c r="D4" s="9" t="n"/>
      <c r="E4" s="9" t="n"/>
      <c r="F4" s="9" t="n"/>
      <c r="G4" s="9" t="n"/>
    </row>
    <row r="5" ht="14" customHeight="1" s="41">
      <c r="B5" s="3" t="inlineStr">
        <is>
          <t>Capex / Revenue</t>
        </is>
      </c>
      <c r="C5" s="49" t="n">
        <v>0.01</v>
      </c>
    </row>
    <row r="6" ht="14" customHeight="1" s="41">
      <c r="B6" s="3" t="inlineStr">
        <is>
          <t>Effective Tax Rate</t>
        </is>
      </c>
      <c r="C6" s="49" t="n">
        <v>0.306</v>
      </c>
    </row>
    <row r="7" ht="14" customHeight="1" s="41">
      <c r="B7" s="3" t="inlineStr">
        <is>
          <t>Risk-Free Rate</t>
        </is>
      </c>
      <c r="C7" s="50" t="n">
        <v>0.022</v>
      </c>
    </row>
    <row r="8" ht="14" customHeight="1" s="41">
      <c r="B8" s="3" t="inlineStr">
        <is>
          <t>Beta</t>
        </is>
      </c>
      <c r="C8" s="13" t="n">
        <v>0.88</v>
      </c>
    </row>
    <row r="9" ht="14" customHeight="1" s="41">
      <c r="B9" s="3" t="inlineStr">
        <is>
          <t>Equity Risk Premium</t>
        </is>
      </c>
      <c r="C9" s="49" t="n">
        <v>0.06</v>
      </c>
    </row>
    <row r="10" ht="14" customHeight="1" s="41">
      <c r="B10" s="3" t="inlineStr">
        <is>
          <t>Size Premium</t>
        </is>
      </c>
      <c r="C10" s="49" t="n">
        <v>0.04</v>
      </c>
    </row>
    <row r="11" ht="14" customHeight="1" s="41">
      <c r="B11" s="3" t="inlineStr">
        <is>
          <t>After-tax Cost of Debt</t>
        </is>
      </c>
      <c r="C11" s="49" t="n">
        <v>0.01</v>
      </c>
    </row>
    <row r="12" ht="14" customHeight="1" s="41">
      <c r="B12" s="3" t="inlineStr">
        <is>
          <t>D/E Ratio</t>
        </is>
      </c>
      <c r="C12" s="51" t="n">
        <v>0.05</v>
      </c>
    </row>
    <row r="13" ht="14" customHeight="1" s="41">
      <c r="B13" s="3" t="inlineStr">
        <is>
          <t>Terminal Growth Rate</t>
        </is>
      </c>
      <c r="C13" s="49" t="n">
        <v>0.01</v>
      </c>
    </row>
    <row r="14" ht="14" customHeight="1" s="41">
      <c r="B14" s="3" t="inlineStr">
        <is>
          <t>Exit Multiple (EV/EBITDA)</t>
        </is>
      </c>
      <c r="C14" s="52" t="n">
        <v>9.300000000000001</v>
      </c>
    </row>
    <row r="15" ht="14" customHeight="1" s="41">
      <c r="B15" s="3" t="inlineStr">
        <is>
          <t>Fully Diluted Shares</t>
        </is>
      </c>
      <c r="C15" s="16" t="n">
        <v>14368501</v>
      </c>
    </row>
    <row r="16" ht="14" customHeight="1" s="41">
      <c r="B16" s="3" t="inlineStr">
        <is>
          <t>Net Debt (JPY mn)</t>
        </is>
      </c>
      <c r="C16" s="45" t="n">
        <v>-10257</v>
      </c>
    </row>
    <row r="17" ht="14" customHeight="1" s="41">
      <c r="B17" s="3" t="inlineStr">
        <is>
          <t>Base Year Revenue (JPY mn)</t>
        </is>
      </c>
      <c r="C17" s="45" t="n">
        <v>24500</v>
      </c>
    </row>
    <row r="18" ht="14" customHeight="1" s="41">
      <c r="B18" s="3" t="inlineStr">
        <is>
          <t>D&amp;A / Revenue</t>
        </is>
      </c>
      <c r="C18" s="49" t="n">
        <v>0.01</v>
      </c>
    </row>
    <row r="19" ht="14" customHeight="1" s="41">
      <c r="B19" s="3" t="inlineStr">
        <is>
          <t>Base Year NWC (JPY mn)</t>
        </is>
      </c>
      <c r="C19" s="45" t="n">
        <v>2450</v>
      </c>
    </row>
    <row r="20" ht="14" customHeight="1" s="41">
      <c r="B20" s="8" t="inlineStr">
        <is>
          <t>WACC Calculation</t>
        </is>
      </c>
      <c r="C20" s="9" t="n"/>
      <c r="D20" s="9" t="n"/>
      <c r="E20" s="9" t="n"/>
      <c r="F20" s="9" t="n"/>
      <c r="G20" s="9" t="n"/>
    </row>
    <row r="21" ht="14" customHeight="1" s="41">
      <c r="B21" s="3" t="inlineStr">
        <is>
          <t>Cost of Equity (Ke)</t>
        </is>
      </c>
      <c r="C21" s="53">
        <f>C7+C8*C9+C10</f>
        <v/>
      </c>
    </row>
    <row r="22" ht="14" customHeight="1" s="41">
      <c r="B22" s="3" t="inlineStr">
        <is>
          <t>Weight of Equity</t>
        </is>
      </c>
      <c r="C22" s="53">
        <f>1/(1+C12)</f>
        <v/>
      </c>
    </row>
    <row r="23" ht="14" customHeight="1" s="41">
      <c r="B23" s="3" t="inlineStr">
        <is>
          <t>Weight of Debt</t>
        </is>
      </c>
      <c r="C23" s="53">
        <f>C12/(1+C12)</f>
        <v/>
      </c>
    </row>
    <row r="24" ht="14" customHeight="1" s="41">
      <c r="B24" s="3" t="inlineStr">
        <is>
          <t>WACC</t>
        </is>
      </c>
      <c r="C24" s="53">
        <f>C21*C22+C11*C23</f>
        <v/>
      </c>
    </row>
    <row r="25" ht="14" customHeight="1" s="41">
      <c r="B25" s="3" t="inlineStr">
        <is>
          <t>Active Scenario</t>
        </is>
      </c>
      <c r="C25" s="18" t="inlineStr">
        <is>
          <t>Base</t>
        </is>
      </c>
      <c r="D25" s="6">
        <f>MATCH(C25,B69:B73,0)</f>
        <v/>
      </c>
    </row>
    <row r="26" ht="14" customHeight="1" s="41">
      <c r="B26" s="8" t="inlineStr">
        <is>
          <t>Projected Free Cash Flow</t>
        </is>
      </c>
      <c r="C26" s="9" t="n"/>
      <c r="D26" s="9" t="n"/>
      <c r="E26" s="9" t="n"/>
      <c r="F26" s="9" t="n"/>
      <c r="G26" s="9" t="n"/>
    </row>
    <row r="27" ht="14" customHeight="1" s="41">
      <c r="C27" s="10" t="inlineStr">
        <is>
          <t>Year 1</t>
        </is>
      </c>
      <c r="D27" s="10" t="inlineStr">
        <is>
          <t>Year 2</t>
        </is>
      </c>
      <c r="E27" s="10" t="inlineStr">
        <is>
          <t>Year 3</t>
        </is>
      </c>
      <c r="F27" s="10" t="inlineStr">
        <is>
          <t>Year 4</t>
        </is>
      </c>
      <c r="G27" s="10" t="inlineStr">
        <is>
          <t>Year 5</t>
        </is>
      </c>
    </row>
    <row r="28" ht="14" customHeight="1" s="41">
      <c r="B28" s="3" t="inlineStr">
        <is>
          <t>Revenue Growth (YoY)</t>
        </is>
      </c>
      <c r="C28" s="54">
        <f>CHOOSE($D$25,C69,C70,C71,C72,C73)</f>
        <v/>
      </c>
      <c r="D28" s="54">
        <f>CHOOSE($D$25,D69,D70,D71,D72,D73)</f>
        <v/>
      </c>
      <c r="E28" s="54">
        <f>CHOOSE($D$25,E69,E70,E71,E72,E73)</f>
        <v/>
      </c>
      <c r="F28" s="54">
        <f>CHOOSE($D$25,F69,F70,F71,F72,F73)</f>
        <v/>
      </c>
      <c r="G28" s="54">
        <f>CHOOSE($D$25,G69,G70,G71,G72,G73)</f>
        <v/>
      </c>
    </row>
    <row r="29" ht="14" customHeight="1" s="41">
      <c r="B29" s="3" t="inlineStr">
        <is>
          <t>COGS % of Revenue</t>
        </is>
      </c>
      <c r="C29" s="54">
        <f>CHOOSE($D$25,C76,C77,C78,C79,C80)</f>
        <v/>
      </c>
      <c r="D29" s="54">
        <f>CHOOSE($D$25,D76,D77,D78,D79,D80)</f>
        <v/>
      </c>
      <c r="E29" s="54">
        <f>CHOOSE($D$25,E76,E77,E78,E79,E80)</f>
        <v/>
      </c>
      <c r="F29" s="54">
        <f>CHOOSE($D$25,F76,F77,F78,F79,F80)</f>
        <v/>
      </c>
      <c r="G29" s="54">
        <f>CHOOSE($D$25,G76,G77,G78,G79,G80)</f>
        <v/>
      </c>
    </row>
    <row r="30" ht="14" customHeight="1" s="41">
      <c r="B30" s="3" t="inlineStr">
        <is>
          <t>SGA Expense</t>
        </is>
      </c>
      <c r="C30" s="54">
        <f>CHOOSE($D$25,C83,C84,C85,C86,C87)</f>
        <v/>
      </c>
      <c r="D30" s="54">
        <f>CHOOSE($D$25,D83,D84,D85,D86,D87)</f>
        <v/>
      </c>
      <c r="E30" s="54">
        <f>CHOOSE($D$25,E83,E84,E85,E86,E87)</f>
        <v/>
      </c>
      <c r="F30" s="54">
        <f>CHOOSE($D$25,F83,F84,F85,F86,F87)</f>
        <v/>
      </c>
      <c r="G30" s="54">
        <f>CHOOSE($D$25,G83,G84,G85,G86,G87)</f>
        <v/>
      </c>
    </row>
    <row r="31" ht="14" customHeight="1" s="41">
      <c r="B31" s="3" t="inlineStr">
        <is>
          <t>NWC % of Revenue</t>
        </is>
      </c>
      <c r="C31" s="54">
        <f>CHOOSE($D$25,C90,C91,C92,C93,C94)</f>
        <v/>
      </c>
      <c r="D31" s="54">
        <f>CHOOSE($D$25,D90,D91,D92,D93,D94)</f>
        <v/>
      </c>
      <c r="E31" s="54">
        <f>CHOOSE($D$25,E90,E91,E92,E93,E94)</f>
        <v/>
      </c>
      <c r="F31" s="54">
        <f>CHOOSE($D$25,F90,F91,F92,F93,F94)</f>
        <v/>
      </c>
      <c r="G31" s="54">
        <f>CHOOSE($D$25,G90,G91,G92,G93,G94)</f>
        <v/>
      </c>
    </row>
    <row r="32" ht="14" customHeight="1" s="41">
      <c r="B32" s="3" t="inlineStr">
        <is>
          <t>Revenue</t>
        </is>
      </c>
      <c r="C32" s="46">
        <f>C17*(1+C28)</f>
        <v/>
      </c>
      <c r="D32" s="46">
        <f>C32*(1+D28)</f>
        <v/>
      </c>
      <c r="E32" s="46">
        <f>D32*(1+E28)</f>
        <v/>
      </c>
      <c r="F32" s="46">
        <f>E32*(1+F28)</f>
        <v/>
      </c>
      <c r="G32" s="46">
        <f>F32*(1+G28)</f>
        <v/>
      </c>
    </row>
    <row r="33" ht="14" customHeight="1" s="41">
      <c r="B33" s="3" t="inlineStr">
        <is>
          <t>COGS</t>
        </is>
      </c>
      <c r="C33" s="46">
        <f>C32*C29</f>
        <v/>
      </c>
      <c r="D33" s="46">
        <f>D32*D29</f>
        <v/>
      </c>
      <c r="E33" s="46">
        <f>E32*E29</f>
        <v/>
      </c>
      <c r="F33" s="46">
        <f>F32*F29</f>
        <v/>
      </c>
      <c r="G33" s="46">
        <f>G32*G29</f>
        <v/>
      </c>
    </row>
    <row r="34" ht="14" customHeight="1" s="41">
      <c r="B34" s="3" t="inlineStr">
        <is>
          <t>Gross Profit</t>
        </is>
      </c>
      <c r="C34" s="46">
        <f>C32-C33</f>
        <v/>
      </c>
      <c r="D34" s="46">
        <f>D32-D33</f>
        <v/>
      </c>
      <c r="E34" s="46">
        <f>E32-E33</f>
        <v/>
      </c>
      <c r="F34" s="46">
        <f>F32-F33</f>
        <v/>
      </c>
      <c r="G34" s="46">
        <f>G32-G33</f>
        <v/>
      </c>
    </row>
    <row r="35" ht="14" customHeight="1" s="41">
      <c r="B35" s="3" t="inlineStr">
        <is>
          <t>Gross Margin</t>
        </is>
      </c>
      <c r="C35" s="47">
        <f>C34/C32</f>
        <v/>
      </c>
      <c r="D35" s="47">
        <f>D34/D32</f>
        <v/>
      </c>
      <c r="E35" s="47">
        <f>E34/E32</f>
        <v/>
      </c>
      <c r="F35" s="47">
        <f>F34/F32</f>
        <v/>
      </c>
      <c r="G35" s="47">
        <f>G34/G32</f>
        <v/>
      </c>
    </row>
    <row r="36" ht="14" customHeight="1" s="41">
      <c r="B36" s="3" t="inlineStr">
        <is>
          <t>SGA Expense</t>
        </is>
      </c>
      <c r="C36" s="46">
        <f>C32*C30</f>
        <v/>
      </c>
      <c r="D36" s="46">
        <f>D32*D30</f>
        <v/>
      </c>
      <c r="E36" s="46">
        <f>E32*E30</f>
        <v/>
      </c>
      <c r="F36" s="46">
        <f>F32*F30</f>
        <v/>
      </c>
      <c r="G36" s="46">
        <f>G32*G30</f>
        <v/>
      </c>
    </row>
    <row r="37" ht="14" customHeight="1" s="41">
      <c r="B37" s="3" t="inlineStr">
        <is>
          <t>Implied Operating Margin</t>
        </is>
      </c>
      <c r="C37" s="47">
        <f>(C34-C36)/C32</f>
        <v/>
      </c>
      <c r="D37" s="47">
        <f>(D34-D36)/D32</f>
        <v/>
      </c>
      <c r="E37" s="47">
        <f>(E34-E36)/E32</f>
        <v/>
      </c>
      <c r="F37" s="47">
        <f>(F34-F36)/F32</f>
        <v/>
      </c>
      <c r="G37" s="47">
        <f>(G34-G36)/G32</f>
        <v/>
      </c>
    </row>
    <row r="38" ht="14" customHeight="1" s="41">
      <c r="B38" s="3" t="inlineStr">
        <is>
          <t>Operating Income (EBIT)</t>
        </is>
      </c>
      <c r="C38" s="46">
        <f>C34-C36</f>
        <v/>
      </c>
      <c r="D38" s="46">
        <f>D34-D36</f>
        <v/>
      </c>
      <c r="E38" s="46">
        <f>E34-E36</f>
        <v/>
      </c>
      <c r="F38" s="46">
        <f>F34-F36</f>
        <v/>
      </c>
      <c r="G38" s="46">
        <f>G34-G36</f>
        <v/>
      </c>
    </row>
    <row r="39" ht="14" customHeight="1" s="41">
      <c r="B39" s="3" t="inlineStr">
        <is>
          <t>Less: Tax</t>
        </is>
      </c>
      <c r="C39" s="46">
        <f>MAX(0,C38*C6)</f>
        <v/>
      </c>
      <c r="D39" s="46">
        <f>MAX(0,D38*C6)</f>
        <v/>
      </c>
      <c r="E39" s="46">
        <f>MAX(0,E38*C6)</f>
        <v/>
      </c>
      <c r="F39" s="46">
        <f>MAX(0,F38*C6)</f>
        <v/>
      </c>
      <c r="G39" s="46">
        <f>MAX(0,G38*C6)</f>
        <v/>
      </c>
    </row>
    <row r="40" ht="14" customHeight="1" s="41">
      <c r="B40" s="3" t="inlineStr">
        <is>
          <t>NOPAT</t>
        </is>
      </c>
      <c r="C40" s="46">
        <f>C38-C39</f>
        <v/>
      </c>
      <c r="D40" s="46">
        <f>D38-D39</f>
        <v/>
      </c>
      <c r="E40" s="46">
        <f>E38-E39</f>
        <v/>
      </c>
      <c r="F40" s="46">
        <f>F38-F39</f>
        <v/>
      </c>
      <c r="G40" s="46">
        <f>G38-G39</f>
        <v/>
      </c>
    </row>
    <row r="41" ht="14" customHeight="1" s="41">
      <c r="B41" s="3" t="inlineStr">
        <is>
          <t>Plus: D&amp;A</t>
        </is>
      </c>
      <c r="C41" s="46">
        <f>C32*C18</f>
        <v/>
      </c>
      <c r="D41" s="46">
        <f>D32*C18</f>
        <v/>
      </c>
      <c r="E41" s="46">
        <f>E32*C18</f>
        <v/>
      </c>
      <c r="F41" s="46">
        <f>F32*C18</f>
        <v/>
      </c>
      <c r="G41" s="46">
        <f>G32*C18</f>
        <v/>
      </c>
    </row>
    <row r="42" ht="14" customHeight="1" s="41">
      <c r="B42" s="3" t="inlineStr">
        <is>
          <t>Less: Capex</t>
        </is>
      </c>
      <c r="C42" s="46">
        <f>C32*C5</f>
        <v/>
      </c>
      <c r="D42" s="46">
        <f>D32*C5</f>
        <v/>
      </c>
      <c r="E42" s="46">
        <f>E32*C5</f>
        <v/>
      </c>
      <c r="F42" s="46">
        <f>F32*C5</f>
        <v/>
      </c>
      <c r="G42" s="46">
        <f>G32*C5</f>
        <v/>
      </c>
    </row>
    <row r="43" ht="14" customHeight="1" s="41">
      <c r="B43" s="3" t="inlineStr">
        <is>
          <t>NWC</t>
        </is>
      </c>
      <c r="C43" s="46">
        <f>C32*C31</f>
        <v/>
      </c>
      <c r="D43" s="46">
        <f>D32*D31</f>
        <v/>
      </c>
      <c r="E43" s="46">
        <f>E32*E31</f>
        <v/>
      </c>
      <c r="F43" s="46">
        <f>F32*F31</f>
        <v/>
      </c>
      <c r="G43" s="46">
        <f>G32*G31</f>
        <v/>
      </c>
    </row>
    <row r="44" ht="14" customHeight="1" s="41">
      <c r="B44" s="3" t="inlineStr">
        <is>
          <t>Change in NWC</t>
        </is>
      </c>
      <c r="C44" s="46">
        <f>C43-C19</f>
        <v/>
      </c>
      <c r="D44" s="46">
        <f>D43-C43</f>
        <v/>
      </c>
      <c r="E44" s="46">
        <f>E43-D43</f>
        <v/>
      </c>
      <c r="F44" s="46">
        <f>F43-E43</f>
        <v/>
      </c>
      <c r="G44" s="46">
        <f>G43-F43</f>
        <v/>
      </c>
    </row>
    <row r="45" ht="14" customHeight="1" s="41">
      <c r="B45" s="3" t="inlineStr">
        <is>
          <t>Unlevered Free Cash Flow</t>
        </is>
      </c>
      <c r="C45" s="46">
        <f>C40+C41-C42-C44</f>
        <v/>
      </c>
      <c r="D45" s="46">
        <f>D40+D41-D42-D44</f>
        <v/>
      </c>
      <c r="E45" s="46">
        <f>E40+E41-E42-E44</f>
        <v/>
      </c>
      <c r="F45" s="46">
        <f>F40+F41-F42-F44</f>
        <v/>
      </c>
      <c r="G45" s="46">
        <f>G40+G41-G42-G44</f>
        <v/>
      </c>
    </row>
    <row r="46" ht="14" customHeight="1" s="41">
      <c r="B46" s="3" t="inlineStr">
        <is>
          <t>Discount Factor</t>
        </is>
      </c>
      <c r="C46" s="55">
        <f>1/(1+C24)^1</f>
        <v/>
      </c>
      <c r="D46" s="55">
        <f>1/(1+C24)^2</f>
        <v/>
      </c>
      <c r="E46" s="55">
        <f>1/(1+C24)^3</f>
        <v/>
      </c>
      <c r="F46" s="55">
        <f>1/(1+C24)^4</f>
        <v/>
      </c>
      <c r="G46" s="55">
        <f>1/(1+C24)^5</f>
        <v/>
      </c>
    </row>
    <row r="47" ht="14" customHeight="1" s="41">
      <c r="B47" s="3" t="inlineStr">
        <is>
          <t>PV of FCF</t>
        </is>
      </c>
      <c r="C47" s="46">
        <f>C45*C46</f>
        <v/>
      </c>
      <c r="D47" s="46">
        <f>D45*D46</f>
        <v/>
      </c>
      <c r="E47" s="46">
        <f>E45*E46</f>
        <v/>
      </c>
      <c r="F47" s="46">
        <f>F45*F46</f>
        <v/>
      </c>
      <c r="G47" s="46">
        <f>G45*G46</f>
        <v/>
      </c>
    </row>
    <row r="49" ht="14" customHeight="1" s="41">
      <c r="B49" s="21" t="inlineStr">
        <is>
          <t>Valuation - Perpetuity Growth Method</t>
        </is>
      </c>
      <c r="C49" s="22" t="n"/>
      <c r="D49" s="22" t="n"/>
      <c r="E49" s="22" t="n"/>
      <c r="F49" s="22" t="n"/>
      <c r="G49" s="22" t="n"/>
    </row>
    <row r="50" ht="14" customHeight="1" s="41">
      <c r="B50" s="3" t="inlineStr">
        <is>
          <t>Sum of PV of FCFs</t>
        </is>
      </c>
      <c r="C50" s="46">
        <f>SUM(C47:G47)</f>
        <v/>
      </c>
    </row>
    <row r="51" ht="14" customHeight="1" s="41">
      <c r="B51" s="3" t="inlineStr">
        <is>
          <t>Terminal Value (PGM)</t>
        </is>
      </c>
      <c r="C51" s="46">
        <f>G45*(1+C13)/(C24-C13)</f>
        <v/>
      </c>
    </row>
    <row r="52" ht="14" customHeight="1" s="41">
      <c r="B52" s="3" t="inlineStr">
        <is>
          <t>PV of Terminal Value</t>
        </is>
      </c>
      <c r="C52" s="46">
        <f>C51*G46</f>
        <v/>
      </c>
    </row>
    <row r="53" ht="14" customHeight="1" s="41">
      <c r="B53" s="3" t="inlineStr">
        <is>
          <t>Enterprise Value</t>
        </is>
      </c>
      <c r="C53" s="46">
        <f>C50+C52</f>
        <v/>
      </c>
    </row>
    <row r="54" ht="14" customHeight="1" s="41">
      <c r="B54" s="3" t="inlineStr">
        <is>
          <t>Equity Value</t>
        </is>
      </c>
      <c r="C54" s="46">
        <f>C53-C16</f>
        <v/>
      </c>
    </row>
    <row r="55" ht="14" customHeight="1" s="41">
      <c r="B55" s="3" t="inlineStr">
        <is>
          <t>Implied Share Price (PGM)</t>
        </is>
      </c>
      <c r="C55" s="56">
        <f>ROUND(C54*1000000/C15,0)</f>
        <v/>
      </c>
    </row>
    <row r="57" ht="14" customHeight="1" s="41">
      <c r="B57" s="21" t="inlineStr">
        <is>
          <t>Valuation - Exit Multiple Method</t>
        </is>
      </c>
      <c r="C57" s="22" t="n"/>
      <c r="D57" s="22" t="n"/>
      <c r="E57" s="22" t="n"/>
      <c r="F57" s="22" t="n"/>
      <c r="G57" s="22" t="n"/>
    </row>
    <row r="58" ht="14" customHeight="1" s="41">
      <c r="B58" s="3" t="inlineStr">
        <is>
          <t>Sum of PV of FCFs</t>
        </is>
      </c>
      <c r="C58" s="46">
        <f>C50</f>
        <v/>
      </c>
    </row>
    <row r="59" ht="14" customHeight="1" s="41">
      <c r="B59" s="3" t="inlineStr">
        <is>
          <t>Year 5 EBITDA</t>
        </is>
      </c>
      <c r="C59" s="46">
        <f>G38+G41</f>
        <v/>
      </c>
    </row>
    <row r="60" ht="14" customHeight="1" s="41">
      <c r="B60" s="3" t="inlineStr">
        <is>
          <t>Terminal Value (Exit Multiple)</t>
        </is>
      </c>
      <c r="C60" s="46">
        <f>C59*C14</f>
        <v/>
      </c>
    </row>
    <row r="61" ht="14" customHeight="1" s="41">
      <c r="B61" s="3" t="inlineStr">
        <is>
          <t>PV of Terminal Value</t>
        </is>
      </c>
      <c r="C61" s="46">
        <f>C60*G46</f>
        <v/>
      </c>
    </row>
    <row r="62" ht="14" customHeight="1" s="41">
      <c r="B62" s="3" t="inlineStr">
        <is>
          <t>Enterprise Value</t>
        </is>
      </c>
      <c r="C62" s="46">
        <f>C58+C61</f>
        <v/>
      </c>
    </row>
    <row r="63" ht="14" customHeight="1" s="41">
      <c r="B63" s="3" t="inlineStr">
        <is>
          <t>Equity Value</t>
        </is>
      </c>
      <c r="C63" s="46">
        <f>C62-C16</f>
        <v/>
      </c>
    </row>
    <row r="64" ht="14" customHeight="1" s="41">
      <c r="B64" s="3" t="inlineStr">
        <is>
          <t>Implied Share Price (Exit Multiple)</t>
        </is>
      </c>
      <c r="C64" s="56">
        <f>ROUND(C63*1000000/C15,0)</f>
        <v/>
      </c>
    </row>
    <row r="66" ht="14" customHeight="1" s="41">
      <c r="B66" s="21" t="inlineStr">
        <is>
          <t>Scenario Input Matrix</t>
        </is>
      </c>
      <c r="C66" s="22" t="n"/>
      <c r="D66" s="22" t="n"/>
      <c r="E66" s="22" t="n"/>
      <c r="F66" s="22" t="n"/>
      <c r="G66" s="22" t="n"/>
    </row>
    <row r="67" ht="14" customHeight="1" s="41">
      <c r="C67" s="24" t="inlineStr">
        <is>
          <t>Year 1</t>
        </is>
      </c>
      <c r="D67" s="24" t="inlineStr">
        <is>
          <t>Year 2</t>
        </is>
      </c>
      <c r="E67" s="24" t="inlineStr">
        <is>
          <t>Year 3</t>
        </is>
      </c>
      <c r="F67" s="24" t="inlineStr">
        <is>
          <t>Year 4</t>
        </is>
      </c>
      <c r="G67" s="24" t="inlineStr">
        <is>
          <t>Year 5</t>
        </is>
      </c>
    </row>
    <row r="68" ht="14" customHeight="1" s="41">
      <c r="B68" s="2" t="inlineStr">
        <is>
          <t>Revenue Growth (YoY)</t>
        </is>
      </c>
    </row>
    <row r="69" ht="14" customHeight="1" s="41">
      <c r="B69" s="3" t="inlineStr">
        <is>
          <t>Base</t>
        </is>
      </c>
      <c r="C69" s="57" t="n">
        <v>0.1</v>
      </c>
      <c r="D69" s="57" t="n">
        <v>0.08</v>
      </c>
      <c r="E69" s="57" t="n">
        <v>0.08</v>
      </c>
      <c r="F69" s="57" t="n">
        <v>0.06</v>
      </c>
      <c r="G69" s="57" t="n">
        <v>0.06</v>
      </c>
    </row>
    <row r="70" ht="14" customHeight="1" s="41">
      <c r="B70" s="3" t="inlineStr">
        <is>
          <t>Upside</t>
        </is>
      </c>
      <c r="C70" s="57" t="n">
        <v>0.1</v>
      </c>
      <c r="D70" s="57" t="n">
        <v>0.13</v>
      </c>
      <c r="E70" s="57" t="n">
        <v>0.16</v>
      </c>
      <c r="F70" s="57" t="n">
        <v>0.13</v>
      </c>
      <c r="G70" s="57" t="n">
        <v>0.1</v>
      </c>
    </row>
    <row r="71" ht="14" customHeight="1" s="41">
      <c r="B71" s="3" t="inlineStr">
        <is>
          <t>Management</t>
        </is>
      </c>
      <c r="C71" s="57" t="n">
        <v>0.1</v>
      </c>
      <c r="D71" s="57" t="n">
        <v>0.1</v>
      </c>
      <c r="E71" s="57" t="n">
        <v>0.08</v>
      </c>
      <c r="F71" s="57" t="n">
        <v>0.07000000000000001</v>
      </c>
      <c r="G71" s="57" t="n">
        <v>0.06</v>
      </c>
    </row>
    <row r="72" ht="14" customHeight="1" s="41">
      <c r="B72" s="3" t="inlineStr">
        <is>
          <t>Downside 1</t>
        </is>
      </c>
      <c r="C72" s="57" t="n">
        <v>0.09</v>
      </c>
      <c r="D72" s="57" t="n">
        <v>0.05</v>
      </c>
      <c r="E72" s="57" t="n">
        <v>0.03</v>
      </c>
      <c r="F72" s="57" t="n">
        <v>0.01</v>
      </c>
      <c r="G72" s="57" t="n">
        <v>0</v>
      </c>
    </row>
    <row r="73" ht="14" customHeight="1" s="41">
      <c r="B73" s="3" t="inlineStr">
        <is>
          <t>Downside 2</t>
        </is>
      </c>
      <c r="C73" s="57" t="n">
        <v>0.08</v>
      </c>
      <c r="D73" s="57" t="n">
        <v>0.03</v>
      </c>
      <c r="E73" s="57" t="n">
        <v>0</v>
      </c>
      <c r="F73" s="57" t="n">
        <v>0</v>
      </c>
      <c r="G73" s="57" t="n">
        <v>0</v>
      </c>
    </row>
    <row r="75" ht="14" customHeight="1" s="41">
      <c r="B75" s="2" t="inlineStr">
        <is>
          <t>COGS % of Revenue</t>
        </is>
      </c>
    </row>
    <row r="76" ht="14" customHeight="1" s="41">
      <c r="B76" s="3" t="inlineStr">
        <is>
          <t>Base</t>
        </is>
      </c>
      <c r="C76" s="57" t="n">
        <v>0.7</v>
      </c>
      <c r="D76" s="57" t="n">
        <v>0.7</v>
      </c>
      <c r="E76" s="57" t="n">
        <v>0.705</v>
      </c>
      <c r="F76" s="57" t="n">
        <v>0.705</v>
      </c>
      <c r="G76" s="57" t="n">
        <v>0.705</v>
      </c>
    </row>
    <row r="77" ht="14" customHeight="1" s="41">
      <c r="B77" s="3" t="inlineStr">
        <is>
          <t>Upside</t>
        </is>
      </c>
      <c r="C77" s="57" t="n">
        <v>0.7</v>
      </c>
      <c r="D77" s="57" t="n">
        <v>0.6899999999999999</v>
      </c>
      <c r="E77" s="57" t="n">
        <v>0.6850000000000001</v>
      </c>
      <c r="F77" s="57" t="n">
        <v>0.68</v>
      </c>
      <c r="G77" s="57" t="n">
        <v>0.6899999999999999</v>
      </c>
    </row>
    <row r="78" ht="14" customHeight="1" s="41">
      <c r="B78" s="3" t="inlineStr">
        <is>
          <t>Management</t>
        </is>
      </c>
      <c r="C78" s="57" t="n">
        <v>0.7</v>
      </c>
      <c r="D78" s="58" t="n">
        <v>0.7</v>
      </c>
      <c r="E78" s="58" t="n">
        <v>0.7</v>
      </c>
      <c r="F78" s="58" t="n">
        <v>0.7</v>
      </c>
      <c r="G78" s="58" t="n">
        <v>0.7</v>
      </c>
    </row>
    <row r="79" ht="14" customHeight="1" s="41">
      <c r="B79" s="3" t="inlineStr">
        <is>
          <t>Downside 1</t>
        </is>
      </c>
      <c r="C79" s="57" t="n">
        <v>0.7</v>
      </c>
      <c r="D79" s="57" t="n">
        <v>0.725</v>
      </c>
      <c r="E79" s="57" t="n">
        <v>0.75</v>
      </c>
      <c r="F79" s="57" t="n">
        <v>0.74</v>
      </c>
      <c r="G79" s="57" t="n">
        <v>0.74</v>
      </c>
    </row>
    <row r="80" ht="14" customHeight="1" s="41">
      <c r="B80" s="3" t="inlineStr">
        <is>
          <t>Downside 2</t>
        </is>
      </c>
      <c r="C80" s="57" t="n">
        <v>0.7</v>
      </c>
      <c r="D80" s="57" t="n">
        <v>0.74</v>
      </c>
      <c r="E80" s="57" t="n">
        <v>0.77</v>
      </c>
      <c r="F80" s="57" t="n">
        <v>0.77</v>
      </c>
      <c r="G80" s="57" t="n">
        <v>0.78</v>
      </c>
    </row>
    <row r="82" ht="14" customHeight="1" s="41">
      <c r="B82" s="2" t="inlineStr">
        <is>
          <t>SGA % of Revenue</t>
        </is>
      </c>
    </row>
    <row r="83" ht="14" customHeight="1" s="41">
      <c r="B83" s="3" t="inlineStr">
        <is>
          <t>Base</t>
        </is>
      </c>
      <c r="C83" s="57" t="n">
        <v>0.145</v>
      </c>
      <c r="D83" s="57" t="n">
        <v>0.145</v>
      </c>
      <c r="E83" s="57" t="n">
        <v>0.145</v>
      </c>
      <c r="F83" s="57" t="n">
        <v>0.145</v>
      </c>
      <c r="G83" s="57" t="n">
        <v>0.145</v>
      </c>
    </row>
    <row r="84" ht="14" customHeight="1" s="41">
      <c r="B84" s="3" t="inlineStr">
        <is>
          <t>Upside</t>
        </is>
      </c>
      <c r="C84" s="57" t="n">
        <v>0.145</v>
      </c>
      <c r="D84" s="57" t="n">
        <v>0.14</v>
      </c>
      <c r="E84" s="57" t="n">
        <v>0.135</v>
      </c>
      <c r="F84" s="57" t="n">
        <v>0.13</v>
      </c>
      <c r="G84" s="57" t="n">
        <v>0.135</v>
      </c>
    </row>
    <row r="85" ht="14" customHeight="1" s="41">
      <c r="B85" s="3" t="inlineStr">
        <is>
          <t>Management</t>
        </is>
      </c>
      <c r="C85" s="57" t="n">
        <v>0.145</v>
      </c>
      <c r="D85" s="57" t="n">
        <v>0.145</v>
      </c>
      <c r="E85" s="57" t="n">
        <v>0.145</v>
      </c>
      <c r="F85" s="57" t="n">
        <v>0.145</v>
      </c>
      <c r="G85" s="57" t="n">
        <v>0.145</v>
      </c>
    </row>
    <row r="86" ht="14" customHeight="1" s="41">
      <c r="B86" s="3" t="inlineStr">
        <is>
          <t>Downside 1</t>
        </is>
      </c>
      <c r="C86" s="57" t="n">
        <v>0.145</v>
      </c>
      <c r="D86" s="57" t="n">
        <v>0.15</v>
      </c>
      <c r="E86" s="57" t="n">
        <v>0.155</v>
      </c>
      <c r="F86" s="57" t="n">
        <v>0.16</v>
      </c>
      <c r="G86" s="57" t="n">
        <v>0.15</v>
      </c>
    </row>
    <row r="87" ht="14" customHeight="1" s="41">
      <c r="B87" s="3" t="inlineStr">
        <is>
          <t>Downside 2</t>
        </is>
      </c>
      <c r="C87" s="57" t="n">
        <v>0.145</v>
      </c>
      <c r="D87" s="57" t="n">
        <v>0.16</v>
      </c>
      <c r="E87" s="57" t="n">
        <v>0.17</v>
      </c>
      <c r="F87" s="57" t="n">
        <v>0.18</v>
      </c>
      <c r="G87" s="57" t="n">
        <v>0.18</v>
      </c>
    </row>
    <row r="89" ht="14" customHeight="1" s="41">
      <c r="B89" s="2" t="inlineStr">
        <is>
          <t>NWC % of Revenue</t>
        </is>
      </c>
    </row>
    <row r="90" ht="14" customHeight="1" s="41">
      <c r="B90" s="3" t="inlineStr">
        <is>
          <t>Base</t>
        </is>
      </c>
      <c r="C90" s="57" t="n">
        <v>0.1574520547945205</v>
      </c>
      <c r="D90" s="57" t="n">
        <v>0.1632054794520548</v>
      </c>
      <c r="E90" s="57" t="n">
        <v>0.1531506849315069</v>
      </c>
      <c r="F90" s="57" t="n">
        <v>0.1495890410958904</v>
      </c>
      <c r="G90" s="57" t="n">
        <v>0.1495890410958904</v>
      </c>
    </row>
    <row r="91" ht="14" customHeight="1" s="41">
      <c r="B91" s="3" t="inlineStr">
        <is>
          <t>Upside</t>
        </is>
      </c>
      <c r="C91" s="57" t="n">
        <v>0.1574520547945205</v>
      </c>
      <c r="D91" s="57" t="n">
        <v>0.15</v>
      </c>
      <c r="E91" s="57" t="n">
        <v>0.145</v>
      </c>
      <c r="F91" s="57" t="n">
        <v>0.14</v>
      </c>
      <c r="G91" s="57" t="n">
        <v>0.14</v>
      </c>
    </row>
    <row r="92" ht="14" customHeight="1" s="41">
      <c r="B92" s="3" t="inlineStr">
        <is>
          <t>Management</t>
        </is>
      </c>
      <c r="C92" s="57" t="n">
        <v>0.1574520547945205</v>
      </c>
      <c r="D92" s="57" t="n">
        <v>0.16</v>
      </c>
      <c r="E92" s="57" t="n">
        <v>0.155</v>
      </c>
      <c r="F92" s="57" t="n">
        <v>0.15</v>
      </c>
      <c r="G92" s="57" t="n">
        <v>0.15</v>
      </c>
    </row>
    <row r="93" ht="14" customHeight="1" s="41">
      <c r="B93" s="3" t="inlineStr">
        <is>
          <t>Downside 1</t>
        </is>
      </c>
      <c r="C93" s="57" t="n">
        <v>0.1574520547945205</v>
      </c>
      <c r="D93" s="57" t="n">
        <v>0.165</v>
      </c>
      <c r="E93" s="57" t="n">
        <v>0.17</v>
      </c>
      <c r="F93" s="57" t="n">
        <v>0.17</v>
      </c>
      <c r="G93" s="57" t="n">
        <v>0.165</v>
      </c>
    </row>
    <row r="94" ht="14" customHeight="1" s="41">
      <c r="B94" s="3" t="inlineStr">
        <is>
          <t>Downside 2</t>
        </is>
      </c>
      <c r="C94" s="57" t="n">
        <v>0.1574520547945205</v>
      </c>
      <c r="D94" s="57" t="n">
        <v>0.17</v>
      </c>
      <c r="E94" s="57" t="n">
        <v>0.18</v>
      </c>
      <c r="F94" s="57" t="n">
        <v>0.185</v>
      </c>
      <c r="G94" s="57" t="n">
        <v>0.18</v>
      </c>
    </row>
  </sheetData>
  <dataValidations count="1">
    <dataValidation sqref="C25" showDropDown="0" showInputMessage="0" showErrorMessage="0" allowBlank="0" type="list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6600"/>
    <outlinePr summaryBelow="1" summaryRight="1"/>
    <pageSetUpPr/>
  </sheetPr>
  <dimension ref="B2:O28"/>
  <sheetViews>
    <sheetView topLeftCell="B15" workbookViewId="0">
      <selection activeCell="D16" sqref="D16"/>
    </sheetView>
  </sheetViews>
  <sheetFormatPr baseColWidth="8" defaultRowHeight="13"/>
  <cols>
    <col width="3" customWidth="1" style="41" min="1" max="1"/>
    <col width="16" customWidth="1" style="41" min="2" max="2"/>
    <col width="10" customWidth="1" style="41" min="3" max="3"/>
    <col width="12" customWidth="1" style="41" min="4" max="15"/>
  </cols>
  <sheetData>
    <row r="2" ht="18" customHeight="1" s="41">
      <c r="B2" s="40" t="inlineStr">
        <is>
          <t>Comparable Company Analysis</t>
        </is>
      </c>
    </row>
    <row r="4" ht="28" customHeight="1" s="41">
      <c r="B4" s="10" t="inlineStr">
        <is>
          <t>Company</t>
        </is>
      </c>
      <c r="C4" s="10" t="inlineStr">
        <is>
          <t>Ticker</t>
        </is>
      </c>
      <c r="D4" s="10" t="inlineStr">
        <is>
          <t>Mkt Cap
(JPY mn)</t>
        </is>
      </c>
      <c r="E4" s="10" t="inlineStr">
        <is>
          <t>EV
(JPY mn)</t>
        </is>
      </c>
      <c r="F4" s="10" t="inlineStr">
        <is>
          <t>Revenue
(JPY mn)</t>
        </is>
      </c>
      <c r="G4" s="10" t="inlineStr">
        <is>
          <t>EBITDA
(JPY mn)</t>
        </is>
      </c>
      <c r="H4" s="10" t="inlineStr">
        <is>
          <t>Op Income
(JPY mn)</t>
        </is>
      </c>
      <c r="I4" s="10" t="inlineStr">
        <is>
          <t>Net Income
(JPY mn)</t>
        </is>
      </c>
      <c r="J4" s="10" t="inlineStr">
        <is>
          <t>EV/EBITDA</t>
        </is>
      </c>
      <c r="K4" s="10" t="inlineStr">
        <is>
          <t>EV/Revenue</t>
        </is>
      </c>
      <c r="L4" s="10" t="inlineStr">
        <is>
          <t>PER</t>
        </is>
      </c>
      <c r="M4" s="10" t="inlineStr">
        <is>
          <t>PBR</t>
        </is>
      </c>
      <c r="N4" s="10" t="inlineStr">
        <is>
          <t>Op Margin</t>
        </is>
      </c>
      <c r="O4" s="10" t="inlineStr">
        <is>
          <t>ROE</t>
        </is>
      </c>
    </row>
    <row r="5" ht="14" customHeight="1" s="41">
      <c r="B5" s="3" t="inlineStr">
        <is>
          <t>Systena</t>
        </is>
      </c>
      <c r="C5" t="inlineStr">
        <is>
          <t>2317.T</t>
        </is>
      </c>
      <c r="D5" s="59" t="n">
        <v>152991.105024</v>
      </c>
      <c r="E5" s="59" t="n">
        <v>154541.105024</v>
      </c>
      <c r="F5" s="59" t="n">
        <v>92410</v>
      </c>
      <c r="G5" s="59" t="n">
        <v>15820</v>
      </c>
      <c r="H5" s="59" t="n">
        <v>15360</v>
      </c>
      <c r="I5" s="59" t="n">
        <v>11250</v>
      </c>
      <c r="J5" s="60">
        <f>E5/G5</f>
        <v/>
      </c>
      <c r="K5" s="60">
        <f>E5/F5</f>
        <v/>
      </c>
      <c r="L5" s="60">
        <f>D5/I5</f>
        <v/>
      </c>
      <c r="M5" s="61" t="n">
        <v>4.643129135781487</v>
      </c>
      <c r="N5" s="62">
        <f>H5/F5</f>
        <v/>
      </c>
      <c r="O5" s="63" t="n">
        <v>0.3414264036418816</v>
      </c>
    </row>
    <row r="6" ht="14" customHeight="1" s="41">
      <c r="B6" s="3" t="inlineStr">
        <is>
          <t>SRA HD</t>
        </is>
      </c>
      <c r="C6" t="inlineStr">
        <is>
          <t>3817.T</t>
        </is>
      </c>
      <c r="D6" s="59" t="n">
        <v>62727.258112</v>
      </c>
      <c r="E6" s="59" t="n">
        <v>62797.258112</v>
      </c>
      <c r="F6" s="59" t="n">
        <v>54700</v>
      </c>
      <c r="G6" s="59" t="n">
        <v>8490</v>
      </c>
      <c r="H6" s="59" t="n">
        <v>8300</v>
      </c>
      <c r="I6" s="59" t="n">
        <v>5000</v>
      </c>
      <c r="J6" s="60">
        <f>E6/G6</f>
        <v/>
      </c>
      <c r="K6" s="60">
        <f>E6/F6</f>
        <v/>
      </c>
      <c r="L6" s="60">
        <f>D6/I6</f>
        <v/>
      </c>
      <c r="M6" s="61" t="n">
        <v>2.016759094363888</v>
      </c>
      <c r="N6" s="62">
        <f>H6/F6</f>
        <v/>
      </c>
      <c r="O6" s="63" t="n">
        <v>0.1607561971514002</v>
      </c>
    </row>
    <row r="7" ht="14" customHeight="1" s="41">
      <c r="B7" s="3" t="inlineStr">
        <is>
          <t>CEC</t>
        </is>
      </c>
      <c r="C7" t="inlineStr">
        <is>
          <t>9692.T</t>
        </is>
      </c>
      <c r="D7" s="59" t="n">
        <v>61359.771648</v>
      </c>
      <c r="E7" s="59" t="n">
        <v>61709.771648</v>
      </c>
      <c r="F7" s="59" t="n">
        <v>65000</v>
      </c>
      <c r="G7" s="59" t="n">
        <v>8018</v>
      </c>
      <c r="H7" s="59" t="n">
        <v>7200</v>
      </c>
      <c r="I7" s="59" t="n">
        <v>5150</v>
      </c>
      <c r="J7" s="60">
        <f>E7/G7</f>
        <v/>
      </c>
      <c r="K7" s="60">
        <f>E7/F7</f>
        <v/>
      </c>
      <c r="L7" s="60">
        <f>D7/I7</f>
        <v/>
      </c>
      <c r="M7" s="61" t="n">
        <v>1.518768635627831</v>
      </c>
      <c r="N7" s="62">
        <f>H7/F7</f>
        <v/>
      </c>
      <c r="O7" s="63" t="n">
        <v>0.1274720922749437</v>
      </c>
    </row>
    <row r="8" ht="14" customHeight="1" s="41">
      <c r="B8" s="3" t="inlineStr">
        <is>
          <t>Cube Systems</t>
        </is>
      </c>
      <c r="C8" t="inlineStr">
        <is>
          <t>2335.T</t>
        </is>
      </c>
      <c r="D8" s="59" t="n">
        <v>16087.69024</v>
      </c>
      <c r="E8" s="59" t="n">
        <v>16317.69024</v>
      </c>
      <c r="F8" s="59" t="n">
        <v>19500</v>
      </c>
      <c r="G8" s="59" t="n">
        <v>1807</v>
      </c>
      <c r="H8" s="59" t="n">
        <v>1750</v>
      </c>
      <c r="I8" s="59" t="n">
        <v>1220</v>
      </c>
      <c r="J8" s="60">
        <f>E8/G8</f>
        <v/>
      </c>
      <c r="K8" s="60">
        <f>E8/F8</f>
        <v/>
      </c>
      <c r="L8" s="60">
        <f>D8/I8</f>
        <v/>
      </c>
      <c r="M8" s="61" t="n">
        <v>1.479463880816627</v>
      </c>
      <c r="N8" s="62">
        <f>H8/F8</f>
        <v/>
      </c>
      <c r="O8" s="63" t="n">
        <v>0.1121942247562994</v>
      </c>
    </row>
    <row r="9" ht="14" customHeight="1" s="41">
      <c r="B9" s="3" t="inlineStr">
        <is>
          <t>Sansan</t>
        </is>
      </c>
      <c r="C9" t="inlineStr">
        <is>
          <t>4443.T</t>
        </is>
      </c>
      <c r="D9" s="59" t="n">
        <v>156880.945152</v>
      </c>
      <c r="E9" s="59" t="n">
        <v>160452.945152</v>
      </c>
      <c r="F9" s="59" t="n">
        <v>53651</v>
      </c>
      <c r="G9" s="59" t="n">
        <v>8992</v>
      </c>
      <c r="H9" s="59" t="n">
        <v>8052</v>
      </c>
      <c r="I9" s="59" t="n">
        <v>5364</v>
      </c>
      <c r="J9" s="60">
        <f>E9/G9</f>
        <v/>
      </c>
      <c r="K9" s="60">
        <f>E9/F9</f>
        <v/>
      </c>
      <c r="L9" s="60">
        <f>D9/I9</f>
        <v/>
      </c>
      <c r="M9" s="61" t="n">
        <v>9.780607553117207</v>
      </c>
      <c r="N9" s="62">
        <f>H9/F9</f>
        <v/>
      </c>
      <c r="O9" s="63" t="n">
        <v>0.3344139650872818</v>
      </c>
    </row>
    <row r="14" ht="14" customHeight="1" s="41">
      <c r="B14" s="2" t="inlineStr">
        <is>
          <t>Statistics</t>
        </is>
      </c>
    </row>
    <row r="15" ht="14" customHeight="1" s="41">
      <c r="B15" s="3" t="inlineStr">
        <is>
          <t>25th Percentile</t>
        </is>
      </c>
      <c r="D15" s="60">
        <f>PERCENTILE(J5:J9,0.25)</f>
        <v/>
      </c>
      <c r="E15" s="60">
        <f>PERCENTILE(K5:K9,0.25)</f>
        <v/>
      </c>
      <c r="F15" s="60">
        <f>PERCENTILE(L5:L9,0.25)</f>
        <v/>
      </c>
      <c r="G15" s="60">
        <f>PERCENTILE(M5:M9,0.25)</f>
        <v/>
      </c>
      <c r="H15" s="62">
        <f>PERCENTILE(N5:N9,0.25)</f>
        <v/>
      </c>
      <c r="I15" s="62">
        <f>PERCENTILE(O5:O9,0.25)</f>
        <v/>
      </c>
    </row>
    <row r="16" ht="14" customHeight="1" s="41">
      <c r="B16" s="3" t="inlineStr">
        <is>
          <t>Median (50th)</t>
        </is>
      </c>
      <c r="D16" s="60">
        <f>MEDIAN(J5:J9)</f>
        <v/>
      </c>
      <c r="E16" s="60">
        <f>MEDIAN(K5:K9)</f>
        <v/>
      </c>
      <c r="F16" s="60">
        <f>MEDIAN(L5:L9)</f>
        <v/>
      </c>
      <c r="G16" s="60">
        <f>MEDIAN(M5:M9)</f>
        <v/>
      </c>
      <c r="H16" s="62">
        <f>MEDIAN(N5:N9)</f>
        <v/>
      </c>
      <c r="I16" s="62">
        <f>MEDIAN(O5:O9)</f>
        <v/>
      </c>
    </row>
    <row r="17" ht="14" customHeight="1" s="41">
      <c r="B17" s="3" t="inlineStr">
        <is>
          <t>75th Percentile</t>
        </is>
      </c>
      <c r="D17" s="60">
        <f>PERCENTILE(J5:J9,0.75)</f>
        <v/>
      </c>
      <c r="E17" s="60">
        <f>PERCENTILE(K5:K9,0.75)</f>
        <v/>
      </c>
      <c r="F17" s="60">
        <f>PERCENTILE(L5:L9,0.75)</f>
        <v/>
      </c>
      <c r="G17" s="60">
        <f>PERCENTILE(M5:M9,0.75)</f>
        <v/>
      </c>
      <c r="H17" s="62">
        <f>PERCENTILE(N5:N9,0.75)</f>
        <v/>
      </c>
      <c r="I17" s="62">
        <f>PERCENTILE(O5:O9,0.75)</f>
        <v/>
      </c>
    </row>
    <row r="19" ht="14" customHeight="1" s="41">
      <c r="B19" s="21" t="inlineStr">
        <is>
          <t>Implied Valuation for Core Corporation</t>
        </is>
      </c>
      <c r="C19" s="22" t="n"/>
      <c r="D19" s="22" t="n"/>
      <c r="E19" s="22" t="n"/>
      <c r="F19" s="22" t="n"/>
      <c r="G19" s="22" t="n"/>
      <c r="H19" s="22" t="n"/>
      <c r="I19" s="22" t="n"/>
    </row>
    <row r="20" ht="14" customHeight="1" s="41">
      <c r="B20" s="2" t="inlineStr">
        <is>
          <t>Core Corporation Financials</t>
        </is>
      </c>
    </row>
    <row r="21" ht="14" customHeight="1" s="41">
      <c r="B21" s="3" t="inlineStr">
        <is>
          <t>EBITDA (JPY mn)</t>
        </is>
      </c>
      <c r="C21" s="45" t="n">
        <v>2535</v>
      </c>
    </row>
    <row r="22" ht="14" customHeight="1" s="41">
      <c r="B22" s="3" t="inlineStr">
        <is>
          <t>Net Income (JPY mn)</t>
        </is>
      </c>
      <c r="C22" s="45" t="n">
        <v>1550</v>
      </c>
    </row>
    <row r="23" ht="14" customHeight="1" s="41">
      <c r="B23" s="3" t="inlineStr">
        <is>
          <t>Shares Outstanding</t>
        </is>
      </c>
      <c r="C23" s="16" t="n">
        <v>14368501</v>
      </c>
    </row>
    <row r="24" ht="14" customHeight="1" s="41">
      <c r="B24" s="3" t="inlineStr">
        <is>
          <t>Net Debt (JPY mn)</t>
        </is>
      </c>
      <c r="C24" s="45" t="n">
        <v>-10257</v>
      </c>
    </row>
    <row r="26" ht="14" customHeight="1" s="41">
      <c r="B26" s="2" t="inlineStr">
        <is>
          <t>Implied Share Price (Median Multiples)</t>
        </is>
      </c>
    </row>
    <row r="27" ht="14" customHeight="1" s="41">
      <c r="B27" s="3" t="inlineStr">
        <is>
          <t>Via EV/EBITDA (Median)</t>
        </is>
      </c>
      <c r="C27" s="56">
        <f>ROUND((C21*D16-C24)*1000000/C23,0)</f>
        <v/>
      </c>
    </row>
    <row r="28" ht="14" customHeight="1" s="41">
      <c r="B28" s="3" t="inlineStr">
        <is>
          <t>Via PER (Median)</t>
        </is>
      </c>
      <c r="C28" s="56">
        <f>ROUND(C22*F16*1000000/C23,0)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96600"/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" customWidth="1" style="41" min="1" max="1"/>
    <col width="24" customWidth="1" style="41" min="2" max="2"/>
    <col width="14" customWidth="1" style="41" min="3" max="3"/>
    <col width="14" customWidth="1" style="41" min="4" max="4"/>
    <col width="14" customWidth="1" style="41" min="5" max="5"/>
    <col width="14" customWidth="1" style="41" min="6" max="6"/>
    <col width="14" customWidth="1" style="41" min="7" max="7"/>
    <col width="14" customWidth="1" style="41" min="8" max="8"/>
    <col width="14" customWidth="1" style="41" min="9" max="9"/>
  </cols>
  <sheetData>
    <row r="2">
      <c r="B2" s="40" t="inlineStr">
        <is>
          <t>Sensitivity Analysis</t>
        </is>
      </c>
    </row>
    <row r="3">
      <c r="B3" s="3" t="inlineStr">
        <is>
          <t>Current WACC:</t>
        </is>
      </c>
      <c r="C3" s="64">
        <f>'DCF Model'!C24</f>
        <v/>
      </c>
      <c r="E3" s="3" t="inlineStr">
        <is>
          <t>Terminal g:</t>
        </is>
      </c>
      <c r="F3" s="64">
        <f>'DCF Model'!C13</f>
        <v/>
      </c>
      <c r="H3" s="3" t="inlineStr">
        <is>
          <t>Exit Multiple:</t>
        </is>
      </c>
      <c r="I3" s="65">
        <f>'DCF Model'!C14</f>
        <v/>
      </c>
    </row>
    <row r="5">
      <c r="B5" s="2" t="inlineStr">
        <is>
          <t>Table 1: WACC vs Terminal Growth Rate (PGM - Implied Share Price, JPY)</t>
        </is>
      </c>
    </row>
    <row r="6">
      <c r="B6" s="66" t="inlineStr">
        <is>
          <t>WACC \ Terminal g</t>
        </is>
      </c>
      <c r="C6" s="67">
        <f>$F$3-0.0075</f>
        <v/>
      </c>
      <c r="D6" s="67">
        <f>$F$3-0.005</f>
        <v/>
      </c>
      <c r="E6" s="67">
        <f>$F$3-0.0025</f>
        <v/>
      </c>
      <c r="F6" s="67">
        <f>$F$3</f>
        <v/>
      </c>
      <c r="G6" s="67">
        <f>$F$3+0.0025</f>
        <v/>
      </c>
      <c r="H6" s="67">
        <f>$F$3+0.005</f>
        <v/>
      </c>
      <c r="I6" s="67">
        <f>$F$3+0.0075</f>
        <v/>
      </c>
    </row>
    <row r="7">
      <c r="B7" s="68">
        <f>$C$3-0.015</f>
        <v/>
      </c>
      <c r="C7" s="69">
        <f>IFERROR(ROUND(('DCF Model'!C45/(1+$B7)^1+'DCF Model'!D45/(1+$B7)^2+'DCF Model'!E45/(1+$B7)^3+'DCF Model'!F45/(1+$B7)^4+'DCF Model'!G45/(1+$B7)^5+'DCF Model'!G45*(1+C$6)/($B7-C$6)/(1+$B7)^5-'DCF Model'!C16)*1000000/'DCF Model'!C15,0),"")</f>
        <v/>
      </c>
      <c r="D7" s="69">
        <f>IFERROR(ROUND(('DCF Model'!C45/(1+$B7)^1+'DCF Model'!D45/(1+$B7)^2+'DCF Model'!E45/(1+$B7)^3+'DCF Model'!F45/(1+$B7)^4+'DCF Model'!G45/(1+$B7)^5+'DCF Model'!G45*(1+D$6)/($B7-D$6)/(1+$B7)^5-'DCF Model'!C16)*1000000/'DCF Model'!C15,0),"")</f>
        <v/>
      </c>
      <c r="E7" s="69">
        <f>IFERROR(ROUND(('DCF Model'!C45/(1+$B7)^1+'DCF Model'!D45/(1+$B7)^2+'DCF Model'!E45/(1+$B7)^3+'DCF Model'!F45/(1+$B7)^4+'DCF Model'!G45/(1+$B7)^5+'DCF Model'!G45*(1+E$6)/($B7-E$6)/(1+$B7)^5-'DCF Model'!C16)*1000000/'DCF Model'!C15,0),"")</f>
        <v/>
      </c>
      <c r="F7" s="69">
        <f>IFERROR(ROUND(('DCF Model'!C45/(1+$B7)^1+'DCF Model'!D45/(1+$B7)^2+'DCF Model'!E45/(1+$B7)^3+'DCF Model'!F45/(1+$B7)^4+'DCF Model'!G45/(1+$B7)^5+'DCF Model'!G45*(1+F$6)/($B7-F$6)/(1+$B7)^5-'DCF Model'!C16)*1000000/'DCF Model'!C15,0),"")</f>
        <v/>
      </c>
      <c r="G7" s="69">
        <f>IFERROR(ROUND(('DCF Model'!C45/(1+$B7)^1+'DCF Model'!D45/(1+$B7)^2+'DCF Model'!E45/(1+$B7)^3+'DCF Model'!F45/(1+$B7)^4+'DCF Model'!G45/(1+$B7)^5+'DCF Model'!G45*(1+G$6)/($B7-G$6)/(1+$B7)^5-'DCF Model'!C16)*1000000/'DCF Model'!C15,0),"")</f>
        <v/>
      </c>
      <c r="H7" s="69">
        <f>IFERROR(ROUND(('DCF Model'!C45/(1+$B7)^1+'DCF Model'!D45/(1+$B7)^2+'DCF Model'!E45/(1+$B7)^3+'DCF Model'!F45/(1+$B7)^4+'DCF Model'!G45/(1+$B7)^5+'DCF Model'!G45*(1+H$6)/($B7-H$6)/(1+$B7)^5-'DCF Model'!C16)*1000000/'DCF Model'!C15,0),"")</f>
        <v/>
      </c>
      <c r="I7" s="69">
        <f>IFERROR(ROUND(('DCF Model'!C45/(1+$B7)^1+'DCF Model'!D45/(1+$B7)^2+'DCF Model'!E45/(1+$B7)^3+'DCF Model'!F45/(1+$B7)^4+'DCF Model'!G45/(1+$B7)^5+'DCF Model'!G45*(1+I$6)/($B7-I$6)/(1+$B7)^5-'DCF Model'!C16)*1000000/'DCF Model'!C15,0),"")</f>
        <v/>
      </c>
    </row>
    <row r="8">
      <c r="B8" s="68">
        <f>$C$3-0.01</f>
        <v/>
      </c>
      <c r="C8" s="69">
        <f>IFERROR(ROUND(('DCF Model'!C45/(1+$B8)^1+'DCF Model'!D45/(1+$B8)^2+'DCF Model'!E45/(1+$B8)^3+'DCF Model'!F45/(1+$B8)^4+'DCF Model'!G45/(1+$B8)^5+'DCF Model'!G45*(1+C$6)/($B8-C$6)/(1+$B8)^5-'DCF Model'!C16)*1000000/'DCF Model'!C15,0),"")</f>
        <v/>
      </c>
      <c r="D8" s="69">
        <f>IFERROR(ROUND(('DCF Model'!C45/(1+$B8)^1+'DCF Model'!D45/(1+$B8)^2+'DCF Model'!E45/(1+$B8)^3+'DCF Model'!F45/(1+$B8)^4+'DCF Model'!G45/(1+$B8)^5+'DCF Model'!G45*(1+D$6)/($B8-D$6)/(1+$B8)^5-'DCF Model'!C16)*1000000/'DCF Model'!C15,0),"")</f>
        <v/>
      </c>
      <c r="E8" s="69">
        <f>IFERROR(ROUND(('DCF Model'!C45/(1+$B8)^1+'DCF Model'!D45/(1+$B8)^2+'DCF Model'!E45/(1+$B8)^3+'DCF Model'!F45/(1+$B8)^4+'DCF Model'!G45/(1+$B8)^5+'DCF Model'!G45*(1+E$6)/($B8-E$6)/(1+$B8)^5-'DCF Model'!C16)*1000000/'DCF Model'!C15,0),"")</f>
        <v/>
      </c>
      <c r="F8" s="69">
        <f>IFERROR(ROUND(('DCF Model'!C45/(1+$B8)^1+'DCF Model'!D45/(1+$B8)^2+'DCF Model'!E45/(1+$B8)^3+'DCF Model'!F45/(1+$B8)^4+'DCF Model'!G45/(1+$B8)^5+'DCF Model'!G45*(1+F$6)/($B8-F$6)/(1+$B8)^5-'DCF Model'!C16)*1000000/'DCF Model'!C15,0),"")</f>
        <v/>
      </c>
      <c r="G8" s="69">
        <f>IFERROR(ROUND(('DCF Model'!C45/(1+$B8)^1+'DCF Model'!D45/(1+$B8)^2+'DCF Model'!E45/(1+$B8)^3+'DCF Model'!F45/(1+$B8)^4+'DCF Model'!G45/(1+$B8)^5+'DCF Model'!G45*(1+G$6)/($B8-G$6)/(1+$B8)^5-'DCF Model'!C16)*1000000/'DCF Model'!C15,0),"")</f>
        <v/>
      </c>
      <c r="H8" s="69">
        <f>IFERROR(ROUND(('DCF Model'!C45/(1+$B8)^1+'DCF Model'!D45/(1+$B8)^2+'DCF Model'!E45/(1+$B8)^3+'DCF Model'!F45/(1+$B8)^4+'DCF Model'!G45/(1+$B8)^5+'DCF Model'!G45*(1+H$6)/($B8-H$6)/(1+$B8)^5-'DCF Model'!C16)*1000000/'DCF Model'!C15,0),"")</f>
        <v/>
      </c>
      <c r="I8" s="69">
        <f>IFERROR(ROUND(('DCF Model'!C45/(1+$B8)^1+'DCF Model'!D45/(1+$B8)^2+'DCF Model'!E45/(1+$B8)^3+'DCF Model'!F45/(1+$B8)^4+'DCF Model'!G45/(1+$B8)^5+'DCF Model'!G45*(1+I$6)/($B8-I$6)/(1+$B8)^5-'DCF Model'!C16)*1000000/'DCF Model'!C15,0),"")</f>
        <v/>
      </c>
    </row>
    <row r="9">
      <c r="B9" s="68">
        <f>$C$3-0.005</f>
        <v/>
      </c>
      <c r="C9" s="69">
        <f>IFERROR(ROUND(('DCF Model'!C45/(1+$B9)^1+'DCF Model'!D45/(1+$B9)^2+'DCF Model'!E45/(1+$B9)^3+'DCF Model'!F45/(1+$B9)^4+'DCF Model'!G45/(1+$B9)^5+'DCF Model'!G45*(1+C$6)/($B9-C$6)/(1+$B9)^5-'DCF Model'!C16)*1000000/'DCF Model'!C15,0),"")</f>
        <v/>
      </c>
      <c r="D9" s="69">
        <f>IFERROR(ROUND(('DCF Model'!C45/(1+$B9)^1+'DCF Model'!D45/(1+$B9)^2+'DCF Model'!E45/(1+$B9)^3+'DCF Model'!F45/(1+$B9)^4+'DCF Model'!G45/(1+$B9)^5+'DCF Model'!G45*(1+D$6)/($B9-D$6)/(1+$B9)^5-'DCF Model'!C16)*1000000/'DCF Model'!C15,0),"")</f>
        <v/>
      </c>
      <c r="E9" s="69">
        <f>IFERROR(ROUND(('DCF Model'!C45/(1+$B9)^1+'DCF Model'!D45/(1+$B9)^2+'DCF Model'!E45/(1+$B9)^3+'DCF Model'!F45/(1+$B9)^4+'DCF Model'!G45/(1+$B9)^5+'DCF Model'!G45*(1+E$6)/($B9-E$6)/(1+$B9)^5-'DCF Model'!C16)*1000000/'DCF Model'!C15,0),"")</f>
        <v/>
      </c>
      <c r="F9" s="69">
        <f>IFERROR(ROUND(('DCF Model'!C45/(1+$B9)^1+'DCF Model'!D45/(1+$B9)^2+'DCF Model'!E45/(1+$B9)^3+'DCF Model'!F45/(1+$B9)^4+'DCF Model'!G45/(1+$B9)^5+'DCF Model'!G45*(1+F$6)/($B9-F$6)/(1+$B9)^5-'DCF Model'!C16)*1000000/'DCF Model'!C15,0),"")</f>
        <v/>
      </c>
      <c r="G9" s="69">
        <f>IFERROR(ROUND(('DCF Model'!C45/(1+$B9)^1+'DCF Model'!D45/(1+$B9)^2+'DCF Model'!E45/(1+$B9)^3+'DCF Model'!F45/(1+$B9)^4+'DCF Model'!G45/(1+$B9)^5+'DCF Model'!G45*(1+G$6)/($B9-G$6)/(1+$B9)^5-'DCF Model'!C16)*1000000/'DCF Model'!C15,0),"")</f>
        <v/>
      </c>
      <c r="H9" s="69">
        <f>IFERROR(ROUND(('DCF Model'!C45/(1+$B9)^1+'DCF Model'!D45/(1+$B9)^2+'DCF Model'!E45/(1+$B9)^3+'DCF Model'!F45/(1+$B9)^4+'DCF Model'!G45/(1+$B9)^5+'DCF Model'!G45*(1+H$6)/($B9-H$6)/(1+$B9)^5-'DCF Model'!C16)*1000000/'DCF Model'!C15,0),"")</f>
        <v/>
      </c>
      <c r="I9" s="69">
        <f>IFERROR(ROUND(('DCF Model'!C45/(1+$B9)^1+'DCF Model'!D45/(1+$B9)^2+'DCF Model'!E45/(1+$B9)^3+'DCF Model'!F45/(1+$B9)^4+'DCF Model'!G45/(1+$B9)^5+'DCF Model'!G45*(1+I$6)/($B9-I$6)/(1+$B9)^5-'DCF Model'!C16)*1000000/'DCF Model'!C15,0),"")</f>
        <v/>
      </c>
    </row>
    <row r="10">
      <c r="B10" s="68">
        <f>$C$3</f>
        <v/>
      </c>
      <c r="C10" s="69">
        <f>IFERROR(ROUND(('DCF Model'!C45/(1+$B10)^1+'DCF Model'!D45/(1+$B10)^2+'DCF Model'!E45/(1+$B10)^3+'DCF Model'!F45/(1+$B10)^4+'DCF Model'!G45/(1+$B10)^5+'DCF Model'!G45*(1+C$6)/($B10-C$6)/(1+$B10)^5-'DCF Model'!C16)*1000000/'DCF Model'!C15,0),"")</f>
        <v/>
      </c>
      <c r="D10" s="69">
        <f>IFERROR(ROUND(('DCF Model'!C45/(1+$B10)^1+'DCF Model'!D45/(1+$B10)^2+'DCF Model'!E45/(1+$B10)^3+'DCF Model'!F45/(1+$B10)^4+'DCF Model'!G45/(1+$B10)^5+'DCF Model'!G45*(1+D$6)/($B10-D$6)/(1+$B10)^5-'DCF Model'!C16)*1000000/'DCF Model'!C15,0),"")</f>
        <v/>
      </c>
      <c r="E10" s="69">
        <f>IFERROR(ROUND(('DCF Model'!C45/(1+$B10)^1+'DCF Model'!D45/(1+$B10)^2+'DCF Model'!E45/(1+$B10)^3+'DCF Model'!F45/(1+$B10)^4+'DCF Model'!G45/(1+$B10)^5+'DCF Model'!G45*(1+E$6)/($B10-E$6)/(1+$B10)^5-'DCF Model'!C16)*1000000/'DCF Model'!C15,0),"")</f>
        <v/>
      </c>
      <c r="F10" s="69">
        <f>IFERROR(ROUND(('DCF Model'!C45/(1+$B10)^1+'DCF Model'!D45/(1+$B10)^2+'DCF Model'!E45/(1+$B10)^3+'DCF Model'!F45/(1+$B10)^4+'DCF Model'!G45/(1+$B10)^5+'DCF Model'!G45*(1+F$6)/($B10-F$6)/(1+$B10)^5-'DCF Model'!C16)*1000000/'DCF Model'!C15,0),"")</f>
        <v/>
      </c>
      <c r="G10" s="69">
        <f>IFERROR(ROUND(('DCF Model'!C45/(1+$B10)^1+'DCF Model'!D45/(1+$B10)^2+'DCF Model'!E45/(1+$B10)^3+'DCF Model'!F45/(1+$B10)^4+'DCF Model'!G45/(1+$B10)^5+'DCF Model'!G45*(1+G$6)/($B10-G$6)/(1+$B10)^5-'DCF Model'!C16)*1000000/'DCF Model'!C15,0),"")</f>
        <v/>
      </c>
      <c r="H10" s="69">
        <f>IFERROR(ROUND(('DCF Model'!C45/(1+$B10)^1+'DCF Model'!D45/(1+$B10)^2+'DCF Model'!E45/(1+$B10)^3+'DCF Model'!F45/(1+$B10)^4+'DCF Model'!G45/(1+$B10)^5+'DCF Model'!G45*(1+H$6)/($B10-H$6)/(1+$B10)^5-'DCF Model'!C16)*1000000/'DCF Model'!C15,0),"")</f>
        <v/>
      </c>
      <c r="I10" s="69">
        <f>IFERROR(ROUND(('DCF Model'!C45/(1+$B10)^1+'DCF Model'!D45/(1+$B10)^2+'DCF Model'!E45/(1+$B10)^3+'DCF Model'!F45/(1+$B10)^4+'DCF Model'!G45/(1+$B10)^5+'DCF Model'!G45*(1+I$6)/($B10-I$6)/(1+$B10)^5-'DCF Model'!C16)*1000000/'DCF Model'!C15,0),"")</f>
        <v/>
      </c>
    </row>
    <row r="11">
      <c r="B11" s="68">
        <f>$C$3+0.005</f>
        <v/>
      </c>
      <c r="C11" s="69">
        <f>IFERROR(ROUND(('DCF Model'!C45/(1+$B11)^1+'DCF Model'!D45/(1+$B11)^2+'DCF Model'!E45/(1+$B11)^3+'DCF Model'!F45/(1+$B11)^4+'DCF Model'!G45/(1+$B11)^5+'DCF Model'!G45*(1+C$6)/($B11-C$6)/(1+$B11)^5-'DCF Model'!C16)*1000000/'DCF Model'!C15,0),"")</f>
        <v/>
      </c>
      <c r="D11" s="69">
        <f>IFERROR(ROUND(('DCF Model'!C45/(1+$B11)^1+'DCF Model'!D45/(1+$B11)^2+'DCF Model'!E45/(1+$B11)^3+'DCF Model'!F45/(1+$B11)^4+'DCF Model'!G45/(1+$B11)^5+'DCF Model'!G45*(1+D$6)/($B11-D$6)/(1+$B11)^5-'DCF Model'!C16)*1000000/'DCF Model'!C15,0),"")</f>
        <v/>
      </c>
      <c r="E11" s="69">
        <f>IFERROR(ROUND(('DCF Model'!C45/(1+$B11)^1+'DCF Model'!D45/(1+$B11)^2+'DCF Model'!E45/(1+$B11)^3+'DCF Model'!F45/(1+$B11)^4+'DCF Model'!G45/(1+$B11)^5+'DCF Model'!G45*(1+E$6)/($B11-E$6)/(1+$B11)^5-'DCF Model'!C16)*1000000/'DCF Model'!C15,0),"")</f>
        <v/>
      </c>
      <c r="F11" s="69">
        <f>IFERROR(ROUND(('DCF Model'!C45/(1+$B11)^1+'DCF Model'!D45/(1+$B11)^2+'DCF Model'!E45/(1+$B11)^3+'DCF Model'!F45/(1+$B11)^4+'DCF Model'!G45/(1+$B11)^5+'DCF Model'!G45*(1+F$6)/($B11-F$6)/(1+$B11)^5-'DCF Model'!C16)*1000000/'DCF Model'!C15,0),"")</f>
        <v/>
      </c>
      <c r="G11" s="69">
        <f>IFERROR(ROUND(('DCF Model'!C45/(1+$B11)^1+'DCF Model'!D45/(1+$B11)^2+'DCF Model'!E45/(1+$B11)^3+'DCF Model'!F45/(1+$B11)^4+'DCF Model'!G45/(1+$B11)^5+'DCF Model'!G45*(1+G$6)/($B11-G$6)/(1+$B11)^5-'DCF Model'!C16)*1000000/'DCF Model'!C15,0),"")</f>
        <v/>
      </c>
      <c r="H11" s="69">
        <f>IFERROR(ROUND(('DCF Model'!C45/(1+$B11)^1+'DCF Model'!D45/(1+$B11)^2+'DCF Model'!E45/(1+$B11)^3+'DCF Model'!F45/(1+$B11)^4+'DCF Model'!G45/(1+$B11)^5+'DCF Model'!G45*(1+H$6)/($B11-H$6)/(1+$B11)^5-'DCF Model'!C16)*1000000/'DCF Model'!C15,0),"")</f>
        <v/>
      </c>
      <c r="I11" s="69">
        <f>IFERROR(ROUND(('DCF Model'!C45/(1+$B11)^1+'DCF Model'!D45/(1+$B11)^2+'DCF Model'!E45/(1+$B11)^3+'DCF Model'!F45/(1+$B11)^4+'DCF Model'!G45/(1+$B11)^5+'DCF Model'!G45*(1+I$6)/($B11-I$6)/(1+$B11)^5-'DCF Model'!C16)*1000000/'DCF Model'!C15,0),"")</f>
        <v/>
      </c>
    </row>
    <row r="12">
      <c r="B12" s="68">
        <f>$C$3+0.01</f>
        <v/>
      </c>
      <c r="C12" s="69">
        <f>IFERROR(ROUND(('DCF Model'!C45/(1+$B12)^1+'DCF Model'!D45/(1+$B12)^2+'DCF Model'!E45/(1+$B12)^3+'DCF Model'!F45/(1+$B12)^4+'DCF Model'!G45/(1+$B12)^5+'DCF Model'!G45*(1+C$6)/($B12-C$6)/(1+$B12)^5-'DCF Model'!C16)*1000000/'DCF Model'!C15,0),"")</f>
        <v/>
      </c>
      <c r="D12" s="69">
        <f>IFERROR(ROUND(('DCF Model'!C45/(1+$B12)^1+'DCF Model'!D45/(1+$B12)^2+'DCF Model'!E45/(1+$B12)^3+'DCF Model'!F45/(1+$B12)^4+'DCF Model'!G45/(1+$B12)^5+'DCF Model'!G45*(1+D$6)/($B12-D$6)/(1+$B12)^5-'DCF Model'!C16)*1000000/'DCF Model'!C15,0),"")</f>
        <v/>
      </c>
      <c r="E12" s="69">
        <f>IFERROR(ROUND(('DCF Model'!C45/(1+$B12)^1+'DCF Model'!D45/(1+$B12)^2+'DCF Model'!E45/(1+$B12)^3+'DCF Model'!F45/(1+$B12)^4+'DCF Model'!G45/(1+$B12)^5+'DCF Model'!G45*(1+E$6)/($B12-E$6)/(1+$B12)^5-'DCF Model'!C16)*1000000/'DCF Model'!C15,0),"")</f>
        <v/>
      </c>
      <c r="F12" s="69">
        <f>IFERROR(ROUND(('DCF Model'!C45/(1+$B12)^1+'DCF Model'!D45/(1+$B12)^2+'DCF Model'!E45/(1+$B12)^3+'DCF Model'!F45/(1+$B12)^4+'DCF Model'!G45/(1+$B12)^5+'DCF Model'!G45*(1+F$6)/($B12-F$6)/(1+$B12)^5-'DCF Model'!C16)*1000000/'DCF Model'!C15,0),"")</f>
        <v/>
      </c>
      <c r="G12" s="69">
        <f>IFERROR(ROUND(('DCF Model'!C45/(1+$B12)^1+'DCF Model'!D45/(1+$B12)^2+'DCF Model'!E45/(1+$B12)^3+'DCF Model'!F45/(1+$B12)^4+'DCF Model'!G45/(1+$B12)^5+'DCF Model'!G45*(1+G$6)/($B12-G$6)/(1+$B12)^5-'DCF Model'!C16)*1000000/'DCF Model'!C15,0),"")</f>
        <v/>
      </c>
      <c r="H12" s="69">
        <f>IFERROR(ROUND(('DCF Model'!C45/(1+$B12)^1+'DCF Model'!D45/(1+$B12)^2+'DCF Model'!E45/(1+$B12)^3+'DCF Model'!F45/(1+$B12)^4+'DCF Model'!G45/(1+$B12)^5+'DCF Model'!G45*(1+H$6)/($B12-H$6)/(1+$B12)^5-'DCF Model'!C16)*1000000/'DCF Model'!C15,0),"")</f>
        <v/>
      </c>
      <c r="I12" s="69">
        <f>IFERROR(ROUND(('DCF Model'!C45/(1+$B12)^1+'DCF Model'!D45/(1+$B12)^2+'DCF Model'!E45/(1+$B12)^3+'DCF Model'!F45/(1+$B12)^4+'DCF Model'!G45/(1+$B12)^5+'DCF Model'!G45*(1+I$6)/($B12-I$6)/(1+$B12)^5-'DCF Model'!C16)*1000000/'DCF Model'!C15,0),"")</f>
        <v/>
      </c>
    </row>
    <row r="13">
      <c r="B13" s="68">
        <f>$C$3+0.015</f>
        <v/>
      </c>
      <c r="C13" s="69">
        <f>IFERROR(ROUND(('DCF Model'!C45/(1+$B13)^1+'DCF Model'!D45/(1+$B13)^2+'DCF Model'!E45/(1+$B13)^3+'DCF Model'!F45/(1+$B13)^4+'DCF Model'!G45/(1+$B13)^5+'DCF Model'!G45*(1+C$6)/($B13-C$6)/(1+$B13)^5-'DCF Model'!C16)*1000000/'DCF Model'!C15,0),"")</f>
        <v/>
      </c>
      <c r="D13" s="69">
        <f>IFERROR(ROUND(('DCF Model'!C45/(1+$B13)^1+'DCF Model'!D45/(1+$B13)^2+'DCF Model'!E45/(1+$B13)^3+'DCF Model'!F45/(1+$B13)^4+'DCF Model'!G45/(1+$B13)^5+'DCF Model'!G45*(1+D$6)/($B13-D$6)/(1+$B13)^5-'DCF Model'!C16)*1000000/'DCF Model'!C15,0),"")</f>
        <v/>
      </c>
      <c r="E13" s="69">
        <f>IFERROR(ROUND(('DCF Model'!C45/(1+$B13)^1+'DCF Model'!D45/(1+$B13)^2+'DCF Model'!E45/(1+$B13)^3+'DCF Model'!F45/(1+$B13)^4+'DCF Model'!G45/(1+$B13)^5+'DCF Model'!G45*(1+E$6)/($B13-E$6)/(1+$B13)^5-'DCF Model'!C16)*1000000/'DCF Model'!C15,0),"")</f>
        <v/>
      </c>
      <c r="F13" s="69">
        <f>IFERROR(ROUND(('DCF Model'!C45/(1+$B13)^1+'DCF Model'!D45/(1+$B13)^2+'DCF Model'!E45/(1+$B13)^3+'DCF Model'!F45/(1+$B13)^4+'DCF Model'!G45/(1+$B13)^5+'DCF Model'!G45*(1+F$6)/($B13-F$6)/(1+$B13)^5-'DCF Model'!C16)*1000000/'DCF Model'!C15,0),"")</f>
        <v/>
      </c>
      <c r="G13" s="69">
        <f>IFERROR(ROUND(('DCF Model'!C45/(1+$B13)^1+'DCF Model'!D45/(1+$B13)^2+'DCF Model'!E45/(1+$B13)^3+'DCF Model'!F45/(1+$B13)^4+'DCF Model'!G45/(1+$B13)^5+'DCF Model'!G45*(1+G$6)/($B13-G$6)/(1+$B13)^5-'DCF Model'!C16)*1000000/'DCF Model'!C15,0),"")</f>
        <v/>
      </c>
      <c r="H13" s="69">
        <f>IFERROR(ROUND(('DCF Model'!C45/(1+$B13)^1+'DCF Model'!D45/(1+$B13)^2+'DCF Model'!E45/(1+$B13)^3+'DCF Model'!F45/(1+$B13)^4+'DCF Model'!G45/(1+$B13)^5+'DCF Model'!G45*(1+H$6)/($B13-H$6)/(1+$B13)^5-'DCF Model'!C16)*1000000/'DCF Model'!C15,0),"")</f>
        <v/>
      </c>
      <c r="I13" s="69">
        <f>IFERROR(ROUND(('DCF Model'!C45/(1+$B13)^1+'DCF Model'!D45/(1+$B13)^2+'DCF Model'!E45/(1+$B13)^3+'DCF Model'!F45/(1+$B13)^4+'DCF Model'!G45/(1+$B13)^5+'DCF Model'!G45*(1+I$6)/($B13-I$6)/(1+$B13)^5-'DCF Model'!C16)*1000000/'DCF Model'!C15,0),"")</f>
        <v/>
      </c>
    </row>
    <row r="16">
      <c r="B16" s="2" t="inlineStr">
        <is>
          <t>Table 2: WACC vs Exit Multiple (Exit Multiple - Implied Share Price, JPY)</t>
        </is>
      </c>
    </row>
    <row r="17">
      <c r="B17" s="66" t="inlineStr">
        <is>
          <t>WACC \ Exit Multiple</t>
        </is>
      </c>
      <c r="C17" s="70">
        <f>$I$3-3.0</f>
        <v/>
      </c>
      <c r="D17" s="70">
        <f>$I$3-2.0</f>
        <v/>
      </c>
      <c r="E17" s="70">
        <f>$I$3-1.0</f>
        <v/>
      </c>
      <c r="F17" s="70">
        <f>$I$3</f>
        <v/>
      </c>
      <c r="G17" s="70">
        <f>$I$3+1.0</f>
        <v/>
      </c>
      <c r="H17" s="70">
        <f>$I$3+2.0</f>
        <v/>
      </c>
      <c r="I17" s="70">
        <f>$I$3+3.0</f>
        <v/>
      </c>
    </row>
    <row r="18">
      <c r="B18" s="68">
        <f>$C$3-0.015</f>
        <v/>
      </c>
      <c r="C18" s="69">
        <f>IFERROR(ROUND(('DCF Model'!C45/(1+$B18)^1+'DCF Model'!D45/(1+$B18)^2+'DCF Model'!E45/(1+$B18)^3+'DCF Model'!F45/(1+$B18)^4+'DCF Model'!G45/(1+$B18)^5+('DCF Model'!G38+'DCF Model'!G41)*C$17/(1+$B18)^5-'DCF Model'!C16)*1000000/'DCF Model'!C15,0),"")</f>
        <v/>
      </c>
      <c r="D18" s="69">
        <f>IFERROR(ROUND(('DCF Model'!C45/(1+$B18)^1+'DCF Model'!D45/(1+$B18)^2+'DCF Model'!E45/(1+$B18)^3+'DCF Model'!F45/(1+$B18)^4+'DCF Model'!G45/(1+$B18)^5+('DCF Model'!G38+'DCF Model'!G41)*D$17/(1+$B18)^5-'DCF Model'!C16)*1000000/'DCF Model'!C15,0),"")</f>
        <v/>
      </c>
      <c r="E18" s="69">
        <f>IFERROR(ROUND(('DCF Model'!C45/(1+$B18)^1+'DCF Model'!D45/(1+$B18)^2+'DCF Model'!E45/(1+$B18)^3+'DCF Model'!F45/(1+$B18)^4+'DCF Model'!G45/(1+$B18)^5+('DCF Model'!G38+'DCF Model'!G41)*E$17/(1+$B18)^5-'DCF Model'!C16)*1000000/'DCF Model'!C15,0),"")</f>
        <v/>
      </c>
      <c r="F18" s="69">
        <f>IFERROR(ROUND(('DCF Model'!C45/(1+$B18)^1+'DCF Model'!D45/(1+$B18)^2+'DCF Model'!E45/(1+$B18)^3+'DCF Model'!F45/(1+$B18)^4+'DCF Model'!G45/(1+$B18)^5+('DCF Model'!G38+'DCF Model'!G41)*F$17/(1+$B18)^5-'DCF Model'!C16)*1000000/'DCF Model'!C15,0),"")</f>
        <v/>
      </c>
      <c r="G18" s="69">
        <f>IFERROR(ROUND(('DCF Model'!C45/(1+$B18)^1+'DCF Model'!D45/(1+$B18)^2+'DCF Model'!E45/(1+$B18)^3+'DCF Model'!F45/(1+$B18)^4+'DCF Model'!G45/(1+$B18)^5+('DCF Model'!G38+'DCF Model'!G41)*G$17/(1+$B18)^5-'DCF Model'!C16)*1000000/'DCF Model'!C15,0),"")</f>
        <v/>
      </c>
      <c r="H18" s="69">
        <f>IFERROR(ROUND(('DCF Model'!C45/(1+$B18)^1+'DCF Model'!D45/(1+$B18)^2+'DCF Model'!E45/(1+$B18)^3+'DCF Model'!F45/(1+$B18)^4+'DCF Model'!G45/(1+$B18)^5+('DCF Model'!G38+'DCF Model'!G41)*H$17/(1+$B18)^5-'DCF Model'!C16)*1000000/'DCF Model'!C15,0),"")</f>
        <v/>
      </c>
      <c r="I18" s="69">
        <f>IFERROR(ROUND(('DCF Model'!C45/(1+$B18)^1+'DCF Model'!D45/(1+$B18)^2+'DCF Model'!E45/(1+$B18)^3+'DCF Model'!F45/(1+$B18)^4+'DCF Model'!G45/(1+$B18)^5+('DCF Model'!G38+'DCF Model'!G41)*I$17/(1+$B18)^5-'DCF Model'!C16)*1000000/'DCF Model'!C15,0),"")</f>
        <v/>
      </c>
    </row>
    <row r="19">
      <c r="B19" s="68">
        <f>$C$3-0.01</f>
        <v/>
      </c>
      <c r="C19" s="69">
        <f>IFERROR(ROUND(('DCF Model'!C45/(1+$B19)^1+'DCF Model'!D45/(1+$B19)^2+'DCF Model'!E45/(1+$B19)^3+'DCF Model'!F45/(1+$B19)^4+'DCF Model'!G45/(1+$B19)^5+('DCF Model'!G38+'DCF Model'!G41)*C$17/(1+$B19)^5-'DCF Model'!C16)*1000000/'DCF Model'!C15,0),"")</f>
        <v/>
      </c>
      <c r="D19" s="69">
        <f>IFERROR(ROUND(('DCF Model'!C45/(1+$B19)^1+'DCF Model'!D45/(1+$B19)^2+'DCF Model'!E45/(1+$B19)^3+'DCF Model'!F45/(1+$B19)^4+'DCF Model'!G45/(1+$B19)^5+('DCF Model'!G38+'DCF Model'!G41)*D$17/(1+$B19)^5-'DCF Model'!C16)*1000000/'DCF Model'!C15,0),"")</f>
        <v/>
      </c>
      <c r="E19" s="69">
        <f>IFERROR(ROUND(('DCF Model'!C45/(1+$B19)^1+'DCF Model'!D45/(1+$B19)^2+'DCF Model'!E45/(1+$B19)^3+'DCF Model'!F45/(1+$B19)^4+'DCF Model'!G45/(1+$B19)^5+('DCF Model'!G38+'DCF Model'!G41)*E$17/(1+$B19)^5-'DCF Model'!C16)*1000000/'DCF Model'!C15,0),"")</f>
        <v/>
      </c>
      <c r="F19" s="69">
        <f>IFERROR(ROUND(('DCF Model'!C45/(1+$B19)^1+'DCF Model'!D45/(1+$B19)^2+'DCF Model'!E45/(1+$B19)^3+'DCF Model'!F45/(1+$B19)^4+'DCF Model'!G45/(1+$B19)^5+('DCF Model'!G38+'DCF Model'!G41)*F$17/(1+$B19)^5-'DCF Model'!C16)*1000000/'DCF Model'!C15,0),"")</f>
        <v/>
      </c>
      <c r="G19" s="69">
        <f>IFERROR(ROUND(('DCF Model'!C45/(1+$B19)^1+'DCF Model'!D45/(1+$B19)^2+'DCF Model'!E45/(1+$B19)^3+'DCF Model'!F45/(1+$B19)^4+'DCF Model'!G45/(1+$B19)^5+('DCF Model'!G38+'DCF Model'!G41)*G$17/(1+$B19)^5-'DCF Model'!C16)*1000000/'DCF Model'!C15,0),"")</f>
        <v/>
      </c>
      <c r="H19" s="69">
        <f>IFERROR(ROUND(('DCF Model'!C45/(1+$B19)^1+'DCF Model'!D45/(1+$B19)^2+'DCF Model'!E45/(1+$B19)^3+'DCF Model'!F45/(1+$B19)^4+'DCF Model'!G45/(1+$B19)^5+('DCF Model'!G38+'DCF Model'!G41)*H$17/(1+$B19)^5-'DCF Model'!C16)*1000000/'DCF Model'!C15,0),"")</f>
        <v/>
      </c>
      <c r="I19" s="69">
        <f>IFERROR(ROUND(('DCF Model'!C45/(1+$B19)^1+'DCF Model'!D45/(1+$B19)^2+'DCF Model'!E45/(1+$B19)^3+'DCF Model'!F45/(1+$B19)^4+'DCF Model'!G45/(1+$B19)^5+('DCF Model'!G38+'DCF Model'!G41)*I$17/(1+$B19)^5-'DCF Model'!C16)*1000000/'DCF Model'!C15,0),"")</f>
        <v/>
      </c>
    </row>
    <row r="20">
      <c r="B20" s="68">
        <f>$C$3-0.005</f>
        <v/>
      </c>
      <c r="C20" s="69">
        <f>IFERROR(ROUND(('DCF Model'!C45/(1+$B20)^1+'DCF Model'!D45/(1+$B20)^2+'DCF Model'!E45/(1+$B20)^3+'DCF Model'!F45/(1+$B20)^4+'DCF Model'!G45/(1+$B20)^5+('DCF Model'!G38+'DCF Model'!G41)*C$17/(1+$B20)^5-'DCF Model'!C16)*1000000/'DCF Model'!C15,0),"")</f>
        <v/>
      </c>
      <c r="D20" s="69">
        <f>IFERROR(ROUND(('DCF Model'!C45/(1+$B20)^1+'DCF Model'!D45/(1+$B20)^2+'DCF Model'!E45/(1+$B20)^3+'DCF Model'!F45/(1+$B20)^4+'DCF Model'!G45/(1+$B20)^5+('DCF Model'!G38+'DCF Model'!G41)*D$17/(1+$B20)^5-'DCF Model'!C16)*1000000/'DCF Model'!C15,0),"")</f>
        <v/>
      </c>
      <c r="E20" s="69">
        <f>IFERROR(ROUND(('DCF Model'!C45/(1+$B20)^1+'DCF Model'!D45/(1+$B20)^2+'DCF Model'!E45/(1+$B20)^3+'DCF Model'!F45/(1+$B20)^4+'DCF Model'!G45/(1+$B20)^5+('DCF Model'!G38+'DCF Model'!G41)*E$17/(1+$B20)^5-'DCF Model'!C16)*1000000/'DCF Model'!C15,0),"")</f>
        <v/>
      </c>
      <c r="F20" s="69">
        <f>IFERROR(ROUND(('DCF Model'!C45/(1+$B20)^1+'DCF Model'!D45/(1+$B20)^2+'DCF Model'!E45/(1+$B20)^3+'DCF Model'!F45/(1+$B20)^4+'DCF Model'!G45/(1+$B20)^5+('DCF Model'!G38+'DCF Model'!G41)*F$17/(1+$B20)^5-'DCF Model'!C16)*1000000/'DCF Model'!C15,0),"")</f>
        <v/>
      </c>
      <c r="G20" s="69">
        <f>IFERROR(ROUND(('DCF Model'!C45/(1+$B20)^1+'DCF Model'!D45/(1+$B20)^2+'DCF Model'!E45/(1+$B20)^3+'DCF Model'!F45/(1+$B20)^4+'DCF Model'!G45/(1+$B20)^5+('DCF Model'!G38+'DCF Model'!G41)*G$17/(1+$B20)^5-'DCF Model'!C16)*1000000/'DCF Model'!C15,0),"")</f>
        <v/>
      </c>
      <c r="H20" s="69">
        <f>IFERROR(ROUND(('DCF Model'!C45/(1+$B20)^1+'DCF Model'!D45/(1+$B20)^2+'DCF Model'!E45/(1+$B20)^3+'DCF Model'!F45/(1+$B20)^4+'DCF Model'!G45/(1+$B20)^5+('DCF Model'!G38+'DCF Model'!G41)*H$17/(1+$B20)^5-'DCF Model'!C16)*1000000/'DCF Model'!C15,0),"")</f>
        <v/>
      </c>
      <c r="I20" s="69">
        <f>IFERROR(ROUND(('DCF Model'!C45/(1+$B20)^1+'DCF Model'!D45/(1+$B20)^2+'DCF Model'!E45/(1+$B20)^3+'DCF Model'!F45/(1+$B20)^4+'DCF Model'!G45/(1+$B20)^5+('DCF Model'!G38+'DCF Model'!G41)*I$17/(1+$B20)^5-'DCF Model'!C16)*1000000/'DCF Model'!C15,0),"")</f>
        <v/>
      </c>
    </row>
    <row r="21">
      <c r="B21" s="68">
        <f>$C$3</f>
        <v/>
      </c>
      <c r="C21" s="69">
        <f>IFERROR(ROUND(('DCF Model'!C45/(1+$B21)^1+'DCF Model'!D45/(1+$B21)^2+'DCF Model'!E45/(1+$B21)^3+'DCF Model'!F45/(1+$B21)^4+'DCF Model'!G45/(1+$B21)^5+('DCF Model'!G38+'DCF Model'!G41)*C$17/(1+$B21)^5-'DCF Model'!C16)*1000000/'DCF Model'!C15,0),"")</f>
        <v/>
      </c>
      <c r="D21" s="69">
        <f>IFERROR(ROUND(('DCF Model'!C45/(1+$B21)^1+'DCF Model'!D45/(1+$B21)^2+'DCF Model'!E45/(1+$B21)^3+'DCF Model'!F45/(1+$B21)^4+'DCF Model'!G45/(1+$B21)^5+('DCF Model'!G38+'DCF Model'!G41)*D$17/(1+$B21)^5-'DCF Model'!C16)*1000000/'DCF Model'!C15,0),"")</f>
        <v/>
      </c>
      <c r="E21" s="69">
        <f>IFERROR(ROUND(('DCF Model'!C45/(1+$B21)^1+'DCF Model'!D45/(1+$B21)^2+'DCF Model'!E45/(1+$B21)^3+'DCF Model'!F45/(1+$B21)^4+'DCF Model'!G45/(1+$B21)^5+('DCF Model'!G38+'DCF Model'!G41)*E$17/(1+$B21)^5-'DCF Model'!C16)*1000000/'DCF Model'!C15,0),"")</f>
        <v/>
      </c>
      <c r="F21" s="69">
        <f>IFERROR(ROUND(('DCF Model'!C45/(1+$B21)^1+'DCF Model'!D45/(1+$B21)^2+'DCF Model'!E45/(1+$B21)^3+'DCF Model'!F45/(1+$B21)^4+'DCF Model'!G45/(1+$B21)^5+('DCF Model'!G38+'DCF Model'!G41)*F$17/(1+$B21)^5-'DCF Model'!C16)*1000000/'DCF Model'!C15,0),"")</f>
        <v/>
      </c>
      <c r="G21" s="69">
        <f>IFERROR(ROUND(('DCF Model'!C45/(1+$B21)^1+'DCF Model'!D45/(1+$B21)^2+'DCF Model'!E45/(1+$B21)^3+'DCF Model'!F45/(1+$B21)^4+'DCF Model'!G45/(1+$B21)^5+('DCF Model'!G38+'DCF Model'!G41)*G$17/(1+$B21)^5-'DCF Model'!C16)*1000000/'DCF Model'!C15,0),"")</f>
        <v/>
      </c>
      <c r="H21" s="69">
        <f>IFERROR(ROUND(('DCF Model'!C45/(1+$B21)^1+'DCF Model'!D45/(1+$B21)^2+'DCF Model'!E45/(1+$B21)^3+'DCF Model'!F45/(1+$B21)^4+'DCF Model'!G45/(1+$B21)^5+('DCF Model'!G38+'DCF Model'!G41)*H$17/(1+$B21)^5-'DCF Model'!C16)*1000000/'DCF Model'!C15,0),"")</f>
        <v/>
      </c>
      <c r="I21" s="69">
        <f>IFERROR(ROUND(('DCF Model'!C45/(1+$B21)^1+'DCF Model'!D45/(1+$B21)^2+'DCF Model'!E45/(1+$B21)^3+'DCF Model'!F45/(1+$B21)^4+'DCF Model'!G45/(1+$B21)^5+('DCF Model'!G38+'DCF Model'!G41)*I$17/(1+$B21)^5-'DCF Model'!C16)*1000000/'DCF Model'!C15,0),"")</f>
        <v/>
      </c>
    </row>
    <row r="22">
      <c r="B22" s="68">
        <f>$C$3+0.005</f>
        <v/>
      </c>
      <c r="C22" s="69">
        <f>IFERROR(ROUND(('DCF Model'!C45/(1+$B22)^1+'DCF Model'!D45/(1+$B22)^2+'DCF Model'!E45/(1+$B22)^3+'DCF Model'!F45/(1+$B22)^4+'DCF Model'!G45/(1+$B22)^5+('DCF Model'!G38+'DCF Model'!G41)*C$17/(1+$B22)^5-'DCF Model'!C16)*1000000/'DCF Model'!C15,0),"")</f>
        <v/>
      </c>
      <c r="D22" s="69">
        <f>IFERROR(ROUND(('DCF Model'!C45/(1+$B22)^1+'DCF Model'!D45/(1+$B22)^2+'DCF Model'!E45/(1+$B22)^3+'DCF Model'!F45/(1+$B22)^4+'DCF Model'!G45/(1+$B22)^5+('DCF Model'!G38+'DCF Model'!G41)*D$17/(1+$B22)^5-'DCF Model'!C16)*1000000/'DCF Model'!C15,0),"")</f>
        <v/>
      </c>
      <c r="E22" s="69">
        <f>IFERROR(ROUND(('DCF Model'!C45/(1+$B22)^1+'DCF Model'!D45/(1+$B22)^2+'DCF Model'!E45/(1+$B22)^3+'DCF Model'!F45/(1+$B22)^4+'DCF Model'!G45/(1+$B22)^5+('DCF Model'!G38+'DCF Model'!G41)*E$17/(1+$B22)^5-'DCF Model'!C16)*1000000/'DCF Model'!C15,0),"")</f>
        <v/>
      </c>
      <c r="F22" s="69">
        <f>IFERROR(ROUND(('DCF Model'!C45/(1+$B22)^1+'DCF Model'!D45/(1+$B22)^2+'DCF Model'!E45/(1+$B22)^3+'DCF Model'!F45/(1+$B22)^4+'DCF Model'!G45/(1+$B22)^5+('DCF Model'!G38+'DCF Model'!G41)*F$17/(1+$B22)^5-'DCF Model'!C16)*1000000/'DCF Model'!C15,0),"")</f>
        <v/>
      </c>
      <c r="G22" s="69">
        <f>IFERROR(ROUND(('DCF Model'!C45/(1+$B22)^1+'DCF Model'!D45/(1+$B22)^2+'DCF Model'!E45/(1+$B22)^3+'DCF Model'!F45/(1+$B22)^4+'DCF Model'!G45/(1+$B22)^5+('DCF Model'!G38+'DCF Model'!G41)*G$17/(1+$B22)^5-'DCF Model'!C16)*1000000/'DCF Model'!C15,0),"")</f>
        <v/>
      </c>
      <c r="H22" s="69">
        <f>IFERROR(ROUND(('DCF Model'!C45/(1+$B22)^1+'DCF Model'!D45/(1+$B22)^2+'DCF Model'!E45/(1+$B22)^3+'DCF Model'!F45/(1+$B22)^4+'DCF Model'!G45/(1+$B22)^5+('DCF Model'!G38+'DCF Model'!G41)*H$17/(1+$B22)^5-'DCF Model'!C16)*1000000/'DCF Model'!C15,0),"")</f>
        <v/>
      </c>
      <c r="I22" s="69">
        <f>IFERROR(ROUND(('DCF Model'!C45/(1+$B22)^1+'DCF Model'!D45/(1+$B22)^2+'DCF Model'!E45/(1+$B22)^3+'DCF Model'!F45/(1+$B22)^4+'DCF Model'!G45/(1+$B22)^5+('DCF Model'!G38+'DCF Model'!G41)*I$17/(1+$B22)^5-'DCF Model'!C16)*1000000/'DCF Model'!C15,0),"")</f>
        <v/>
      </c>
    </row>
    <row r="23">
      <c r="B23" s="68">
        <f>$C$3+0.01</f>
        <v/>
      </c>
      <c r="C23" s="69">
        <f>IFERROR(ROUND(('DCF Model'!C45/(1+$B23)^1+'DCF Model'!D45/(1+$B23)^2+'DCF Model'!E45/(1+$B23)^3+'DCF Model'!F45/(1+$B23)^4+'DCF Model'!G45/(1+$B23)^5+('DCF Model'!G38+'DCF Model'!G41)*C$17/(1+$B23)^5-'DCF Model'!C16)*1000000/'DCF Model'!C15,0),"")</f>
        <v/>
      </c>
      <c r="D23" s="69">
        <f>IFERROR(ROUND(('DCF Model'!C45/(1+$B23)^1+'DCF Model'!D45/(1+$B23)^2+'DCF Model'!E45/(1+$B23)^3+'DCF Model'!F45/(1+$B23)^4+'DCF Model'!G45/(1+$B23)^5+('DCF Model'!G38+'DCF Model'!G41)*D$17/(1+$B23)^5-'DCF Model'!C16)*1000000/'DCF Model'!C15,0),"")</f>
        <v/>
      </c>
      <c r="E23" s="69">
        <f>IFERROR(ROUND(('DCF Model'!C45/(1+$B23)^1+'DCF Model'!D45/(1+$B23)^2+'DCF Model'!E45/(1+$B23)^3+'DCF Model'!F45/(1+$B23)^4+'DCF Model'!G45/(1+$B23)^5+('DCF Model'!G38+'DCF Model'!G41)*E$17/(1+$B23)^5-'DCF Model'!C16)*1000000/'DCF Model'!C15,0),"")</f>
        <v/>
      </c>
      <c r="F23" s="69">
        <f>IFERROR(ROUND(('DCF Model'!C45/(1+$B23)^1+'DCF Model'!D45/(1+$B23)^2+'DCF Model'!E45/(1+$B23)^3+'DCF Model'!F45/(1+$B23)^4+'DCF Model'!G45/(1+$B23)^5+('DCF Model'!G38+'DCF Model'!G41)*F$17/(1+$B23)^5-'DCF Model'!C16)*1000000/'DCF Model'!C15,0),"")</f>
        <v/>
      </c>
      <c r="G23" s="69">
        <f>IFERROR(ROUND(('DCF Model'!C45/(1+$B23)^1+'DCF Model'!D45/(1+$B23)^2+'DCF Model'!E45/(1+$B23)^3+'DCF Model'!F45/(1+$B23)^4+'DCF Model'!G45/(1+$B23)^5+('DCF Model'!G38+'DCF Model'!G41)*G$17/(1+$B23)^5-'DCF Model'!C16)*1000000/'DCF Model'!C15,0),"")</f>
        <v/>
      </c>
      <c r="H23" s="69">
        <f>IFERROR(ROUND(('DCF Model'!C45/(1+$B23)^1+'DCF Model'!D45/(1+$B23)^2+'DCF Model'!E45/(1+$B23)^3+'DCF Model'!F45/(1+$B23)^4+'DCF Model'!G45/(1+$B23)^5+('DCF Model'!G38+'DCF Model'!G41)*H$17/(1+$B23)^5-'DCF Model'!C16)*1000000/'DCF Model'!C15,0),"")</f>
        <v/>
      </c>
      <c r="I23" s="69">
        <f>IFERROR(ROUND(('DCF Model'!C45/(1+$B23)^1+'DCF Model'!D45/(1+$B23)^2+'DCF Model'!E45/(1+$B23)^3+'DCF Model'!F45/(1+$B23)^4+'DCF Model'!G45/(1+$B23)^5+('DCF Model'!G38+'DCF Model'!G41)*I$17/(1+$B23)^5-'DCF Model'!C16)*1000000/'DCF Model'!C15,0),"")</f>
        <v/>
      </c>
    </row>
    <row r="24">
      <c r="B24" s="68">
        <f>$C$3+0.015</f>
        <v/>
      </c>
      <c r="C24" s="69">
        <f>IFERROR(ROUND(('DCF Model'!C45/(1+$B24)^1+'DCF Model'!D45/(1+$B24)^2+'DCF Model'!E45/(1+$B24)^3+'DCF Model'!F45/(1+$B24)^4+'DCF Model'!G45/(1+$B24)^5+('DCF Model'!G38+'DCF Model'!G41)*C$17/(1+$B24)^5-'DCF Model'!C16)*1000000/'DCF Model'!C15,0),"")</f>
        <v/>
      </c>
      <c r="D24" s="69">
        <f>IFERROR(ROUND(('DCF Model'!C45/(1+$B24)^1+'DCF Model'!D45/(1+$B24)^2+'DCF Model'!E45/(1+$B24)^3+'DCF Model'!F45/(1+$B24)^4+'DCF Model'!G45/(1+$B24)^5+('DCF Model'!G38+'DCF Model'!G41)*D$17/(1+$B24)^5-'DCF Model'!C16)*1000000/'DCF Model'!C15,0),"")</f>
        <v/>
      </c>
      <c r="E24" s="69">
        <f>IFERROR(ROUND(('DCF Model'!C45/(1+$B24)^1+'DCF Model'!D45/(1+$B24)^2+'DCF Model'!E45/(1+$B24)^3+'DCF Model'!F45/(1+$B24)^4+'DCF Model'!G45/(1+$B24)^5+('DCF Model'!G38+'DCF Model'!G41)*E$17/(1+$B24)^5-'DCF Model'!C16)*1000000/'DCF Model'!C15,0),"")</f>
        <v/>
      </c>
      <c r="F24" s="69">
        <f>IFERROR(ROUND(('DCF Model'!C45/(1+$B24)^1+'DCF Model'!D45/(1+$B24)^2+'DCF Model'!E45/(1+$B24)^3+'DCF Model'!F45/(1+$B24)^4+'DCF Model'!G45/(1+$B24)^5+('DCF Model'!G38+'DCF Model'!G41)*F$17/(1+$B24)^5-'DCF Model'!C16)*1000000/'DCF Model'!C15,0),"")</f>
        <v/>
      </c>
      <c r="G24" s="69">
        <f>IFERROR(ROUND(('DCF Model'!C45/(1+$B24)^1+'DCF Model'!D45/(1+$B24)^2+'DCF Model'!E45/(1+$B24)^3+'DCF Model'!F45/(1+$B24)^4+'DCF Model'!G45/(1+$B24)^5+('DCF Model'!G38+'DCF Model'!G41)*G$17/(1+$B24)^5-'DCF Model'!C16)*1000000/'DCF Model'!C15,0),"")</f>
        <v/>
      </c>
      <c r="H24" s="69">
        <f>IFERROR(ROUND(('DCF Model'!C45/(1+$B24)^1+'DCF Model'!D45/(1+$B24)^2+'DCF Model'!E45/(1+$B24)^3+'DCF Model'!F45/(1+$B24)^4+'DCF Model'!G45/(1+$B24)^5+('DCF Model'!G38+'DCF Model'!G41)*H$17/(1+$B24)^5-'DCF Model'!C16)*1000000/'DCF Model'!C15,0),"")</f>
        <v/>
      </c>
      <c r="I24" s="69">
        <f>IFERROR(ROUND(('DCF Model'!C45/(1+$B24)^1+'DCF Model'!D45/(1+$B24)^2+'DCF Model'!E45/(1+$B24)^3+'DCF Model'!F45/(1+$B24)^4+'DCF Model'!G45/(1+$B24)^5+('DCF Model'!G38+'DCF Model'!G41)*I$17/(1+$B24)^5-'DCF Model'!C16)*1000000/'DCF Model'!C15,0),"")</f>
        <v/>
      </c>
    </row>
    <row r="26">
      <c r="B26" s="71" t="inlineStr">
        <is>
          <t>All values dynamically linked to DCF Model. Headers auto-center on current WACC / Terminal g / Exit Multiple.</t>
        </is>
      </c>
    </row>
  </sheetData>
  <mergeCells count="1">
    <mergeCell ref="B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2026-03-06T12:03:23Z</dcterms:created>
  <dcterms:modified xsi:type="dcterms:W3CDTF">2026-03-06T12:46:56Z</dcterms:modified>
  <cp:lastModifiedBy>良亮 佐藤</cp:lastModifiedBy>
</cp:coreProperties>
</file>