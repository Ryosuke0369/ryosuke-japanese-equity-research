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ryosuke0923\"/>
    </mc:Choice>
  </mc:AlternateContent>
  <xr:revisionPtr revIDLastSave="0" documentId="13_ncr:1_{DFE7C771-82A4-4F29-8F90-36FB2796948B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Executive Summary" sheetId="1" r:id="rId1"/>
    <sheet name="Financial Statements" sheetId="2" r:id="rId2"/>
    <sheet name="DCF Model" sheetId="3" r:id="rId3"/>
    <sheet name="Comps Analysis" sheetId="4" r:id="rId4"/>
    <sheet name="Sensitivity Analysis" sheetId="5" r:id="rId5"/>
  </sheets>
  <calcPr calcId="181029"/>
</workbook>
</file>

<file path=xl/calcChain.xml><?xml version="1.0" encoding="utf-8"?>
<calcChain xmlns="http://schemas.openxmlformats.org/spreadsheetml/2006/main">
  <c r="D17" i="1" l="1"/>
  <c r="D16" i="1"/>
  <c r="G13" i="5"/>
  <c r="F13" i="5"/>
  <c r="E13" i="5"/>
  <c r="D13" i="5"/>
  <c r="C13" i="5"/>
  <c r="G12" i="5"/>
  <c r="F12" i="5"/>
  <c r="E12" i="5"/>
  <c r="D12" i="5"/>
  <c r="C12" i="5"/>
  <c r="G11" i="5"/>
  <c r="F11" i="5"/>
  <c r="E11" i="5"/>
  <c r="D11" i="5"/>
  <c r="C11" i="5"/>
  <c r="G10" i="5"/>
  <c r="F10" i="5"/>
  <c r="E10" i="5"/>
  <c r="D10" i="5"/>
  <c r="C10" i="5"/>
  <c r="G9" i="5"/>
  <c r="F9" i="5"/>
  <c r="E9" i="5"/>
  <c r="D9" i="5"/>
  <c r="C9" i="5"/>
  <c r="G8" i="5"/>
  <c r="F8" i="5"/>
  <c r="E8" i="5"/>
  <c r="D8" i="5"/>
  <c r="C8" i="5"/>
  <c r="G7" i="5"/>
  <c r="F7" i="5"/>
  <c r="E7" i="5"/>
  <c r="D7" i="5"/>
  <c r="C7" i="5"/>
  <c r="G6" i="5"/>
  <c r="F6" i="5"/>
  <c r="E6" i="5"/>
  <c r="D6" i="5"/>
  <c r="C6" i="5"/>
  <c r="I17" i="4"/>
  <c r="H17" i="4"/>
  <c r="G17" i="4"/>
  <c r="I16" i="4"/>
  <c r="H16" i="4"/>
  <c r="G16" i="4"/>
  <c r="F16" i="4"/>
  <c r="C28" i="4" s="1"/>
  <c r="C19" i="1" s="1"/>
  <c r="D19" i="1" s="1"/>
  <c r="I15" i="4"/>
  <c r="G15" i="4"/>
  <c r="N12" i="4"/>
  <c r="L12" i="4"/>
  <c r="K12" i="4"/>
  <c r="J12" i="4"/>
  <c r="N11" i="4"/>
  <c r="L11" i="4"/>
  <c r="K11" i="4"/>
  <c r="J11" i="4"/>
  <c r="N10" i="4"/>
  <c r="L10" i="4"/>
  <c r="K10" i="4"/>
  <c r="J10" i="4"/>
  <c r="N9" i="4"/>
  <c r="L9" i="4"/>
  <c r="K9" i="4"/>
  <c r="J9" i="4"/>
  <c r="N8" i="4"/>
  <c r="L8" i="4"/>
  <c r="K8" i="4"/>
  <c r="J8" i="4"/>
  <c r="N7" i="4"/>
  <c r="L7" i="4"/>
  <c r="K7" i="4"/>
  <c r="J7" i="4"/>
  <c r="N6" i="4"/>
  <c r="L6" i="4"/>
  <c r="K6" i="4"/>
  <c r="J6" i="4"/>
  <c r="N5" i="4"/>
  <c r="H15" i="4" s="1"/>
  <c r="L5" i="4"/>
  <c r="F17" i="4" s="1"/>
  <c r="K5" i="4"/>
  <c r="E16" i="4" s="1"/>
  <c r="J5" i="4"/>
  <c r="D16" i="4" s="1"/>
  <c r="C27" i="4" s="1"/>
  <c r="C18" i="1" s="1"/>
  <c r="D18" i="1" s="1"/>
  <c r="C35" i="3"/>
  <c r="C34" i="3"/>
  <c r="C31" i="3"/>
  <c r="E30" i="3"/>
  <c r="E31" i="3" s="1"/>
  <c r="D30" i="3"/>
  <c r="D31" i="3" s="1"/>
  <c r="C30" i="3"/>
  <c r="C25" i="3"/>
  <c r="C24" i="3"/>
  <c r="C26" i="3" s="1"/>
  <c r="C23" i="3"/>
  <c r="F19" i="2"/>
  <c r="E19" i="2"/>
  <c r="F18" i="2"/>
  <c r="E18" i="2"/>
  <c r="D18" i="2"/>
  <c r="D19" i="2" s="1"/>
  <c r="C18" i="2"/>
  <c r="C19" i="2" s="1"/>
  <c r="F17" i="2"/>
  <c r="E17" i="2"/>
  <c r="D17" i="2"/>
  <c r="C17" i="2"/>
  <c r="F12" i="2"/>
  <c r="E12" i="2"/>
  <c r="D12" i="2"/>
  <c r="F11" i="2"/>
  <c r="E11" i="2"/>
  <c r="D11" i="2"/>
  <c r="F10" i="2"/>
  <c r="E10" i="2"/>
  <c r="D10" i="2"/>
  <c r="C10" i="2"/>
  <c r="F9" i="2"/>
  <c r="E9" i="2"/>
  <c r="D9" i="2"/>
  <c r="C9" i="2"/>
  <c r="C32" i="3" l="1"/>
  <c r="C33" i="3" s="1"/>
  <c r="C36" i="3" s="1"/>
  <c r="C38" i="3" s="1"/>
  <c r="D34" i="3"/>
  <c r="D35" i="3"/>
  <c r="D32" i="3"/>
  <c r="D33" i="3" s="1"/>
  <c r="E32" i="3"/>
  <c r="E33" i="3" s="1"/>
  <c r="H23" i="5"/>
  <c r="F22" i="5"/>
  <c r="D21" i="5"/>
  <c r="H19" i="5"/>
  <c r="F18" i="5"/>
  <c r="G23" i="5"/>
  <c r="E22" i="5"/>
  <c r="C21" i="5"/>
  <c r="G19" i="5"/>
  <c r="E18" i="5"/>
  <c r="F23" i="5"/>
  <c r="D22" i="5"/>
  <c r="H20" i="5"/>
  <c r="F19" i="5"/>
  <c r="D18" i="5"/>
  <c r="G37" i="3"/>
  <c r="E23" i="5"/>
  <c r="C22" i="5"/>
  <c r="G20" i="5"/>
  <c r="E19" i="5"/>
  <c r="C18" i="5"/>
  <c r="F37" i="3"/>
  <c r="E37" i="3"/>
  <c r="C23" i="5"/>
  <c r="G21" i="5"/>
  <c r="E20" i="5"/>
  <c r="C19" i="5"/>
  <c r="H22" i="5"/>
  <c r="H18" i="5"/>
  <c r="C37" i="3"/>
  <c r="D23" i="5"/>
  <c r="H21" i="5"/>
  <c r="F20" i="5"/>
  <c r="D19" i="5"/>
  <c r="D37" i="3"/>
  <c r="F21" i="5"/>
  <c r="D20" i="5"/>
  <c r="G22" i="5"/>
  <c r="E21" i="5"/>
  <c r="C20" i="5"/>
  <c r="G18" i="5"/>
  <c r="D15" i="4"/>
  <c r="F15" i="4"/>
  <c r="F30" i="3"/>
  <c r="E35" i="3"/>
  <c r="E15" i="4"/>
  <c r="E34" i="3"/>
  <c r="D17" i="4"/>
  <c r="E17" i="4"/>
  <c r="E36" i="3" l="1"/>
  <c r="E38" i="3" s="1"/>
  <c r="D36" i="3"/>
  <c r="D38" i="3" s="1"/>
  <c r="F31" i="3"/>
  <c r="F34" i="3"/>
  <c r="G30" i="3"/>
  <c r="F35" i="3"/>
  <c r="G31" i="3" l="1"/>
  <c r="G34" i="3"/>
  <c r="G35" i="3"/>
  <c r="F32" i="3"/>
  <c r="F33" i="3"/>
  <c r="F36" i="3" s="1"/>
  <c r="F38" i="3" s="1"/>
  <c r="G32" i="3" l="1"/>
  <c r="G33" i="3" s="1"/>
  <c r="G36" i="3" s="1"/>
  <c r="C50" i="3"/>
  <c r="C51" i="3" s="1"/>
  <c r="C52" i="3" s="1"/>
  <c r="C42" i="3" l="1"/>
  <c r="C43" i="3" s="1"/>
  <c r="G38" i="3"/>
  <c r="C41" i="3" s="1"/>
  <c r="C44" i="3" l="1"/>
  <c r="C45" i="3" s="1"/>
  <c r="C46" i="3" s="1"/>
  <c r="C53" i="3"/>
  <c r="C54" i="3" s="1"/>
  <c r="C55" i="3" s="1"/>
  <c r="C17" i="1" s="1"/>
  <c r="C49" i="3"/>
  <c r="C10" i="1" l="1"/>
  <c r="C12" i="1" s="1"/>
  <c r="C16" i="1"/>
  <c r="C21" i="1" l="1"/>
</calcChain>
</file>

<file path=xl/sharedStrings.xml><?xml version="1.0" encoding="utf-8"?>
<sst xmlns="http://schemas.openxmlformats.org/spreadsheetml/2006/main" count="154" uniqueCount="144">
  <si>
    <t>DISCLAIMER: This is a sample for demonstration purposes only. It does not constitute investment advice. All data and analysis are illustrative.</t>
  </si>
  <si>
    <t>Core Corporation (2359.T)</t>
  </si>
  <si>
    <t>Equity Research Report</t>
  </si>
  <si>
    <t>Company</t>
  </si>
  <si>
    <t>Core Corporation</t>
  </si>
  <si>
    <t>Ticker</t>
  </si>
  <si>
    <t>2359.T (TSE Prime)</t>
  </si>
  <si>
    <t>Sector</t>
  </si>
  <si>
    <t>Information Technology / GIS &amp; System Integration</t>
  </si>
  <si>
    <t>Current Price</t>
  </si>
  <si>
    <t>Target Price (Mid)</t>
  </si>
  <si>
    <t>Recommendation</t>
  </si>
  <si>
    <t>BUY</t>
  </si>
  <si>
    <t>Upside / Downside</t>
  </si>
  <si>
    <t>Valuation Summary</t>
  </si>
  <si>
    <t>Methodology</t>
  </si>
  <si>
    <t>Implied Value (JPY)</t>
  </si>
  <si>
    <t>vs Current Price</t>
  </si>
  <si>
    <t>DCF - Perpetuity Growth</t>
  </si>
  <si>
    <t>DCF - Exit Multiple</t>
  </si>
  <si>
    <t>Comps - EV/EBITDA Median</t>
  </si>
  <si>
    <t>Comps - PER Median</t>
  </si>
  <si>
    <t>Integrated Valuation Range</t>
  </si>
  <si>
    <t>Key Investment Thesis</t>
  </si>
  <si>
    <t>1. Growth in government GIS business driven by Michibiki satellite system expansion</t>
  </si>
  <si>
    <t>2. Structural expansion of defense-related IT demand</t>
  </si>
  <si>
    <t>3. Solid cash flow generation and shareholder returns</t>
  </si>
  <si>
    <t>Key Risks</t>
  </si>
  <si>
    <t>1. High dependency on government budget cycles</t>
  </si>
  <si>
    <t>2. Intensifying competition for IT talent acquisition</t>
  </si>
  <si>
    <t>3. Revenue growth deceleration (recent: 2.5%)</t>
  </si>
  <si>
    <t>Core Corporation - Historical Financials (JPY mn)</t>
  </si>
  <si>
    <t>FY2022 (Mar-22)</t>
  </si>
  <si>
    <t>FY2023 (Mar-23)</t>
  </si>
  <si>
    <t>FY2024 (Mar-24)</t>
  </si>
  <si>
    <t>FY2025 (Mar-25)</t>
  </si>
  <si>
    <t>Income Statement</t>
  </si>
  <si>
    <t>Revenue</t>
  </si>
  <si>
    <t>Operating Income</t>
  </si>
  <si>
    <t>Net Income</t>
  </si>
  <si>
    <t>Operating Margin</t>
  </si>
  <si>
    <t>Net Margin</t>
  </si>
  <si>
    <t>Revenue Growth (YoY)</t>
  </si>
  <si>
    <t>n/a</t>
  </si>
  <si>
    <t>Operating Income Growth (YoY)</t>
  </si>
  <si>
    <t>Cash Flow Statement</t>
  </si>
  <si>
    <t>Operating Cash Flow</t>
  </si>
  <si>
    <t>Free Cash Flow</t>
  </si>
  <si>
    <t>FCF Margin</t>
  </si>
  <si>
    <t>Capex</t>
  </si>
  <si>
    <t>Capex / Revenue</t>
  </si>
  <si>
    <t>DCF Valuation Model - Core Corporation</t>
  </si>
  <si>
    <t>Assumptions</t>
  </si>
  <si>
    <t>Revenue Growth Rate</t>
  </si>
  <si>
    <t>Effective Tax Rate</t>
  </si>
  <si>
    <t>Risk-Free Rate</t>
  </si>
  <si>
    <t>Beta</t>
  </si>
  <si>
    <t>Equity Risk Premium</t>
  </si>
  <si>
    <t>Size Premium</t>
  </si>
  <si>
    <t>After-tax Cost of Debt</t>
  </si>
  <si>
    <t>D/E Ratio</t>
  </si>
  <si>
    <t>Terminal Growth Rate</t>
  </si>
  <si>
    <t>Exit Multiple (EV/EBITDA)</t>
  </si>
  <si>
    <t>Fully Diluted Shares</t>
  </si>
  <si>
    <t>Net Debt (JPY mn)</t>
  </si>
  <si>
    <t>Base Year Revenue (JPY mn)</t>
  </si>
  <si>
    <t>D&amp;A / Revenue</t>
  </si>
  <si>
    <t>WACC Calculation</t>
  </si>
  <si>
    <t>Cost of Equity (Ke)</t>
  </si>
  <si>
    <t>Weight of Equity</t>
  </si>
  <si>
    <t>Weight of Debt</t>
  </si>
  <si>
    <t>WACC</t>
  </si>
  <si>
    <t>Projected Free Cash Flow (JPY mn)</t>
  </si>
  <si>
    <t>Year 1</t>
  </si>
  <si>
    <t>Year 2</t>
  </si>
  <si>
    <t>Year 3</t>
  </si>
  <si>
    <t>Year 4</t>
  </si>
  <si>
    <t>Year 5</t>
  </si>
  <si>
    <t>Operating Income (EBIT)</t>
  </si>
  <si>
    <t>Less: Tax</t>
  </si>
  <si>
    <t>NOPAT</t>
  </si>
  <si>
    <t>Plus: D&amp;A</t>
  </si>
  <si>
    <t>Less: Capex</t>
  </si>
  <si>
    <t>Unlevered Free Cash Flow</t>
  </si>
  <si>
    <t>Discount Factor</t>
  </si>
  <si>
    <t>PV of FCF</t>
  </si>
  <si>
    <t>Valuation - Perpetuity Growth Method</t>
  </si>
  <si>
    <t>Sum of PV of FCFs</t>
  </si>
  <si>
    <t>Terminal Value (PGM)</t>
  </si>
  <si>
    <t>PV of Terminal Value</t>
  </si>
  <si>
    <t>Enterprise Value</t>
  </si>
  <si>
    <t>Equity Value</t>
  </si>
  <si>
    <t>Implied Share Price (PGM)</t>
  </si>
  <si>
    <t>Valuation - Exit Multiple Method</t>
  </si>
  <si>
    <t>Year 5 EBITDA</t>
  </si>
  <si>
    <t>Terminal Value (Exit Multiple)</t>
  </si>
  <si>
    <t>Implied Share Price (Exit Multiple)</t>
  </si>
  <si>
    <t>Comparable Company Analysis</t>
  </si>
  <si>
    <t>Mkt Cap
(JPY mn)</t>
  </si>
  <si>
    <t>EV
(JPY mn)</t>
  </si>
  <si>
    <t>Revenue
(JPY mn)</t>
  </si>
  <si>
    <t>EBITDA
(JPY mn)</t>
  </si>
  <si>
    <t>Op Income
(JPY mn)</t>
  </si>
  <si>
    <t>Net Income
(JPY mn)</t>
  </si>
  <si>
    <t>EV/EBITDA</t>
  </si>
  <si>
    <t>EV/Revenue</t>
  </si>
  <si>
    <t>PER</t>
  </si>
  <si>
    <t>PBR</t>
  </si>
  <si>
    <t>Op Margin</t>
  </si>
  <si>
    <t>ROE</t>
  </si>
  <si>
    <t>Systena</t>
  </si>
  <si>
    <t>2317.T</t>
  </si>
  <si>
    <t>TIS</t>
  </si>
  <si>
    <t>3626.T</t>
  </si>
  <si>
    <t>SCSK</t>
  </si>
  <si>
    <t>9719.T</t>
  </si>
  <si>
    <t>Obic</t>
  </si>
  <si>
    <t>4684.T</t>
  </si>
  <si>
    <t>BIPROGY</t>
  </si>
  <si>
    <t>8056.T</t>
  </si>
  <si>
    <t>DTS</t>
  </si>
  <si>
    <t>9682.T</t>
  </si>
  <si>
    <t>Cresco</t>
  </si>
  <si>
    <t>4674.T</t>
  </si>
  <si>
    <t>NSD</t>
  </si>
  <si>
    <t>9759.T</t>
  </si>
  <si>
    <t>Statistics</t>
  </si>
  <si>
    <t>25th Percentile</t>
  </si>
  <si>
    <t>Median (50th)</t>
  </si>
  <si>
    <t>75th Percentile</t>
  </si>
  <si>
    <t>Implied Valuation for Core Corporation</t>
  </si>
  <si>
    <t>Core Corp Financials</t>
  </si>
  <si>
    <t>EBITDA (JPY mn)</t>
  </si>
  <si>
    <t>Net Income (JPY mn)</t>
  </si>
  <si>
    <t>Shares Outstanding</t>
  </si>
  <si>
    <t>Implied Share Price (Median Multiples)</t>
  </si>
  <si>
    <t>Via EV/EBITDA (Median)</t>
  </si>
  <si>
    <t>Via PER (Median)</t>
  </si>
  <si>
    <t>Sensitivity Analysis</t>
  </si>
  <si>
    <t>Table 1: WACC vs Terminal Growth Rate (Implied Share Price, JPY)</t>
  </si>
  <si>
    <t>WACC \ Terminal g</t>
  </si>
  <si>
    <t>Table 2: Revenue Growth vs Operating Margin (Implied Share Price, JPY)</t>
  </si>
  <si>
    <t>Rev Growth \ Op Margin</t>
  </si>
  <si>
    <t>n/a</t>
    <phoneticPr fontId="1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</si>
</sst>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\¥#,##0;\(\¥#,##0\);&quot;-&quot;"/>
    <numFmt numFmtId="177" formatCode="0.0%"/>
    <numFmt numFmtId="178" formatCode="#,##0;\(#,##0\);&quot;-&quot;"/>
    <numFmt numFmtId="179" formatCode="0.0&quot;x&quot;"/>
    <numFmt numFmtId="180" formatCode="0.0000"/>
  </numFmts>
  <fonts count="14" x14ac:knownFonts="1">
    <font>
      <sz val="11"/>
      <color theme="1"/>
      <name val="ＭＳ Ｐゴシック"/>
      <family val="2"/>
      <scheme val="minor"/>
    </font>
    <font>
      <b/>
      <sz val="14"/>
      <name val="Arial"/>
    </font>
    <font>
      <i/>
      <sz val="12"/>
      <color rgb="FF666666"/>
      <name val="Arial"/>
    </font>
    <font>
      <b/>
      <sz val="10"/>
      <name val="Arial"/>
    </font>
    <font>
      <sz val="10"/>
      <name val="Arial"/>
    </font>
    <font>
      <sz val="10"/>
      <color rgb="FF0000FF"/>
      <name val="Arial"/>
    </font>
    <font>
      <sz val="10"/>
      <color rgb="FF008000"/>
      <name val="Arial"/>
    </font>
    <font>
      <b/>
      <sz val="10"/>
      <color rgb="FF008000"/>
      <name val="Arial"/>
    </font>
    <font>
      <b/>
      <sz val="12"/>
      <name val="Arial"/>
    </font>
    <font>
      <b/>
      <sz val="10"/>
      <color rgb="FFFFFFFF"/>
      <name val="Arial"/>
    </font>
    <font>
      <sz val="10"/>
      <color rgb="FF000000"/>
      <name val="Arial"/>
    </font>
    <font>
      <sz val="6"/>
      <name val="ＭＳ Ｐゴシック"/>
      <family val="3"/>
      <charset val="128"/>
      <scheme val="minor"/>
    </font>
    <font>
      <i/>
      <sz val="9"/>
      <color rgb="FF808080"/>
      <name val="Arial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D6E4F0"/>
      </patternFill>
    </fill>
    <fill>
      <patternFill patternType="solid">
        <fgColor rgb="FF002060"/>
      </patternFill>
    </fill>
    <fill>
      <patternFill patternType="solid">
        <fgColor rgb="FFFFF2CC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3" fillId="2" borderId="1" xfId="0" applyFont="1" applyFill="1" applyBorder="1" applyAlignment="1">
      <alignment horizontal="left"/>
    </xf>
    <xf numFmtId="0" fontId="4" fillId="0" borderId="1" xfId="0" applyFont="1" applyBorder="1" applyAlignment="1">
      <alignment horizontal="right"/>
    </xf>
    <xf numFmtId="176" fontId="5" fillId="0" borderId="1" xfId="0" applyNumberFormat="1" applyFont="1" applyBorder="1" applyAlignment="1">
      <alignment horizontal="right"/>
    </xf>
    <xf numFmtId="176" fontId="6" fillId="0" borderId="1" xfId="0" applyNumberFormat="1" applyFont="1" applyBorder="1" applyAlignment="1">
      <alignment horizontal="right"/>
    </xf>
    <xf numFmtId="0" fontId="7" fillId="0" borderId="1" xfId="0" applyFont="1" applyBorder="1" applyAlignment="1">
      <alignment horizontal="right"/>
    </xf>
    <xf numFmtId="0" fontId="3" fillId="2" borderId="1" xfId="0" applyFont="1" applyFill="1" applyBorder="1"/>
    <xf numFmtId="177" fontId="6" fillId="0" borderId="1" xfId="0" applyNumberFormat="1" applyFont="1" applyBorder="1" applyAlignment="1">
      <alignment horizontal="right"/>
    </xf>
    <xf numFmtId="0" fontId="9" fillId="3" borderId="1" xfId="0" applyFont="1" applyFill="1" applyBorder="1" applyAlignment="1">
      <alignment horizontal="center" wrapText="1"/>
    </xf>
    <xf numFmtId="0" fontId="4" fillId="0" borderId="1" xfId="0" applyFont="1" applyBorder="1"/>
    <xf numFmtId="177" fontId="10" fillId="0" borderId="1" xfId="0" applyNumberFormat="1" applyFont="1" applyBorder="1" applyAlignment="1">
      <alignment horizontal="right"/>
    </xf>
    <xf numFmtId="0" fontId="10" fillId="0" borderId="1" xfId="0" applyFont="1" applyBorder="1"/>
    <xf numFmtId="178" fontId="5" fillId="0" borderId="1" xfId="0" applyNumberFormat="1" applyFont="1" applyBorder="1" applyAlignment="1">
      <alignment horizontal="right"/>
    </xf>
    <xf numFmtId="178" fontId="10" fillId="0" borderId="1" xfId="0" applyNumberFormat="1" applyFont="1" applyBorder="1" applyAlignment="1">
      <alignment horizontal="right"/>
    </xf>
    <xf numFmtId="177" fontId="5" fillId="4" borderId="1" xfId="0" applyNumberFormat="1" applyFont="1" applyFill="1" applyBorder="1" applyAlignment="1">
      <alignment horizontal="right"/>
    </xf>
    <xf numFmtId="2" fontId="5" fillId="4" borderId="1" xfId="0" applyNumberFormat="1" applyFont="1" applyFill="1" applyBorder="1" applyAlignment="1">
      <alignment horizontal="right"/>
    </xf>
    <xf numFmtId="179" fontId="5" fillId="4" borderId="1" xfId="0" applyNumberFormat="1" applyFont="1" applyFill="1" applyBorder="1" applyAlignment="1">
      <alignment horizontal="right"/>
    </xf>
    <xf numFmtId="3" fontId="5" fillId="4" borderId="1" xfId="0" applyNumberFormat="1" applyFont="1" applyFill="1" applyBorder="1" applyAlignment="1">
      <alignment horizontal="right"/>
    </xf>
    <xf numFmtId="178" fontId="5" fillId="4" borderId="1" xfId="0" applyNumberFormat="1" applyFont="1" applyFill="1" applyBorder="1" applyAlignment="1">
      <alignment horizontal="right"/>
    </xf>
    <xf numFmtId="0" fontId="3" fillId="0" borderId="1" xfId="0" applyFont="1" applyBorder="1"/>
    <xf numFmtId="180" fontId="10" fillId="0" borderId="1" xfId="0" applyNumberFormat="1" applyFont="1" applyBorder="1" applyAlignment="1">
      <alignment horizontal="right"/>
    </xf>
    <xf numFmtId="176" fontId="10" fillId="0" borderId="1" xfId="0" applyNumberFormat="1" applyFont="1" applyBorder="1" applyAlignment="1">
      <alignment horizontal="right"/>
    </xf>
    <xf numFmtId="179" fontId="10" fillId="0" borderId="1" xfId="0" applyNumberFormat="1" applyFont="1" applyBorder="1" applyAlignment="1">
      <alignment horizontal="right"/>
    </xf>
    <xf numFmtId="179" fontId="5" fillId="0" borderId="1" xfId="0" applyNumberFormat="1" applyFont="1" applyBorder="1" applyAlignment="1">
      <alignment horizontal="right"/>
    </xf>
    <xf numFmtId="177" fontId="5" fillId="0" borderId="1" xfId="0" applyNumberFormat="1" applyFont="1" applyBorder="1" applyAlignment="1">
      <alignment horizontal="right"/>
    </xf>
    <xf numFmtId="0" fontId="3" fillId="3" borderId="1" xfId="0" applyFont="1" applyFill="1" applyBorder="1" applyAlignment="1">
      <alignment horizontal="center"/>
    </xf>
    <xf numFmtId="177" fontId="9" fillId="3" borderId="1" xfId="0" applyNumberFormat="1" applyFont="1" applyFill="1" applyBorder="1" applyAlignment="1">
      <alignment horizontal="center"/>
    </xf>
    <xf numFmtId="177" fontId="5" fillId="4" borderId="1" xfId="0" applyNumberFormat="1" applyFont="1" applyFill="1" applyBorder="1" applyAlignment="1">
      <alignment horizontal="center"/>
    </xf>
    <xf numFmtId="0" fontId="4" fillId="0" borderId="0" xfId="0" applyFont="1"/>
    <xf numFmtId="0" fontId="8" fillId="0" borderId="0" xfId="0" applyFont="1"/>
    <xf numFmtId="0" fontId="2" fillId="0" borderId="0" xfId="0" applyFont="1"/>
    <xf numFmtId="0" fontId="12" fillId="0" borderId="0" xfId="0" applyFont="1"/>
    <xf numFmtId="0" fontId="4" fillId="0" borderId="5" xfId="0" applyFont="1" applyBorder="1"/>
    <xf numFmtId="176" fontId="10" fillId="0" borderId="5" xfId="0" applyNumberFormat="1" applyFont="1" applyBorder="1" applyAlignment="1">
      <alignment horizontal="right"/>
    </xf>
    <xf numFmtId="0" fontId="13" fillId="0" borderId="1" xfId="0" applyFont="1" applyBorder="1" applyAlignment="1">
      <alignment horizontal="right"/>
    </xf>
    <xf numFmtId="0" fontId="1" fillId="0" borderId="0" xfId="0" applyFont="1"/>
    <xf numFmtId="0" fontId="0" fillId="0" borderId="0" xfId="0"/>
    <xf numFmtId="0" fontId="4" fillId="0" borderId="0" xfId="0" applyFont="1"/>
    <xf numFmtId="0" fontId="8" fillId="0" borderId="0" xfId="0" applyFont="1"/>
    <xf numFmtId="0" fontId="3" fillId="2" borderId="0" xfId="0" applyFont="1" applyFill="1"/>
    <xf numFmtId="0" fontId="8" fillId="2" borderId="3" xfId="0" applyFont="1" applyFill="1" applyBorder="1" applyAlignment="1">
      <alignment horizontal="center"/>
    </xf>
    <xf numFmtId="0" fontId="8" fillId="2" borderId="0" xfId="0" applyFont="1" applyFill="1"/>
    <xf numFmtId="0" fontId="3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8" fillId="2" borderId="0" xfId="0" applyFont="1" applyFill="1" applyAlignment="1">
      <alignment horizontal="center"/>
    </xf>
    <xf numFmtId="0" fontId="3" fillId="0" borderId="1" xfId="0" applyFont="1" applyBorder="1"/>
    <xf numFmtId="0" fontId="0" fillId="0" borderId="2" xfId="0" applyBorder="1"/>
  </cellXfs>
  <cellStyles count="1">
    <cellStyle name="標準" xfId="0" builtinId="0"/>
  </cellStyles>
  <dxfs count="4">
    <dxf>
      <font>
        <sz val="10"/>
        <color rgb="FF9C0006"/>
        <name val="Arial"/>
      </font>
      <fill>
        <patternFill patternType="solid">
          <fgColor rgb="FFFFC7CE"/>
        </patternFill>
      </fill>
    </dxf>
    <dxf>
      <font>
        <sz val="10"/>
        <color rgb="FF006100"/>
        <name val="Arial"/>
      </font>
      <fill>
        <patternFill patternType="solid">
          <fgColor rgb="FFC6EFCE"/>
        </patternFill>
      </fill>
    </dxf>
    <dxf>
      <font>
        <sz val="10"/>
        <color rgb="FF9C0006"/>
        <name val="Arial"/>
      </font>
      <fill>
        <patternFill patternType="solid">
          <fgColor rgb="FFFFC7CE"/>
        </patternFill>
      </fill>
    </dxf>
    <dxf>
      <font>
        <sz val="10"/>
        <color rgb="FF006100"/>
        <name val="Arial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E31"/>
  <sheetViews>
    <sheetView tabSelected="1" topLeftCell="A3" zoomScale="71" workbookViewId="0">
      <selection activeCell="I22" sqref="I22"/>
    </sheetView>
  </sheetViews>
  <sheetFormatPr defaultRowHeight="13" x14ac:dyDescent="0.2"/>
  <cols>
    <col min="1" max="1" width="3" customWidth="1"/>
    <col min="2" max="2" width="28" customWidth="1"/>
    <col min="3" max="6" width="22" customWidth="1"/>
  </cols>
  <sheetData>
    <row r="1" spans="2:5" ht="14" x14ac:dyDescent="0.3">
      <c r="B1" s="31" t="s">
        <v>0</v>
      </c>
    </row>
    <row r="2" spans="2:5" ht="18" customHeight="1" x14ac:dyDescent="0.2">
      <c r="B2" s="36"/>
      <c r="C2" s="36"/>
      <c r="D2" s="36"/>
      <c r="E2" s="36"/>
    </row>
    <row r="3" spans="2:5" ht="15.5" customHeight="1" x14ac:dyDescent="0.4">
      <c r="B3" s="35" t="s">
        <v>1</v>
      </c>
      <c r="C3" s="36"/>
      <c r="D3" s="36"/>
      <c r="E3" s="36"/>
    </row>
    <row r="4" spans="2:5" ht="15.5" x14ac:dyDescent="0.35">
      <c r="B4" s="30" t="s">
        <v>2</v>
      </c>
    </row>
    <row r="5" spans="2:5" ht="14" customHeight="1" x14ac:dyDescent="0.2"/>
    <row r="6" spans="2:5" ht="14" customHeight="1" x14ac:dyDescent="0.3">
      <c r="B6" s="1" t="s">
        <v>3</v>
      </c>
      <c r="C6" s="2" t="s">
        <v>4</v>
      </c>
    </row>
    <row r="7" spans="2:5" ht="14" customHeight="1" x14ac:dyDescent="0.3">
      <c r="B7" s="1" t="s">
        <v>5</v>
      </c>
      <c r="C7" s="2" t="s">
        <v>6</v>
      </c>
    </row>
    <row r="8" spans="2:5" ht="14" customHeight="1" x14ac:dyDescent="0.3">
      <c r="B8" s="1" t="s">
        <v>7</v>
      </c>
      <c r="C8" s="2" t="s">
        <v>8</v>
      </c>
    </row>
    <row r="9" spans="2:5" ht="14" customHeight="1" x14ac:dyDescent="0.3">
      <c r="B9" s="1" t="s">
        <v>9</v>
      </c>
      <c r="C9" s="3">
        <v>2240</v>
      </c>
    </row>
    <row r="10" spans="2:5" ht="14" customHeight="1" x14ac:dyDescent="0.3">
      <c r="B10" s="1" t="s">
        <v>10</v>
      </c>
      <c r="C10" s="4">
        <f>ROUND(AVERAGE('DCF Model'!C46,'DCF Model'!C55,'Comps Analysis'!C27,'Comps Analysis'!C28),0)</f>
        <v>2734</v>
      </c>
    </row>
    <row r="11" spans="2:5" ht="14" customHeight="1" x14ac:dyDescent="0.3">
      <c r="B11" s="1" t="s">
        <v>11</v>
      </c>
      <c r="C11" s="5" t="s">
        <v>12</v>
      </c>
    </row>
    <row r="12" spans="2:5" ht="14" x14ac:dyDescent="0.3">
      <c r="B12" s="6" t="s">
        <v>13</v>
      </c>
      <c r="C12" s="7">
        <f>C10/C9-1</f>
        <v>0.22053571428571428</v>
      </c>
    </row>
    <row r="13" spans="2:5" ht="15.5" customHeight="1" x14ac:dyDescent="0.2">
      <c r="B13" s="36"/>
      <c r="C13" s="36"/>
      <c r="D13" s="36"/>
      <c r="E13" s="36"/>
    </row>
    <row r="14" spans="2:5" ht="14" customHeight="1" x14ac:dyDescent="0.35">
      <c r="B14" s="29" t="s">
        <v>14</v>
      </c>
    </row>
    <row r="15" spans="2:5" ht="13.5" customHeight="1" x14ac:dyDescent="0.3">
      <c r="B15" s="8" t="s">
        <v>15</v>
      </c>
      <c r="C15" s="8" t="s">
        <v>16</v>
      </c>
      <c r="D15" s="8" t="s">
        <v>17</v>
      </c>
    </row>
    <row r="16" spans="2:5" ht="13.5" customHeight="1" x14ac:dyDescent="0.25">
      <c r="B16" s="9" t="s">
        <v>18</v>
      </c>
      <c r="C16" s="4">
        <f>'DCF Model'!C46</f>
        <v>2638</v>
      </c>
      <c r="D16" s="10">
        <f>C16/$C$9-1</f>
        <v>0.17767857142857135</v>
      </c>
    </row>
    <row r="17" spans="2:5" ht="13.5" customHeight="1" x14ac:dyDescent="0.25">
      <c r="B17" s="9" t="s">
        <v>19</v>
      </c>
      <c r="C17" s="4">
        <f>'DCF Model'!C55</f>
        <v>2946</v>
      </c>
      <c r="D17" s="10">
        <f t="shared" ref="D17:D19" si="0">C17/$C$9-1</f>
        <v>0.31517857142857153</v>
      </c>
    </row>
    <row r="18" spans="2:5" ht="13.5" customHeight="1" x14ac:dyDescent="0.25">
      <c r="B18" s="9" t="s">
        <v>20</v>
      </c>
      <c r="C18" s="4">
        <f>'Comps Analysis'!C27</f>
        <v>2884</v>
      </c>
      <c r="D18" s="10">
        <f t="shared" si="0"/>
        <v>0.28750000000000009</v>
      </c>
    </row>
    <row r="19" spans="2:5" ht="13.5" x14ac:dyDescent="0.25">
      <c r="B19" s="9" t="s">
        <v>21</v>
      </c>
      <c r="C19" s="4">
        <f>'Comps Analysis'!C28</f>
        <v>2466</v>
      </c>
      <c r="D19" s="10">
        <f t="shared" si="0"/>
        <v>0.10089285714285712</v>
      </c>
    </row>
    <row r="20" spans="2:5" ht="14" customHeight="1" x14ac:dyDescent="0.2"/>
    <row r="21" spans="2:5" ht="14" x14ac:dyDescent="0.3">
      <c r="B21" s="6" t="s">
        <v>22</v>
      </c>
      <c r="C21" s="11" t="str">
        <f>MIN(C15:C18)&amp;" - "&amp;MAX(C15:C18)</f>
        <v>2638 - 2946</v>
      </c>
    </row>
    <row r="22" spans="2:5" ht="15.5" customHeight="1" x14ac:dyDescent="0.2">
      <c r="B22" s="36"/>
      <c r="C22" s="36"/>
      <c r="D22" s="36"/>
      <c r="E22" s="36"/>
    </row>
    <row r="23" spans="2:5" ht="13.5" customHeight="1" x14ac:dyDescent="0.35">
      <c r="B23" s="38" t="s">
        <v>23</v>
      </c>
      <c r="C23" s="36"/>
      <c r="D23" s="36"/>
      <c r="E23" s="36"/>
    </row>
    <row r="24" spans="2:5" ht="13.5" customHeight="1" x14ac:dyDescent="0.25">
      <c r="B24" s="37" t="s">
        <v>24</v>
      </c>
      <c r="C24" s="36"/>
      <c r="D24" s="36"/>
      <c r="E24" s="36"/>
    </row>
    <row r="25" spans="2:5" ht="13.5" customHeight="1" x14ac:dyDescent="0.25">
      <c r="B25" s="37" t="s">
        <v>25</v>
      </c>
      <c r="C25" s="36"/>
      <c r="D25" s="36"/>
      <c r="E25" s="36"/>
    </row>
    <row r="26" spans="2:5" ht="13.5" x14ac:dyDescent="0.25">
      <c r="B26" s="28" t="s">
        <v>26</v>
      </c>
    </row>
    <row r="27" spans="2:5" ht="15.5" customHeight="1" x14ac:dyDescent="0.2">
      <c r="B27" s="36"/>
      <c r="C27" s="36"/>
      <c r="D27" s="36"/>
      <c r="E27" s="36"/>
    </row>
    <row r="28" spans="2:5" ht="13.5" customHeight="1" x14ac:dyDescent="0.35">
      <c r="B28" s="38" t="s">
        <v>27</v>
      </c>
      <c r="C28" s="36"/>
      <c r="D28" s="36"/>
      <c r="E28" s="36"/>
    </row>
    <row r="29" spans="2:5" ht="13.5" customHeight="1" x14ac:dyDescent="0.25">
      <c r="B29" s="37" t="s">
        <v>28</v>
      </c>
      <c r="C29" s="36"/>
      <c r="D29" s="36"/>
      <c r="E29" s="36"/>
    </row>
    <row r="30" spans="2:5" ht="13.5" customHeight="1" x14ac:dyDescent="0.25">
      <c r="B30" s="37" t="s">
        <v>29</v>
      </c>
      <c r="C30" s="36"/>
      <c r="D30" s="36"/>
      <c r="E30" s="36"/>
    </row>
    <row r="31" spans="2:5" ht="13.5" x14ac:dyDescent="0.25">
      <c r="B31" s="28" t="s">
        <v>30</v>
      </c>
    </row>
  </sheetData>
  <mergeCells count="11">
    <mergeCell ref="B30:E30"/>
    <mergeCell ref="B29:E29"/>
    <mergeCell ref="B25:E25"/>
    <mergeCell ref="B3:E3"/>
    <mergeCell ref="B2:E2"/>
    <mergeCell ref="B24:E24"/>
    <mergeCell ref="B28:E28"/>
    <mergeCell ref="B22:E22"/>
    <mergeCell ref="B23:E23"/>
    <mergeCell ref="B27:E27"/>
    <mergeCell ref="B13:E13"/>
  </mergeCells>
  <phoneticPr fontId="11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F19"/>
  <sheetViews>
    <sheetView topLeftCell="A2" workbookViewId="0">
      <selection activeCell="C20" sqref="C20"/>
    </sheetView>
  </sheetViews>
  <sheetFormatPr defaultRowHeight="13" x14ac:dyDescent="0.2"/>
  <cols>
    <col min="1" max="1" width="3" customWidth="1"/>
    <col min="2" max="2" width="30" customWidth="1"/>
    <col min="3" max="6" width="18" customWidth="1"/>
  </cols>
  <sheetData>
    <row r="2" spans="2:6" ht="18" customHeight="1" x14ac:dyDescent="0.4">
      <c r="B2" s="35" t="s">
        <v>31</v>
      </c>
      <c r="C2" s="36"/>
      <c r="D2" s="36"/>
      <c r="E2" s="36"/>
      <c r="F2" s="36"/>
    </row>
    <row r="4" spans="2:6" ht="14" customHeight="1" x14ac:dyDescent="0.3">
      <c r="B4" s="8"/>
      <c r="C4" s="8" t="s">
        <v>32</v>
      </c>
      <c r="D4" s="8" t="s">
        <v>33</v>
      </c>
      <c r="E4" s="8" t="s">
        <v>34</v>
      </c>
      <c r="F4" s="8" t="s">
        <v>35</v>
      </c>
    </row>
    <row r="5" spans="2:6" ht="14" customHeight="1" x14ac:dyDescent="0.3">
      <c r="B5" s="39" t="s">
        <v>36</v>
      </c>
      <c r="C5" s="36"/>
      <c r="D5" s="36"/>
      <c r="E5" s="36"/>
      <c r="F5" s="36"/>
    </row>
    <row r="6" spans="2:6" ht="13.5" customHeight="1" x14ac:dyDescent="0.25">
      <c r="B6" s="9" t="s">
        <v>37</v>
      </c>
      <c r="C6" s="12">
        <v>21798</v>
      </c>
      <c r="D6" s="12">
        <v>22848</v>
      </c>
      <c r="E6" s="12">
        <v>23999</v>
      </c>
      <c r="F6" s="12">
        <v>24599</v>
      </c>
    </row>
    <row r="7" spans="2:6" ht="13.5" customHeight="1" x14ac:dyDescent="0.25">
      <c r="B7" s="9" t="s">
        <v>38</v>
      </c>
      <c r="C7" s="12">
        <v>2368</v>
      </c>
      <c r="D7" s="12">
        <v>2744</v>
      </c>
      <c r="E7" s="12">
        <v>3141</v>
      </c>
      <c r="F7" s="12">
        <v>3175</v>
      </c>
    </row>
    <row r="8" spans="2:6" ht="13.5" customHeight="1" x14ac:dyDescent="0.25">
      <c r="B8" s="9" t="s">
        <v>39</v>
      </c>
      <c r="C8" s="12">
        <v>1679</v>
      </c>
      <c r="D8" s="12">
        <v>1885</v>
      </c>
      <c r="E8" s="12">
        <v>2095</v>
      </c>
      <c r="F8" s="12">
        <v>2115</v>
      </c>
    </row>
    <row r="9" spans="2:6" ht="13.5" customHeight="1" x14ac:dyDescent="0.25">
      <c r="B9" s="9" t="s">
        <v>40</v>
      </c>
      <c r="C9" s="10">
        <f>C7/C6</f>
        <v>0.10863381961647857</v>
      </c>
      <c r="D9" s="10">
        <f>D7/D6</f>
        <v>0.12009803921568628</v>
      </c>
      <c r="E9" s="10">
        <f>E7/E6</f>
        <v>0.13088045335222301</v>
      </c>
      <c r="F9" s="10">
        <f>F7/F6</f>
        <v>0.12907028741005733</v>
      </c>
    </row>
    <row r="10" spans="2:6" ht="13.5" customHeight="1" x14ac:dyDescent="0.25">
      <c r="B10" s="9" t="s">
        <v>41</v>
      </c>
      <c r="C10" s="10">
        <f>C8/C6</f>
        <v>7.7025415175704187E-2</v>
      </c>
      <c r="D10" s="10">
        <f>D8/D6</f>
        <v>8.250175070028011E-2</v>
      </c>
      <c r="E10" s="10">
        <f>E8/E6</f>
        <v>8.7295303970998786E-2</v>
      </c>
      <c r="F10" s="10">
        <f>F8/F6</f>
        <v>8.5979104841660228E-2</v>
      </c>
    </row>
    <row r="11" spans="2:6" ht="13.5" customHeight="1" x14ac:dyDescent="0.25">
      <c r="B11" s="9" t="s">
        <v>42</v>
      </c>
      <c r="C11" s="34" t="s">
        <v>143</v>
      </c>
      <c r="D11" s="10">
        <f t="shared" ref="D11:F12" si="0">D6/C6-1</f>
        <v>4.8169556840077066E-2</v>
      </c>
      <c r="E11" s="10">
        <f t="shared" si="0"/>
        <v>5.0376400560224077E-2</v>
      </c>
      <c r="F11" s="10">
        <f t="shared" si="0"/>
        <v>2.5001041710071226E-2</v>
      </c>
    </row>
    <row r="12" spans="2:6" ht="13.5" customHeight="1" x14ac:dyDescent="0.25">
      <c r="B12" s="9" t="s">
        <v>44</v>
      </c>
      <c r="C12" s="2" t="s">
        <v>43</v>
      </c>
      <c r="D12" s="10">
        <f t="shared" si="0"/>
        <v>0.15878378378378377</v>
      </c>
      <c r="E12" s="10">
        <f t="shared" si="0"/>
        <v>0.14467930029154519</v>
      </c>
      <c r="F12" s="10">
        <f t="shared" si="0"/>
        <v>1.0824578159821741E-2</v>
      </c>
    </row>
    <row r="14" spans="2:6" ht="14" customHeight="1" x14ac:dyDescent="0.3">
      <c r="B14" s="39" t="s">
        <v>45</v>
      </c>
      <c r="C14" s="36"/>
      <c r="D14" s="36"/>
      <c r="E14" s="36"/>
      <c r="F14" s="36"/>
    </row>
    <row r="15" spans="2:6" ht="13.5" customHeight="1" x14ac:dyDescent="0.25">
      <c r="B15" s="9" t="s">
        <v>46</v>
      </c>
      <c r="C15" s="12">
        <v>1799</v>
      </c>
      <c r="D15" s="12">
        <v>1944</v>
      </c>
      <c r="E15" s="12">
        <v>2190</v>
      </c>
      <c r="F15" s="12">
        <v>2373</v>
      </c>
    </row>
    <row r="16" spans="2:6" ht="13.5" customHeight="1" x14ac:dyDescent="0.25">
      <c r="B16" s="9" t="s">
        <v>47</v>
      </c>
      <c r="C16" s="12">
        <v>1663</v>
      </c>
      <c r="D16" s="12">
        <v>1753</v>
      </c>
      <c r="E16" s="12">
        <v>2057</v>
      </c>
      <c r="F16" s="12">
        <v>2241</v>
      </c>
    </row>
    <row r="17" spans="2:6" ht="13.5" customHeight="1" x14ac:dyDescent="0.25">
      <c r="B17" s="9" t="s">
        <v>48</v>
      </c>
      <c r="C17" s="10">
        <f>C16/C6</f>
        <v>7.6291402880998255E-2</v>
      </c>
      <c r="D17" s="10">
        <f>D16/D6</f>
        <v>7.6724439775910369E-2</v>
      </c>
      <c r="E17" s="10">
        <f>E16/E6</f>
        <v>8.571190466269428E-2</v>
      </c>
      <c r="F17" s="10">
        <f>F16/F6</f>
        <v>9.1101264279035726E-2</v>
      </c>
    </row>
    <row r="18" spans="2:6" ht="13.5" customHeight="1" x14ac:dyDescent="0.25">
      <c r="B18" s="9" t="s">
        <v>49</v>
      </c>
      <c r="C18" s="13">
        <f>C15-C16</f>
        <v>136</v>
      </c>
      <c r="D18" s="13">
        <f>D15-D16</f>
        <v>191</v>
      </c>
      <c r="E18" s="13">
        <f>E15-E16</f>
        <v>133</v>
      </c>
      <c r="F18" s="13">
        <f>F15-F16</f>
        <v>132</v>
      </c>
    </row>
    <row r="19" spans="2:6" ht="13.5" customHeight="1" x14ac:dyDescent="0.25">
      <c r="B19" s="9" t="s">
        <v>50</v>
      </c>
      <c r="C19" s="10">
        <f>C18/C6</f>
        <v>6.2391045050004586E-3</v>
      </c>
      <c r="D19" s="10">
        <f>D18/D6</f>
        <v>8.3595938375350138E-3</v>
      </c>
      <c r="E19" s="10">
        <f>E18/E6</f>
        <v>5.5418975790657941E-3</v>
      </c>
      <c r="F19" s="10">
        <f>F18/F6</f>
        <v>5.3660717915362411E-3</v>
      </c>
    </row>
  </sheetData>
  <mergeCells count="3">
    <mergeCell ref="B2:F2"/>
    <mergeCell ref="B14:F14"/>
    <mergeCell ref="B5:F5"/>
  </mergeCells>
  <phoneticPr fontId="11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55"/>
  <sheetViews>
    <sheetView topLeftCell="A26" zoomScale="59" workbookViewId="0">
      <selection activeCell="E46" sqref="E46"/>
    </sheetView>
  </sheetViews>
  <sheetFormatPr defaultRowHeight="13" x14ac:dyDescent="0.2"/>
  <cols>
    <col min="1" max="1" width="3" customWidth="1"/>
    <col min="2" max="2" width="36" customWidth="1"/>
    <col min="3" max="8" width="18" customWidth="1"/>
  </cols>
  <sheetData>
    <row r="2" spans="2:7" ht="18" customHeight="1" x14ac:dyDescent="0.4">
      <c r="B2" s="35" t="s">
        <v>51</v>
      </c>
      <c r="C2" s="36"/>
      <c r="D2" s="36"/>
      <c r="E2" s="36"/>
      <c r="F2" s="36"/>
      <c r="G2" s="36"/>
    </row>
    <row r="4" spans="2:7" ht="15.5" customHeight="1" x14ac:dyDescent="0.35">
      <c r="B4" s="41" t="s">
        <v>52</v>
      </c>
      <c r="C4" s="36"/>
    </row>
    <row r="5" spans="2:7" ht="13.5" customHeight="1" x14ac:dyDescent="0.25">
      <c r="B5" s="9" t="s">
        <v>53</v>
      </c>
      <c r="C5" s="14">
        <v>7.1999999999999995E-2</v>
      </c>
    </row>
    <row r="6" spans="2:7" ht="13.5" customHeight="1" x14ac:dyDescent="0.25">
      <c r="B6" s="9" t="s">
        <v>40</v>
      </c>
      <c r="C6" s="14">
        <v>0.13739999999999999</v>
      </c>
    </row>
    <row r="7" spans="2:7" ht="13.5" customHeight="1" x14ac:dyDescent="0.25">
      <c r="B7" s="9" t="s">
        <v>50</v>
      </c>
      <c r="C7" s="14">
        <v>5.4000000000000003E-3</v>
      </c>
    </row>
    <row r="8" spans="2:7" ht="13.5" customHeight="1" x14ac:dyDescent="0.25">
      <c r="B8" s="9" t="s">
        <v>54</v>
      </c>
      <c r="C8" s="14">
        <v>0.30620000000000003</v>
      </c>
    </row>
    <row r="9" spans="2:7" ht="13.5" customHeight="1" x14ac:dyDescent="0.25">
      <c r="B9" s="9" t="s">
        <v>55</v>
      </c>
      <c r="C9" s="14">
        <v>2.1999999999999999E-2</v>
      </c>
    </row>
    <row r="10" spans="2:7" ht="13.5" customHeight="1" x14ac:dyDescent="0.25">
      <c r="B10" s="9" t="s">
        <v>56</v>
      </c>
      <c r="C10" s="15">
        <v>0.8</v>
      </c>
    </row>
    <row r="11" spans="2:7" ht="13.5" customHeight="1" x14ac:dyDescent="0.25">
      <c r="B11" s="9" t="s">
        <v>57</v>
      </c>
      <c r="C11" s="14">
        <v>0.06</v>
      </c>
    </row>
    <row r="12" spans="2:7" ht="13.5" customHeight="1" x14ac:dyDescent="0.25">
      <c r="B12" s="9" t="s">
        <v>58</v>
      </c>
      <c r="C12" s="14">
        <v>0.04</v>
      </c>
    </row>
    <row r="13" spans="2:7" ht="13.5" customHeight="1" x14ac:dyDescent="0.25">
      <c r="B13" s="9" t="s">
        <v>59</v>
      </c>
      <c r="C13" s="14">
        <v>7.0000000000000001E-3</v>
      </c>
    </row>
    <row r="14" spans="2:7" ht="13.5" customHeight="1" x14ac:dyDescent="0.25">
      <c r="B14" s="9" t="s">
        <v>60</v>
      </c>
      <c r="C14" s="14">
        <v>4.4999999999999998E-2</v>
      </c>
    </row>
    <row r="15" spans="2:7" ht="13.5" customHeight="1" x14ac:dyDescent="0.25">
      <c r="B15" s="9" t="s">
        <v>61</v>
      </c>
      <c r="C15" s="14">
        <v>1.4999999999999999E-2</v>
      </c>
    </row>
    <row r="16" spans="2:7" ht="13.5" customHeight="1" x14ac:dyDescent="0.25">
      <c r="B16" s="9" t="s">
        <v>62</v>
      </c>
      <c r="C16" s="16">
        <v>9</v>
      </c>
    </row>
    <row r="17" spans="2:7" ht="13.5" customHeight="1" x14ac:dyDescent="0.25">
      <c r="B17" s="9" t="s">
        <v>63</v>
      </c>
      <c r="C17" s="17">
        <v>14844000</v>
      </c>
    </row>
    <row r="18" spans="2:7" ht="13.5" customHeight="1" x14ac:dyDescent="0.25">
      <c r="B18" s="9" t="s">
        <v>64</v>
      </c>
      <c r="C18" s="18">
        <v>-5937</v>
      </c>
    </row>
    <row r="19" spans="2:7" ht="13.5" customHeight="1" x14ac:dyDescent="0.25">
      <c r="B19" s="9" t="s">
        <v>65</v>
      </c>
      <c r="C19" s="18">
        <v>24599</v>
      </c>
    </row>
    <row r="20" spans="2:7" ht="13.5" customHeight="1" x14ac:dyDescent="0.25">
      <c r="B20" s="9" t="s">
        <v>66</v>
      </c>
      <c r="C20" s="14">
        <v>5.4000000000000003E-3</v>
      </c>
    </row>
    <row r="22" spans="2:7" ht="15.5" customHeight="1" x14ac:dyDescent="0.35">
      <c r="B22" s="41" t="s">
        <v>67</v>
      </c>
      <c r="C22" s="36"/>
    </row>
    <row r="23" spans="2:7" ht="13.5" customHeight="1" x14ac:dyDescent="0.25">
      <c r="B23" s="9" t="s">
        <v>68</v>
      </c>
      <c r="C23" s="10">
        <f>C9+C10*C11+C12</f>
        <v>0.11000000000000001</v>
      </c>
    </row>
    <row r="24" spans="2:7" ht="13.5" customHeight="1" x14ac:dyDescent="0.25">
      <c r="B24" s="9" t="s">
        <v>69</v>
      </c>
      <c r="C24" s="10">
        <f>1/(1+C14)</f>
        <v>0.95693779904306231</v>
      </c>
    </row>
    <row r="25" spans="2:7" ht="13.5" customHeight="1" x14ac:dyDescent="0.25">
      <c r="B25" s="9" t="s">
        <v>70</v>
      </c>
      <c r="C25" s="10">
        <f>C14/(1+C14)</f>
        <v>4.3062200956937802E-2</v>
      </c>
    </row>
    <row r="26" spans="2:7" ht="14" customHeight="1" x14ac:dyDescent="0.3">
      <c r="B26" s="19" t="s">
        <v>71</v>
      </c>
      <c r="C26" s="10">
        <f>C24*C23+C25*C13</f>
        <v>0.10556459330143543</v>
      </c>
    </row>
    <row r="28" spans="2:7" ht="15.5" customHeight="1" x14ac:dyDescent="0.35">
      <c r="B28" s="41" t="s">
        <v>72</v>
      </c>
      <c r="C28" s="36"/>
      <c r="D28" s="36"/>
      <c r="E28" s="36"/>
      <c r="F28" s="36"/>
      <c r="G28" s="36"/>
    </row>
    <row r="29" spans="2:7" ht="14" customHeight="1" x14ac:dyDescent="0.3">
      <c r="B29" s="8"/>
      <c r="C29" s="8" t="s">
        <v>73</v>
      </c>
      <c r="D29" s="8" t="s">
        <v>74</v>
      </c>
      <c r="E29" s="8" t="s">
        <v>75</v>
      </c>
      <c r="F29" s="8" t="s">
        <v>76</v>
      </c>
      <c r="G29" s="8" t="s">
        <v>77</v>
      </c>
    </row>
    <row r="30" spans="2:7" ht="13.5" customHeight="1" x14ac:dyDescent="0.25">
      <c r="B30" s="9" t="s">
        <v>37</v>
      </c>
      <c r="C30" s="13">
        <f>ROUND(C19*(1+C5),0)</f>
        <v>26370</v>
      </c>
      <c r="D30" s="13">
        <f>ROUND(C30*(1+C5),0)</f>
        <v>28269</v>
      </c>
      <c r="E30" s="13">
        <f>ROUND(D30*(1+C5),0)</f>
        <v>30304</v>
      </c>
      <c r="F30" s="13">
        <f>ROUND(E30*(1+C5),0)</f>
        <v>32486</v>
      </c>
      <c r="G30" s="13">
        <f>ROUND(F30*(1+C5),0)</f>
        <v>34825</v>
      </c>
    </row>
    <row r="31" spans="2:7" ht="13.5" customHeight="1" x14ac:dyDescent="0.25">
      <c r="B31" s="9" t="s">
        <v>78</v>
      </c>
      <c r="C31" s="13">
        <f>ROUND(C30*C6,0)</f>
        <v>3623</v>
      </c>
      <c r="D31" s="13">
        <f>ROUND(D30*C6,0)</f>
        <v>3884</v>
      </c>
      <c r="E31" s="13">
        <f>ROUND(E30*C6,0)</f>
        <v>4164</v>
      </c>
      <c r="F31" s="13">
        <f>ROUND(F30*C6,0)</f>
        <v>4464</v>
      </c>
      <c r="G31" s="13">
        <f>ROUND(G30*C6,0)</f>
        <v>4785</v>
      </c>
    </row>
    <row r="32" spans="2:7" ht="13.5" customHeight="1" x14ac:dyDescent="0.25">
      <c r="B32" s="9" t="s">
        <v>79</v>
      </c>
      <c r="C32" s="13">
        <f>ROUND(C31*C8,0)</f>
        <v>1109</v>
      </c>
      <c r="D32" s="13">
        <f>ROUND(D31*C8,0)</f>
        <v>1189</v>
      </c>
      <c r="E32" s="13">
        <f>ROUND(E31*C8,0)</f>
        <v>1275</v>
      </c>
      <c r="F32" s="13">
        <f>ROUND(F31*C8,0)</f>
        <v>1367</v>
      </c>
      <c r="G32" s="13">
        <f>ROUND(G31*C8,0)</f>
        <v>1465</v>
      </c>
    </row>
    <row r="33" spans="2:7" ht="13.5" customHeight="1" x14ac:dyDescent="0.25">
      <c r="B33" s="9" t="s">
        <v>80</v>
      </c>
      <c r="C33" s="13">
        <f>C31-C32</f>
        <v>2514</v>
      </c>
      <c r="D33" s="13">
        <f>D31-D32</f>
        <v>2695</v>
      </c>
      <c r="E33" s="13">
        <f>E31-E32</f>
        <v>2889</v>
      </c>
      <c r="F33" s="13">
        <f>F31-F32</f>
        <v>3097</v>
      </c>
      <c r="G33" s="13">
        <f>G31-G32</f>
        <v>3320</v>
      </c>
    </row>
    <row r="34" spans="2:7" ht="13.5" customHeight="1" x14ac:dyDescent="0.25">
      <c r="B34" s="9" t="s">
        <v>81</v>
      </c>
      <c r="C34" s="13">
        <f>ROUND(C30*C20,0)</f>
        <v>142</v>
      </c>
      <c r="D34" s="13">
        <f>ROUND(D30*C20,0)</f>
        <v>153</v>
      </c>
      <c r="E34" s="13">
        <f>ROUND(E30*C20,0)</f>
        <v>164</v>
      </c>
      <c r="F34" s="13">
        <f>ROUND(F30*C20,0)</f>
        <v>175</v>
      </c>
      <c r="G34" s="13">
        <f>ROUND(G30*C20,0)</f>
        <v>188</v>
      </c>
    </row>
    <row r="35" spans="2:7" ht="13.5" customHeight="1" x14ac:dyDescent="0.25">
      <c r="B35" s="9" t="s">
        <v>82</v>
      </c>
      <c r="C35" s="13">
        <f>ROUND(C30*C7,0)</f>
        <v>142</v>
      </c>
      <c r="D35" s="13">
        <f>ROUND(D30*C7,0)</f>
        <v>153</v>
      </c>
      <c r="E35" s="13">
        <f>ROUND(E30*C7,0)</f>
        <v>164</v>
      </c>
      <c r="F35" s="13">
        <f>ROUND(F30*C7,0)</f>
        <v>175</v>
      </c>
      <c r="G35" s="13">
        <f>ROUND(G30*C7,0)</f>
        <v>188</v>
      </c>
    </row>
    <row r="36" spans="2:7" ht="14" customHeight="1" x14ac:dyDescent="0.3">
      <c r="B36" s="19" t="s">
        <v>83</v>
      </c>
      <c r="C36" s="13">
        <f>C33+C34-C35</f>
        <v>2514</v>
      </c>
      <c r="D36" s="13">
        <f>D33+D34-D35</f>
        <v>2695</v>
      </c>
      <c r="E36" s="13">
        <f>E33+E34-E35</f>
        <v>2889</v>
      </c>
      <c r="F36" s="13">
        <f>F33+F34-F35</f>
        <v>3097</v>
      </c>
      <c r="G36" s="13">
        <f>G33+G34-G35</f>
        <v>3320</v>
      </c>
    </row>
    <row r="37" spans="2:7" ht="13.5" customHeight="1" x14ac:dyDescent="0.25">
      <c r="B37" s="9" t="s">
        <v>84</v>
      </c>
      <c r="C37" s="20">
        <f>1/(1+C26)^1</f>
        <v>0.90451521879314289</v>
      </c>
      <c r="D37" s="20">
        <f>1/(1+C26)^2</f>
        <v>0.81814778102840713</v>
      </c>
      <c r="E37" s="20">
        <f>1/(1+C26)^3</f>
        <v>0.74002711916203412</v>
      </c>
      <c r="F37" s="20">
        <f>1/(1+C26)^4</f>
        <v>0.66936579160170651</v>
      </c>
      <c r="G37" s="20">
        <f>1/(1+C26)^5</f>
        <v>0.60545154544326285</v>
      </c>
    </row>
    <row r="38" spans="2:7" ht="14" customHeight="1" x14ac:dyDescent="0.3">
      <c r="B38" s="19" t="s">
        <v>85</v>
      </c>
      <c r="C38" s="13">
        <f>ROUND(C36*C37,0)</f>
        <v>2274</v>
      </c>
      <c r="D38" s="13">
        <f>ROUND(D36*D37,0)</f>
        <v>2205</v>
      </c>
      <c r="E38" s="13">
        <f>ROUND(E36*E37,0)</f>
        <v>2138</v>
      </c>
      <c r="F38" s="13">
        <f>ROUND(F36*F37,0)</f>
        <v>2073</v>
      </c>
      <c r="G38" s="13">
        <f>ROUND(G36*G37,0)</f>
        <v>2010</v>
      </c>
    </row>
    <row r="40" spans="2:7" ht="15.5" customHeight="1" x14ac:dyDescent="0.35">
      <c r="B40" s="40" t="s">
        <v>86</v>
      </c>
      <c r="C40" s="40"/>
    </row>
    <row r="41" spans="2:7" ht="13.5" customHeight="1" x14ac:dyDescent="0.25">
      <c r="B41" s="9" t="s">
        <v>87</v>
      </c>
      <c r="C41" s="13">
        <f>SUM(C38:G38)</f>
        <v>10700</v>
      </c>
    </row>
    <row r="42" spans="2:7" ht="13.5" customHeight="1" x14ac:dyDescent="0.25">
      <c r="B42" s="9" t="s">
        <v>88</v>
      </c>
      <c r="C42" s="13">
        <f>G36*(1+C15)/(C26-C15)</f>
        <v>37208.801775147913</v>
      </c>
    </row>
    <row r="43" spans="2:7" ht="13.5" customHeight="1" x14ac:dyDescent="0.25">
      <c r="B43" s="9" t="s">
        <v>89</v>
      </c>
      <c r="C43" s="13">
        <f>C42*G37</f>
        <v>22528.126538855326</v>
      </c>
    </row>
    <row r="44" spans="2:7" ht="14" customHeight="1" x14ac:dyDescent="0.3">
      <c r="B44" s="19" t="s">
        <v>90</v>
      </c>
      <c r="C44" s="13">
        <f>C41+C43</f>
        <v>33228.126538855329</v>
      </c>
    </row>
    <row r="45" spans="2:7" ht="14" customHeight="1" x14ac:dyDescent="0.3">
      <c r="B45" s="19" t="s">
        <v>91</v>
      </c>
      <c r="C45" s="13">
        <f>C44-C18</f>
        <v>39165.126538855329</v>
      </c>
    </row>
    <row r="46" spans="2:7" ht="14" customHeight="1" x14ac:dyDescent="0.3">
      <c r="B46" s="19" t="s">
        <v>92</v>
      </c>
      <c r="C46" s="21">
        <f>ROUND(C45*1000000/C17,0)</f>
        <v>2638</v>
      </c>
    </row>
    <row r="48" spans="2:7" ht="15.5" customHeight="1" x14ac:dyDescent="0.35">
      <c r="B48" s="40" t="s">
        <v>93</v>
      </c>
      <c r="C48" s="40"/>
    </row>
    <row r="49" spans="2:3" ht="13.5" customHeight="1" x14ac:dyDescent="0.25">
      <c r="B49" s="9" t="s">
        <v>87</v>
      </c>
      <c r="C49" s="13">
        <f>C41</f>
        <v>10700</v>
      </c>
    </row>
    <row r="50" spans="2:3" ht="13.5" customHeight="1" x14ac:dyDescent="0.25">
      <c r="B50" s="9" t="s">
        <v>94</v>
      </c>
      <c r="C50" s="13">
        <f>G31+G34</f>
        <v>4973</v>
      </c>
    </row>
    <row r="51" spans="2:3" ht="13.5" customHeight="1" x14ac:dyDescent="0.25">
      <c r="B51" s="9" t="s">
        <v>95</v>
      </c>
      <c r="C51" s="13">
        <f>C50*C16</f>
        <v>44757</v>
      </c>
    </row>
    <row r="52" spans="2:3" ht="13.5" customHeight="1" x14ac:dyDescent="0.25">
      <c r="B52" s="9" t="s">
        <v>89</v>
      </c>
      <c r="C52" s="13">
        <f>C51*G37</f>
        <v>27098.194819404114</v>
      </c>
    </row>
    <row r="53" spans="2:3" ht="14" customHeight="1" x14ac:dyDescent="0.3">
      <c r="B53" s="19" t="s">
        <v>90</v>
      </c>
      <c r="C53" s="13">
        <f>C41+C52</f>
        <v>37798.194819404118</v>
      </c>
    </row>
    <row r="54" spans="2:3" ht="14" customHeight="1" x14ac:dyDescent="0.3">
      <c r="B54" s="19" t="s">
        <v>91</v>
      </c>
      <c r="C54" s="13">
        <f>C53-C18</f>
        <v>43735.194819404118</v>
      </c>
    </row>
    <row r="55" spans="2:3" ht="14" customHeight="1" x14ac:dyDescent="0.3">
      <c r="B55" s="19" t="s">
        <v>96</v>
      </c>
      <c r="C55" s="21">
        <f>ROUND(C54*1000000/C17,0)</f>
        <v>2946</v>
      </c>
    </row>
  </sheetData>
  <mergeCells count="6">
    <mergeCell ref="B40:C40"/>
    <mergeCell ref="B48:C48"/>
    <mergeCell ref="B2:G2"/>
    <mergeCell ref="B28:G28"/>
    <mergeCell ref="B22:C22"/>
    <mergeCell ref="B4:C4"/>
  </mergeCells>
  <phoneticPr fontId="11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O28"/>
  <sheetViews>
    <sheetView zoomScale="49" workbookViewId="0">
      <selection activeCell="B37" sqref="B37"/>
    </sheetView>
  </sheetViews>
  <sheetFormatPr defaultRowHeight="13" x14ac:dyDescent="0.2"/>
  <cols>
    <col min="1" max="1" width="3" customWidth="1"/>
    <col min="2" max="2" width="27.54296875" customWidth="1"/>
    <col min="3" max="3" width="14" customWidth="1"/>
    <col min="4" max="5" width="16" customWidth="1"/>
    <col min="6" max="14" width="14" customWidth="1"/>
  </cols>
  <sheetData>
    <row r="2" spans="2:15" ht="18" customHeight="1" x14ac:dyDescent="0.4">
      <c r="B2" s="35" t="s">
        <v>97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</row>
    <row r="4" spans="2:15" ht="26" customHeight="1" x14ac:dyDescent="0.3">
      <c r="B4" s="8" t="s">
        <v>3</v>
      </c>
      <c r="C4" s="8" t="s">
        <v>5</v>
      </c>
      <c r="D4" s="8" t="s">
        <v>98</v>
      </c>
      <c r="E4" s="8" t="s">
        <v>99</v>
      </c>
      <c r="F4" s="8" t="s">
        <v>100</v>
      </c>
      <c r="G4" s="8" t="s">
        <v>101</v>
      </c>
      <c r="H4" s="8" t="s">
        <v>102</v>
      </c>
      <c r="I4" s="8" t="s">
        <v>103</v>
      </c>
      <c r="J4" s="8" t="s">
        <v>104</v>
      </c>
      <c r="K4" s="8" t="s">
        <v>105</v>
      </c>
      <c r="L4" s="8" t="s">
        <v>106</v>
      </c>
      <c r="M4" s="8" t="s">
        <v>107</v>
      </c>
      <c r="N4" s="8" t="s">
        <v>108</v>
      </c>
      <c r="O4" s="8" t="s">
        <v>109</v>
      </c>
    </row>
    <row r="5" spans="2:15" ht="13.5" customHeight="1" x14ac:dyDescent="0.25">
      <c r="B5" s="9" t="s">
        <v>110</v>
      </c>
      <c r="C5" s="9" t="s">
        <v>111</v>
      </c>
      <c r="D5" s="12">
        <v>151919</v>
      </c>
      <c r="E5" s="12">
        <v>128262</v>
      </c>
      <c r="F5" s="12">
        <v>83621</v>
      </c>
      <c r="G5" s="12">
        <v>12528</v>
      </c>
      <c r="H5" s="12">
        <v>12068</v>
      </c>
      <c r="I5" s="12">
        <v>8480</v>
      </c>
      <c r="J5" s="22">
        <f t="shared" ref="J5:J12" si="0">E5/G5</f>
        <v>10.238026819923371</v>
      </c>
      <c r="K5" s="22">
        <f t="shared" ref="K5:K12" si="1">E5/F5</f>
        <v>1.5338491527247939</v>
      </c>
      <c r="L5" s="22">
        <f t="shared" ref="L5:L12" si="2">D5/I5</f>
        <v>17.91497641509434</v>
      </c>
      <c r="M5" s="23">
        <v>7.5</v>
      </c>
      <c r="N5" s="10">
        <f t="shared" ref="N5:N12" si="3">H5/F5</f>
        <v>0.14431781490295501</v>
      </c>
      <c r="O5" s="24">
        <v>0.25</v>
      </c>
    </row>
    <row r="6" spans="2:15" ht="13.5" customHeight="1" x14ac:dyDescent="0.25">
      <c r="B6" s="9" t="s">
        <v>112</v>
      </c>
      <c r="C6" s="9" t="s">
        <v>113</v>
      </c>
      <c r="D6" s="12">
        <v>710806</v>
      </c>
      <c r="E6" s="12">
        <v>665004</v>
      </c>
      <c r="F6" s="12">
        <v>571687</v>
      </c>
      <c r="G6" s="12">
        <v>88614</v>
      </c>
      <c r="H6" s="12">
        <v>69048</v>
      </c>
      <c r="I6" s="12">
        <v>50012</v>
      </c>
      <c r="J6" s="22">
        <f t="shared" si="0"/>
        <v>7.504502674520956</v>
      </c>
      <c r="K6" s="22">
        <f t="shared" si="1"/>
        <v>1.1632309288124445</v>
      </c>
      <c r="L6" s="22">
        <f t="shared" si="2"/>
        <v>14.212708949852036</v>
      </c>
      <c r="M6" s="23">
        <v>4.2</v>
      </c>
      <c r="N6" s="10">
        <f t="shared" si="3"/>
        <v>0.12077937752651363</v>
      </c>
      <c r="O6" s="24">
        <v>0.18</v>
      </c>
    </row>
    <row r="7" spans="2:15" ht="13.5" customHeight="1" x14ac:dyDescent="0.25">
      <c r="B7" s="9" t="s">
        <v>114</v>
      </c>
      <c r="C7" s="9" t="s">
        <v>115</v>
      </c>
      <c r="D7" s="12">
        <v>1771864</v>
      </c>
      <c r="E7" s="12">
        <v>2020332</v>
      </c>
      <c r="F7" s="12">
        <v>596065</v>
      </c>
      <c r="G7" s="12">
        <v>90988</v>
      </c>
      <c r="H7" s="12">
        <v>66122</v>
      </c>
      <c r="I7" s="12">
        <v>45035</v>
      </c>
      <c r="J7" s="22">
        <f t="shared" si="0"/>
        <v>22.20437859937574</v>
      </c>
      <c r="K7" s="22">
        <f t="shared" si="1"/>
        <v>3.3894491372585205</v>
      </c>
      <c r="L7" s="22">
        <f t="shared" si="2"/>
        <v>39.344154546463862</v>
      </c>
      <c r="M7" s="23">
        <v>3.8</v>
      </c>
      <c r="N7" s="10">
        <f t="shared" si="3"/>
        <v>0.11093085485643345</v>
      </c>
      <c r="O7" s="24">
        <v>0.17</v>
      </c>
    </row>
    <row r="8" spans="2:15" ht="13.5" customHeight="1" x14ac:dyDescent="0.25">
      <c r="B8" s="9" t="s">
        <v>116</v>
      </c>
      <c r="C8" s="9" t="s">
        <v>117</v>
      </c>
      <c r="D8" s="12">
        <v>1677958</v>
      </c>
      <c r="E8" s="12">
        <v>1480051</v>
      </c>
      <c r="F8" s="12">
        <v>121240</v>
      </c>
      <c r="G8" s="12">
        <v>81065</v>
      </c>
      <c r="H8" s="12">
        <v>78378</v>
      </c>
      <c r="I8" s="12">
        <v>64621</v>
      </c>
      <c r="J8" s="22">
        <f t="shared" si="0"/>
        <v>18.257583420711775</v>
      </c>
      <c r="K8" s="22">
        <f t="shared" si="1"/>
        <v>12.207612999010228</v>
      </c>
      <c r="L8" s="22">
        <f t="shared" si="2"/>
        <v>25.966141037743149</v>
      </c>
      <c r="M8" s="23">
        <v>12</v>
      </c>
      <c r="N8" s="10">
        <f t="shared" si="3"/>
        <v>0.64646981194325304</v>
      </c>
      <c r="O8" s="24">
        <v>0.14000000000000001</v>
      </c>
    </row>
    <row r="9" spans="2:15" ht="13.5" customHeight="1" x14ac:dyDescent="0.25">
      <c r="B9" s="9" t="s">
        <v>118</v>
      </c>
      <c r="C9" s="9" t="s">
        <v>119</v>
      </c>
      <c r="D9" s="12">
        <v>449598</v>
      </c>
      <c r="E9" s="12">
        <v>441483</v>
      </c>
      <c r="F9" s="12">
        <v>404010</v>
      </c>
      <c r="G9" s="12">
        <v>56177</v>
      </c>
      <c r="H9" s="12">
        <v>38236</v>
      </c>
      <c r="I9" s="12">
        <v>26965</v>
      </c>
      <c r="J9" s="22">
        <f t="shared" si="0"/>
        <v>7.8587856240098262</v>
      </c>
      <c r="K9" s="22">
        <f t="shared" si="1"/>
        <v>1.0927526546372615</v>
      </c>
      <c r="L9" s="22">
        <f t="shared" si="2"/>
        <v>16.673391433339514</v>
      </c>
      <c r="M9" s="23">
        <v>2.8</v>
      </c>
      <c r="N9" s="10">
        <f t="shared" si="3"/>
        <v>9.464122175193683E-2</v>
      </c>
      <c r="O9" s="24">
        <v>0.15</v>
      </c>
    </row>
    <row r="10" spans="2:15" ht="13.5" customHeight="1" x14ac:dyDescent="0.25">
      <c r="B10" s="9" t="s">
        <v>120</v>
      </c>
      <c r="C10" s="9" t="s">
        <v>121</v>
      </c>
      <c r="D10" s="12">
        <v>177674</v>
      </c>
      <c r="E10" s="12">
        <v>151573</v>
      </c>
      <c r="F10" s="12">
        <v>125908</v>
      </c>
      <c r="G10" s="12">
        <v>15626</v>
      </c>
      <c r="H10" s="12">
        <v>14493</v>
      </c>
      <c r="I10" s="12">
        <v>10635</v>
      </c>
      <c r="J10" s="22">
        <f t="shared" si="0"/>
        <v>9.7000511967234093</v>
      </c>
      <c r="K10" s="22">
        <f t="shared" si="1"/>
        <v>1.2038393112431298</v>
      </c>
      <c r="L10" s="22">
        <f t="shared" si="2"/>
        <v>16.706535025858017</v>
      </c>
      <c r="M10" s="23">
        <v>3</v>
      </c>
      <c r="N10" s="10">
        <f t="shared" si="3"/>
        <v>0.11510785653016488</v>
      </c>
      <c r="O10" s="24">
        <v>0.2</v>
      </c>
    </row>
    <row r="11" spans="2:15" ht="13.5" customHeight="1" x14ac:dyDescent="0.25">
      <c r="B11" s="9" t="s">
        <v>122</v>
      </c>
      <c r="C11" s="9" t="s">
        <v>123</v>
      </c>
      <c r="D11" s="12">
        <v>64097</v>
      </c>
      <c r="E11" s="12">
        <v>50827</v>
      </c>
      <c r="F11" s="12">
        <v>58761</v>
      </c>
      <c r="G11" s="12">
        <v>6611</v>
      </c>
      <c r="H11" s="12">
        <v>5984</v>
      </c>
      <c r="I11" s="12">
        <v>4406</v>
      </c>
      <c r="J11" s="22">
        <f t="shared" si="0"/>
        <v>7.6882468612917867</v>
      </c>
      <c r="K11" s="22">
        <f t="shared" si="1"/>
        <v>0.86497847211585921</v>
      </c>
      <c r="L11" s="22">
        <f t="shared" si="2"/>
        <v>14.547662278710849</v>
      </c>
      <c r="M11" s="23">
        <v>2.5</v>
      </c>
      <c r="N11" s="10">
        <f t="shared" si="3"/>
        <v>0.10183625193580777</v>
      </c>
      <c r="O11" s="24">
        <v>0.16</v>
      </c>
    </row>
    <row r="12" spans="2:15" ht="13.5" customHeight="1" x14ac:dyDescent="0.25">
      <c r="B12" s="9" t="s">
        <v>124</v>
      </c>
      <c r="C12" s="9" t="s">
        <v>125</v>
      </c>
      <c r="D12" s="12">
        <v>220942</v>
      </c>
      <c r="E12" s="12">
        <v>189008</v>
      </c>
      <c r="F12" s="12">
        <v>107791</v>
      </c>
      <c r="G12" s="12">
        <v>19477</v>
      </c>
      <c r="H12" s="12">
        <v>16856</v>
      </c>
      <c r="I12" s="12">
        <v>11795</v>
      </c>
      <c r="J12" s="22">
        <f t="shared" si="0"/>
        <v>9.7041638856086667</v>
      </c>
      <c r="K12" s="22">
        <f t="shared" si="1"/>
        <v>1.7534673581282296</v>
      </c>
      <c r="L12" s="22">
        <f t="shared" si="2"/>
        <v>18.731835523526918</v>
      </c>
      <c r="M12" s="23">
        <v>3.5</v>
      </c>
      <c r="N12" s="10">
        <f t="shared" si="3"/>
        <v>0.15637669193160839</v>
      </c>
      <c r="O12" s="24">
        <v>0.18</v>
      </c>
    </row>
    <row r="14" spans="2:15" ht="14" customHeight="1" x14ac:dyDescent="0.3">
      <c r="B14" s="39" t="s">
        <v>126</v>
      </c>
      <c r="C14" s="36"/>
      <c r="D14" s="36"/>
      <c r="E14" s="36"/>
      <c r="F14" s="36"/>
      <c r="G14" s="36"/>
      <c r="H14" s="36"/>
      <c r="I14" s="36"/>
    </row>
    <row r="15" spans="2:15" ht="14" customHeight="1" x14ac:dyDescent="0.3">
      <c r="B15" s="45" t="s">
        <v>127</v>
      </c>
      <c r="C15" s="46"/>
      <c r="D15" s="22">
        <f t="shared" ref="D15:I15" si="4">PERCENTILE(J5:J12,0.25)</f>
        <v>7.8161509333303165</v>
      </c>
      <c r="E15" s="22">
        <f t="shared" si="4"/>
        <v>1.1456113602686488</v>
      </c>
      <c r="F15" s="22">
        <f t="shared" si="4"/>
        <v>16.141959144682346</v>
      </c>
      <c r="G15" s="22">
        <f t="shared" si="4"/>
        <v>2.95</v>
      </c>
      <c r="H15" s="10">
        <f t="shared" si="4"/>
        <v>0.10865720412627702</v>
      </c>
      <c r="I15" s="10">
        <f t="shared" si="4"/>
        <v>0.1575</v>
      </c>
    </row>
    <row r="16" spans="2:15" ht="14" customHeight="1" x14ac:dyDescent="0.3">
      <c r="B16" s="45" t="s">
        <v>128</v>
      </c>
      <c r="C16" s="46"/>
      <c r="D16" s="22">
        <f t="shared" ref="D16:I16" si="5">PERCENTILE(J5:J12,0.5)</f>
        <v>9.702107541166038</v>
      </c>
      <c r="E16" s="22">
        <f t="shared" si="5"/>
        <v>1.368844231983962</v>
      </c>
      <c r="F16" s="22">
        <f t="shared" si="5"/>
        <v>17.31075572047618</v>
      </c>
      <c r="G16" s="22">
        <f t="shared" si="5"/>
        <v>3.65</v>
      </c>
      <c r="H16" s="10">
        <f t="shared" si="5"/>
        <v>0.11794361702833925</v>
      </c>
      <c r="I16" s="10">
        <f t="shared" si="5"/>
        <v>0.17499999999999999</v>
      </c>
    </row>
    <row r="17" spans="2:9" ht="14" customHeight="1" x14ac:dyDescent="0.3">
      <c r="B17" s="45" t="s">
        <v>129</v>
      </c>
      <c r="C17" s="46"/>
      <c r="D17" s="22">
        <f t="shared" ref="D17:I17" si="6">PERCENTILE(J5:J12,0.75)</f>
        <v>12.242915970120473</v>
      </c>
      <c r="E17" s="22">
        <f t="shared" si="6"/>
        <v>2.1624628029108024</v>
      </c>
      <c r="F17" s="22">
        <f t="shared" si="6"/>
        <v>20.540411902080976</v>
      </c>
      <c r="G17" s="22">
        <f t="shared" si="6"/>
        <v>5.0250000000000004</v>
      </c>
      <c r="H17" s="10">
        <f t="shared" si="6"/>
        <v>0.14733253416011835</v>
      </c>
      <c r="I17" s="10">
        <f t="shared" si="6"/>
        <v>0.185</v>
      </c>
    </row>
    <row r="19" spans="2:9" ht="15.5" customHeight="1" x14ac:dyDescent="0.35">
      <c r="B19" s="44" t="s">
        <v>130</v>
      </c>
      <c r="C19" s="44"/>
    </row>
    <row r="20" spans="2:9" ht="14" customHeight="1" x14ac:dyDescent="0.3">
      <c r="B20" s="19" t="s">
        <v>131</v>
      </c>
    </row>
    <row r="21" spans="2:9" ht="13.5" customHeight="1" x14ac:dyDescent="0.25">
      <c r="B21" s="9" t="s">
        <v>132</v>
      </c>
      <c r="C21" s="18">
        <v>3800</v>
      </c>
    </row>
    <row r="22" spans="2:9" ht="13.5" customHeight="1" x14ac:dyDescent="0.25">
      <c r="B22" s="9" t="s">
        <v>133</v>
      </c>
      <c r="C22" s="18">
        <v>2115</v>
      </c>
    </row>
    <row r="23" spans="2:9" ht="13.5" customHeight="1" x14ac:dyDescent="0.25">
      <c r="B23" s="9" t="s">
        <v>134</v>
      </c>
      <c r="C23" s="17">
        <v>14844000</v>
      </c>
    </row>
    <row r="24" spans="2:9" ht="13.5" customHeight="1" x14ac:dyDescent="0.25">
      <c r="B24" s="9" t="s">
        <v>64</v>
      </c>
      <c r="C24" s="18">
        <v>-5937</v>
      </c>
    </row>
    <row r="26" spans="2:9" ht="14" customHeight="1" x14ac:dyDescent="0.3">
      <c r="B26" s="42" t="s">
        <v>135</v>
      </c>
      <c r="C26" s="43"/>
    </row>
    <row r="27" spans="2:9" ht="13.5" customHeight="1" x14ac:dyDescent="0.25">
      <c r="B27" s="32" t="s">
        <v>136</v>
      </c>
      <c r="C27" s="33">
        <f>ROUND((C21*D16-C24)*1000000/C23,0)</f>
        <v>2884</v>
      </c>
    </row>
    <row r="28" spans="2:9" ht="13.5" customHeight="1" x14ac:dyDescent="0.25">
      <c r="B28" s="9" t="s">
        <v>137</v>
      </c>
      <c r="C28" s="21">
        <f>ROUND(C22*F16*1000000/C23,0)</f>
        <v>2466</v>
      </c>
    </row>
  </sheetData>
  <mergeCells count="7">
    <mergeCell ref="B26:C26"/>
    <mergeCell ref="B19:C19"/>
    <mergeCell ref="B2:N2"/>
    <mergeCell ref="B16:C16"/>
    <mergeCell ref="B15:C15"/>
    <mergeCell ref="B14:I14"/>
    <mergeCell ref="B17:C17"/>
  </mergeCells>
  <phoneticPr fontId="11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I23"/>
  <sheetViews>
    <sheetView zoomScale="93" workbookViewId="0">
      <selection activeCell="J12" sqref="J12"/>
    </sheetView>
  </sheetViews>
  <sheetFormatPr defaultRowHeight="13" x14ac:dyDescent="0.2"/>
  <cols>
    <col min="1" max="1" width="3" customWidth="1"/>
    <col min="2" max="2" width="22" customWidth="1"/>
    <col min="3" max="10" width="14" customWidth="1"/>
  </cols>
  <sheetData>
    <row r="2" spans="2:9" ht="18" customHeight="1" x14ac:dyDescent="0.4">
      <c r="B2" s="35" t="s">
        <v>138</v>
      </c>
      <c r="C2" s="36"/>
      <c r="D2" s="36"/>
      <c r="E2" s="36"/>
      <c r="F2" s="36"/>
      <c r="G2" s="36"/>
      <c r="H2" s="36"/>
      <c r="I2" s="36"/>
    </row>
    <row r="4" spans="2:9" ht="15.5" customHeight="1" x14ac:dyDescent="0.35">
      <c r="B4" s="38" t="s">
        <v>139</v>
      </c>
      <c r="C4" s="36"/>
      <c r="D4" s="36"/>
      <c r="E4" s="36"/>
      <c r="F4" s="36"/>
      <c r="G4" s="36"/>
      <c r="H4" s="36"/>
      <c r="I4" s="36"/>
    </row>
    <row r="5" spans="2:9" ht="14" customHeight="1" x14ac:dyDescent="0.3">
      <c r="B5" s="25" t="s">
        <v>140</v>
      </c>
      <c r="C5" s="26">
        <v>5.0000000000000001E-3</v>
      </c>
      <c r="D5" s="26">
        <v>0.01</v>
      </c>
      <c r="E5" s="26">
        <v>1.4999999999999999E-2</v>
      </c>
      <c r="F5" s="26">
        <v>0.02</v>
      </c>
      <c r="G5" s="26">
        <v>2.5000000000000001E-2</v>
      </c>
    </row>
    <row r="6" spans="2:9" ht="13.5" customHeight="1" x14ac:dyDescent="0.25">
      <c r="B6" s="27">
        <v>0.09</v>
      </c>
      <c r="C6" s="21">
        <f>ROUND(('DCF Model'!C19*(1+'DCF Model'!C5)^1*('DCF Model'!C6*(1-'DCF Model'!C8)+'DCF Model'!C20-'DCF Model'!C7)/(1+$B6)^1+'DCF Model'!C19*(1+'DCF Model'!C5)^2*('DCF Model'!C6*(1-'DCF Model'!C8)+'DCF Model'!C20-'DCF Model'!C7)/(1+$B6)^2+'DCF Model'!C19*(1+'DCF Model'!C5)^3*('DCF Model'!C6*(1-'DCF Model'!C8)+'DCF Model'!C20-'DCF Model'!C7)/(1+$B6)^3+'DCF Model'!C19*(1+'DCF Model'!C5)^4*('DCF Model'!C6*(1-'DCF Model'!C8)+'DCF Model'!C20-'DCF Model'!C7)/(1+$B6)^4+'DCF Model'!C19*(1+'DCF Model'!C5)^5*('DCF Model'!C6*(1-'DCF Model'!C8)+'DCF Model'!C20-'DCF Model'!C7)/(1+$B6)^5+'DCF Model'!C19*(1+'DCF Model'!C5)^5*('DCF Model'!C6*(1-'DCF Model'!C8)+'DCF Model'!C20-'DCF Model'!C7)*(1+C5)/($B6-C5)/(1+$B6)^5-'DCF Model'!C18)*1000000/'DCF Model'!C17,0)</f>
        <v>2870</v>
      </c>
      <c r="D6" s="21">
        <f>ROUND(('DCF Model'!C19*(1+'DCF Model'!C5)^1*('DCF Model'!C6*(1-'DCF Model'!C8)+'DCF Model'!C20-'DCF Model'!C7)/(1+$B6)^1+'DCF Model'!C19*(1+'DCF Model'!C5)^2*('DCF Model'!C6*(1-'DCF Model'!C8)+'DCF Model'!C20-'DCF Model'!C7)/(1+$B6)^2+'DCF Model'!C19*(1+'DCF Model'!C5)^3*('DCF Model'!C6*(1-'DCF Model'!C8)+'DCF Model'!C20-'DCF Model'!C7)/(1+$B6)^3+'DCF Model'!C19*(1+'DCF Model'!C5)^4*('DCF Model'!C6*(1-'DCF Model'!C8)+'DCF Model'!C20-'DCF Model'!C7)/(1+$B6)^4+'DCF Model'!C19*(1+'DCF Model'!C5)^5*('DCF Model'!C6*(1-'DCF Model'!C8)+'DCF Model'!C20-'DCF Model'!C7)/(1+$B6)^5+'DCF Model'!C19*(1+'DCF Model'!C5)^5*('DCF Model'!C6*(1-'DCF Model'!C8)+'DCF Model'!C20-'DCF Model'!C7)*(1+D5)/($B6-D5)/(1+$B6)^5-'DCF Model'!C18)*1000000/'DCF Model'!C17,0)</f>
        <v>2987</v>
      </c>
      <c r="E6" s="21">
        <f>ROUND(('DCF Model'!C19*(1+'DCF Model'!C5)^1*('DCF Model'!C6*(1-'DCF Model'!C8)+'DCF Model'!C20-'DCF Model'!C7)/(1+$B6)^1+'DCF Model'!C19*(1+'DCF Model'!C5)^2*('DCF Model'!C6*(1-'DCF Model'!C8)+'DCF Model'!C20-'DCF Model'!C7)/(1+$B6)^2+'DCF Model'!C19*(1+'DCF Model'!C5)^3*('DCF Model'!C6*(1-'DCF Model'!C8)+'DCF Model'!C20-'DCF Model'!C7)/(1+$B6)^3+'DCF Model'!C19*(1+'DCF Model'!C5)^4*('DCF Model'!C6*(1-'DCF Model'!C8)+'DCF Model'!C20-'DCF Model'!C7)/(1+$B6)^4+'DCF Model'!C19*(1+'DCF Model'!C5)^5*('DCF Model'!C6*(1-'DCF Model'!C8)+'DCF Model'!C20-'DCF Model'!C7)/(1+$B6)^5+'DCF Model'!C19*(1+'DCF Model'!C5)^5*('DCF Model'!C6*(1-'DCF Model'!C8)+'DCF Model'!C20-'DCF Model'!C7)*(1+E5)/($B6-E5)/(1+$B6)^5-'DCF Model'!C18)*1000000/'DCF Model'!C17,0)</f>
        <v>3119</v>
      </c>
      <c r="F6" s="21">
        <f>ROUND(('DCF Model'!C19*(1+'DCF Model'!C5)^1*('DCF Model'!C6*(1-'DCF Model'!C8)+'DCF Model'!C20-'DCF Model'!C7)/(1+$B6)^1+'DCF Model'!C19*(1+'DCF Model'!C5)^2*('DCF Model'!C6*(1-'DCF Model'!C8)+'DCF Model'!C20-'DCF Model'!C7)/(1+$B6)^2+'DCF Model'!C19*(1+'DCF Model'!C5)^3*('DCF Model'!C6*(1-'DCF Model'!C8)+'DCF Model'!C20-'DCF Model'!C7)/(1+$B6)^3+'DCF Model'!C19*(1+'DCF Model'!C5)^4*('DCF Model'!C6*(1-'DCF Model'!C8)+'DCF Model'!C20-'DCF Model'!C7)/(1+$B6)^4+'DCF Model'!C19*(1+'DCF Model'!C5)^5*('DCF Model'!C6*(1-'DCF Model'!C8)+'DCF Model'!C20-'DCF Model'!C7)/(1+$B6)^5+'DCF Model'!C19*(1+'DCF Model'!C5)^5*('DCF Model'!C6*(1-'DCF Model'!C8)+'DCF Model'!C20-'DCF Model'!C7)*(1+F5)/($B6-F5)/(1+$B6)^5-'DCF Model'!C18)*1000000/'DCF Model'!C17,0)</f>
        <v>3270</v>
      </c>
      <c r="G6" s="21">
        <f>ROUND(('DCF Model'!C19*(1+'DCF Model'!C5)^1*('DCF Model'!C6*(1-'DCF Model'!C8)+'DCF Model'!C20-'DCF Model'!C7)/(1+$B6)^1+'DCF Model'!C19*(1+'DCF Model'!C5)^2*('DCF Model'!C6*(1-'DCF Model'!C8)+'DCF Model'!C20-'DCF Model'!C7)/(1+$B6)^2+'DCF Model'!C19*(1+'DCF Model'!C5)^3*('DCF Model'!C6*(1-'DCF Model'!C8)+'DCF Model'!C20-'DCF Model'!C7)/(1+$B6)^3+'DCF Model'!C19*(1+'DCF Model'!C5)^4*('DCF Model'!C6*(1-'DCF Model'!C8)+'DCF Model'!C20-'DCF Model'!C7)/(1+$B6)^4+'DCF Model'!C19*(1+'DCF Model'!C5)^5*('DCF Model'!C6*(1-'DCF Model'!C8)+'DCF Model'!C20-'DCF Model'!C7)/(1+$B6)^5+'DCF Model'!C19*(1+'DCF Model'!C5)^5*('DCF Model'!C6*(1-'DCF Model'!C8)+'DCF Model'!C20-'DCF Model'!C7)*(1+G5)/($B6-G5)/(1+$B6)^5-'DCF Model'!C18)*1000000/'DCF Model'!C17,0)</f>
        <v>3444</v>
      </c>
    </row>
    <row r="7" spans="2:9" ht="13.5" customHeight="1" x14ac:dyDescent="0.25">
      <c r="B7" s="27">
        <v>9.5000000000000001E-2</v>
      </c>
      <c r="C7" s="21">
        <f>ROUND(('DCF Model'!C19*(1+'DCF Model'!C5)^1*('DCF Model'!C6*(1-'DCF Model'!C8)+'DCF Model'!C20-'DCF Model'!C7)/(1+$B7)^1+'DCF Model'!C19*(1+'DCF Model'!C5)^2*('DCF Model'!C6*(1-'DCF Model'!C8)+'DCF Model'!C20-'DCF Model'!C7)/(1+$B7)^2+'DCF Model'!C19*(1+'DCF Model'!C5)^3*('DCF Model'!C6*(1-'DCF Model'!C8)+'DCF Model'!C20-'DCF Model'!C7)/(1+$B7)^3+'DCF Model'!C19*(1+'DCF Model'!C5)^4*('DCF Model'!C6*(1-'DCF Model'!C8)+'DCF Model'!C20-'DCF Model'!C7)/(1+$B7)^4+'DCF Model'!C19*(1+'DCF Model'!C5)^5*('DCF Model'!C6*(1-'DCF Model'!C8)+'DCF Model'!C20-'DCF Model'!C7)/(1+$B7)^5+'DCF Model'!C19*(1+'DCF Model'!C5)^5*('DCF Model'!C6*(1-'DCF Model'!C8)+'DCF Model'!C20-'DCF Model'!C7)*(1+C5)/($B7-C5)/(1+$B7)^5-'DCF Model'!C18)*1000000/'DCF Model'!C17,0)</f>
        <v>2728</v>
      </c>
      <c r="D7" s="21">
        <f>ROUND(('DCF Model'!C19*(1+'DCF Model'!C5)^1*('DCF Model'!C6*(1-'DCF Model'!C8)+'DCF Model'!C20-'DCF Model'!C7)/(1+$B7)^1+'DCF Model'!C19*(1+'DCF Model'!C5)^2*('DCF Model'!C6*(1-'DCF Model'!C8)+'DCF Model'!C20-'DCF Model'!C7)/(1+$B7)^2+'DCF Model'!C19*(1+'DCF Model'!C5)^3*('DCF Model'!C6*(1-'DCF Model'!C8)+'DCF Model'!C20-'DCF Model'!C7)/(1+$B7)^3+'DCF Model'!C19*(1+'DCF Model'!C5)^4*('DCF Model'!C6*(1-'DCF Model'!C8)+'DCF Model'!C20-'DCF Model'!C7)/(1+$B7)^4+'DCF Model'!C19*(1+'DCF Model'!C5)^5*('DCF Model'!C6*(1-'DCF Model'!C8)+'DCF Model'!C20-'DCF Model'!C7)/(1+$B7)^5+'DCF Model'!C19*(1+'DCF Model'!C5)^5*('DCF Model'!C6*(1-'DCF Model'!C8)+'DCF Model'!C20-'DCF Model'!C7)*(1+D5)/($B7-D5)/(1+$B7)^5-'DCF Model'!C18)*1000000/'DCF Model'!C17,0)</f>
        <v>2830</v>
      </c>
      <c r="E7" s="21">
        <f>ROUND(('DCF Model'!C19*(1+'DCF Model'!C5)^1*('DCF Model'!C6*(1-'DCF Model'!C8)+'DCF Model'!C20-'DCF Model'!C7)/(1+$B7)^1+'DCF Model'!C19*(1+'DCF Model'!C5)^2*('DCF Model'!C6*(1-'DCF Model'!C8)+'DCF Model'!C20-'DCF Model'!C7)/(1+$B7)^2+'DCF Model'!C19*(1+'DCF Model'!C5)^3*('DCF Model'!C6*(1-'DCF Model'!C8)+'DCF Model'!C20-'DCF Model'!C7)/(1+$B7)^3+'DCF Model'!C19*(1+'DCF Model'!C5)^4*('DCF Model'!C6*(1-'DCF Model'!C8)+'DCF Model'!C20-'DCF Model'!C7)/(1+$B7)^4+'DCF Model'!C19*(1+'DCF Model'!C5)^5*('DCF Model'!C6*(1-'DCF Model'!C8)+'DCF Model'!C20-'DCF Model'!C7)/(1+$B7)^5+'DCF Model'!C19*(1+'DCF Model'!C5)^5*('DCF Model'!C6*(1-'DCF Model'!C8)+'DCF Model'!C20-'DCF Model'!C7)*(1+E5)/($B7-E5)/(1+$B7)^5-'DCF Model'!C18)*1000000/'DCF Model'!C17,0)</f>
        <v>2944</v>
      </c>
      <c r="F7" s="21">
        <f>ROUND(('DCF Model'!C19*(1+'DCF Model'!C5)^1*('DCF Model'!C6*(1-'DCF Model'!C8)+'DCF Model'!C20-'DCF Model'!C7)/(1+$B7)^1+'DCF Model'!C19*(1+'DCF Model'!C5)^2*('DCF Model'!C6*(1-'DCF Model'!C8)+'DCF Model'!C20-'DCF Model'!C7)/(1+$B7)^2+'DCF Model'!C19*(1+'DCF Model'!C5)^3*('DCF Model'!C6*(1-'DCF Model'!C8)+'DCF Model'!C20-'DCF Model'!C7)/(1+$B7)^3+'DCF Model'!C19*(1+'DCF Model'!C5)^4*('DCF Model'!C6*(1-'DCF Model'!C8)+'DCF Model'!C20-'DCF Model'!C7)/(1+$B7)^4+'DCF Model'!C19*(1+'DCF Model'!C5)^5*('DCF Model'!C6*(1-'DCF Model'!C8)+'DCF Model'!C20-'DCF Model'!C7)/(1+$B7)^5+'DCF Model'!C19*(1+'DCF Model'!C5)^5*('DCF Model'!C6*(1-'DCF Model'!C8)+'DCF Model'!C20-'DCF Model'!C7)*(1+F5)/($B7-F5)/(1+$B7)^5-'DCF Model'!C18)*1000000/'DCF Model'!C17,0)</f>
        <v>3074</v>
      </c>
      <c r="G7" s="21">
        <f>ROUND(('DCF Model'!C19*(1+'DCF Model'!C5)^1*('DCF Model'!C6*(1-'DCF Model'!C8)+'DCF Model'!C20-'DCF Model'!C7)/(1+$B7)^1+'DCF Model'!C19*(1+'DCF Model'!C5)^2*('DCF Model'!C6*(1-'DCF Model'!C8)+'DCF Model'!C20-'DCF Model'!C7)/(1+$B7)^2+'DCF Model'!C19*(1+'DCF Model'!C5)^3*('DCF Model'!C6*(1-'DCF Model'!C8)+'DCF Model'!C20-'DCF Model'!C7)/(1+$B7)^3+'DCF Model'!C19*(1+'DCF Model'!C5)^4*('DCF Model'!C6*(1-'DCF Model'!C8)+'DCF Model'!C20-'DCF Model'!C7)/(1+$B7)^4+'DCF Model'!C19*(1+'DCF Model'!C5)^5*('DCF Model'!C6*(1-'DCF Model'!C8)+'DCF Model'!C20-'DCF Model'!C7)/(1+$B7)^5+'DCF Model'!C19*(1+'DCF Model'!C5)^5*('DCF Model'!C6*(1-'DCF Model'!C8)+'DCF Model'!C20-'DCF Model'!C7)*(1+G5)/($B7-G5)/(1+$B7)^5-'DCF Model'!C18)*1000000/'DCF Model'!C17,0)</f>
        <v>3222</v>
      </c>
    </row>
    <row r="8" spans="2:9" ht="13.5" customHeight="1" x14ac:dyDescent="0.25">
      <c r="B8" s="27">
        <v>0.1</v>
      </c>
      <c r="C8" s="21">
        <f>ROUND(('DCF Model'!C19*(1+'DCF Model'!C5)^1*('DCF Model'!C6*(1-'DCF Model'!C8)+'DCF Model'!C20-'DCF Model'!C7)/(1+$B8)^1+'DCF Model'!C19*(1+'DCF Model'!C5)^2*('DCF Model'!C6*(1-'DCF Model'!C8)+'DCF Model'!C20-'DCF Model'!C7)/(1+$B8)^2+'DCF Model'!C19*(1+'DCF Model'!C5)^3*('DCF Model'!C6*(1-'DCF Model'!C8)+'DCF Model'!C20-'DCF Model'!C7)/(1+$B8)^3+'DCF Model'!C19*(1+'DCF Model'!C5)^4*('DCF Model'!C6*(1-'DCF Model'!C8)+'DCF Model'!C20-'DCF Model'!C7)/(1+$B8)^4+'DCF Model'!C19*(1+'DCF Model'!C5)^5*('DCF Model'!C6*(1-'DCF Model'!C8)+'DCF Model'!C20-'DCF Model'!C7)/(1+$B8)^5+'DCF Model'!C19*(1+'DCF Model'!C5)^5*('DCF Model'!C6*(1-'DCF Model'!C8)+'DCF Model'!C20-'DCF Model'!C7)*(1+C5)/($B8-C5)/(1+$B8)^5-'DCF Model'!C18)*1000000/'DCF Model'!C17,0)</f>
        <v>2601</v>
      </c>
      <c r="D8" s="21">
        <f>ROUND(('DCF Model'!C19*(1+'DCF Model'!C5)^1*('DCF Model'!C6*(1-'DCF Model'!C8)+'DCF Model'!C20-'DCF Model'!C7)/(1+$B8)^1+'DCF Model'!C19*(1+'DCF Model'!C5)^2*('DCF Model'!C6*(1-'DCF Model'!C8)+'DCF Model'!C20-'DCF Model'!C7)/(1+$B8)^2+'DCF Model'!C19*(1+'DCF Model'!C5)^3*('DCF Model'!C6*(1-'DCF Model'!C8)+'DCF Model'!C20-'DCF Model'!C7)/(1+$B8)^3+'DCF Model'!C19*(1+'DCF Model'!C5)^4*('DCF Model'!C6*(1-'DCF Model'!C8)+'DCF Model'!C20-'DCF Model'!C7)/(1+$B8)^4+'DCF Model'!C19*(1+'DCF Model'!C5)^5*('DCF Model'!C6*(1-'DCF Model'!C8)+'DCF Model'!C20-'DCF Model'!C7)/(1+$B8)^5+'DCF Model'!C19*(1+'DCF Model'!C5)^5*('DCF Model'!C6*(1-'DCF Model'!C8)+'DCF Model'!C20-'DCF Model'!C7)*(1+D5)/($B8-D5)/(1+$B8)^5-'DCF Model'!C18)*1000000/'DCF Model'!C17,0)</f>
        <v>2690</v>
      </c>
      <c r="E8" s="21">
        <f>ROUND(('DCF Model'!C19*(1+'DCF Model'!C5)^1*('DCF Model'!C6*(1-'DCF Model'!C8)+'DCF Model'!C20-'DCF Model'!C7)/(1+$B8)^1+'DCF Model'!C19*(1+'DCF Model'!C5)^2*('DCF Model'!C6*(1-'DCF Model'!C8)+'DCF Model'!C20-'DCF Model'!C7)/(1+$B8)^2+'DCF Model'!C19*(1+'DCF Model'!C5)^3*('DCF Model'!C6*(1-'DCF Model'!C8)+'DCF Model'!C20-'DCF Model'!C7)/(1+$B8)^3+'DCF Model'!C19*(1+'DCF Model'!C5)^4*('DCF Model'!C6*(1-'DCF Model'!C8)+'DCF Model'!C20-'DCF Model'!C7)/(1+$B8)^4+'DCF Model'!C19*(1+'DCF Model'!C5)^5*('DCF Model'!C6*(1-'DCF Model'!C8)+'DCF Model'!C20-'DCF Model'!C7)/(1+$B8)^5+'DCF Model'!C19*(1+'DCF Model'!C5)^5*('DCF Model'!C6*(1-'DCF Model'!C8)+'DCF Model'!C20-'DCF Model'!C7)*(1+E5)/($B8-E5)/(1+$B8)^5-'DCF Model'!C18)*1000000/'DCF Model'!C17,0)</f>
        <v>2790</v>
      </c>
      <c r="F8" s="21">
        <f>ROUND(('DCF Model'!C19*(1+'DCF Model'!C5)^1*('DCF Model'!C6*(1-'DCF Model'!C8)+'DCF Model'!C20-'DCF Model'!C7)/(1+$B8)^1+'DCF Model'!C19*(1+'DCF Model'!C5)^2*('DCF Model'!C6*(1-'DCF Model'!C8)+'DCF Model'!C20-'DCF Model'!C7)/(1+$B8)^2+'DCF Model'!C19*(1+'DCF Model'!C5)^3*('DCF Model'!C6*(1-'DCF Model'!C8)+'DCF Model'!C20-'DCF Model'!C7)/(1+$B8)^3+'DCF Model'!C19*(1+'DCF Model'!C5)^4*('DCF Model'!C6*(1-'DCF Model'!C8)+'DCF Model'!C20-'DCF Model'!C7)/(1+$B8)^4+'DCF Model'!C19*(1+'DCF Model'!C5)^5*('DCF Model'!C6*(1-'DCF Model'!C8)+'DCF Model'!C20-'DCF Model'!C7)/(1+$B8)^5+'DCF Model'!C19*(1+'DCF Model'!C5)^5*('DCF Model'!C6*(1-'DCF Model'!C8)+'DCF Model'!C20-'DCF Model'!C7)*(1+F5)/($B8-F5)/(1+$B8)^5-'DCF Model'!C18)*1000000/'DCF Model'!C17,0)</f>
        <v>2902</v>
      </c>
      <c r="G8" s="21">
        <f>ROUND(('DCF Model'!C19*(1+'DCF Model'!C5)^1*('DCF Model'!C6*(1-'DCF Model'!C8)+'DCF Model'!C20-'DCF Model'!C7)/(1+$B8)^1+'DCF Model'!C19*(1+'DCF Model'!C5)^2*('DCF Model'!C6*(1-'DCF Model'!C8)+'DCF Model'!C20-'DCF Model'!C7)/(1+$B8)^2+'DCF Model'!C19*(1+'DCF Model'!C5)^3*('DCF Model'!C6*(1-'DCF Model'!C8)+'DCF Model'!C20-'DCF Model'!C7)/(1+$B8)^3+'DCF Model'!C19*(1+'DCF Model'!C5)^4*('DCF Model'!C6*(1-'DCF Model'!C8)+'DCF Model'!C20-'DCF Model'!C7)/(1+$B8)^4+'DCF Model'!C19*(1+'DCF Model'!C5)^5*('DCF Model'!C6*(1-'DCF Model'!C8)+'DCF Model'!C20-'DCF Model'!C7)/(1+$B8)^5+'DCF Model'!C19*(1+'DCF Model'!C5)^5*('DCF Model'!C6*(1-'DCF Model'!C8)+'DCF Model'!C20-'DCF Model'!C7)*(1+G5)/($B8-G5)/(1+$B8)^5-'DCF Model'!C18)*1000000/'DCF Model'!C17,0)</f>
        <v>3029</v>
      </c>
    </row>
    <row r="9" spans="2:9" ht="13.5" customHeight="1" x14ac:dyDescent="0.25">
      <c r="B9" s="27">
        <v>0.105</v>
      </c>
      <c r="C9" s="21">
        <f>ROUND(('DCF Model'!C19*(1+'DCF Model'!C5)^1*('DCF Model'!C6*(1-'DCF Model'!C8)+'DCF Model'!C20-'DCF Model'!C7)/(1+$B9)^1+'DCF Model'!C19*(1+'DCF Model'!C5)^2*('DCF Model'!C6*(1-'DCF Model'!C8)+'DCF Model'!C20-'DCF Model'!C7)/(1+$B9)^2+'DCF Model'!C19*(1+'DCF Model'!C5)^3*('DCF Model'!C6*(1-'DCF Model'!C8)+'DCF Model'!C20-'DCF Model'!C7)/(1+$B9)^3+'DCF Model'!C19*(1+'DCF Model'!C5)^4*('DCF Model'!C6*(1-'DCF Model'!C8)+'DCF Model'!C20-'DCF Model'!C7)/(1+$B9)^4+'DCF Model'!C19*(1+'DCF Model'!C5)^5*('DCF Model'!C6*(1-'DCF Model'!C8)+'DCF Model'!C20-'DCF Model'!C7)/(1+$B9)^5+'DCF Model'!C19*(1+'DCF Model'!C5)^5*('DCF Model'!C6*(1-'DCF Model'!C8)+'DCF Model'!C20-'DCF Model'!C7)*(1+C5)/($B9-C5)/(1+$B9)^5-'DCF Model'!C18)*1000000/'DCF Model'!C17,0)</f>
        <v>2486</v>
      </c>
      <c r="D9" s="21">
        <f>ROUND(('DCF Model'!C19*(1+'DCF Model'!C5)^1*('DCF Model'!C6*(1-'DCF Model'!C8)+'DCF Model'!C20-'DCF Model'!C7)/(1+$B9)^1+'DCF Model'!C19*(1+'DCF Model'!C5)^2*('DCF Model'!C6*(1-'DCF Model'!C8)+'DCF Model'!C20-'DCF Model'!C7)/(1+$B9)^2+'DCF Model'!C19*(1+'DCF Model'!C5)^3*('DCF Model'!C6*(1-'DCF Model'!C8)+'DCF Model'!C20-'DCF Model'!C7)/(1+$B9)^3+'DCF Model'!C19*(1+'DCF Model'!C5)^4*('DCF Model'!C6*(1-'DCF Model'!C8)+'DCF Model'!C20-'DCF Model'!C7)/(1+$B9)^4+'DCF Model'!C19*(1+'DCF Model'!C5)^5*('DCF Model'!C6*(1-'DCF Model'!C8)+'DCF Model'!C20-'DCF Model'!C7)/(1+$B9)^5+'DCF Model'!C19*(1+'DCF Model'!C5)^5*('DCF Model'!C6*(1-'DCF Model'!C8)+'DCF Model'!C20-'DCF Model'!C7)*(1+D5)/($B9-D5)/(1+$B9)^5-'DCF Model'!C18)*1000000/'DCF Model'!C17,0)</f>
        <v>2565</v>
      </c>
      <c r="E9" s="21">
        <f>ROUND(('DCF Model'!C19*(1+'DCF Model'!C5)^1*('DCF Model'!C6*(1-'DCF Model'!C8)+'DCF Model'!C20-'DCF Model'!C7)/(1+$B9)^1+'DCF Model'!C19*(1+'DCF Model'!C5)^2*('DCF Model'!C6*(1-'DCF Model'!C8)+'DCF Model'!C20-'DCF Model'!C7)/(1+$B9)^2+'DCF Model'!C19*(1+'DCF Model'!C5)^3*('DCF Model'!C6*(1-'DCF Model'!C8)+'DCF Model'!C20-'DCF Model'!C7)/(1+$B9)^3+'DCF Model'!C19*(1+'DCF Model'!C5)^4*('DCF Model'!C6*(1-'DCF Model'!C8)+'DCF Model'!C20-'DCF Model'!C7)/(1+$B9)^4+'DCF Model'!C19*(1+'DCF Model'!C5)^5*('DCF Model'!C6*(1-'DCF Model'!C8)+'DCF Model'!C20-'DCF Model'!C7)/(1+$B9)^5+'DCF Model'!C19*(1+'DCF Model'!C5)^5*('DCF Model'!C6*(1-'DCF Model'!C8)+'DCF Model'!C20-'DCF Model'!C7)*(1+E5)/($B9-E5)/(1+$B9)^5-'DCF Model'!C18)*1000000/'DCF Model'!C17,0)</f>
        <v>2653</v>
      </c>
      <c r="F9" s="21">
        <f>ROUND(('DCF Model'!C19*(1+'DCF Model'!C5)^1*('DCF Model'!C6*(1-'DCF Model'!C8)+'DCF Model'!C20-'DCF Model'!C7)/(1+$B9)^1+'DCF Model'!C19*(1+'DCF Model'!C5)^2*('DCF Model'!C6*(1-'DCF Model'!C8)+'DCF Model'!C20-'DCF Model'!C7)/(1+$B9)^2+'DCF Model'!C19*(1+'DCF Model'!C5)^3*('DCF Model'!C6*(1-'DCF Model'!C8)+'DCF Model'!C20-'DCF Model'!C7)/(1+$B9)^3+'DCF Model'!C19*(1+'DCF Model'!C5)^4*('DCF Model'!C6*(1-'DCF Model'!C8)+'DCF Model'!C20-'DCF Model'!C7)/(1+$B9)^4+'DCF Model'!C19*(1+'DCF Model'!C5)^5*('DCF Model'!C6*(1-'DCF Model'!C8)+'DCF Model'!C20-'DCF Model'!C7)/(1+$B9)^5+'DCF Model'!C19*(1+'DCF Model'!C5)^5*('DCF Model'!C6*(1-'DCF Model'!C8)+'DCF Model'!C20-'DCF Model'!C7)*(1+F5)/($B9-F5)/(1+$B9)^5-'DCF Model'!C18)*1000000/'DCF Model'!C17,0)</f>
        <v>2751</v>
      </c>
      <c r="G9" s="21">
        <f>ROUND(('DCF Model'!C19*(1+'DCF Model'!C5)^1*('DCF Model'!C6*(1-'DCF Model'!C8)+'DCF Model'!C20-'DCF Model'!C7)/(1+$B9)^1+'DCF Model'!C19*(1+'DCF Model'!C5)^2*('DCF Model'!C6*(1-'DCF Model'!C8)+'DCF Model'!C20-'DCF Model'!C7)/(1+$B9)^2+'DCF Model'!C19*(1+'DCF Model'!C5)^3*('DCF Model'!C6*(1-'DCF Model'!C8)+'DCF Model'!C20-'DCF Model'!C7)/(1+$B9)^3+'DCF Model'!C19*(1+'DCF Model'!C5)^4*('DCF Model'!C6*(1-'DCF Model'!C8)+'DCF Model'!C20-'DCF Model'!C7)/(1+$B9)^4+'DCF Model'!C19*(1+'DCF Model'!C5)^5*('DCF Model'!C6*(1-'DCF Model'!C8)+'DCF Model'!C20-'DCF Model'!C7)/(1+$B9)^5+'DCF Model'!C19*(1+'DCF Model'!C5)^5*('DCF Model'!C6*(1-'DCF Model'!C8)+'DCF Model'!C20-'DCF Model'!C7)*(1+G5)/($B9-G5)/(1+$B9)^5-'DCF Model'!C18)*1000000/'DCF Model'!C17,0)</f>
        <v>2861</v>
      </c>
    </row>
    <row r="10" spans="2:9" ht="13.5" customHeight="1" x14ac:dyDescent="0.25">
      <c r="B10" s="27">
        <v>0.11</v>
      </c>
      <c r="C10" s="21">
        <f>ROUND(('DCF Model'!C19*(1+'DCF Model'!C5)^1*('DCF Model'!C6*(1-'DCF Model'!C8)+'DCF Model'!C20-'DCF Model'!C7)/(1+$B10)^1+'DCF Model'!C19*(1+'DCF Model'!C5)^2*('DCF Model'!C6*(1-'DCF Model'!C8)+'DCF Model'!C20-'DCF Model'!C7)/(1+$B10)^2+'DCF Model'!C19*(1+'DCF Model'!C5)^3*('DCF Model'!C6*(1-'DCF Model'!C8)+'DCF Model'!C20-'DCF Model'!C7)/(1+$B10)^3+'DCF Model'!C19*(1+'DCF Model'!C5)^4*('DCF Model'!C6*(1-'DCF Model'!C8)+'DCF Model'!C20-'DCF Model'!C7)/(1+$B10)^4+'DCF Model'!C19*(1+'DCF Model'!C5)^5*('DCF Model'!C6*(1-'DCF Model'!C8)+'DCF Model'!C20-'DCF Model'!C7)/(1+$B10)^5+'DCF Model'!C19*(1+'DCF Model'!C5)^5*('DCF Model'!C6*(1-'DCF Model'!C8)+'DCF Model'!C20-'DCF Model'!C7)*(1+C5)/($B10-C5)/(1+$B10)^5-'DCF Model'!C18)*1000000/'DCF Model'!C17,0)</f>
        <v>2383</v>
      </c>
      <c r="D10" s="21">
        <f>ROUND(('DCF Model'!C19*(1+'DCF Model'!C5)^1*('DCF Model'!C6*(1-'DCF Model'!C8)+'DCF Model'!C20-'DCF Model'!C7)/(1+$B10)^1+'DCF Model'!C19*(1+'DCF Model'!C5)^2*('DCF Model'!C6*(1-'DCF Model'!C8)+'DCF Model'!C20-'DCF Model'!C7)/(1+$B10)^2+'DCF Model'!C19*(1+'DCF Model'!C5)^3*('DCF Model'!C6*(1-'DCF Model'!C8)+'DCF Model'!C20-'DCF Model'!C7)/(1+$B10)^3+'DCF Model'!C19*(1+'DCF Model'!C5)^4*('DCF Model'!C6*(1-'DCF Model'!C8)+'DCF Model'!C20-'DCF Model'!C7)/(1+$B10)^4+'DCF Model'!C19*(1+'DCF Model'!C5)^5*('DCF Model'!C6*(1-'DCF Model'!C8)+'DCF Model'!C20-'DCF Model'!C7)/(1+$B10)^5+'DCF Model'!C19*(1+'DCF Model'!C5)^5*('DCF Model'!C6*(1-'DCF Model'!C8)+'DCF Model'!C20-'DCF Model'!C7)*(1+D5)/($B10-D5)/(1+$B10)^5-'DCF Model'!C18)*1000000/'DCF Model'!C17,0)</f>
        <v>2453</v>
      </c>
      <c r="E10" s="21">
        <f>ROUND(('DCF Model'!C19*(1+'DCF Model'!C5)^1*('DCF Model'!C6*(1-'DCF Model'!C8)+'DCF Model'!C20-'DCF Model'!C7)/(1+$B10)^1+'DCF Model'!C19*(1+'DCF Model'!C5)^2*('DCF Model'!C6*(1-'DCF Model'!C8)+'DCF Model'!C20-'DCF Model'!C7)/(1+$B10)^2+'DCF Model'!C19*(1+'DCF Model'!C5)^3*('DCF Model'!C6*(1-'DCF Model'!C8)+'DCF Model'!C20-'DCF Model'!C7)/(1+$B10)^3+'DCF Model'!C19*(1+'DCF Model'!C5)^4*('DCF Model'!C6*(1-'DCF Model'!C8)+'DCF Model'!C20-'DCF Model'!C7)/(1+$B10)^4+'DCF Model'!C19*(1+'DCF Model'!C5)^5*('DCF Model'!C6*(1-'DCF Model'!C8)+'DCF Model'!C20-'DCF Model'!C7)/(1+$B10)^5+'DCF Model'!C19*(1+'DCF Model'!C5)^5*('DCF Model'!C6*(1-'DCF Model'!C8)+'DCF Model'!C20-'DCF Model'!C7)*(1+E5)/($B10-E5)/(1+$B10)^5-'DCF Model'!C18)*1000000/'DCF Model'!C17,0)</f>
        <v>2530</v>
      </c>
      <c r="F10" s="21">
        <f>ROUND(('DCF Model'!C19*(1+'DCF Model'!C5)^1*('DCF Model'!C6*(1-'DCF Model'!C8)+'DCF Model'!C20-'DCF Model'!C7)/(1+$B10)^1+'DCF Model'!C19*(1+'DCF Model'!C5)^2*('DCF Model'!C6*(1-'DCF Model'!C8)+'DCF Model'!C20-'DCF Model'!C7)/(1+$B10)^2+'DCF Model'!C19*(1+'DCF Model'!C5)^3*('DCF Model'!C6*(1-'DCF Model'!C8)+'DCF Model'!C20-'DCF Model'!C7)/(1+$B10)^3+'DCF Model'!C19*(1+'DCF Model'!C5)^4*('DCF Model'!C6*(1-'DCF Model'!C8)+'DCF Model'!C20-'DCF Model'!C7)/(1+$B10)^4+'DCF Model'!C19*(1+'DCF Model'!C5)^5*('DCF Model'!C6*(1-'DCF Model'!C8)+'DCF Model'!C20-'DCF Model'!C7)/(1+$B10)^5+'DCF Model'!C19*(1+'DCF Model'!C5)^5*('DCF Model'!C6*(1-'DCF Model'!C8)+'DCF Model'!C20-'DCF Model'!C7)*(1+F5)/($B10-F5)/(1+$B10)^5-'DCF Model'!C18)*1000000/'DCF Model'!C17,0)</f>
        <v>2617</v>
      </c>
      <c r="G10" s="21">
        <f>ROUND(('DCF Model'!C19*(1+'DCF Model'!C5)^1*('DCF Model'!C6*(1-'DCF Model'!C8)+'DCF Model'!C20-'DCF Model'!C7)/(1+$B10)^1+'DCF Model'!C19*(1+'DCF Model'!C5)^2*('DCF Model'!C6*(1-'DCF Model'!C8)+'DCF Model'!C20-'DCF Model'!C7)/(1+$B10)^2+'DCF Model'!C19*(1+'DCF Model'!C5)^3*('DCF Model'!C6*(1-'DCF Model'!C8)+'DCF Model'!C20-'DCF Model'!C7)/(1+$B10)^3+'DCF Model'!C19*(1+'DCF Model'!C5)^4*('DCF Model'!C6*(1-'DCF Model'!C8)+'DCF Model'!C20-'DCF Model'!C7)/(1+$B10)^4+'DCF Model'!C19*(1+'DCF Model'!C5)^5*('DCF Model'!C6*(1-'DCF Model'!C8)+'DCF Model'!C20-'DCF Model'!C7)/(1+$B10)^5+'DCF Model'!C19*(1+'DCF Model'!C5)^5*('DCF Model'!C6*(1-'DCF Model'!C8)+'DCF Model'!C20-'DCF Model'!C7)*(1+G5)/($B10-G5)/(1+$B10)^5-'DCF Model'!C18)*1000000/'DCF Model'!C17,0)</f>
        <v>2713</v>
      </c>
    </row>
    <row r="11" spans="2:9" ht="13.5" customHeight="1" x14ac:dyDescent="0.25">
      <c r="B11" s="27">
        <v>0.115</v>
      </c>
      <c r="C11" s="21">
        <f>ROUND(('DCF Model'!C19*(1+'DCF Model'!C5)^1*('DCF Model'!C6*(1-'DCF Model'!C8)+'DCF Model'!C20-'DCF Model'!C7)/(1+$B11)^1+'DCF Model'!C19*(1+'DCF Model'!C5)^2*('DCF Model'!C6*(1-'DCF Model'!C8)+'DCF Model'!C20-'DCF Model'!C7)/(1+$B11)^2+'DCF Model'!C19*(1+'DCF Model'!C5)^3*('DCF Model'!C6*(1-'DCF Model'!C8)+'DCF Model'!C20-'DCF Model'!C7)/(1+$B11)^3+'DCF Model'!C19*(1+'DCF Model'!C5)^4*('DCF Model'!C6*(1-'DCF Model'!C8)+'DCF Model'!C20-'DCF Model'!C7)/(1+$B11)^4+'DCF Model'!C19*(1+'DCF Model'!C5)^5*('DCF Model'!C6*(1-'DCF Model'!C8)+'DCF Model'!C20-'DCF Model'!C7)/(1+$B11)^5+'DCF Model'!C19*(1+'DCF Model'!C5)^5*('DCF Model'!C6*(1-'DCF Model'!C8)+'DCF Model'!C20-'DCF Model'!C7)*(1+C5)/($B11-C5)/(1+$B11)^5-'DCF Model'!C18)*1000000/'DCF Model'!C17,0)</f>
        <v>2289</v>
      </c>
      <c r="D11" s="21">
        <f>ROUND(('DCF Model'!C19*(1+'DCF Model'!C5)^1*('DCF Model'!C6*(1-'DCF Model'!C8)+'DCF Model'!C20-'DCF Model'!C7)/(1+$B11)^1+'DCF Model'!C19*(1+'DCF Model'!C5)^2*('DCF Model'!C6*(1-'DCF Model'!C8)+'DCF Model'!C20-'DCF Model'!C7)/(1+$B11)^2+'DCF Model'!C19*(1+'DCF Model'!C5)^3*('DCF Model'!C6*(1-'DCF Model'!C8)+'DCF Model'!C20-'DCF Model'!C7)/(1+$B11)^3+'DCF Model'!C19*(1+'DCF Model'!C5)^4*('DCF Model'!C6*(1-'DCF Model'!C8)+'DCF Model'!C20-'DCF Model'!C7)/(1+$B11)^4+'DCF Model'!C19*(1+'DCF Model'!C5)^5*('DCF Model'!C6*(1-'DCF Model'!C8)+'DCF Model'!C20-'DCF Model'!C7)/(1+$B11)^5+'DCF Model'!C19*(1+'DCF Model'!C5)^5*('DCF Model'!C6*(1-'DCF Model'!C8)+'DCF Model'!C20-'DCF Model'!C7)*(1+D5)/($B11-D5)/(1+$B11)^5-'DCF Model'!C18)*1000000/'DCF Model'!C17,0)</f>
        <v>2351</v>
      </c>
      <c r="E11" s="21">
        <f>ROUND(('DCF Model'!C19*(1+'DCF Model'!C5)^1*('DCF Model'!C6*(1-'DCF Model'!C8)+'DCF Model'!C20-'DCF Model'!C7)/(1+$B11)^1+'DCF Model'!C19*(1+'DCF Model'!C5)^2*('DCF Model'!C6*(1-'DCF Model'!C8)+'DCF Model'!C20-'DCF Model'!C7)/(1+$B11)^2+'DCF Model'!C19*(1+'DCF Model'!C5)^3*('DCF Model'!C6*(1-'DCF Model'!C8)+'DCF Model'!C20-'DCF Model'!C7)/(1+$B11)^3+'DCF Model'!C19*(1+'DCF Model'!C5)^4*('DCF Model'!C6*(1-'DCF Model'!C8)+'DCF Model'!C20-'DCF Model'!C7)/(1+$B11)^4+'DCF Model'!C19*(1+'DCF Model'!C5)^5*('DCF Model'!C6*(1-'DCF Model'!C8)+'DCF Model'!C20-'DCF Model'!C7)/(1+$B11)^5+'DCF Model'!C19*(1+'DCF Model'!C5)^5*('DCF Model'!C6*(1-'DCF Model'!C8)+'DCF Model'!C20-'DCF Model'!C7)*(1+E5)/($B11-E5)/(1+$B11)^5-'DCF Model'!C18)*1000000/'DCF Model'!C17,0)</f>
        <v>2420</v>
      </c>
      <c r="F11" s="21">
        <f>ROUND(('DCF Model'!C19*(1+'DCF Model'!C5)^1*('DCF Model'!C6*(1-'DCF Model'!C8)+'DCF Model'!C20-'DCF Model'!C7)/(1+$B11)^1+'DCF Model'!C19*(1+'DCF Model'!C5)^2*('DCF Model'!C6*(1-'DCF Model'!C8)+'DCF Model'!C20-'DCF Model'!C7)/(1+$B11)^2+'DCF Model'!C19*(1+'DCF Model'!C5)^3*('DCF Model'!C6*(1-'DCF Model'!C8)+'DCF Model'!C20-'DCF Model'!C7)/(1+$B11)^3+'DCF Model'!C19*(1+'DCF Model'!C5)^4*('DCF Model'!C6*(1-'DCF Model'!C8)+'DCF Model'!C20-'DCF Model'!C7)/(1+$B11)^4+'DCF Model'!C19*(1+'DCF Model'!C5)^5*('DCF Model'!C6*(1-'DCF Model'!C8)+'DCF Model'!C20-'DCF Model'!C7)/(1+$B11)^5+'DCF Model'!C19*(1+'DCF Model'!C5)^5*('DCF Model'!C6*(1-'DCF Model'!C8)+'DCF Model'!C20-'DCF Model'!C7)*(1+F5)/($B11-F5)/(1+$B11)^5-'DCF Model'!C18)*1000000/'DCF Model'!C17,0)</f>
        <v>2496</v>
      </c>
      <c r="G11" s="21">
        <f>ROUND(('DCF Model'!C19*(1+'DCF Model'!C5)^1*('DCF Model'!C6*(1-'DCF Model'!C8)+'DCF Model'!C20-'DCF Model'!C7)/(1+$B11)^1+'DCF Model'!C19*(1+'DCF Model'!C5)^2*('DCF Model'!C6*(1-'DCF Model'!C8)+'DCF Model'!C20-'DCF Model'!C7)/(1+$B11)^2+'DCF Model'!C19*(1+'DCF Model'!C5)^3*('DCF Model'!C6*(1-'DCF Model'!C8)+'DCF Model'!C20-'DCF Model'!C7)/(1+$B11)^3+'DCF Model'!C19*(1+'DCF Model'!C5)^4*('DCF Model'!C6*(1-'DCF Model'!C8)+'DCF Model'!C20-'DCF Model'!C7)/(1+$B11)^4+'DCF Model'!C19*(1+'DCF Model'!C5)^5*('DCF Model'!C6*(1-'DCF Model'!C8)+'DCF Model'!C20-'DCF Model'!C7)/(1+$B11)^5+'DCF Model'!C19*(1+'DCF Model'!C5)^5*('DCF Model'!C6*(1-'DCF Model'!C8)+'DCF Model'!C20-'DCF Model'!C7)*(1+G5)/($B11-G5)/(1+$B11)^5-'DCF Model'!C18)*1000000/'DCF Model'!C17,0)</f>
        <v>2581</v>
      </c>
    </row>
    <row r="12" spans="2:9" ht="13.5" customHeight="1" x14ac:dyDescent="0.25">
      <c r="B12" s="27">
        <v>0.12</v>
      </c>
      <c r="C12" s="21">
        <f>ROUND(('DCF Model'!C19*(1+'DCF Model'!C5)^1*('DCF Model'!C6*(1-'DCF Model'!C8)+'DCF Model'!C20-'DCF Model'!C7)/(1+$B12)^1+'DCF Model'!C19*(1+'DCF Model'!C5)^2*('DCF Model'!C6*(1-'DCF Model'!C8)+'DCF Model'!C20-'DCF Model'!C7)/(1+$B12)^2+'DCF Model'!C19*(1+'DCF Model'!C5)^3*('DCF Model'!C6*(1-'DCF Model'!C8)+'DCF Model'!C20-'DCF Model'!C7)/(1+$B12)^3+'DCF Model'!C19*(1+'DCF Model'!C5)^4*('DCF Model'!C6*(1-'DCF Model'!C8)+'DCF Model'!C20-'DCF Model'!C7)/(1+$B12)^4+'DCF Model'!C19*(1+'DCF Model'!C5)^5*('DCF Model'!C6*(1-'DCF Model'!C8)+'DCF Model'!C20-'DCF Model'!C7)/(1+$B12)^5+'DCF Model'!C19*(1+'DCF Model'!C5)^5*('DCF Model'!C6*(1-'DCF Model'!C8)+'DCF Model'!C20-'DCF Model'!C7)*(1+C5)/($B12-C5)/(1+$B12)^5-'DCF Model'!C18)*1000000/'DCF Model'!C17,0)</f>
        <v>2203</v>
      </c>
      <c r="D12" s="21">
        <f>ROUND(('DCF Model'!C19*(1+'DCF Model'!C5)^1*('DCF Model'!C6*(1-'DCF Model'!C8)+'DCF Model'!C20-'DCF Model'!C7)/(1+$B12)^1+'DCF Model'!C19*(1+'DCF Model'!C5)^2*('DCF Model'!C6*(1-'DCF Model'!C8)+'DCF Model'!C20-'DCF Model'!C7)/(1+$B12)^2+'DCF Model'!C19*(1+'DCF Model'!C5)^3*('DCF Model'!C6*(1-'DCF Model'!C8)+'DCF Model'!C20-'DCF Model'!C7)/(1+$B12)^3+'DCF Model'!C19*(1+'DCF Model'!C5)^4*('DCF Model'!C6*(1-'DCF Model'!C8)+'DCF Model'!C20-'DCF Model'!C7)/(1+$B12)^4+'DCF Model'!C19*(1+'DCF Model'!C5)^5*('DCF Model'!C6*(1-'DCF Model'!C8)+'DCF Model'!C20-'DCF Model'!C7)/(1+$B12)^5+'DCF Model'!C19*(1+'DCF Model'!C5)^5*('DCF Model'!C6*(1-'DCF Model'!C8)+'DCF Model'!C20-'DCF Model'!C7)*(1+D5)/($B12-D5)/(1+$B12)^5-'DCF Model'!C18)*1000000/'DCF Model'!C17,0)</f>
        <v>2259</v>
      </c>
      <c r="E12" s="21">
        <f>ROUND(('DCF Model'!C19*(1+'DCF Model'!C5)^1*('DCF Model'!C6*(1-'DCF Model'!C8)+'DCF Model'!C20-'DCF Model'!C7)/(1+$B12)^1+'DCF Model'!C19*(1+'DCF Model'!C5)^2*('DCF Model'!C6*(1-'DCF Model'!C8)+'DCF Model'!C20-'DCF Model'!C7)/(1+$B12)^2+'DCF Model'!C19*(1+'DCF Model'!C5)^3*('DCF Model'!C6*(1-'DCF Model'!C8)+'DCF Model'!C20-'DCF Model'!C7)/(1+$B12)^3+'DCF Model'!C19*(1+'DCF Model'!C5)^4*('DCF Model'!C6*(1-'DCF Model'!C8)+'DCF Model'!C20-'DCF Model'!C7)/(1+$B12)^4+'DCF Model'!C19*(1+'DCF Model'!C5)^5*('DCF Model'!C6*(1-'DCF Model'!C8)+'DCF Model'!C20-'DCF Model'!C7)/(1+$B12)^5+'DCF Model'!C19*(1+'DCF Model'!C5)^5*('DCF Model'!C6*(1-'DCF Model'!C8)+'DCF Model'!C20-'DCF Model'!C7)*(1+E5)/($B12-E5)/(1+$B12)^5-'DCF Model'!C18)*1000000/'DCF Model'!C17,0)</f>
        <v>2321</v>
      </c>
      <c r="F12" s="21">
        <f>ROUND(('DCF Model'!C19*(1+'DCF Model'!C5)^1*('DCF Model'!C6*(1-'DCF Model'!C8)+'DCF Model'!C20-'DCF Model'!C7)/(1+$B12)^1+'DCF Model'!C19*(1+'DCF Model'!C5)^2*('DCF Model'!C6*(1-'DCF Model'!C8)+'DCF Model'!C20-'DCF Model'!C7)/(1+$B12)^2+'DCF Model'!C19*(1+'DCF Model'!C5)^3*('DCF Model'!C6*(1-'DCF Model'!C8)+'DCF Model'!C20-'DCF Model'!C7)/(1+$B12)^3+'DCF Model'!C19*(1+'DCF Model'!C5)^4*('DCF Model'!C6*(1-'DCF Model'!C8)+'DCF Model'!C20-'DCF Model'!C7)/(1+$B12)^4+'DCF Model'!C19*(1+'DCF Model'!C5)^5*('DCF Model'!C6*(1-'DCF Model'!C8)+'DCF Model'!C20-'DCF Model'!C7)/(1+$B12)^5+'DCF Model'!C19*(1+'DCF Model'!C5)^5*('DCF Model'!C6*(1-'DCF Model'!C8)+'DCF Model'!C20-'DCF Model'!C7)*(1+F5)/($B12-F5)/(1+$B12)^5-'DCF Model'!C18)*1000000/'DCF Model'!C17,0)</f>
        <v>2388</v>
      </c>
      <c r="G12" s="21">
        <f>ROUND(('DCF Model'!C19*(1+'DCF Model'!C5)^1*('DCF Model'!C6*(1-'DCF Model'!C8)+'DCF Model'!C20-'DCF Model'!C7)/(1+$B12)^1+'DCF Model'!C19*(1+'DCF Model'!C5)^2*('DCF Model'!C6*(1-'DCF Model'!C8)+'DCF Model'!C20-'DCF Model'!C7)/(1+$B12)^2+'DCF Model'!C19*(1+'DCF Model'!C5)^3*('DCF Model'!C6*(1-'DCF Model'!C8)+'DCF Model'!C20-'DCF Model'!C7)/(1+$B12)^3+'DCF Model'!C19*(1+'DCF Model'!C5)^4*('DCF Model'!C6*(1-'DCF Model'!C8)+'DCF Model'!C20-'DCF Model'!C7)/(1+$B12)^4+'DCF Model'!C19*(1+'DCF Model'!C5)^5*('DCF Model'!C6*(1-'DCF Model'!C8)+'DCF Model'!C20-'DCF Model'!C7)/(1+$B12)^5+'DCF Model'!C19*(1+'DCF Model'!C5)^5*('DCF Model'!C6*(1-'DCF Model'!C8)+'DCF Model'!C20-'DCF Model'!C7)*(1+G5)/($B12-G5)/(1+$B12)^5-'DCF Model'!C18)*1000000/'DCF Model'!C17,0)</f>
        <v>2463</v>
      </c>
    </row>
    <row r="13" spans="2:9" ht="13.5" customHeight="1" x14ac:dyDescent="0.25">
      <c r="B13" s="27">
        <v>0.125</v>
      </c>
      <c r="C13" s="21">
        <f>ROUND(('DCF Model'!C19*(1+'DCF Model'!C5)^1*('DCF Model'!C6*(1-'DCF Model'!C8)+'DCF Model'!C20-'DCF Model'!C7)/(1+$B13)^1+'DCF Model'!C19*(1+'DCF Model'!C5)^2*('DCF Model'!C6*(1-'DCF Model'!C8)+'DCF Model'!C20-'DCF Model'!C7)/(1+$B13)^2+'DCF Model'!C19*(1+'DCF Model'!C5)^3*('DCF Model'!C6*(1-'DCF Model'!C8)+'DCF Model'!C20-'DCF Model'!C7)/(1+$B13)^3+'DCF Model'!C19*(1+'DCF Model'!C5)^4*('DCF Model'!C6*(1-'DCF Model'!C8)+'DCF Model'!C20-'DCF Model'!C7)/(1+$B13)^4+'DCF Model'!C19*(1+'DCF Model'!C5)^5*('DCF Model'!C6*(1-'DCF Model'!C8)+'DCF Model'!C20-'DCF Model'!C7)/(1+$B13)^5+'DCF Model'!C19*(1+'DCF Model'!C5)^5*('DCF Model'!C6*(1-'DCF Model'!C8)+'DCF Model'!C20-'DCF Model'!C7)*(1+C5)/($B13-C5)/(1+$B13)^5-'DCF Model'!C18)*1000000/'DCF Model'!C17,0)</f>
        <v>2124</v>
      </c>
      <c r="D13" s="21">
        <f>ROUND(('DCF Model'!C19*(1+'DCF Model'!C5)^1*('DCF Model'!C6*(1-'DCF Model'!C8)+'DCF Model'!C20-'DCF Model'!C7)/(1+$B13)^1+'DCF Model'!C19*(1+'DCF Model'!C5)^2*('DCF Model'!C6*(1-'DCF Model'!C8)+'DCF Model'!C20-'DCF Model'!C7)/(1+$B13)^2+'DCF Model'!C19*(1+'DCF Model'!C5)^3*('DCF Model'!C6*(1-'DCF Model'!C8)+'DCF Model'!C20-'DCF Model'!C7)/(1+$B13)^3+'DCF Model'!C19*(1+'DCF Model'!C5)^4*('DCF Model'!C6*(1-'DCF Model'!C8)+'DCF Model'!C20-'DCF Model'!C7)/(1+$B13)^4+'DCF Model'!C19*(1+'DCF Model'!C5)^5*('DCF Model'!C6*(1-'DCF Model'!C8)+'DCF Model'!C20-'DCF Model'!C7)/(1+$B13)^5+'DCF Model'!C19*(1+'DCF Model'!C5)^5*('DCF Model'!C6*(1-'DCF Model'!C8)+'DCF Model'!C20-'DCF Model'!C7)*(1+D5)/($B13-D5)/(1+$B13)^5-'DCF Model'!C18)*1000000/'DCF Model'!C17,0)</f>
        <v>2175</v>
      </c>
      <c r="E13" s="21">
        <f>ROUND(('DCF Model'!C19*(1+'DCF Model'!C5)^1*('DCF Model'!C6*(1-'DCF Model'!C8)+'DCF Model'!C20-'DCF Model'!C7)/(1+$B13)^1+'DCF Model'!C19*(1+'DCF Model'!C5)^2*('DCF Model'!C6*(1-'DCF Model'!C8)+'DCF Model'!C20-'DCF Model'!C7)/(1+$B13)^2+'DCF Model'!C19*(1+'DCF Model'!C5)^3*('DCF Model'!C6*(1-'DCF Model'!C8)+'DCF Model'!C20-'DCF Model'!C7)/(1+$B13)^3+'DCF Model'!C19*(1+'DCF Model'!C5)^4*('DCF Model'!C6*(1-'DCF Model'!C8)+'DCF Model'!C20-'DCF Model'!C7)/(1+$B13)^4+'DCF Model'!C19*(1+'DCF Model'!C5)^5*('DCF Model'!C6*(1-'DCF Model'!C8)+'DCF Model'!C20-'DCF Model'!C7)/(1+$B13)^5+'DCF Model'!C19*(1+'DCF Model'!C5)^5*('DCF Model'!C6*(1-'DCF Model'!C8)+'DCF Model'!C20-'DCF Model'!C7)*(1+E5)/($B13-E5)/(1+$B13)^5-'DCF Model'!C18)*1000000/'DCF Model'!C17,0)</f>
        <v>2230</v>
      </c>
      <c r="F13" s="21">
        <f>ROUND(('DCF Model'!C19*(1+'DCF Model'!C5)^1*('DCF Model'!C6*(1-'DCF Model'!C8)+'DCF Model'!C20-'DCF Model'!C7)/(1+$B13)^1+'DCF Model'!C19*(1+'DCF Model'!C5)^2*('DCF Model'!C6*(1-'DCF Model'!C8)+'DCF Model'!C20-'DCF Model'!C7)/(1+$B13)^2+'DCF Model'!C19*(1+'DCF Model'!C5)^3*('DCF Model'!C6*(1-'DCF Model'!C8)+'DCF Model'!C20-'DCF Model'!C7)/(1+$B13)^3+'DCF Model'!C19*(1+'DCF Model'!C5)^4*('DCF Model'!C6*(1-'DCF Model'!C8)+'DCF Model'!C20-'DCF Model'!C7)/(1+$B13)^4+'DCF Model'!C19*(1+'DCF Model'!C5)^5*('DCF Model'!C6*(1-'DCF Model'!C8)+'DCF Model'!C20-'DCF Model'!C7)/(1+$B13)^5+'DCF Model'!C19*(1+'DCF Model'!C5)^5*('DCF Model'!C6*(1-'DCF Model'!C8)+'DCF Model'!C20-'DCF Model'!C7)*(1+F5)/($B13-F5)/(1+$B13)^5-'DCF Model'!C18)*1000000/'DCF Model'!C17,0)</f>
        <v>2291</v>
      </c>
      <c r="G13" s="21">
        <f>ROUND(('DCF Model'!C19*(1+'DCF Model'!C5)^1*('DCF Model'!C6*(1-'DCF Model'!C8)+'DCF Model'!C20-'DCF Model'!C7)/(1+$B13)^1+'DCF Model'!C19*(1+'DCF Model'!C5)^2*('DCF Model'!C6*(1-'DCF Model'!C8)+'DCF Model'!C20-'DCF Model'!C7)/(1+$B13)^2+'DCF Model'!C19*(1+'DCF Model'!C5)^3*('DCF Model'!C6*(1-'DCF Model'!C8)+'DCF Model'!C20-'DCF Model'!C7)/(1+$B13)^3+'DCF Model'!C19*(1+'DCF Model'!C5)^4*('DCF Model'!C6*(1-'DCF Model'!C8)+'DCF Model'!C20-'DCF Model'!C7)/(1+$B13)^4+'DCF Model'!C19*(1+'DCF Model'!C5)^5*('DCF Model'!C6*(1-'DCF Model'!C8)+'DCF Model'!C20-'DCF Model'!C7)/(1+$B13)^5+'DCF Model'!C19*(1+'DCF Model'!C5)^5*('DCF Model'!C6*(1-'DCF Model'!C8)+'DCF Model'!C20-'DCF Model'!C7)*(1+G5)/($B13-G5)/(1+$B13)^5-'DCF Model'!C18)*1000000/'DCF Model'!C17,0)</f>
        <v>2357</v>
      </c>
    </row>
    <row r="16" spans="2:9" ht="15.5" customHeight="1" x14ac:dyDescent="0.35">
      <c r="B16" s="38" t="s">
        <v>141</v>
      </c>
      <c r="C16" s="36"/>
      <c r="D16" s="36"/>
      <c r="E16" s="36"/>
      <c r="F16" s="36"/>
      <c r="G16" s="36"/>
      <c r="H16" s="36"/>
      <c r="I16" s="36"/>
    </row>
    <row r="17" spans="2:8" ht="14" customHeight="1" x14ac:dyDescent="0.3">
      <c r="B17" s="25" t="s">
        <v>142</v>
      </c>
      <c r="C17" s="26">
        <v>0.11</v>
      </c>
      <c r="D17" s="26">
        <v>0.12</v>
      </c>
      <c r="E17" s="26">
        <v>0.13</v>
      </c>
      <c r="F17" s="26">
        <v>0.14000000000000001</v>
      </c>
      <c r="G17" s="26">
        <v>0.15</v>
      </c>
      <c r="H17" s="26">
        <v>0.16</v>
      </c>
    </row>
    <row r="18" spans="2:8" ht="13.5" customHeight="1" x14ac:dyDescent="0.25">
      <c r="B18" s="27">
        <v>0.05</v>
      </c>
      <c r="C18" s="21">
        <f>ROUND(('DCF Model'!C19*(1+$B18)^1*(C17*(1-'DCF Model'!C8)+'DCF Model'!C20-'DCF Model'!C7)/(1+'DCF Model'!C26)^1+'DCF Model'!C19*(1+$B18)^2*(C17*(1-'DCF Model'!C8)+'DCF Model'!C20-'DCF Model'!C7)/(1+'DCF Model'!C26)^2+'DCF Model'!C19*(1+$B18)^3*(C17*(1-'DCF Model'!C8)+'DCF Model'!C20-'DCF Model'!C7)/(1+'DCF Model'!C26)^3+'DCF Model'!C19*(1+$B18)^4*(C17*(1-'DCF Model'!C8)+'DCF Model'!C20-'DCF Model'!C7)/(1+'DCF Model'!C26)^4+'DCF Model'!C19*(1+$B18)^5*(C17*(1-'DCF Model'!C8)+'DCF Model'!C20-'DCF Model'!C7)/(1+'DCF Model'!C26)^5+'DCF Model'!C19*(1+$B18)^5*(C17*(1-'DCF Model'!C8)+'DCF Model'!C20-'DCF Model'!C7)*(1+'DCF Model'!C15)/('DCF Model'!C26-'DCF Model'!C15)/(1+'DCF Model'!C26)^5-'DCF Model'!C18)*1000000/'DCF Model'!C17,0)</f>
        <v>2038</v>
      </c>
      <c r="D18" s="21">
        <f>ROUND(('DCF Model'!C19*(1+$B18)^1*(D17*(1-'DCF Model'!C8)+'DCF Model'!C20-'DCF Model'!C7)/(1+'DCF Model'!C26)^1+'DCF Model'!C19*(1+$B18)^2*(D17*(1-'DCF Model'!C8)+'DCF Model'!C20-'DCF Model'!C7)/(1+'DCF Model'!C26)^2+'DCF Model'!C19*(1+$B18)^3*(D17*(1-'DCF Model'!C8)+'DCF Model'!C20-'DCF Model'!C7)/(1+'DCF Model'!C26)^3+'DCF Model'!C19*(1+$B18)^4*(D17*(1-'DCF Model'!C8)+'DCF Model'!C20-'DCF Model'!C7)/(1+'DCF Model'!C26)^4+'DCF Model'!C19*(1+$B18)^5*(D17*(1-'DCF Model'!C8)+'DCF Model'!C20-'DCF Model'!C7)/(1+'DCF Model'!C26)^5+'DCF Model'!C19*(1+$B18)^5*(D17*(1-'DCF Model'!C8)+'DCF Model'!C20-'DCF Model'!C7)*(1+'DCF Model'!C15)/('DCF Model'!C26-'DCF Model'!C15)/(1+'DCF Model'!C26)^5-'DCF Model'!C18)*1000000/'DCF Model'!C17,0)</f>
        <v>2187</v>
      </c>
      <c r="E18" s="21">
        <f>ROUND(('DCF Model'!C19*(1+$B18)^1*(E17*(1-'DCF Model'!C8)+'DCF Model'!C20-'DCF Model'!C7)/(1+'DCF Model'!C26)^1+'DCF Model'!C19*(1+$B18)^2*(E17*(1-'DCF Model'!C8)+'DCF Model'!C20-'DCF Model'!C7)/(1+'DCF Model'!C26)^2+'DCF Model'!C19*(1+$B18)^3*(E17*(1-'DCF Model'!C8)+'DCF Model'!C20-'DCF Model'!C7)/(1+'DCF Model'!C26)^3+'DCF Model'!C19*(1+$B18)^4*(E17*(1-'DCF Model'!C8)+'DCF Model'!C20-'DCF Model'!C7)/(1+'DCF Model'!C26)^4+'DCF Model'!C19*(1+$B18)^5*(E17*(1-'DCF Model'!C8)+'DCF Model'!C20-'DCF Model'!C7)/(1+'DCF Model'!C26)^5+'DCF Model'!C19*(1+$B18)^5*(E17*(1-'DCF Model'!C8)+'DCF Model'!C20-'DCF Model'!C7)*(1+'DCF Model'!C15)/('DCF Model'!C26-'DCF Model'!C15)/(1+'DCF Model'!C26)^5-'DCF Model'!C18)*1000000/'DCF Model'!C17,0)</f>
        <v>2336</v>
      </c>
      <c r="F18" s="21">
        <f>ROUND(('DCF Model'!C19*(1+$B18)^1*(F17*(1-'DCF Model'!C8)+'DCF Model'!C20-'DCF Model'!C7)/(1+'DCF Model'!C26)^1+'DCF Model'!C19*(1+$B18)^2*(F17*(1-'DCF Model'!C8)+'DCF Model'!C20-'DCF Model'!C7)/(1+'DCF Model'!C26)^2+'DCF Model'!C19*(1+$B18)^3*(F17*(1-'DCF Model'!C8)+'DCF Model'!C20-'DCF Model'!C7)/(1+'DCF Model'!C26)^3+'DCF Model'!C19*(1+$B18)^4*(F17*(1-'DCF Model'!C8)+'DCF Model'!C20-'DCF Model'!C7)/(1+'DCF Model'!C26)^4+'DCF Model'!C19*(1+$B18)^5*(F17*(1-'DCF Model'!C8)+'DCF Model'!C20-'DCF Model'!C7)/(1+'DCF Model'!C26)^5+'DCF Model'!C19*(1+$B18)^5*(F17*(1-'DCF Model'!C8)+'DCF Model'!C20-'DCF Model'!C7)*(1+'DCF Model'!C15)/('DCF Model'!C26-'DCF Model'!C15)/(1+'DCF Model'!C26)^5-'DCF Model'!C18)*1000000/'DCF Model'!C17,0)</f>
        <v>2485</v>
      </c>
      <c r="G18" s="21">
        <f>ROUND(('DCF Model'!C19*(1+$B18)^1*(G17*(1-'DCF Model'!C8)+'DCF Model'!C20-'DCF Model'!C7)/(1+'DCF Model'!C26)^1+'DCF Model'!C19*(1+$B18)^2*(G17*(1-'DCF Model'!C8)+'DCF Model'!C20-'DCF Model'!C7)/(1+'DCF Model'!C26)^2+'DCF Model'!C19*(1+$B18)^3*(G17*(1-'DCF Model'!C8)+'DCF Model'!C20-'DCF Model'!C7)/(1+'DCF Model'!C26)^3+'DCF Model'!C19*(1+$B18)^4*(G17*(1-'DCF Model'!C8)+'DCF Model'!C20-'DCF Model'!C7)/(1+'DCF Model'!C26)^4+'DCF Model'!C19*(1+$B18)^5*(G17*(1-'DCF Model'!C8)+'DCF Model'!C20-'DCF Model'!C7)/(1+'DCF Model'!C26)^5+'DCF Model'!C19*(1+$B18)^5*(G17*(1-'DCF Model'!C8)+'DCF Model'!C20-'DCF Model'!C7)*(1+'DCF Model'!C15)/('DCF Model'!C26-'DCF Model'!C15)/(1+'DCF Model'!C26)^5-'DCF Model'!C18)*1000000/'DCF Model'!C17,0)</f>
        <v>2634</v>
      </c>
      <c r="H18" s="21">
        <f>ROUND(('DCF Model'!C19*(1+$B18)^1*(H17*(1-'DCF Model'!C8)+'DCF Model'!C20-'DCF Model'!C7)/(1+'DCF Model'!C26)^1+'DCF Model'!C19*(1+$B18)^2*(H17*(1-'DCF Model'!C8)+'DCF Model'!C20-'DCF Model'!C7)/(1+'DCF Model'!C26)^2+'DCF Model'!C19*(1+$B18)^3*(H17*(1-'DCF Model'!C8)+'DCF Model'!C20-'DCF Model'!C7)/(1+'DCF Model'!C26)^3+'DCF Model'!C19*(1+$B18)^4*(H17*(1-'DCF Model'!C8)+'DCF Model'!C20-'DCF Model'!C7)/(1+'DCF Model'!C26)^4+'DCF Model'!C19*(1+$B18)^5*(H17*(1-'DCF Model'!C8)+'DCF Model'!C20-'DCF Model'!C7)/(1+'DCF Model'!C26)^5+'DCF Model'!C19*(1+$B18)^5*(H17*(1-'DCF Model'!C8)+'DCF Model'!C20-'DCF Model'!C7)*(1+'DCF Model'!C15)/('DCF Model'!C26-'DCF Model'!C15)/(1+'DCF Model'!C26)^5-'DCF Model'!C18)*1000000/'DCF Model'!C17,0)</f>
        <v>2783</v>
      </c>
    </row>
    <row r="19" spans="2:8" ht="13.5" customHeight="1" x14ac:dyDescent="0.25">
      <c r="B19" s="27">
        <v>0.06</v>
      </c>
      <c r="C19" s="21">
        <f>ROUND(('DCF Model'!C19*(1+$B19)^1*(C17*(1-'DCF Model'!C8)+'DCF Model'!C20-'DCF Model'!C7)/(1+'DCF Model'!C26)^1+'DCF Model'!C19*(1+$B19)^2*(C17*(1-'DCF Model'!C8)+'DCF Model'!C20-'DCF Model'!C7)/(1+'DCF Model'!C26)^2+'DCF Model'!C19*(1+$B19)^3*(C17*(1-'DCF Model'!C8)+'DCF Model'!C20-'DCF Model'!C7)/(1+'DCF Model'!C26)^3+'DCF Model'!C19*(1+$B19)^4*(C17*(1-'DCF Model'!C8)+'DCF Model'!C20-'DCF Model'!C7)/(1+'DCF Model'!C26)^4+'DCF Model'!C19*(1+$B19)^5*(C17*(1-'DCF Model'!C8)+'DCF Model'!C20-'DCF Model'!C7)/(1+'DCF Model'!C26)^5+'DCF Model'!C19*(1+$B19)^5*(C17*(1-'DCF Model'!C8)+'DCF Model'!C20-'DCF Model'!C7)*(1+'DCF Model'!C15)/('DCF Model'!C26-'DCF Model'!C15)/(1+'DCF Model'!C26)^5-'DCF Model'!C18)*1000000/'DCF Model'!C17,0)</f>
        <v>2107</v>
      </c>
      <c r="D19" s="21">
        <f>ROUND(('DCF Model'!C19*(1+$B19)^1*(D17*(1-'DCF Model'!C8)+'DCF Model'!C20-'DCF Model'!C7)/(1+'DCF Model'!C26)^1+'DCF Model'!C19*(1+$B19)^2*(D17*(1-'DCF Model'!C8)+'DCF Model'!C20-'DCF Model'!C7)/(1+'DCF Model'!C26)^2+'DCF Model'!C19*(1+$B19)^3*(D17*(1-'DCF Model'!C8)+'DCF Model'!C20-'DCF Model'!C7)/(1+'DCF Model'!C26)^3+'DCF Model'!C19*(1+$B19)^4*(D17*(1-'DCF Model'!C8)+'DCF Model'!C20-'DCF Model'!C7)/(1+'DCF Model'!C26)^4+'DCF Model'!C19*(1+$B19)^5*(D17*(1-'DCF Model'!C8)+'DCF Model'!C20-'DCF Model'!C7)/(1+'DCF Model'!C26)^5+'DCF Model'!C19*(1+$B19)^5*(D17*(1-'DCF Model'!C8)+'DCF Model'!C20-'DCF Model'!C7)*(1+'DCF Model'!C15)/('DCF Model'!C26-'DCF Model'!C15)/(1+'DCF Model'!C26)^5-'DCF Model'!C18)*1000000/'DCF Model'!C17,0)</f>
        <v>2262</v>
      </c>
      <c r="E19" s="21">
        <f>ROUND(('DCF Model'!C19*(1+$B19)^1*(E17*(1-'DCF Model'!C8)+'DCF Model'!C20-'DCF Model'!C7)/(1+'DCF Model'!C26)^1+'DCF Model'!C19*(1+$B19)^2*(E17*(1-'DCF Model'!C8)+'DCF Model'!C20-'DCF Model'!C7)/(1+'DCF Model'!C26)^2+'DCF Model'!C19*(1+$B19)^3*(E17*(1-'DCF Model'!C8)+'DCF Model'!C20-'DCF Model'!C7)/(1+'DCF Model'!C26)^3+'DCF Model'!C19*(1+$B19)^4*(E17*(1-'DCF Model'!C8)+'DCF Model'!C20-'DCF Model'!C7)/(1+'DCF Model'!C26)^4+'DCF Model'!C19*(1+$B19)^5*(E17*(1-'DCF Model'!C8)+'DCF Model'!C20-'DCF Model'!C7)/(1+'DCF Model'!C26)^5+'DCF Model'!C19*(1+$B19)^5*(E17*(1-'DCF Model'!C8)+'DCF Model'!C20-'DCF Model'!C7)*(1+'DCF Model'!C15)/('DCF Model'!C26-'DCF Model'!C15)/(1+'DCF Model'!C26)^5-'DCF Model'!C18)*1000000/'DCF Model'!C17,0)</f>
        <v>2417</v>
      </c>
      <c r="F19" s="21">
        <f>ROUND(('DCF Model'!C19*(1+$B19)^1*(F17*(1-'DCF Model'!C8)+'DCF Model'!C20-'DCF Model'!C7)/(1+'DCF Model'!C26)^1+'DCF Model'!C19*(1+$B19)^2*(F17*(1-'DCF Model'!C8)+'DCF Model'!C20-'DCF Model'!C7)/(1+'DCF Model'!C26)^2+'DCF Model'!C19*(1+$B19)^3*(F17*(1-'DCF Model'!C8)+'DCF Model'!C20-'DCF Model'!C7)/(1+'DCF Model'!C26)^3+'DCF Model'!C19*(1+$B19)^4*(F17*(1-'DCF Model'!C8)+'DCF Model'!C20-'DCF Model'!C7)/(1+'DCF Model'!C26)^4+'DCF Model'!C19*(1+$B19)^5*(F17*(1-'DCF Model'!C8)+'DCF Model'!C20-'DCF Model'!C7)/(1+'DCF Model'!C26)^5+'DCF Model'!C19*(1+$B19)^5*(F17*(1-'DCF Model'!C8)+'DCF Model'!C20-'DCF Model'!C7)*(1+'DCF Model'!C15)/('DCF Model'!C26-'DCF Model'!C15)/(1+'DCF Model'!C26)^5-'DCF Model'!C18)*1000000/'DCF Model'!C17,0)</f>
        <v>2572</v>
      </c>
      <c r="G19" s="21">
        <f>ROUND(('DCF Model'!C19*(1+$B19)^1*(G17*(1-'DCF Model'!C8)+'DCF Model'!C20-'DCF Model'!C7)/(1+'DCF Model'!C26)^1+'DCF Model'!C19*(1+$B19)^2*(G17*(1-'DCF Model'!C8)+'DCF Model'!C20-'DCF Model'!C7)/(1+'DCF Model'!C26)^2+'DCF Model'!C19*(1+$B19)^3*(G17*(1-'DCF Model'!C8)+'DCF Model'!C20-'DCF Model'!C7)/(1+'DCF Model'!C26)^3+'DCF Model'!C19*(1+$B19)^4*(G17*(1-'DCF Model'!C8)+'DCF Model'!C20-'DCF Model'!C7)/(1+'DCF Model'!C26)^4+'DCF Model'!C19*(1+$B19)^5*(G17*(1-'DCF Model'!C8)+'DCF Model'!C20-'DCF Model'!C7)/(1+'DCF Model'!C26)^5+'DCF Model'!C19*(1+$B19)^5*(G17*(1-'DCF Model'!C8)+'DCF Model'!C20-'DCF Model'!C7)*(1+'DCF Model'!C15)/('DCF Model'!C26-'DCF Model'!C15)/(1+'DCF Model'!C26)^5-'DCF Model'!C18)*1000000/'DCF Model'!C17,0)</f>
        <v>2727</v>
      </c>
      <c r="H19" s="21">
        <f>ROUND(('DCF Model'!C19*(1+$B19)^1*(H17*(1-'DCF Model'!C8)+'DCF Model'!C20-'DCF Model'!C7)/(1+'DCF Model'!C26)^1+'DCF Model'!C19*(1+$B19)^2*(H17*(1-'DCF Model'!C8)+'DCF Model'!C20-'DCF Model'!C7)/(1+'DCF Model'!C26)^2+'DCF Model'!C19*(1+$B19)^3*(H17*(1-'DCF Model'!C8)+'DCF Model'!C20-'DCF Model'!C7)/(1+'DCF Model'!C26)^3+'DCF Model'!C19*(1+$B19)^4*(H17*(1-'DCF Model'!C8)+'DCF Model'!C20-'DCF Model'!C7)/(1+'DCF Model'!C26)^4+'DCF Model'!C19*(1+$B19)^5*(H17*(1-'DCF Model'!C8)+'DCF Model'!C20-'DCF Model'!C7)/(1+'DCF Model'!C26)^5+'DCF Model'!C19*(1+$B19)^5*(H17*(1-'DCF Model'!C8)+'DCF Model'!C20-'DCF Model'!C7)*(1+'DCF Model'!C15)/('DCF Model'!C26-'DCF Model'!C15)/(1+'DCF Model'!C26)^5-'DCF Model'!C18)*1000000/'DCF Model'!C17,0)</f>
        <v>2883</v>
      </c>
    </row>
    <row r="20" spans="2:8" ht="13.5" customHeight="1" x14ac:dyDescent="0.25">
      <c r="B20" s="27">
        <v>7.0000000000000007E-2</v>
      </c>
      <c r="C20" s="21">
        <f>ROUND(('DCF Model'!C19*(1+$B20)^1*(C17*(1-'DCF Model'!C8)+'DCF Model'!C20-'DCF Model'!C7)/(1+'DCF Model'!C26)^1+'DCF Model'!C19*(1+$B20)^2*(C17*(1-'DCF Model'!C8)+'DCF Model'!C20-'DCF Model'!C7)/(1+'DCF Model'!C26)^2+'DCF Model'!C19*(1+$B20)^3*(C17*(1-'DCF Model'!C8)+'DCF Model'!C20-'DCF Model'!C7)/(1+'DCF Model'!C26)^3+'DCF Model'!C19*(1+$B20)^4*(C17*(1-'DCF Model'!C8)+'DCF Model'!C20-'DCF Model'!C7)/(1+'DCF Model'!C26)^4+'DCF Model'!C19*(1+$B20)^5*(C17*(1-'DCF Model'!C8)+'DCF Model'!C20-'DCF Model'!C7)/(1+'DCF Model'!C26)^5+'DCF Model'!C19*(1+$B20)^5*(C17*(1-'DCF Model'!C8)+'DCF Model'!C20-'DCF Model'!C7)*(1+'DCF Model'!C15)/('DCF Model'!C26-'DCF Model'!C15)/(1+'DCF Model'!C26)^5-'DCF Model'!C18)*1000000/'DCF Model'!C17,0)</f>
        <v>2177</v>
      </c>
      <c r="D20" s="21">
        <f>ROUND(('DCF Model'!C19*(1+$B20)^1*(D17*(1-'DCF Model'!C8)+'DCF Model'!C20-'DCF Model'!C7)/(1+'DCF Model'!C26)^1+'DCF Model'!C19*(1+$B20)^2*(D17*(1-'DCF Model'!C8)+'DCF Model'!C20-'DCF Model'!C7)/(1+'DCF Model'!C26)^2+'DCF Model'!C19*(1+$B20)^3*(D17*(1-'DCF Model'!C8)+'DCF Model'!C20-'DCF Model'!C7)/(1+'DCF Model'!C26)^3+'DCF Model'!C19*(1+$B20)^4*(D17*(1-'DCF Model'!C8)+'DCF Model'!C20-'DCF Model'!C7)/(1+'DCF Model'!C26)^4+'DCF Model'!C19*(1+$B20)^5*(D17*(1-'DCF Model'!C8)+'DCF Model'!C20-'DCF Model'!C7)/(1+'DCF Model'!C26)^5+'DCF Model'!C19*(1+$B20)^5*(D17*(1-'DCF Model'!C8)+'DCF Model'!C20-'DCF Model'!C7)*(1+'DCF Model'!C15)/('DCF Model'!C26-'DCF Model'!C15)/(1+'DCF Model'!C26)^5-'DCF Model'!C18)*1000000/'DCF Model'!C17,0)</f>
        <v>2339</v>
      </c>
      <c r="E20" s="21">
        <f>ROUND(('DCF Model'!C19*(1+$B20)^1*(E17*(1-'DCF Model'!C8)+'DCF Model'!C20-'DCF Model'!C7)/(1+'DCF Model'!C26)^1+'DCF Model'!C19*(1+$B20)^2*(E17*(1-'DCF Model'!C8)+'DCF Model'!C20-'DCF Model'!C7)/(1+'DCF Model'!C26)^2+'DCF Model'!C19*(1+$B20)^3*(E17*(1-'DCF Model'!C8)+'DCF Model'!C20-'DCF Model'!C7)/(1+'DCF Model'!C26)^3+'DCF Model'!C19*(1+$B20)^4*(E17*(1-'DCF Model'!C8)+'DCF Model'!C20-'DCF Model'!C7)/(1+'DCF Model'!C26)^4+'DCF Model'!C19*(1+$B20)^5*(E17*(1-'DCF Model'!C8)+'DCF Model'!C20-'DCF Model'!C7)/(1+'DCF Model'!C26)^5+'DCF Model'!C19*(1+$B20)^5*(E17*(1-'DCF Model'!C8)+'DCF Model'!C20-'DCF Model'!C7)*(1+'DCF Model'!C15)/('DCF Model'!C26-'DCF Model'!C15)/(1+'DCF Model'!C26)^5-'DCF Model'!C18)*1000000/'DCF Model'!C17,0)</f>
        <v>2501</v>
      </c>
      <c r="F20" s="21">
        <f>ROUND(('DCF Model'!C19*(1+$B20)^1*(F17*(1-'DCF Model'!C8)+'DCF Model'!C20-'DCF Model'!C7)/(1+'DCF Model'!C26)^1+'DCF Model'!C19*(1+$B20)^2*(F17*(1-'DCF Model'!C8)+'DCF Model'!C20-'DCF Model'!C7)/(1+'DCF Model'!C26)^2+'DCF Model'!C19*(1+$B20)^3*(F17*(1-'DCF Model'!C8)+'DCF Model'!C20-'DCF Model'!C7)/(1+'DCF Model'!C26)^3+'DCF Model'!C19*(1+$B20)^4*(F17*(1-'DCF Model'!C8)+'DCF Model'!C20-'DCF Model'!C7)/(1+'DCF Model'!C26)^4+'DCF Model'!C19*(1+$B20)^5*(F17*(1-'DCF Model'!C8)+'DCF Model'!C20-'DCF Model'!C7)/(1+'DCF Model'!C26)^5+'DCF Model'!C19*(1+$B20)^5*(F17*(1-'DCF Model'!C8)+'DCF Model'!C20-'DCF Model'!C7)*(1+'DCF Model'!C15)/('DCF Model'!C26-'DCF Model'!C15)/(1+'DCF Model'!C26)^5-'DCF Model'!C18)*1000000/'DCF Model'!C17,0)</f>
        <v>2662</v>
      </c>
      <c r="G20" s="21">
        <f>ROUND(('DCF Model'!C19*(1+$B20)^1*(G17*(1-'DCF Model'!C8)+'DCF Model'!C20-'DCF Model'!C7)/(1+'DCF Model'!C26)^1+'DCF Model'!C19*(1+$B20)^2*(G17*(1-'DCF Model'!C8)+'DCF Model'!C20-'DCF Model'!C7)/(1+'DCF Model'!C26)^2+'DCF Model'!C19*(1+$B20)^3*(G17*(1-'DCF Model'!C8)+'DCF Model'!C20-'DCF Model'!C7)/(1+'DCF Model'!C26)^3+'DCF Model'!C19*(1+$B20)^4*(G17*(1-'DCF Model'!C8)+'DCF Model'!C20-'DCF Model'!C7)/(1+'DCF Model'!C26)^4+'DCF Model'!C19*(1+$B20)^5*(G17*(1-'DCF Model'!C8)+'DCF Model'!C20-'DCF Model'!C7)/(1+'DCF Model'!C26)^5+'DCF Model'!C19*(1+$B20)^5*(G17*(1-'DCF Model'!C8)+'DCF Model'!C20-'DCF Model'!C7)*(1+'DCF Model'!C15)/('DCF Model'!C26-'DCF Model'!C15)/(1+'DCF Model'!C26)^5-'DCF Model'!C18)*1000000/'DCF Model'!C17,0)</f>
        <v>2824</v>
      </c>
      <c r="H20" s="21">
        <f>ROUND(('DCF Model'!C19*(1+$B20)^1*(H17*(1-'DCF Model'!C8)+'DCF Model'!C20-'DCF Model'!C7)/(1+'DCF Model'!C26)^1+'DCF Model'!C19*(1+$B20)^2*(H17*(1-'DCF Model'!C8)+'DCF Model'!C20-'DCF Model'!C7)/(1+'DCF Model'!C26)^2+'DCF Model'!C19*(1+$B20)^3*(H17*(1-'DCF Model'!C8)+'DCF Model'!C20-'DCF Model'!C7)/(1+'DCF Model'!C26)^3+'DCF Model'!C19*(1+$B20)^4*(H17*(1-'DCF Model'!C8)+'DCF Model'!C20-'DCF Model'!C7)/(1+'DCF Model'!C26)^4+'DCF Model'!C19*(1+$B20)^5*(H17*(1-'DCF Model'!C8)+'DCF Model'!C20-'DCF Model'!C7)/(1+'DCF Model'!C26)^5+'DCF Model'!C19*(1+$B20)^5*(H17*(1-'DCF Model'!C8)+'DCF Model'!C20-'DCF Model'!C7)*(1+'DCF Model'!C15)/('DCF Model'!C26-'DCF Model'!C15)/(1+'DCF Model'!C26)^5-'DCF Model'!C18)*1000000/'DCF Model'!C17,0)</f>
        <v>2985</v>
      </c>
    </row>
    <row r="21" spans="2:8" ht="13.5" customHeight="1" x14ac:dyDescent="0.25">
      <c r="B21" s="27">
        <v>0.08</v>
      </c>
      <c r="C21" s="21">
        <f>ROUND(('DCF Model'!C19*(1+$B21)^1*(C17*(1-'DCF Model'!C8)+'DCF Model'!C20-'DCF Model'!C7)/(1+'DCF Model'!C26)^1+'DCF Model'!C19*(1+$B21)^2*(C17*(1-'DCF Model'!C8)+'DCF Model'!C20-'DCF Model'!C7)/(1+'DCF Model'!C26)^2+'DCF Model'!C19*(1+$B21)^3*(C17*(1-'DCF Model'!C8)+'DCF Model'!C20-'DCF Model'!C7)/(1+'DCF Model'!C26)^3+'DCF Model'!C19*(1+$B21)^4*(C17*(1-'DCF Model'!C8)+'DCF Model'!C20-'DCF Model'!C7)/(1+'DCF Model'!C26)^4+'DCF Model'!C19*(1+$B21)^5*(C17*(1-'DCF Model'!C8)+'DCF Model'!C20-'DCF Model'!C7)/(1+'DCF Model'!C26)^5+'DCF Model'!C19*(1+$B21)^5*(C17*(1-'DCF Model'!C8)+'DCF Model'!C20-'DCF Model'!C7)*(1+'DCF Model'!C15)/('DCF Model'!C26-'DCF Model'!C15)/(1+'DCF Model'!C26)^5-'DCF Model'!C18)*1000000/'DCF Model'!C17,0)</f>
        <v>2251</v>
      </c>
      <c r="D21" s="21">
        <f>ROUND(('DCF Model'!C19*(1+$B21)^1*(D17*(1-'DCF Model'!C8)+'DCF Model'!C20-'DCF Model'!C7)/(1+'DCF Model'!C26)^1+'DCF Model'!C19*(1+$B21)^2*(D17*(1-'DCF Model'!C8)+'DCF Model'!C20-'DCF Model'!C7)/(1+'DCF Model'!C26)^2+'DCF Model'!C19*(1+$B21)^3*(D17*(1-'DCF Model'!C8)+'DCF Model'!C20-'DCF Model'!C7)/(1+'DCF Model'!C26)^3+'DCF Model'!C19*(1+$B21)^4*(D17*(1-'DCF Model'!C8)+'DCF Model'!C20-'DCF Model'!C7)/(1+'DCF Model'!C26)^4+'DCF Model'!C19*(1+$B21)^5*(D17*(1-'DCF Model'!C8)+'DCF Model'!C20-'DCF Model'!C7)/(1+'DCF Model'!C26)^5+'DCF Model'!C19*(1+$B21)^5*(D17*(1-'DCF Model'!C8)+'DCF Model'!C20-'DCF Model'!C7)*(1+'DCF Model'!C15)/('DCF Model'!C26-'DCF Model'!C15)/(1+'DCF Model'!C26)^5-'DCF Model'!C18)*1000000/'DCF Model'!C17,0)</f>
        <v>2419</v>
      </c>
      <c r="E21" s="21">
        <f>ROUND(('DCF Model'!C19*(1+$B21)^1*(E17*(1-'DCF Model'!C8)+'DCF Model'!C20-'DCF Model'!C7)/(1+'DCF Model'!C26)^1+'DCF Model'!C19*(1+$B21)^2*(E17*(1-'DCF Model'!C8)+'DCF Model'!C20-'DCF Model'!C7)/(1+'DCF Model'!C26)^2+'DCF Model'!C19*(1+$B21)^3*(E17*(1-'DCF Model'!C8)+'DCF Model'!C20-'DCF Model'!C7)/(1+'DCF Model'!C26)^3+'DCF Model'!C19*(1+$B21)^4*(E17*(1-'DCF Model'!C8)+'DCF Model'!C20-'DCF Model'!C7)/(1+'DCF Model'!C26)^4+'DCF Model'!C19*(1+$B21)^5*(E17*(1-'DCF Model'!C8)+'DCF Model'!C20-'DCF Model'!C7)/(1+'DCF Model'!C26)^5+'DCF Model'!C19*(1+$B21)^5*(E17*(1-'DCF Model'!C8)+'DCF Model'!C20-'DCF Model'!C7)*(1+'DCF Model'!C15)/('DCF Model'!C26-'DCF Model'!C15)/(1+'DCF Model'!C26)^5-'DCF Model'!C18)*1000000/'DCF Model'!C17,0)</f>
        <v>2587</v>
      </c>
      <c r="F21" s="21">
        <f>ROUND(('DCF Model'!C19*(1+$B21)^1*(F17*(1-'DCF Model'!C8)+'DCF Model'!C20-'DCF Model'!C7)/(1+'DCF Model'!C26)^1+'DCF Model'!C19*(1+$B21)^2*(F17*(1-'DCF Model'!C8)+'DCF Model'!C20-'DCF Model'!C7)/(1+'DCF Model'!C26)^2+'DCF Model'!C19*(1+$B21)^3*(F17*(1-'DCF Model'!C8)+'DCF Model'!C20-'DCF Model'!C7)/(1+'DCF Model'!C26)^3+'DCF Model'!C19*(1+$B21)^4*(F17*(1-'DCF Model'!C8)+'DCF Model'!C20-'DCF Model'!C7)/(1+'DCF Model'!C26)^4+'DCF Model'!C19*(1+$B21)^5*(F17*(1-'DCF Model'!C8)+'DCF Model'!C20-'DCF Model'!C7)/(1+'DCF Model'!C26)^5+'DCF Model'!C19*(1+$B21)^5*(F17*(1-'DCF Model'!C8)+'DCF Model'!C20-'DCF Model'!C7)*(1+'DCF Model'!C15)/('DCF Model'!C26-'DCF Model'!C15)/(1+'DCF Model'!C26)^5-'DCF Model'!C18)*1000000/'DCF Model'!C17,0)</f>
        <v>2755</v>
      </c>
      <c r="G21" s="21">
        <f>ROUND(('DCF Model'!C19*(1+$B21)^1*(G17*(1-'DCF Model'!C8)+'DCF Model'!C20-'DCF Model'!C7)/(1+'DCF Model'!C26)^1+'DCF Model'!C19*(1+$B21)^2*(G17*(1-'DCF Model'!C8)+'DCF Model'!C20-'DCF Model'!C7)/(1+'DCF Model'!C26)^2+'DCF Model'!C19*(1+$B21)^3*(G17*(1-'DCF Model'!C8)+'DCF Model'!C20-'DCF Model'!C7)/(1+'DCF Model'!C26)^3+'DCF Model'!C19*(1+$B21)^4*(G17*(1-'DCF Model'!C8)+'DCF Model'!C20-'DCF Model'!C7)/(1+'DCF Model'!C26)^4+'DCF Model'!C19*(1+$B21)^5*(G17*(1-'DCF Model'!C8)+'DCF Model'!C20-'DCF Model'!C7)/(1+'DCF Model'!C26)^5+'DCF Model'!C19*(1+$B21)^5*(G17*(1-'DCF Model'!C8)+'DCF Model'!C20-'DCF Model'!C7)*(1+'DCF Model'!C15)/('DCF Model'!C26-'DCF Model'!C15)/(1+'DCF Model'!C26)^5-'DCF Model'!C18)*1000000/'DCF Model'!C17,0)</f>
        <v>2924</v>
      </c>
      <c r="H21" s="21">
        <f>ROUND(('DCF Model'!C19*(1+$B21)^1*(H17*(1-'DCF Model'!C8)+'DCF Model'!C20-'DCF Model'!C7)/(1+'DCF Model'!C26)^1+'DCF Model'!C19*(1+$B21)^2*(H17*(1-'DCF Model'!C8)+'DCF Model'!C20-'DCF Model'!C7)/(1+'DCF Model'!C26)^2+'DCF Model'!C19*(1+$B21)^3*(H17*(1-'DCF Model'!C8)+'DCF Model'!C20-'DCF Model'!C7)/(1+'DCF Model'!C26)^3+'DCF Model'!C19*(1+$B21)^4*(H17*(1-'DCF Model'!C8)+'DCF Model'!C20-'DCF Model'!C7)/(1+'DCF Model'!C26)^4+'DCF Model'!C19*(1+$B21)^5*(H17*(1-'DCF Model'!C8)+'DCF Model'!C20-'DCF Model'!C7)/(1+'DCF Model'!C26)^5+'DCF Model'!C19*(1+$B21)^5*(H17*(1-'DCF Model'!C8)+'DCF Model'!C20-'DCF Model'!C7)*(1+'DCF Model'!C15)/('DCF Model'!C26-'DCF Model'!C15)/(1+'DCF Model'!C26)^5-'DCF Model'!C18)*1000000/'DCF Model'!C17,0)</f>
        <v>3092</v>
      </c>
    </row>
    <row r="22" spans="2:8" ht="13.5" customHeight="1" x14ac:dyDescent="0.25">
      <c r="B22" s="27">
        <v>0.09</v>
      </c>
      <c r="C22" s="21">
        <f>ROUND(('DCF Model'!C19*(1+$B22)^1*(C17*(1-'DCF Model'!C8)+'DCF Model'!C20-'DCF Model'!C7)/(1+'DCF Model'!C26)^1+'DCF Model'!C19*(1+$B22)^2*(C17*(1-'DCF Model'!C8)+'DCF Model'!C20-'DCF Model'!C7)/(1+'DCF Model'!C26)^2+'DCF Model'!C19*(1+$B22)^3*(C17*(1-'DCF Model'!C8)+'DCF Model'!C20-'DCF Model'!C7)/(1+'DCF Model'!C26)^3+'DCF Model'!C19*(1+$B22)^4*(C17*(1-'DCF Model'!C8)+'DCF Model'!C20-'DCF Model'!C7)/(1+'DCF Model'!C26)^4+'DCF Model'!C19*(1+$B22)^5*(C17*(1-'DCF Model'!C8)+'DCF Model'!C20-'DCF Model'!C7)/(1+'DCF Model'!C26)^5+'DCF Model'!C19*(1+$B22)^5*(C17*(1-'DCF Model'!C8)+'DCF Model'!C20-'DCF Model'!C7)*(1+'DCF Model'!C15)/('DCF Model'!C26-'DCF Model'!C15)/(1+'DCF Model'!C26)^5-'DCF Model'!C18)*1000000/'DCF Model'!C17,0)</f>
        <v>2327</v>
      </c>
      <c r="D22" s="21">
        <f>ROUND(('DCF Model'!C19*(1+$B22)^1*(D17*(1-'DCF Model'!C8)+'DCF Model'!C20-'DCF Model'!C7)/(1+'DCF Model'!C26)^1+'DCF Model'!C19*(1+$B22)^2*(D17*(1-'DCF Model'!C8)+'DCF Model'!C20-'DCF Model'!C7)/(1+'DCF Model'!C26)^2+'DCF Model'!C19*(1+$B22)^3*(D17*(1-'DCF Model'!C8)+'DCF Model'!C20-'DCF Model'!C7)/(1+'DCF Model'!C26)^3+'DCF Model'!C19*(1+$B22)^4*(D17*(1-'DCF Model'!C8)+'DCF Model'!C20-'DCF Model'!C7)/(1+'DCF Model'!C26)^4+'DCF Model'!C19*(1+$B22)^5*(D17*(1-'DCF Model'!C8)+'DCF Model'!C20-'DCF Model'!C7)/(1+'DCF Model'!C26)^5+'DCF Model'!C19*(1+$B22)^5*(D17*(1-'DCF Model'!C8)+'DCF Model'!C20-'DCF Model'!C7)*(1+'DCF Model'!C15)/('DCF Model'!C26-'DCF Model'!C15)/(1+'DCF Model'!C26)^5-'DCF Model'!C18)*1000000/'DCF Model'!C17,0)</f>
        <v>2502</v>
      </c>
      <c r="E22" s="21">
        <f>ROUND(('DCF Model'!C19*(1+$B22)^1*(E17*(1-'DCF Model'!C8)+'DCF Model'!C20-'DCF Model'!C7)/(1+'DCF Model'!C26)^1+'DCF Model'!C19*(1+$B22)^2*(E17*(1-'DCF Model'!C8)+'DCF Model'!C20-'DCF Model'!C7)/(1+'DCF Model'!C26)^2+'DCF Model'!C19*(1+$B22)^3*(E17*(1-'DCF Model'!C8)+'DCF Model'!C20-'DCF Model'!C7)/(1+'DCF Model'!C26)^3+'DCF Model'!C19*(1+$B22)^4*(E17*(1-'DCF Model'!C8)+'DCF Model'!C20-'DCF Model'!C7)/(1+'DCF Model'!C26)^4+'DCF Model'!C19*(1+$B22)^5*(E17*(1-'DCF Model'!C8)+'DCF Model'!C20-'DCF Model'!C7)/(1+'DCF Model'!C26)^5+'DCF Model'!C19*(1+$B22)^5*(E17*(1-'DCF Model'!C8)+'DCF Model'!C20-'DCF Model'!C7)*(1+'DCF Model'!C15)/('DCF Model'!C26-'DCF Model'!C15)/(1+'DCF Model'!C26)^5-'DCF Model'!C18)*1000000/'DCF Model'!C17,0)</f>
        <v>2677</v>
      </c>
      <c r="F22" s="21">
        <f>ROUND(('DCF Model'!C19*(1+$B22)^1*(F17*(1-'DCF Model'!C8)+'DCF Model'!C20-'DCF Model'!C7)/(1+'DCF Model'!C26)^1+'DCF Model'!C19*(1+$B22)^2*(F17*(1-'DCF Model'!C8)+'DCF Model'!C20-'DCF Model'!C7)/(1+'DCF Model'!C26)^2+'DCF Model'!C19*(1+$B22)^3*(F17*(1-'DCF Model'!C8)+'DCF Model'!C20-'DCF Model'!C7)/(1+'DCF Model'!C26)^3+'DCF Model'!C19*(1+$B22)^4*(F17*(1-'DCF Model'!C8)+'DCF Model'!C20-'DCF Model'!C7)/(1+'DCF Model'!C26)^4+'DCF Model'!C19*(1+$B22)^5*(F17*(1-'DCF Model'!C8)+'DCF Model'!C20-'DCF Model'!C7)/(1+'DCF Model'!C26)^5+'DCF Model'!C19*(1+$B22)^5*(F17*(1-'DCF Model'!C8)+'DCF Model'!C20-'DCF Model'!C7)*(1+'DCF Model'!C15)/('DCF Model'!C26-'DCF Model'!C15)/(1+'DCF Model'!C26)^5-'DCF Model'!C18)*1000000/'DCF Model'!C17,0)</f>
        <v>2852</v>
      </c>
      <c r="G22" s="21">
        <f>ROUND(('DCF Model'!C19*(1+$B22)^1*(G17*(1-'DCF Model'!C8)+'DCF Model'!C20-'DCF Model'!C7)/(1+'DCF Model'!C26)^1+'DCF Model'!C19*(1+$B22)^2*(G17*(1-'DCF Model'!C8)+'DCF Model'!C20-'DCF Model'!C7)/(1+'DCF Model'!C26)^2+'DCF Model'!C19*(1+$B22)^3*(G17*(1-'DCF Model'!C8)+'DCF Model'!C20-'DCF Model'!C7)/(1+'DCF Model'!C26)^3+'DCF Model'!C19*(1+$B22)^4*(G17*(1-'DCF Model'!C8)+'DCF Model'!C20-'DCF Model'!C7)/(1+'DCF Model'!C26)^4+'DCF Model'!C19*(1+$B22)^5*(G17*(1-'DCF Model'!C8)+'DCF Model'!C20-'DCF Model'!C7)/(1+'DCF Model'!C26)^5+'DCF Model'!C19*(1+$B22)^5*(G17*(1-'DCF Model'!C8)+'DCF Model'!C20-'DCF Model'!C7)*(1+'DCF Model'!C15)/('DCF Model'!C26-'DCF Model'!C15)/(1+'DCF Model'!C26)^5-'DCF Model'!C18)*1000000/'DCF Model'!C17,0)</f>
        <v>3027</v>
      </c>
      <c r="H22" s="21">
        <f>ROUND(('DCF Model'!C19*(1+$B22)^1*(H17*(1-'DCF Model'!C8)+'DCF Model'!C20-'DCF Model'!C7)/(1+'DCF Model'!C26)^1+'DCF Model'!C19*(1+$B22)^2*(H17*(1-'DCF Model'!C8)+'DCF Model'!C20-'DCF Model'!C7)/(1+'DCF Model'!C26)^2+'DCF Model'!C19*(1+$B22)^3*(H17*(1-'DCF Model'!C8)+'DCF Model'!C20-'DCF Model'!C7)/(1+'DCF Model'!C26)^3+'DCF Model'!C19*(1+$B22)^4*(H17*(1-'DCF Model'!C8)+'DCF Model'!C20-'DCF Model'!C7)/(1+'DCF Model'!C26)^4+'DCF Model'!C19*(1+$B22)^5*(H17*(1-'DCF Model'!C8)+'DCF Model'!C20-'DCF Model'!C7)/(1+'DCF Model'!C26)^5+'DCF Model'!C19*(1+$B22)^5*(H17*(1-'DCF Model'!C8)+'DCF Model'!C20-'DCF Model'!C7)*(1+'DCF Model'!C15)/('DCF Model'!C26-'DCF Model'!C15)/(1+'DCF Model'!C26)^5-'DCF Model'!C18)*1000000/'DCF Model'!C17,0)</f>
        <v>3202</v>
      </c>
    </row>
    <row r="23" spans="2:8" ht="13.5" customHeight="1" x14ac:dyDescent="0.25">
      <c r="B23" s="27">
        <v>0.1</v>
      </c>
      <c r="C23" s="21">
        <f>ROUND(('DCF Model'!C19*(1+$B23)^1*(C17*(1-'DCF Model'!C8)+'DCF Model'!C20-'DCF Model'!C7)/(1+'DCF Model'!C26)^1+'DCF Model'!C19*(1+$B23)^2*(C17*(1-'DCF Model'!C8)+'DCF Model'!C20-'DCF Model'!C7)/(1+'DCF Model'!C26)^2+'DCF Model'!C19*(1+$B23)^3*(C17*(1-'DCF Model'!C8)+'DCF Model'!C20-'DCF Model'!C7)/(1+'DCF Model'!C26)^3+'DCF Model'!C19*(1+$B23)^4*(C17*(1-'DCF Model'!C8)+'DCF Model'!C20-'DCF Model'!C7)/(1+'DCF Model'!C26)^4+'DCF Model'!C19*(1+$B23)^5*(C17*(1-'DCF Model'!C8)+'DCF Model'!C20-'DCF Model'!C7)/(1+'DCF Model'!C26)^5+'DCF Model'!C19*(1+$B23)^5*(C17*(1-'DCF Model'!C8)+'DCF Model'!C20-'DCF Model'!C7)*(1+'DCF Model'!C15)/('DCF Model'!C26-'DCF Model'!C15)/(1+'DCF Model'!C26)^5-'DCF Model'!C18)*1000000/'DCF Model'!C17,0)</f>
        <v>2405</v>
      </c>
      <c r="D23" s="21">
        <f>ROUND(('DCF Model'!C19*(1+$B23)^1*(D17*(1-'DCF Model'!C8)+'DCF Model'!C20-'DCF Model'!C7)/(1+'DCF Model'!C26)^1+'DCF Model'!C19*(1+$B23)^2*(D17*(1-'DCF Model'!C8)+'DCF Model'!C20-'DCF Model'!C7)/(1+'DCF Model'!C26)^2+'DCF Model'!C19*(1+$B23)^3*(D17*(1-'DCF Model'!C8)+'DCF Model'!C20-'DCF Model'!C7)/(1+'DCF Model'!C26)^3+'DCF Model'!C19*(1+$B23)^4*(D17*(1-'DCF Model'!C8)+'DCF Model'!C20-'DCF Model'!C7)/(1+'DCF Model'!C26)^4+'DCF Model'!C19*(1+$B23)^5*(D17*(1-'DCF Model'!C8)+'DCF Model'!C20-'DCF Model'!C7)/(1+'DCF Model'!C26)^5+'DCF Model'!C19*(1+$B23)^5*(D17*(1-'DCF Model'!C8)+'DCF Model'!C20-'DCF Model'!C7)*(1+'DCF Model'!C15)/('DCF Model'!C26-'DCF Model'!C15)/(1+'DCF Model'!C26)^5-'DCF Model'!C18)*1000000/'DCF Model'!C17,0)</f>
        <v>2587</v>
      </c>
      <c r="E23" s="21">
        <f>ROUND(('DCF Model'!C19*(1+$B23)^1*(E17*(1-'DCF Model'!C8)+'DCF Model'!C20-'DCF Model'!C7)/(1+'DCF Model'!C26)^1+'DCF Model'!C19*(1+$B23)^2*(E17*(1-'DCF Model'!C8)+'DCF Model'!C20-'DCF Model'!C7)/(1+'DCF Model'!C26)^2+'DCF Model'!C19*(1+$B23)^3*(E17*(1-'DCF Model'!C8)+'DCF Model'!C20-'DCF Model'!C7)/(1+'DCF Model'!C26)^3+'DCF Model'!C19*(1+$B23)^4*(E17*(1-'DCF Model'!C8)+'DCF Model'!C20-'DCF Model'!C7)/(1+'DCF Model'!C26)^4+'DCF Model'!C19*(1+$B23)^5*(E17*(1-'DCF Model'!C8)+'DCF Model'!C20-'DCF Model'!C7)/(1+'DCF Model'!C26)^5+'DCF Model'!C19*(1+$B23)^5*(E17*(1-'DCF Model'!C8)+'DCF Model'!C20-'DCF Model'!C7)*(1+'DCF Model'!C15)/('DCF Model'!C26-'DCF Model'!C15)/(1+'DCF Model'!C26)^5-'DCF Model'!C18)*1000000/'DCF Model'!C17,0)</f>
        <v>2769</v>
      </c>
      <c r="F23" s="21">
        <f>ROUND(('DCF Model'!C19*(1+$B23)^1*(F17*(1-'DCF Model'!C8)+'DCF Model'!C20-'DCF Model'!C7)/(1+'DCF Model'!C26)^1+'DCF Model'!C19*(1+$B23)^2*(F17*(1-'DCF Model'!C8)+'DCF Model'!C20-'DCF Model'!C7)/(1+'DCF Model'!C26)^2+'DCF Model'!C19*(1+$B23)^3*(F17*(1-'DCF Model'!C8)+'DCF Model'!C20-'DCF Model'!C7)/(1+'DCF Model'!C26)^3+'DCF Model'!C19*(1+$B23)^4*(F17*(1-'DCF Model'!C8)+'DCF Model'!C20-'DCF Model'!C7)/(1+'DCF Model'!C26)^4+'DCF Model'!C19*(1+$B23)^5*(F17*(1-'DCF Model'!C8)+'DCF Model'!C20-'DCF Model'!C7)/(1+'DCF Model'!C26)^5+'DCF Model'!C19*(1+$B23)^5*(F17*(1-'DCF Model'!C8)+'DCF Model'!C20-'DCF Model'!C7)*(1+'DCF Model'!C15)/('DCF Model'!C26-'DCF Model'!C15)/(1+'DCF Model'!C26)^5-'DCF Model'!C18)*1000000/'DCF Model'!C17,0)</f>
        <v>2952</v>
      </c>
      <c r="G23" s="21">
        <f>ROUND(('DCF Model'!C19*(1+$B23)^1*(G17*(1-'DCF Model'!C8)+'DCF Model'!C20-'DCF Model'!C7)/(1+'DCF Model'!C26)^1+'DCF Model'!C19*(1+$B23)^2*(G17*(1-'DCF Model'!C8)+'DCF Model'!C20-'DCF Model'!C7)/(1+'DCF Model'!C26)^2+'DCF Model'!C19*(1+$B23)^3*(G17*(1-'DCF Model'!C8)+'DCF Model'!C20-'DCF Model'!C7)/(1+'DCF Model'!C26)^3+'DCF Model'!C19*(1+$B23)^4*(G17*(1-'DCF Model'!C8)+'DCF Model'!C20-'DCF Model'!C7)/(1+'DCF Model'!C26)^4+'DCF Model'!C19*(1+$B23)^5*(G17*(1-'DCF Model'!C8)+'DCF Model'!C20-'DCF Model'!C7)/(1+'DCF Model'!C26)^5+'DCF Model'!C19*(1+$B23)^5*(G17*(1-'DCF Model'!C8)+'DCF Model'!C20-'DCF Model'!C7)*(1+'DCF Model'!C15)/('DCF Model'!C26-'DCF Model'!C15)/(1+'DCF Model'!C26)^5-'DCF Model'!C18)*1000000/'DCF Model'!C17,0)</f>
        <v>3134</v>
      </c>
      <c r="H23" s="21">
        <f>ROUND(('DCF Model'!C19*(1+$B23)^1*(H17*(1-'DCF Model'!C8)+'DCF Model'!C20-'DCF Model'!C7)/(1+'DCF Model'!C26)^1+'DCF Model'!C19*(1+$B23)^2*(H17*(1-'DCF Model'!C8)+'DCF Model'!C20-'DCF Model'!C7)/(1+'DCF Model'!C26)^2+'DCF Model'!C19*(1+$B23)^3*(H17*(1-'DCF Model'!C8)+'DCF Model'!C20-'DCF Model'!C7)/(1+'DCF Model'!C26)^3+'DCF Model'!C19*(1+$B23)^4*(H17*(1-'DCF Model'!C8)+'DCF Model'!C20-'DCF Model'!C7)/(1+'DCF Model'!C26)^4+'DCF Model'!C19*(1+$B23)^5*(H17*(1-'DCF Model'!C8)+'DCF Model'!C20-'DCF Model'!C7)/(1+'DCF Model'!C26)^5+'DCF Model'!C19*(1+$B23)^5*(H17*(1-'DCF Model'!C8)+'DCF Model'!C20-'DCF Model'!C7)*(1+'DCF Model'!C15)/('DCF Model'!C26-'DCF Model'!C15)/(1+'DCF Model'!C26)^5-'DCF Model'!C18)*1000000/'DCF Model'!C17,0)</f>
        <v>3316</v>
      </c>
    </row>
  </sheetData>
  <mergeCells count="3">
    <mergeCell ref="B16:I16"/>
    <mergeCell ref="B2:I2"/>
    <mergeCell ref="B4:I4"/>
  </mergeCells>
  <phoneticPr fontId="11"/>
  <conditionalFormatting sqref="C6:G13">
    <cfRule type="cellIs" dxfId="3" priority="1" operator="greaterThanOrEqual">
      <formula>2240</formula>
    </cfRule>
    <cfRule type="cellIs" dxfId="2" priority="2" operator="lessThan">
      <formula>2240</formula>
    </cfRule>
  </conditionalFormatting>
  <conditionalFormatting sqref="C18:H23">
    <cfRule type="cellIs" dxfId="1" priority="81" operator="greaterThanOrEqual">
      <formula>2240</formula>
    </cfRule>
    <cfRule type="cellIs" dxfId="0" priority="82" operator="lessThan">
      <formula>2240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Executive Summary</vt:lpstr>
      <vt:lpstr>Financial Statements</vt:lpstr>
      <vt:lpstr>DCF Model</vt:lpstr>
      <vt:lpstr>Comps Analysis</vt:lpstr>
      <vt:lpstr>Sensitivity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良亮 佐藤</cp:lastModifiedBy>
  <dcterms:created xsi:type="dcterms:W3CDTF">2026-02-18T04:29:08Z</dcterms:created>
  <dcterms:modified xsi:type="dcterms:W3CDTF">2026-02-18T08:52:12Z</dcterms:modified>
</cp:coreProperties>
</file>