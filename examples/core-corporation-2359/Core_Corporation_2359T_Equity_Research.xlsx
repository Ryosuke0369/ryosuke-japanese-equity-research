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examples\core-corporation-2359\"/>
    </mc:Choice>
  </mc:AlternateContent>
  <xr:revisionPtr revIDLastSave="0" documentId="13_ncr:1_{F6659378-D2F0-461F-8E02-F01B2E0D2E0B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Executive Summary" sheetId="1" r:id="rId1"/>
    <sheet name="Financial Statements" sheetId="2" r:id="rId2"/>
    <sheet name="DCF Model" sheetId="3" r:id="rId3"/>
    <sheet name="NWC Schedule" sheetId="4" r:id="rId4"/>
    <sheet name="Comps Analysis" sheetId="5" r:id="rId5"/>
    <sheet name="Sensitivity Analysis" sheetId="6" r:id="rId6"/>
  </sheets>
  <calcPr calcId="181029"/>
</workbook>
</file>

<file path=xl/calcChain.xml><?xml version="1.0" encoding="utf-8"?>
<calcChain xmlns="http://schemas.openxmlformats.org/spreadsheetml/2006/main">
  <c r="I6" i="6" l="1"/>
  <c r="I3" i="6"/>
  <c r="I17" i="6" s="1"/>
  <c r="F3" i="6"/>
  <c r="E6" i="6" s="1"/>
  <c r="I17" i="5"/>
  <c r="G17" i="5"/>
  <c r="E17" i="5"/>
  <c r="I16" i="5"/>
  <c r="H16" i="5"/>
  <c r="G16" i="5"/>
  <c r="D16" i="5"/>
  <c r="C27" i="5" s="1"/>
  <c r="I15" i="5"/>
  <c r="G15" i="5"/>
  <c r="N9" i="5"/>
  <c r="L9" i="5"/>
  <c r="K9" i="5"/>
  <c r="J9" i="5"/>
  <c r="N8" i="5"/>
  <c r="L8" i="5"/>
  <c r="K8" i="5"/>
  <c r="J8" i="5"/>
  <c r="N7" i="5"/>
  <c r="L7" i="5"/>
  <c r="K7" i="5"/>
  <c r="J7" i="5"/>
  <c r="N6" i="5"/>
  <c r="L6" i="5"/>
  <c r="K6" i="5"/>
  <c r="J6" i="5"/>
  <c r="D15" i="5" s="1"/>
  <c r="N5" i="5"/>
  <c r="H15" i="5" s="1"/>
  <c r="L5" i="5"/>
  <c r="F15" i="5" s="1"/>
  <c r="K5" i="5"/>
  <c r="J5" i="5"/>
  <c r="D17" i="5" s="1"/>
  <c r="C18" i="4"/>
  <c r="C16" i="4"/>
  <c r="C14" i="4"/>
  <c r="F7" i="4"/>
  <c r="C7" i="4"/>
  <c r="H6" i="4"/>
  <c r="D6" i="4"/>
  <c r="C6" i="4"/>
  <c r="F5" i="4"/>
  <c r="C5" i="4"/>
  <c r="G30" i="3"/>
  <c r="C30" i="3"/>
  <c r="D29" i="3"/>
  <c r="E28" i="3"/>
  <c r="D25" i="3"/>
  <c r="G6" i="4" s="1"/>
  <c r="C23" i="3"/>
  <c r="C22" i="3"/>
  <c r="C21" i="3"/>
  <c r="G28" i="2"/>
  <c r="F28" i="2"/>
  <c r="E28" i="2"/>
  <c r="D28" i="2"/>
  <c r="C28" i="2"/>
  <c r="G23" i="2"/>
  <c r="F23" i="2"/>
  <c r="E23" i="2"/>
  <c r="D23" i="2"/>
  <c r="C23" i="2"/>
  <c r="E22" i="2"/>
  <c r="G21" i="2"/>
  <c r="G22" i="2" s="1"/>
  <c r="F21" i="2"/>
  <c r="F22" i="2" s="1"/>
  <c r="E21" i="2"/>
  <c r="D21" i="2"/>
  <c r="D22" i="2" s="1"/>
  <c r="C21" i="2"/>
  <c r="C22" i="2" s="1"/>
  <c r="G16" i="2"/>
  <c r="F16" i="2"/>
  <c r="E16" i="2"/>
  <c r="D16" i="2"/>
  <c r="G15" i="2"/>
  <c r="F15" i="2"/>
  <c r="E15" i="2"/>
  <c r="D15" i="2"/>
  <c r="G14" i="2"/>
  <c r="F14" i="2"/>
  <c r="E14" i="2"/>
  <c r="D14" i="2"/>
  <c r="C14" i="2"/>
  <c r="G13" i="2"/>
  <c r="F13" i="2"/>
  <c r="E13" i="2"/>
  <c r="D13" i="2"/>
  <c r="C13" i="2"/>
  <c r="F9" i="2"/>
  <c r="E9" i="2"/>
  <c r="G8" i="2"/>
  <c r="G9" i="2" s="1"/>
  <c r="F8" i="2"/>
  <c r="E8" i="2"/>
  <c r="D8" i="2"/>
  <c r="D9" i="2" s="1"/>
  <c r="C8" i="2"/>
  <c r="C9" i="2" s="1"/>
  <c r="C18" i="1"/>
  <c r="D18" i="1" s="1"/>
  <c r="C24" i="3" l="1"/>
  <c r="E44" i="3" s="1"/>
  <c r="F17" i="6"/>
  <c r="E16" i="5"/>
  <c r="E15" i="5"/>
  <c r="H6" i="6"/>
  <c r="G6" i="6"/>
  <c r="F6" i="6"/>
  <c r="D6" i="6"/>
  <c r="C6" i="6"/>
  <c r="F28" i="3"/>
  <c r="G28" i="3"/>
  <c r="H5" i="4"/>
  <c r="D17" i="6"/>
  <c r="D30" i="3"/>
  <c r="G5" i="4"/>
  <c r="F17" i="5"/>
  <c r="C17" i="6"/>
  <c r="E30" i="3"/>
  <c r="D7" i="4"/>
  <c r="C29" i="3"/>
  <c r="F30" i="3"/>
  <c r="E7" i="4"/>
  <c r="F16" i="5"/>
  <c r="C28" i="5" s="1"/>
  <c r="C19" i="1" s="1"/>
  <c r="D19" i="1" s="1"/>
  <c r="H17" i="5"/>
  <c r="E17" i="6"/>
  <c r="G7" i="4"/>
  <c r="G17" i="6"/>
  <c r="C28" i="3"/>
  <c r="C31" i="3" s="1"/>
  <c r="H7" i="4"/>
  <c r="H17" i="6"/>
  <c r="E29" i="3"/>
  <c r="E6" i="4"/>
  <c r="F29" i="3"/>
  <c r="D5" i="4"/>
  <c r="F6" i="4"/>
  <c r="D28" i="3"/>
  <c r="G29" i="3"/>
  <c r="E5" i="4"/>
  <c r="C44" i="3" l="1"/>
  <c r="F44" i="3"/>
  <c r="G44" i="3"/>
  <c r="D44" i="3"/>
  <c r="C3" i="6"/>
  <c r="B11" i="6" s="1"/>
  <c r="B21" i="6"/>
  <c r="D9" i="4"/>
  <c r="D12" i="4" s="1"/>
  <c r="C41" i="3"/>
  <c r="D31" i="3"/>
  <c r="C40" i="3"/>
  <c r="C32" i="3"/>
  <c r="D10" i="4" s="1"/>
  <c r="C35" i="3"/>
  <c r="C33" i="3" l="1"/>
  <c r="C36" i="3" s="1"/>
  <c r="B7" i="6"/>
  <c r="B13" i="6"/>
  <c r="B10" i="6"/>
  <c r="B12" i="6"/>
  <c r="B19" i="6"/>
  <c r="B20" i="6"/>
  <c r="B23" i="6"/>
  <c r="B9" i="6"/>
  <c r="B22" i="6"/>
  <c r="B24" i="6"/>
  <c r="B8" i="6"/>
  <c r="B18" i="6"/>
  <c r="E31" i="3"/>
  <c r="D40" i="3"/>
  <c r="D32" i="3"/>
  <c r="E10" i="4" s="1"/>
  <c r="D35" i="3"/>
  <c r="E9" i="4"/>
  <c r="E12" i="4" s="1"/>
  <c r="D41" i="3"/>
  <c r="D13" i="4"/>
  <c r="D14" i="4" s="1"/>
  <c r="D15" i="4"/>
  <c r="D16" i="4" s="1"/>
  <c r="D33" i="3" l="1"/>
  <c r="D36" i="3" s="1"/>
  <c r="D18" i="4"/>
  <c r="D19" i="4" s="1"/>
  <c r="C42" i="3" s="1"/>
  <c r="C34" i="3"/>
  <c r="C37" i="3"/>
  <c r="C38" i="3" s="1"/>
  <c r="C39" i="3" s="1"/>
  <c r="E13" i="4"/>
  <c r="E14" i="4" s="1"/>
  <c r="E15" i="4"/>
  <c r="E16" i="4" s="1"/>
  <c r="E35" i="3"/>
  <c r="F9" i="4"/>
  <c r="F12" i="4" s="1"/>
  <c r="E41" i="3"/>
  <c r="E32" i="3"/>
  <c r="F10" i="4" s="1"/>
  <c r="E40" i="3"/>
  <c r="F31" i="3"/>
  <c r="C43" i="3" l="1"/>
  <c r="C45" i="3" s="1"/>
  <c r="D37" i="3"/>
  <c r="D38" i="3" s="1"/>
  <c r="D39" i="3" s="1"/>
  <c r="D34" i="3"/>
  <c r="E18" i="4"/>
  <c r="E19" i="4" s="1"/>
  <c r="D42" i="3" s="1"/>
  <c r="E33" i="3"/>
  <c r="F15" i="4"/>
  <c r="F16" i="4" s="1"/>
  <c r="F13" i="4"/>
  <c r="F14" i="4" s="1"/>
  <c r="F40" i="3"/>
  <c r="F32" i="3"/>
  <c r="G10" i="4" s="1"/>
  <c r="F41" i="3"/>
  <c r="G9" i="4"/>
  <c r="G12" i="4" s="1"/>
  <c r="G31" i="3"/>
  <c r="F35" i="3"/>
  <c r="F18" i="4" l="1"/>
  <c r="F19" i="4" s="1"/>
  <c r="E42" i="3" s="1"/>
  <c r="D43" i="3"/>
  <c r="D45" i="3" s="1"/>
  <c r="G13" i="4"/>
  <c r="G14" i="4" s="1"/>
  <c r="G15" i="4"/>
  <c r="G16" i="4" s="1"/>
  <c r="G40" i="3"/>
  <c r="G32" i="3"/>
  <c r="H10" i="4" s="1"/>
  <c r="G35" i="3"/>
  <c r="H9" i="4"/>
  <c r="H12" i="4" s="1"/>
  <c r="G41" i="3"/>
  <c r="F33" i="3"/>
  <c r="E34" i="3"/>
  <c r="E37" i="3"/>
  <c r="E36" i="3"/>
  <c r="G18" i="4" l="1"/>
  <c r="G19" i="4" s="1"/>
  <c r="F42" i="3" s="1"/>
  <c r="G33" i="3"/>
  <c r="G34" i="3" s="1"/>
  <c r="F34" i="3"/>
  <c r="F37" i="3"/>
  <c r="F36" i="3"/>
  <c r="E38" i="3"/>
  <c r="E39" i="3" s="1"/>
  <c r="E43" i="3" s="1"/>
  <c r="H15" i="4"/>
  <c r="H16" i="4" s="1"/>
  <c r="H13" i="4"/>
  <c r="H14" i="4" s="1"/>
  <c r="H18" i="4" l="1"/>
  <c r="H19" i="4" s="1"/>
  <c r="G42" i="3" s="1"/>
  <c r="G36" i="3"/>
  <c r="G37" i="3"/>
  <c r="C57" i="3" s="1"/>
  <c r="C58" i="3" s="1"/>
  <c r="C59" i="3" s="1"/>
  <c r="E45" i="3"/>
  <c r="F38" i="3"/>
  <c r="F39" i="3" s="1"/>
  <c r="F43" i="3" s="1"/>
  <c r="G38" i="3" l="1"/>
  <c r="G39" i="3" s="1"/>
  <c r="G43" i="3" s="1"/>
  <c r="G45" i="3" s="1"/>
  <c r="F45" i="3"/>
  <c r="H21" i="6" l="1"/>
  <c r="F22" i="6"/>
  <c r="D23" i="6"/>
  <c r="G19" i="6"/>
  <c r="E24" i="6"/>
  <c r="F13" i="6"/>
  <c r="E9" i="6"/>
  <c r="I19" i="6"/>
  <c r="C23" i="6"/>
  <c r="H18" i="6"/>
  <c r="E23" i="6"/>
  <c r="C13" i="6"/>
  <c r="E19" i="6"/>
  <c r="G20" i="6"/>
  <c r="E8" i="6"/>
  <c r="H13" i="6"/>
  <c r="I10" i="6"/>
  <c r="I24" i="6"/>
  <c r="F23" i="6"/>
  <c r="D12" i="6"/>
  <c r="E18" i="6"/>
  <c r="C11" i="6"/>
  <c r="I12" i="6"/>
  <c r="G23" i="6"/>
  <c r="E20" i="6"/>
  <c r="H7" i="6"/>
  <c r="C8" i="6"/>
  <c r="C48" i="3"/>
  <c r="C56" i="3" s="1"/>
  <c r="C60" i="3" s="1"/>
  <c r="C61" i="3" s="1"/>
  <c r="C62" i="3" s="1"/>
  <c r="C17" i="1" s="1"/>
  <c r="D17" i="1" s="1"/>
  <c r="H24" i="6"/>
  <c r="E13" i="6"/>
  <c r="I9" i="6"/>
  <c r="I18" i="6"/>
  <c r="C9" i="6"/>
  <c r="G21" i="6"/>
  <c r="C22" i="6"/>
  <c r="E7" i="6"/>
  <c r="E21" i="6"/>
  <c r="F18" i="6"/>
  <c r="E12" i="6"/>
  <c r="F8" i="6"/>
  <c r="F7" i="6"/>
  <c r="C7" i="6"/>
  <c r="I11" i="6"/>
  <c r="F21" i="6"/>
  <c r="D7" i="6"/>
  <c r="D11" i="6"/>
  <c r="D19" i="6"/>
  <c r="I22" i="6"/>
  <c r="H9" i="6"/>
  <c r="D10" i="6"/>
  <c r="E10" i="6"/>
  <c r="E11" i="6"/>
  <c r="I13" i="6"/>
  <c r="C12" i="6"/>
  <c r="F9" i="6"/>
  <c r="E22" i="6"/>
  <c r="G24" i="6"/>
  <c r="G13" i="6"/>
  <c r="C19" i="6"/>
  <c r="G12" i="6"/>
  <c r="G18" i="6"/>
  <c r="I23" i="6"/>
  <c r="D21" i="6"/>
  <c r="I21" i="6"/>
  <c r="F11" i="6"/>
  <c r="D9" i="6"/>
  <c r="H8" i="6"/>
  <c r="H22" i="6"/>
  <c r="D13" i="6"/>
  <c r="F10" i="6"/>
  <c r="G22" i="6"/>
  <c r="I20" i="6"/>
  <c r="H23" i="6"/>
  <c r="H10" i="6"/>
  <c r="C24" i="6"/>
  <c r="D20" i="6"/>
  <c r="G8" i="6"/>
  <c r="C21" i="6"/>
  <c r="G9" i="6"/>
  <c r="I8" i="6"/>
  <c r="I7" i="6"/>
  <c r="D24" i="6"/>
  <c r="C49" i="3"/>
  <c r="C50" i="3" s="1"/>
  <c r="F20" i="6"/>
  <c r="D8" i="6"/>
  <c r="F19" i="6"/>
  <c r="G10" i="6"/>
  <c r="F24" i="6"/>
  <c r="C20" i="6"/>
  <c r="G7" i="6"/>
  <c r="H20" i="6"/>
  <c r="F12" i="6"/>
  <c r="D18" i="6"/>
  <c r="H12" i="6"/>
  <c r="G11" i="6"/>
  <c r="C18" i="6"/>
  <c r="D22" i="6"/>
  <c r="H11" i="6"/>
  <c r="C10" i="6"/>
  <c r="H19" i="6"/>
  <c r="C51" i="3" l="1"/>
  <c r="C52" i="3" s="1"/>
  <c r="C53" i="3" s="1"/>
  <c r="C16" i="1" s="1"/>
  <c r="C10" i="1" s="1"/>
  <c r="C12" i="1" s="1"/>
  <c r="C11" i="1" s="1"/>
  <c r="C21" i="1" l="1"/>
  <c r="D16" i="1"/>
</calcChain>
</file>

<file path=xl/sharedStrings.xml><?xml version="1.0" encoding="utf-8"?>
<sst xmlns="http://schemas.openxmlformats.org/spreadsheetml/2006/main" count="241" uniqueCount="179">
  <si>
    <t>DISCLAIMER: This is a sample analysis for demonstration purposes only. It does not constitute investment advice.</t>
  </si>
  <si>
    <t>Core Corporation (2359.T)</t>
  </si>
  <si>
    <t>Equity Research Report</t>
  </si>
  <si>
    <t>Company</t>
  </si>
  <si>
    <t>Core Corporation</t>
  </si>
  <si>
    <t>Ticker</t>
  </si>
  <si>
    <t>2359.T (TSE Prime)</t>
  </si>
  <si>
    <t>Sector</t>
  </si>
  <si>
    <t>Information &amp; Communication</t>
  </si>
  <si>
    <t>Current Price</t>
  </si>
  <si>
    <t>Target Price (Mid)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</si>
  <si>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</si>
  <si>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</si>
  <si>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</si>
  <si>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</si>
  <si>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</si>
  <si>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</si>
  <si>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</si>
  <si>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</si>
  <si>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</t>
  </si>
  <si>
    <t>Comps - PER Median</t>
  </si>
  <si>
    <t>Integrated Valuation Range</t>
  </si>
  <si>
    <t>Key Investment Thesis</t>
  </si>
  <si>
    <t>1. Stable IT services business with consistent revenue growth</t>
  </si>
  <si>
    <t>2. Strong net cash position (JPY 10.5bn) providing downside protection</t>
  </si>
  <si>
    <t>3. Expanding margins through operational efficiency improvements</t>
  </si>
  <si>
    <t>Key Risks</t>
  </si>
  <si>
    <t>1. Mature domestic IT services market with limited upside surprise</t>
  </si>
  <si>
    <t>2. Labor shortage in Japan's IT sector could pressure margins</t>
  </si>
  <si>
    <t>3. Low growth profile limits re-rating potential</t>
  </si>
  <si>
    <t>Core Corporation - Historical Financials (JPY mn)</t>
  </si>
  <si>
    <t>FY2020</t>
  </si>
  <si>
    <t>FY2021</t>
  </si>
  <si>
    <t>FY2022</t>
  </si>
  <si>
    <t>FY2023</t>
  </si>
  <si>
    <t>FY2024E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</si>
  <si>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</si>
  <si>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</si>
  <si>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</si>
  <si>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</si>
  <si>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</si>
  <si>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</si>
  <si>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</si>
  <si>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</si>
  <si>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</si>
  <si>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</si>
  <si>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</si>
  <si>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</si>
  <si>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</si>
  <si>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</si>
  <si>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</si>
  <si>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</si>
  <si>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</si>
  <si>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</si>
  <si>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</si>
  <si>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</si>
  <si>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</si>
  <si>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Short-term Debt</t>
  </si>
  <si>
    <t>Net Debt (Cash)</t>
  </si>
  <si>
    <t>DCF Valuation Model - Core Corporation</t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</si>
  <si>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</si>
  <si>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</si>
  <si>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</si>
  <si>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</si>
  <si>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</si>
  <si>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</si>
  <si>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</si>
  <si>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</si>
  <si>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</si>
  <si>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</si>
  <si>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</si>
  <si>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</si>
  <si>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</si>
  <si>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</si>
  <si>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</si>
  <si>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</si>
  <si>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</si>
  <si>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</si>
  <si>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</si>
  <si>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</si>
  <si>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</si>
  <si>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</si>
  <si>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Year 1</t>
  </si>
  <si>
    <t>Year 2</t>
  </si>
  <si>
    <t>Year 3</t>
  </si>
  <si>
    <t>Year 4</t>
  </si>
  <si>
    <t>Year 5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</si>
  <si>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</si>
  <si>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</si>
  <si>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</si>
  <si>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</si>
  <si>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</si>
  <si>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</si>
  <si>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</si>
  <si>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</si>
  <si>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</si>
  <si>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</si>
  <si>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</si>
  <si>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</si>
  <si>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</si>
  <si>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</si>
  <si>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</si>
  <si>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</si>
  <si>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</si>
  <si>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</si>
  <si>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</si>
  <si>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</si>
  <si>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</si>
  <si>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</si>
  <si>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</si>
  <si>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</si>
  <si>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</si>
  <si>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Upside</t>
  </si>
  <si>
    <t>Management</t>
  </si>
  <si>
    <t>Downside 1</t>
  </si>
  <si>
    <t>Downside 2</t>
  </si>
  <si>
    <t>NWC Schedule - Core Corporation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</si>
  <si>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</si>
  <si>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</si>
  <si>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</si>
  <si>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</si>
  <si>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</si>
  <si>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</si>
  <si>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</si>
  <si>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</si>
  <si>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</si>
  <si>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</si>
  <si>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</si>
  <si>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</si>
  <si>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</si>
  <si>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</si>
  <si>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</si>
  <si>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</si>
  <si>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</si>
  <si>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</si>
  <si>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</si>
  <si>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</si>
  <si>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</si>
  <si>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</si>
  <si>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</si>
  <si>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</si>
  <si>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</si>
  <si>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</si>
  <si>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</si>
  <si>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</si>
  <si>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</si>
  <si>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</si>
  <si>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</si>
  <si>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Systena</t>
  </si>
  <si>
    <t>2317.T</t>
  </si>
  <si>
    <t>SRA HD</t>
  </si>
  <si>
    <t>3817.T</t>
  </si>
  <si>
    <t>CEC</t>
  </si>
  <si>
    <t>9692.T</t>
  </si>
  <si>
    <t>Cube Systems</t>
  </si>
  <si>
    <t>2335.T</t>
  </si>
  <si>
    <t>Sansan</t>
  </si>
  <si>
    <t>4443.T</t>
  </si>
  <si>
    <t>Statistics</t>
  </si>
  <si>
    <t>25th Percentile</t>
  </si>
  <si>
    <t>Median (50th)</t>
  </si>
  <si>
    <t>75th Percentile</t>
  </si>
  <si>
    <t>Implied Valuation for Core Corporation</t>
  </si>
  <si>
    <t>Core Corporation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</si>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</sst>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10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CC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3366"/>
        <bgColor rgb="FF003366"/>
      </patternFill>
    </fill>
    <fill>
      <patternFill patternType="solid">
        <fgColor rgb="FFFFFFCC"/>
        <bgColor rgb="FFFFFFCC"/>
      </patternFill>
    </fill>
    <fill>
      <patternFill patternType="solid">
        <fgColor rgb="FFE2EFDA"/>
        <bgColor rgb="FFE2EFD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176" fontId="6" fillId="0" borderId="0" xfId="0" applyNumberFormat="1" applyFont="1"/>
    <xf numFmtId="0" fontId="6" fillId="0" borderId="0" xfId="0" applyFont="1"/>
    <xf numFmtId="177" fontId="6" fillId="0" borderId="0" xfId="0" applyNumberFormat="1" applyFont="1"/>
    <xf numFmtId="0" fontId="3" fillId="2" borderId="0" xfId="0" applyFont="1" applyFill="1"/>
    <xf numFmtId="0" fontId="0" fillId="2" borderId="0" xfId="0" applyFill="1"/>
    <xf numFmtId="0" fontId="7" fillId="3" borderId="1" xfId="0" applyFont="1" applyFill="1" applyBorder="1" applyAlignment="1">
      <alignment horizontal="center" wrapText="1"/>
    </xf>
    <xf numFmtId="176" fontId="8" fillId="0" borderId="0" xfId="0" applyNumberFormat="1" applyFont="1"/>
    <xf numFmtId="177" fontId="5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6" fillId="0" borderId="0" xfId="0" applyNumberFormat="1" applyFont="1"/>
    <xf numFmtId="0" fontId="5" fillId="4" borderId="0" xfId="0" applyFont="1" applyFill="1"/>
    <xf numFmtId="177" fontId="6" fillId="2" borderId="0" xfId="0" applyNumberFormat="1" applyFont="1" applyFill="1"/>
    <xf numFmtId="181" fontId="6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6" fillId="0" borderId="2" xfId="0" applyNumberFormat="1" applyFont="1" applyBorder="1"/>
    <xf numFmtId="0" fontId="7" fillId="3" borderId="0" xfId="0" applyFont="1" applyFill="1" applyAlignment="1">
      <alignment horizontal="center"/>
    </xf>
    <xf numFmtId="177" fontId="5" fillId="4" borderId="0" xfId="0" applyNumberFormat="1" applyFont="1" applyFill="1"/>
    <xf numFmtId="0" fontId="7" fillId="2" borderId="1" xfId="0" applyFont="1" applyFill="1" applyBorder="1" applyAlignment="1">
      <alignment horizontal="center" wrapText="1"/>
    </xf>
    <xf numFmtId="3" fontId="6" fillId="0" borderId="0" xfId="0" applyNumberFormat="1" applyFont="1"/>
    <xf numFmtId="3" fontId="6" fillId="2" borderId="0" xfId="0" applyNumberFormat="1" applyFont="1" applyFill="1"/>
    <xf numFmtId="176" fontId="6" fillId="0" borderId="3" xfId="0" applyNumberFormat="1" applyFont="1" applyBorder="1"/>
    <xf numFmtId="3" fontId="5" fillId="4" borderId="0" xfId="0" applyNumberFormat="1" applyFont="1" applyFill="1"/>
    <xf numFmtId="176" fontId="5" fillId="0" borderId="1" xfId="0" applyNumberFormat="1" applyFont="1" applyBorder="1"/>
    <xf numFmtId="179" fontId="6" fillId="0" borderId="1" xfId="0" applyNumberFormat="1" applyFont="1" applyBorder="1"/>
    <xf numFmtId="179" fontId="5" fillId="0" borderId="1" xfId="0" applyNumberFormat="1" applyFont="1" applyBorder="1"/>
    <xf numFmtId="177" fontId="6" fillId="0" borderId="1" xfId="0" applyNumberFormat="1" applyFont="1" applyBorder="1"/>
    <xf numFmtId="177" fontId="5" fillId="0" borderId="1" xfId="0" applyNumberFormat="1" applyFont="1" applyBorder="1"/>
    <xf numFmtId="179" fontId="6" fillId="0" borderId="0" xfId="0" applyNumberFormat="1" applyFont="1"/>
    <xf numFmtId="177" fontId="7" fillId="3" borderId="1" xfId="0" applyNumberFormat="1" applyFont="1" applyFill="1" applyBorder="1" applyAlignment="1">
      <alignment horizontal="center"/>
    </xf>
    <xf numFmtId="177" fontId="5" fillId="4" borderId="1" xfId="0" applyNumberFormat="1" applyFont="1" applyFill="1" applyBorder="1"/>
    <xf numFmtId="176" fontId="6" fillId="0" borderId="1" xfId="0" applyNumberFormat="1" applyFont="1" applyBorder="1"/>
    <xf numFmtId="179" fontId="7" fillId="3" borderId="1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opLeftCell="A3" workbookViewId="0">
      <selection activeCell="D21" sqref="D21"/>
    </sheetView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3" t="s">
        <v>0</v>
      </c>
      <c r="C1" s="42"/>
      <c r="D1" s="42"/>
      <c r="E1" s="42"/>
    </row>
    <row r="3" spans="2:5" ht="18" x14ac:dyDescent="0.4">
      <c r="B3" s="41" t="s">
        <v>1</v>
      </c>
      <c r="C3" s="42"/>
      <c r="D3" s="42"/>
    </row>
    <row r="4" spans="2:5" ht="14" x14ac:dyDescent="0.3">
      <c r="B4" s="2" t="s">
        <v>2</v>
      </c>
    </row>
    <row r="6" spans="2:5" ht="14" x14ac:dyDescent="0.3">
      <c r="B6" s="3" t="s">
        <v>3</v>
      </c>
      <c r="C6" t="s">
        <v>4</v>
      </c>
    </row>
    <row r="7" spans="2:5" ht="14" x14ac:dyDescent="0.3">
      <c r="B7" s="3" t="s">
        <v>5</v>
      </c>
      <c r="C7" t="s">
        <v>6</v>
      </c>
    </row>
    <row r="8" spans="2:5" ht="14" x14ac:dyDescent="0.3">
      <c r="B8" s="3" t="s">
        <v>7</v>
      </c>
      <c r="C8" t="s">
        <v>8</v>
      </c>
    </row>
    <row r="9" spans="2:5" ht="14" x14ac:dyDescent="0.3">
      <c r="B9" s="3" t="s">
        <v>9</v>
      </c>
      <c r="C9" s="4">
        <v>2230</v>
      </c>
    </row>
    <row r="10" spans="2:5" ht="14" x14ac:dyDescent="0.3">
      <c r="B10" s="3" t="s">
        <v>10</v>
      </c>
      <c r="C10" s="5">
        <f>ROUND(AVERAGE(C16:C19),0)</f>
        <v>2520</v>
      </c>
    </row>
    <row r="11" spans="2:5" ht="14" x14ac:dyDescent="0.3">
      <c r="B11" s="3" t="s">
        <v>11</v>
      </c>
      <c r="C11" s="6" t="str">
        <f>IF(C12&gt;0.15,"BUY",IF(C12&gt;0.05,"HOLD","SELL"))</f>
        <v>HOLD</v>
      </c>
    </row>
    <row r="12" spans="2:5" ht="14" x14ac:dyDescent="0.3">
      <c r="B12" s="3" t="s">
        <v>12</v>
      </c>
      <c r="C12" s="7">
        <f>(C10-C9)/C9</f>
        <v>0.13004484304932734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'DCF Model'!C53</f>
        <v>2804</v>
      </c>
      <c r="D16" s="7">
        <f>(C16-C9)/C9</f>
        <v>0.25739910313901343</v>
      </c>
    </row>
    <row r="17" spans="2:4" ht="13.5" x14ac:dyDescent="0.25">
      <c r="B17" t="s">
        <v>18</v>
      </c>
      <c r="C17" s="11">
        <f>'DCF Model'!C62</f>
        <v>3546</v>
      </c>
      <c r="D17" s="7">
        <f>(C17-C9)/C9</f>
        <v>0.59013452914798203</v>
      </c>
    </row>
    <row r="18" spans="2:4" ht="13.5" x14ac:dyDescent="0.25">
      <c r="B18" t="s">
        <v>19</v>
      </c>
      <c r="C18" s="11">
        <f>'Comps Analysis'!C27</f>
        <v>2307</v>
      </c>
      <c r="D18" s="7">
        <f>(C18-C9)/C9</f>
        <v>3.4529147982062781E-2</v>
      </c>
    </row>
    <row r="19" spans="2:4" ht="13.5" x14ac:dyDescent="0.25">
      <c r="B19" t="s">
        <v>20</v>
      </c>
      <c r="C19" s="11">
        <f>'Comps Analysis'!C28</f>
        <v>1423</v>
      </c>
      <c r="D19" s="7">
        <f>(C19-C9)/C9</f>
        <v>-0.3618834080717489</v>
      </c>
    </row>
    <row r="21" spans="2:4" ht="14" x14ac:dyDescent="0.3">
      <c r="B21" s="3" t="s">
        <v>21</v>
      </c>
      <c r="C21" s="6" t="str">
        <f>MIN(C16:C19)&amp;" - "&amp;MAX(C16:C19)</f>
        <v>1423 - 3546</v>
      </c>
    </row>
    <row r="23" spans="2:4" ht="14" x14ac:dyDescent="0.3">
      <c r="B23" s="8" t="s">
        <v>22</v>
      </c>
      <c r="C23" s="9"/>
      <c r="D23" s="9"/>
    </row>
    <row r="24" spans="2:4" x14ac:dyDescent="0.2">
      <c r="B24" t="s">
        <v>23</v>
      </c>
    </row>
    <row r="25" spans="2:4" x14ac:dyDescent="0.2">
      <c r="B25" t="s">
        <v>24</v>
      </c>
    </row>
    <row r="26" spans="2:4" x14ac:dyDescent="0.2">
      <c r="B26" t="s">
        <v>25</v>
      </c>
    </row>
    <row r="28" spans="2:4" ht="14" x14ac:dyDescent="0.3">
      <c r="B28" s="8" t="s">
        <v>26</v>
      </c>
      <c r="C28" s="9"/>
      <c r="D28" s="9"/>
    </row>
    <row r="29" spans="2:4" x14ac:dyDescent="0.2">
      <c r="B29" t="s">
        <v>27</v>
      </c>
    </row>
    <row r="30" spans="2:4" x14ac:dyDescent="0.2">
      <c r="B30" t="s">
        <v>28</v>
      </c>
    </row>
    <row r="31" spans="2:4" x14ac:dyDescent="0.2">
      <c r="B31" t="s">
        <v>29</v>
      </c>
    </row>
  </sheetData>
  <mergeCells count="2">
    <mergeCell ref="B3:D3"/>
    <mergeCell ref="B1:E1"/>
  </mergeCells>
  <phoneticPr fontId="9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G28"/>
  <sheetViews>
    <sheetView tabSelected="1" workbookViewId="0"/>
  </sheetViews>
  <sheetFormatPr defaultRowHeight="13" x14ac:dyDescent="0.2"/>
  <cols>
    <col min="1" max="1" width="3" customWidth="1"/>
    <col min="2" max="2" width="32" customWidth="1"/>
    <col min="3" max="7" width="18" customWidth="1"/>
  </cols>
  <sheetData>
    <row r="2" spans="2:7" ht="18" x14ac:dyDescent="0.4">
      <c r="B2" s="1" t="s">
        <v>30</v>
      </c>
    </row>
    <row r="4" spans="2:7" ht="14" x14ac:dyDescent="0.3">
      <c r="C4" s="10" t="s">
        <v>31</v>
      </c>
      <c r="D4" s="10" t="s">
        <v>32</v>
      </c>
      <c r="E4" s="10" t="s">
        <v>33</v>
      </c>
      <c r="F4" s="10" t="s">
        <v>34</v>
      </c>
      <c r="G4" s="10" t="s">
        <v>35</v>
      </c>
    </row>
    <row r="5" spans="2:7" ht="14" x14ac:dyDescent="0.3">
      <c r="B5" s="2" t="s">
        <v>36</v>
      </c>
    </row>
    <row r="6" spans="2:7" ht="14" x14ac:dyDescent="0.3">
      <c r="B6" s="3" t="s">
        <v>37</v>
      </c>
      <c r="C6" s="4">
        <v>20904</v>
      </c>
      <c r="D6" s="4">
        <v>21919</v>
      </c>
      <c r="E6" s="4">
        <v>22534</v>
      </c>
      <c r="F6" s="4">
        <v>23554</v>
      </c>
      <c r="G6" s="4">
        <v>24500</v>
      </c>
    </row>
    <row r="7" spans="2:7" ht="14" x14ac:dyDescent="0.3">
      <c r="B7" s="3" t="s">
        <v>38</v>
      </c>
      <c r="C7" s="4">
        <v>16570</v>
      </c>
      <c r="D7" s="4">
        <v>17290</v>
      </c>
      <c r="E7" s="4">
        <v>17578</v>
      </c>
      <c r="F7" s="4">
        <v>18378</v>
      </c>
      <c r="G7" s="4">
        <v>19110</v>
      </c>
    </row>
    <row r="8" spans="2:7" ht="14" x14ac:dyDescent="0.3">
      <c r="B8" s="3" t="s">
        <v>39</v>
      </c>
      <c r="C8" s="5">
        <f>C6-C7</f>
        <v>4334</v>
      </c>
      <c r="D8" s="5">
        <f>D6-D7</f>
        <v>4629</v>
      </c>
      <c r="E8" s="5">
        <f>E6-E7</f>
        <v>4956</v>
      </c>
      <c r="F8" s="5">
        <f>F6-F7</f>
        <v>5176</v>
      </c>
      <c r="G8" s="5">
        <f>G6-G7</f>
        <v>5390</v>
      </c>
    </row>
    <row r="9" spans="2:7" ht="13.5" x14ac:dyDescent="0.25">
      <c r="B9" t="s">
        <v>40</v>
      </c>
      <c r="C9" s="7">
        <f>C8/C6</f>
        <v>0.20732874091083045</v>
      </c>
      <c r="D9" s="7">
        <f>D8/D6</f>
        <v>0.21118664172635612</v>
      </c>
      <c r="E9" s="7">
        <f>E8/E6</f>
        <v>0.21993432146977901</v>
      </c>
      <c r="F9" s="7">
        <f>F8/F6</f>
        <v>0.21975036087288782</v>
      </c>
      <c r="G9" s="7">
        <f>G8/G6</f>
        <v>0.22</v>
      </c>
    </row>
    <row r="10" spans="2:7" ht="14" x14ac:dyDescent="0.3">
      <c r="B10" s="3" t="s">
        <v>41</v>
      </c>
      <c r="C10" s="4">
        <v>2525</v>
      </c>
      <c r="D10" s="4">
        <v>2649</v>
      </c>
      <c r="E10" s="4">
        <v>2816</v>
      </c>
      <c r="F10" s="4">
        <v>2981</v>
      </c>
      <c r="G10" s="4">
        <v>3100</v>
      </c>
    </row>
    <row r="11" spans="2:7" ht="14" x14ac:dyDescent="0.3">
      <c r="B11" s="3" t="s">
        <v>42</v>
      </c>
      <c r="C11" s="4">
        <v>1808</v>
      </c>
      <c r="D11" s="4">
        <v>1979</v>
      </c>
      <c r="E11" s="4">
        <v>2139</v>
      </c>
      <c r="F11" s="4">
        <v>2194</v>
      </c>
      <c r="G11" s="4">
        <v>2290</v>
      </c>
    </row>
    <row r="12" spans="2:7" ht="14" x14ac:dyDescent="0.3">
      <c r="B12" s="3" t="s">
        <v>43</v>
      </c>
      <c r="C12" s="4">
        <v>1186</v>
      </c>
      <c r="D12" s="4">
        <v>1284</v>
      </c>
      <c r="E12" s="4">
        <v>1515</v>
      </c>
      <c r="F12" s="4">
        <v>1488</v>
      </c>
      <c r="G12" s="4">
        <v>1550</v>
      </c>
    </row>
    <row r="13" spans="2:7" ht="13.5" x14ac:dyDescent="0.25">
      <c r="B13" t="s">
        <v>44</v>
      </c>
      <c r="C13" s="7">
        <f>C11/C6</f>
        <v>8.6490623804056643E-2</v>
      </c>
      <c r="D13" s="7">
        <f>D11/D6</f>
        <v>9.0286965646242986E-2</v>
      </c>
      <c r="E13" s="7">
        <f>E11/E6</f>
        <v>9.4923227123457882E-2</v>
      </c>
      <c r="F13" s="7">
        <f>F11/F6</f>
        <v>9.3147660694574169E-2</v>
      </c>
      <c r="G13" s="7">
        <f>G11/G6</f>
        <v>9.3469387755102037E-2</v>
      </c>
    </row>
    <row r="14" spans="2:7" ht="13.5" x14ac:dyDescent="0.25">
      <c r="B14" t="s">
        <v>45</v>
      </c>
      <c r="C14" s="7">
        <f>C12/C6</f>
        <v>5.6735553004209724E-2</v>
      </c>
      <c r="D14" s="7">
        <f>D12/D6</f>
        <v>5.8579314749760483E-2</v>
      </c>
      <c r="E14" s="7">
        <f>E12/E6</f>
        <v>6.7231738705955446E-2</v>
      </c>
      <c r="F14" s="7">
        <f>F12/F6</f>
        <v>6.3173983187568991E-2</v>
      </c>
      <c r="G14" s="7">
        <f>G12/G6</f>
        <v>6.3265306122448975E-2</v>
      </c>
    </row>
    <row r="15" spans="2:7" ht="13.5" x14ac:dyDescent="0.25">
      <c r="B15" t="s">
        <v>46</v>
      </c>
      <c r="C15" t="s">
        <v>47</v>
      </c>
      <c r="D15" s="7">
        <f>(D6-C6)/C6</f>
        <v>4.8555300420972065E-2</v>
      </c>
      <c r="E15" s="7">
        <f>(E6-D6)/D6</f>
        <v>2.8057849354441351E-2</v>
      </c>
      <c r="F15" s="7">
        <f>(F6-E6)/E6</f>
        <v>4.5264932990148221E-2</v>
      </c>
      <c r="G15" s="7">
        <f>(G6-F6)/F6</f>
        <v>4.0163029634032434E-2</v>
      </c>
    </row>
    <row r="16" spans="2:7" ht="13.5" x14ac:dyDescent="0.25">
      <c r="B16" t="s">
        <v>48</v>
      </c>
      <c r="C16" t="s">
        <v>47</v>
      </c>
      <c r="D16" s="7">
        <f>(D11-C11)/C11</f>
        <v>9.4579646017699109E-2</v>
      </c>
      <c r="E16" s="7">
        <f>(E11-D11)/D11</f>
        <v>8.0848913592723601E-2</v>
      </c>
      <c r="F16" s="7">
        <f>(F11-E11)/E11</f>
        <v>2.5712949976624593E-2</v>
      </c>
      <c r="G16" s="7">
        <f>(G11-F11)/F11</f>
        <v>4.3755697356426621E-2</v>
      </c>
    </row>
    <row r="18" spans="2:7" ht="14" x14ac:dyDescent="0.3">
      <c r="B18" s="2" t="s">
        <v>49</v>
      </c>
    </row>
    <row r="19" spans="2:7" ht="14" x14ac:dyDescent="0.3">
      <c r="B19" s="3" t="s">
        <v>50</v>
      </c>
      <c r="C19" s="4">
        <v>1323</v>
      </c>
      <c r="D19" s="4">
        <v>2118</v>
      </c>
      <c r="E19" s="4">
        <v>1172</v>
      </c>
      <c r="F19" s="4">
        <v>2302</v>
      </c>
      <c r="G19" s="4">
        <v>2000</v>
      </c>
    </row>
    <row r="20" spans="2:7" ht="14" x14ac:dyDescent="0.3">
      <c r="B20" s="3" t="s">
        <v>51</v>
      </c>
      <c r="C20" s="4">
        <v>151</v>
      </c>
      <c r="D20" s="4">
        <v>144</v>
      </c>
      <c r="E20" s="4">
        <v>202</v>
      </c>
      <c r="F20" s="4">
        <v>107</v>
      </c>
      <c r="G20" s="4">
        <v>150</v>
      </c>
    </row>
    <row r="21" spans="2:7" ht="14" x14ac:dyDescent="0.3">
      <c r="B21" s="3" t="s">
        <v>52</v>
      </c>
      <c r="C21" s="5">
        <f>C19-C20</f>
        <v>1172</v>
      </c>
      <c r="D21" s="5">
        <f>D19-D20</f>
        <v>1974</v>
      </c>
      <c r="E21" s="5">
        <f>E19-E20</f>
        <v>970</v>
      </c>
      <c r="F21" s="5">
        <f>F19-F20</f>
        <v>2195</v>
      </c>
      <c r="G21" s="5">
        <f>G19-G20</f>
        <v>1850</v>
      </c>
    </row>
    <row r="22" spans="2:7" ht="13.5" x14ac:dyDescent="0.25">
      <c r="B22" t="s">
        <v>53</v>
      </c>
      <c r="C22" s="7">
        <f>C21/C6</f>
        <v>5.6065824722541138E-2</v>
      </c>
      <c r="D22" s="7">
        <f>D21/D6</f>
        <v>9.0058853049865412E-2</v>
      </c>
      <c r="E22" s="7">
        <f>E21/E6</f>
        <v>4.3046063725925267E-2</v>
      </c>
      <c r="F22" s="7">
        <f>F21/F6</f>
        <v>9.3190116328436781E-2</v>
      </c>
      <c r="G22" s="7">
        <f>G21/G6</f>
        <v>7.5510204081632656E-2</v>
      </c>
    </row>
    <row r="23" spans="2:7" ht="13.5" x14ac:dyDescent="0.25">
      <c r="B23" t="s">
        <v>54</v>
      </c>
      <c r="C23" s="7">
        <f>C20/C6</f>
        <v>7.2234978951396861E-3</v>
      </c>
      <c r="D23" s="7">
        <f>D20/D6</f>
        <v>6.5696427756740724E-3</v>
      </c>
      <c r="E23" s="7">
        <f>E20/E6</f>
        <v>8.9642318274607263E-3</v>
      </c>
      <c r="F23" s="7">
        <f>F20/F6</f>
        <v>4.5427528232996521E-3</v>
      </c>
      <c r="G23" s="7">
        <f>G20/G6</f>
        <v>6.1224489795918364E-3</v>
      </c>
    </row>
    <row r="25" spans="2:7" ht="14" x14ac:dyDescent="0.3">
      <c r="B25" s="2" t="s">
        <v>55</v>
      </c>
    </row>
    <row r="26" spans="2:7" ht="14" x14ac:dyDescent="0.3">
      <c r="B26" s="3" t="s">
        <v>56</v>
      </c>
      <c r="C26" s="4">
        <v>7703</v>
      </c>
      <c r="D26" s="4">
        <v>9089</v>
      </c>
      <c r="E26" s="4">
        <v>9370</v>
      </c>
      <c r="F26" s="4">
        <v>10260</v>
      </c>
      <c r="G26" s="4">
        <v>10500</v>
      </c>
    </row>
    <row r="27" spans="2:7" ht="14" x14ac:dyDescent="0.3">
      <c r="B27" s="3" t="s">
        <v>57</v>
      </c>
      <c r="C27" s="4">
        <v>38</v>
      </c>
      <c r="D27" s="4">
        <v>30</v>
      </c>
      <c r="E27" s="4">
        <v>8</v>
      </c>
      <c r="F27" s="4">
        <v>3</v>
      </c>
      <c r="G27" s="4">
        <v>0</v>
      </c>
    </row>
    <row r="28" spans="2:7" ht="14" x14ac:dyDescent="0.3">
      <c r="B28" s="3" t="s">
        <v>58</v>
      </c>
      <c r="C28" s="5">
        <f>C27-C26</f>
        <v>-7665</v>
      </c>
      <c r="D28" s="5">
        <f>D27-D26</f>
        <v>-9059</v>
      </c>
      <c r="E28" s="5">
        <f>E27-E26</f>
        <v>-9362</v>
      </c>
      <c r="F28" s="5">
        <f>F27-F26</f>
        <v>-10257</v>
      </c>
      <c r="G28" s="5">
        <f>G27-G26</f>
        <v>-10500</v>
      </c>
    </row>
  </sheetData>
  <phoneticPr fontId="9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5"/>
  <sheetViews>
    <sheetView workbookViewId="0">
      <selection activeCell="J37" sqref="J37"/>
    </sheetView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1" t="s">
        <v>59</v>
      </c>
    </row>
    <row r="4" spans="2:7" ht="14" x14ac:dyDescent="0.3">
      <c r="B4" s="8" t="s">
        <v>60</v>
      </c>
      <c r="C4" s="9"/>
      <c r="D4" s="9"/>
      <c r="E4" s="9"/>
      <c r="F4" s="9"/>
      <c r="G4" s="9"/>
    </row>
    <row r="5" spans="2:7" ht="14" x14ac:dyDescent="0.3">
      <c r="B5" s="3" t="s">
        <v>54</v>
      </c>
      <c r="C5" s="12">
        <v>8.0000000000000002E-3</v>
      </c>
    </row>
    <row r="6" spans="2:7" ht="14" x14ac:dyDescent="0.3">
      <c r="B6" s="3" t="s">
        <v>61</v>
      </c>
      <c r="C6" s="12">
        <v>0.30599999999999999</v>
      </c>
    </row>
    <row r="7" spans="2:7" ht="14" x14ac:dyDescent="0.3">
      <c r="B7" s="3" t="s">
        <v>62</v>
      </c>
      <c r="C7" s="12">
        <v>2.1999999999999999E-2</v>
      </c>
    </row>
    <row r="8" spans="2:7" ht="14" x14ac:dyDescent="0.3">
      <c r="B8" s="3" t="s">
        <v>63</v>
      </c>
      <c r="C8" s="13">
        <v>0.88</v>
      </c>
    </row>
    <row r="9" spans="2:7" ht="14" x14ac:dyDescent="0.3">
      <c r="B9" s="3" t="s">
        <v>64</v>
      </c>
      <c r="C9" s="12">
        <v>0.06</v>
      </c>
    </row>
    <row r="10" spans="2:7" ht="14" x14ac:dyDescent="0.3">
      <c r="B10" s="3" t="s">
        <v>65</v>
      </c>
      <c r="C10" s="12">
        <v>0.04</v>
      </c>
    </row>
    <row r="11" spans="2:7" ht="14" x14ac:dyDescent="0.3">
      <c r="B11" s="3" t="s">
        <v>66</v>
      </c>
      <c r="C11" s="12">
        <v>0.01</v>
      </c>
    </row>
    <row r="12" spans="2:7" ht="14" x14ac:dyDescent="0.3">
      <c r="B12" s="3" t="s">
        <v>67</v>
      </c>
      <c r="C12" s="14">
        <v>0.05</v>
      </c>
    </row>
    <row r="13" spans="2:7" ht="14" x14ac:dyDescent="0.3">
      <c r="B13" s="3" t="s">
        <v>68</v>
      </c>
      <c r="C13" s="12">
        <v>0.01</v>
      </c>
    </row>
    <row r="14" spans="2:7" ht="14" x14ac:dyDescent="0.3">
      <c r="B14" s="3" t="s">
        <v>69</v>
      </c>
      <c r="C14" s="15">
        <v>9.3000000000000007</v>
      </c>
    </row>
    <row r="15" spans="2:7" ht="14" x14ac:dyDescent="0.3">
      <c r="B15" s="3" t="s">
        <v>70</v>
      </c>
      <c r="C15" s="16">
        <v>14368501</v>
      </c>
    </row>
    <row r="16" spans="2:7" ht="14" x14ac:dyDescent="0.3">
      <c r="B16" s="3" t="s">
        <v>71</v>
      </c>
      <c r="C16" s="4">
        <v>-10257</v>
      </c>
    </row>
    <row r="17" spans="2:7" ht="14" x14ac:dyDescent="0.3">
      <c r="B17" s="3" t="s">
        <v>72</v>
      </c>
      <c r="C17" s="4">
        <v>24500</v>
      </c>
    </row>
    <row r="18" spans="2:7" ht="14" x14ac:dyDescent="0.3">
      <c r="B18" s="3" t="s">
        <v>73</v>
      </c>
      <c r="C18" s="12">
        <v>8.0000000000000002E-3</v>
      </c>
    </row>
    <row r="20" spans="2:7" ht="14" x14ac:dyDescent="0.3">
      <c r="B20" s="8" t="s">
        <v>74</v>
      </c>
      <c r="C20" s="9"/>
      <c r="D20" s="9"/>
      <c r="E20" s="9"/>
      <c r="F20" s="9"/>
      <c r="G20" s="9"/>
    </row>
    <row r="21" spans="2:7" ht="14" x14ac:dyDescent="0.3">
      <c r="B21" s="3" t="s">
        <v>75</v>
      </c>
      <c r="C21" s="17">
        <f>C7+C8*C9+C10</f>
        <v>0.11480000000000001</v>
      </c>
    </row>
    <row r="22" spans="2:7" ht="14" x14ac:dyDescent="0.3">
      <c r="B22" s="3" t="s">
        <v>76</v>
      </c>
      <c r="C22" s="17">
        <f>1/(1+C12)</f>
        <v>0.95238095238095233</v>
      </c>
    </row>
    <row r="23" spans="2:7" ht="14" x14ac:dyDescent="0.3">
      <c r="B23" s="3" t="s">
        <v>77</v>
      </c>
      <c r="C23" s="17">
        <f>C12/(1+C12)</f>
        <v>4.7619047619047616E-2</v>
      </c>
    </row>
    <row r="24" spans="2:7" ht="14" x14ac:dyDescent="0.3">
      <c r="B24" s="3" t="s">
        <v>78</v>
      </c>
      <c r="C24" s="17">
        <f>C21*C22+C11*C23</f>
        <v>0.10980952380952382</v>
      </c>
    </row>
    <row r="25" spans="2:7" ht="14" x14ac:dyDescent="0.3">
      <c r="B25" s="3" t="s">
        <v>79</v>
      </c>
      <c r="C25" s="18" t="s">
        <v>80</v>
      </c>
      <c r="D25" s="6">
        <f>MATCH(C25,B67:B71,0)</f>
        <v>1</v>
      </c>
    </row>
    <row r="26" spans="2:7" ht="14" x14ac:dyDescent="0.3">
      <c r="B26" s="8" t="s">
        <v>81</v>
      </c>
      <c r="C26" s="9"/>
      <c r="D26" s="9"/>
      <c r="E26" s="9"/>
      <c r="F26" s="9"/>
      <c r="G26" s="9"/>
    </row>
    <row r="27" spans="2:7" ht="14" x14ac:dyDescent="0.3">
      <c r="C27" s="10" t="s">
        <v>82</v>
      </c>
      <c r="D27" s="10" t="s">
        <v>83</v>
      </c>
      <c r="E27" s="10" t="s">
        <v>84</v>
      </c>
      <c r="F27" s="10" t="s">
        <v>85</v>
      </c>
      <c r="G27" s="10" t="s">
        <v>86</v>
      </c>
    </row>
    <row r="28" spans="2:7" ht="14" x14ac:dyDescent="0.3">
      <c r="B28" s="3" t="s">
        <v>46</v>
      </c>
      <c r="C28" s="19">
        <f>CHOOSE($D$25,C67,C68,C69,C70,C71)</f>
        <v>0.1</v>
      </c>
      <c r="D28" s="19">
        <f>CHOOSE($D$25,D67,D68,D69,D70,D71)</f>
        <v>0.08</v>
      </c>
      <c r="E28" s="19">
        <f>CHOOSE($D$25,E67,E68,E69,E70,E71)</f>
        <v>0.06</v>
      </c>
      <c r="F28" s="19">
        <f>CHOOSE($D$25,F67,F68,F69,F70,F71)</f>
        <v>0.06</v>
      </c>
      <c r="G28" s="19">
        <f>CHOOSE($D$25,G67,G68,G69,G70,G71)</f>
        <v>0.04</v>
      </c>
    </row>
    <row r="29" spans="2:7" ht="14" x14ac:dyDescent="0.3">
      <c r="B29" s="3" t="s">
        <v>87</v>
      </c>
      <c r="C29" s="19">
        <f>CHOOSE($D$25,C74,C75,C76,C77,C78)</f>
        <v>0.7</v>
      </c>
      <c r="D29" s="19">
        <f>CHOOSE($D$25,D74,D75,D76,D77,D78)</f>
        <v>0.7</v>
      </c>
      <c r="E29" s="19">
        <f>CHOOSE($D$25,E74,E75,E76,E77,E78)</f>
        <v>0.7</v>
      </c>
      <c r="F29" s="19">
        <f>CHOOSE($D$25,F74,F75,F76,F77,F78)</f>
        <v>0.7</v>
      </c>
      <c r="G29" s="19">
        <f>CHOOSE($D$25,G74,G75,G76,G77,G78)</f>
        <v>0.7</v>
      </c>
    </row>
    <row r="30" spans="2:7" ht="14" x14ac:dyDescent="0.3">
      <c r="B30" s="3" t="s">
        <v>88</v>
      </c>
      <c r="C30" s="19">
        <f>CHOOSE($D$25,C81,C82,C83,C84,C85)</f>
        <v>0.14499999999999999</v>
      </c>
      <c r="D30" s="19">
        <f>CHOOSE($D$25,D81,D82,D83,D84,D85)</f>
        <v>0.14499999999999999</v>
      </c>
      <c r="E30" s="19">
        <f>CHOOSE($D$25,E81,E82,E83,E84,E85)</f>
        <v>0.14499999999999999</v>
      </c>
      <c r="F30" s="19">
        <f>CHOOSE($D$25,F81,F82,F83,F84,F85)</f>
        <v>0.14499999999999999</v>
      </c>
      <c r="G30" s="19">
        <f>CHOOSE($D$25,G81,G82,G83,G84,G85)</f>
        <v>0.14499999999999999</v>
      </c>
    </row>
    <row r="31" spans="2:7" ht="14" x14ac:dyDescent="0.3">
      <c r="B31" s="3" t="s">
        <v>37</v>
      </c>
      <c r="C31" s="5">
        <f>C17*(1+C28)</f>
        <v>26950.000000000004</v>
      </c>
      <c r="D31" s="5">
        <f>C31*(1+D28)</f>
        <v>29106.000000000007</v>
      </c>
      <c r="E31" s="5">
        <f>D31*(1+E28)</f>
        <v>30852.360000000008</v>
      </c>
      <c r="F31" s="5">
        <f>E31*(1+F28)</f>
        <v>32703.501600000011</v>
      </c>
      <c r="G31" s="5">
        <f>F31*(1+G28)</f>
        <v>34011.64166400001</v>
      </c>
    </row>
    <row r="32" spans="2:7" ht="14" x14ac:dyDescent="0.3">
      <c r="B32" s="3" t="s">
        <v>38</v>
      </c>
      <c r="C32" s="5">
        <f>C31*C29</f>
        <v>18865</v>
      </c>
      <c r="D32" s="5">
        <f>D31*D29</f>
        <v>20374.200000000004</v>
      </c>
      <c r="E32" s="5">
        <f>E31*E29</f>
        <v>21596.652000000006</v>
      </c>
      <c r="F32" s="5">
        <f>F31*F29</f>
        <v>22892.451120000005</v>
      </c>
      <c r="G32" s="5">
        <f>G31*G29</f>
        <v>23808.149164800005</v>
      </c>
    </row>
    <row r="33" spans="2:7" ht="14" x14ac:dyDescent="0.3">
      <c r="B33" s="3" t="s">
        <v>39</v>
      </c>
      <c r="C33" s="5">
        <f>C31-C32</f>
        <v>8085.0000000000036</v>
      </c>
      <c r="D33" s="5">
        <f>D31-D32</f>
        <v>8731.8000000000029</v>
      </c>
      <c r="E33" s="5">
        <f>E31-E32</f>
        <v>9255.7080000000024</v>
      </c>
      <c r="F33" s="5">
        <f>F31-F32</f>
        <v>9811.0504800000053</v>
      </c>
      <c r="G33" s="5">
        <f>G31-G32</f>
        <v>10203.492499200005</v>
      </c>
    </row>
    <row r="34" spans="2:7" ht="14" x14ac:dyDescent="0.3">
      <c r="B34" s="3" t="s">
        <v>40</v>
      </c>
      <c r="C34" s="7">
        <f>C33/C31</f>
        <v>0.3000000000000001</v>
      </c>
      <c r="D34" s="7">
        <f>D33/D31</f>
        <v>0.30000000000000004</v>
      </c>
      <c r="E34" s="7">
        <f>E33/E31</f>
        <v>0.3</v>
      </c>
      <c r="F34" s="7">
        <f>F33/F31</f>
        <v>0.30000000000000004</v>
      </c>
      <c r="G34" s="7">
        <f>G33/G31</f>
        <v>0.30000000000000004</v>
      </c>
    </row>
    <row r="35" spans="2:7" ht="14" x14ac:dyDescent="0.3">
      <c r="B35" s="3" t="s">
        <v>89</v>
      </c>
      <c r="C35" s="5">
        <f>C31*C30</f>
        <v>3907.7500000000005</v>
      </c>
      <c r="D35" s="5">
        <f>D31*D30</f>
        <v>4220.3700000000008</v>
      </c>
      <c r="E35" s="5">
        <f>E31*E30</f>
        <v>4473.592200000001</v>
      </c>
      <c r="F35" s="5">
        <f>F31*F30</f>
        <v>4742.0077320000009</v>
      </c>
      <c r="G35" s="5">
        <f>G31*G30</f>
        <v>4931.688041280001</v>
      </c>
    </row>
    <row r="36" spans="2:7" ht="14" x14ac:dyDescent="0.3">
      <c r="B36" s="3" t="s">
        <v>90</v>
      </c>
      <c r="C36" s="7">
        <f>(C33-C35)/C31</f>
        <v>0.15500000000000011</v>
      </c>
      <c r="D36" s="7">
        <f>(D33-D35)/D31</f>
        <v>0.15500000000000003</v>
      </c>
      <c r="E36" s="7">
        <f>(E33-E35)/E31</f>
        <v>0.155</v>
      </c>
      <c r="F36" s="7">
        <f>(F33-F35)/F31</f>
        <v>0.15500000000000008</v>
      </c>
      <c r="G36" s="7">
        <f>(G33-G35)/G31</f>
        <v>0.15500000000000008</v>
      </c>
    </row>
    <row r="37" spans="2:7" ht="14" x14ac:dyDescent="0.3">
      <c r="B37" s="3" t="s">
        <v>91</v>
      </c>
      <c r="C37" s="5">
        <f>C33-C35</f>
        <v>4177.2500000000036</v>
      </c>
      <c r="D37" s="5">
        <f>D33-D35</f>
        <v>4511.4300000000021</v>
      </c>
      <c r="E37" s="5">
        <f>E33-E35</f>
        <v>4782.1158000000014</v>
      </c>
      <c r="F37" s="5">
        <f>F33-F35</f>
        <v>5069.0427480000044</v>
      </c>
      <c r="G37" s="5">
        <f>G33-G35</f>
        <v>5271.8044579200041</v>
      </c>
    </row>
    <row r="38" spans="2:7" ht="14" x14ac:dyDescent="0.3">
      <c r="B38" s="3" t="s">
        <v>92</v>
      </c>
      <c r="C38" s="5">
        <f>MAX(0,C37*C6)</f>
        <v>1278.2385000000011</v>
      </c>
      <c r="D38" s="5">
        <f>MAX(0,D37*C6)</f>
        <v>1380.4975800000007</v>
      </c>
      <c r="E38" s="5">
        <f>MAX(0,E37*C6)</f>
        <v>1463.3274348000004</v>
      </c>
      <c r="F38" s="5">
        <f>MAX(0,F37*C6)</f>
        <v>1551.1270808880013</v>
      </c>
      <c r="G38" s="5">
        <f>MAX(0,G37*C6)</f>
        <v>1613.1721641235213</v>
      </c>
    </row>
    <row r="39" spans="2:7" ht="14" x14ac:dyDescent="0.3">
      <c r="B39" s="3" t="s">
        <v>93</v>
      </c>
      <c r="C39" s="5">
        <f>C37-C38</f>
        <v>2899.0115000000023</v>
      </c>
      <c r="D39" s="5">
        <f>D37-D38</f>
        <v>3130.9324200000015</v>
      </c>
      <c r="E39" s="5">
        <f>E37-E38</f>
        <v>3318.788365200001</v>
      </c>
      <c r="F39" s="5">
        <f>F37-F38</f>
        <v>3517.9156671120031</v>
      </c>
      <c r="G39" s="5">
        <f>G37-G38</f>
        <v>3658.6322937964828</v>
      </c>
    </row>
    <row r="40" spans="2:7" ht="14" x14ac:dyDescent="0.3">
      <c r="B40" s="3" t="s">
        <v>94</v>
      </c>
      <c r="C40" s="5">
        <f>C31*C18</f>
        <v>215.60000000000002</v>
      </c>
      <c r="D40" s="5">
        <f>D31*C18</f>
        <v>232.84800000000007</v>
      </c>
      <c r="E40" s="5">
        <f>E31*C18</f>
        <v>246.81888000000006</v>
      </c>
      <c r="F40" s="5">
        <f>F31*C18</f>
        <v>261.62801280000008</v>
      </c>
      <c r="G40" s="5">
        <f>G31*C18</f>
        <v>272.09313331200008</v>
      </c>
    </row>
    <row r="41" spans="2:7" ht="14" x14ac:dyDescent="0.3">
      <c r="B41" s="3" t="s">
        <v>95</v>
      </c>
      <c r="C41" s="5">
        <f>C31*C5</f>
        <v>215.60000000000002</v>
      </c>
      <c r="D41" s="5">
        <f>D31*C5</f>
        <v>232.84800000000007</v>
      </c>
      <c r="E41" s="5">
        <f>E31*C5</f>
        <v>246.81888000000006</v>
      </c>
      <c r="F41" s="5">
        <f>F31*C5</f>
        <v>261.62801280000008</v>
      </c>
      <c r="G41" s="5">
        <f>G31*C5</f>
        <v>272.09313331200008</v>
      </c>
    </row>
    <row r="42" spans="2:7" ht="14" x14ac:dyDescent="0.3">
      <c r="B42" s="3" t="s">
        <v>96</v>
      </c>
      <c r="C42" s="5">
        <f>'NWC Schedule'!D19</f>
        <v>791.23287671232902</v>
      </c>
      <c r="D42" s="5">
        <f>'NWC Schedule'!E19</f>
        <v>843.26180821917842</v>
      </c>
      <c r="E42" s="5">
        <f>'NWC Schedule'!F19</f>
        <v>283.32498082191796</v>
      </c>
      <c r="F42" s="5">
        <f>'NWC Schedule'!G19</f>
        <v>307.93191090411256</v>
      </c>
      <c r="G42" s="5">
        <f>'NWC Schedule'!H19</f>
        <v>337.07006306630137</v>
      </c>
    </row>
    <row r="43" spans="2:7" ht="14" x14ac:dyDescent="0.3">
      <c r="B43" s="3" t="s">
        <v>97</v>
      </c>
      <c r="C43" s="5">
        <f>C39+C40-C41-C42</f>
        <v>2107.7786232876733</v>
      </c>
      <c r="D43" s="5">
        <f>D39+D40-D41-D42</f>
        <v>2287.670611780823</v>
      </c>
      <c r="E43" s="5">
        <f>E39+E40-E41-E42</f>
        <v>3035.463384378083</v>
      </c>
      <c r="F43" s="5">
        <f>F39+F40-F41-F42</f>
        <v>3209.983756207891</v>
      </c>
      <c r="G43" s="5">
        <f>G39+G40-G41-G42</f>
        <v>3321.5622307301815</v>
      </c>
    </row>
    <row r="44" spans="2:7" ht="14" x14ac:dyDescent="0.3">
      <c r="B44" s="3" t="s">
        <v>98</v>
      </c>
      <c r="C44" s="20">
        <f>1/(1+C24)^1</f>
        <v>0.90105552218312879</v>
      </c>
      <c r="D44" s="20">
        <f>1/(1+C24)^2</f>
        <v>0.81190105405671087</v>
      </c>
      <c r="E44" s="20">
        <f>1/(1+C24)^3</f>
        <v>0.73156792822410233</v>
      </c>
      <c r="F44" s="20">
        <f>1/(1+C24)^4</f>
        <v>0.6591833215783981</v>
      </c>
      <c r="G44" s="20">
        <f>1/(1+C24)^5</f>
        <v>0.59396077203923292</v>
      </c>
    </row>
    <row r="45" spans="2:7" ht="14" x14ac:dyDescent="0.3">
      <c r="B45" s="3" t="s">
        <v>99</v>
      </c>
      <c r="C45" s="5">
        <f>C43*C44</f>
        <v>1899.2255680529108</v>
      </c>
      <c r="D45" s="5">
        <f>D43*D44</f>
        <v>1857.3621810394109</v>
      </c>
      <c r="E45" s="5">
        <f>E43*E44</f>
        <v>2220.6476593095963</v>
      </c>
      <c r="F45" s="5">
        <f>F43*F44</f>
        <v>2115.9677546298203</v>
      </c>
      <c r="G45" s="5">
        <f>G43*G44</f>
        <v>1972.8776669408553</v>
      </c>
    </row>
    <row r="47" spans="2:7" ht="14" x14ac:dyDescent="0.3">
      <c r="B47" s="21" t="s">
        <v>100</v>
      </c>
      <c r="C47" s="22"/>
      <c r="D47" s="22"/>
      <c r="E47" s="22"/>
      <c r="F47" s="22"/>
      <c r="G47" s="22"/>
    </row>
    <row r="48" spans="2:7" ht="14" x14ac:dyDescent="0.3">
      <c r="B48" s="3" t="s">
        <v>101</v>
      </c>
      <c r="C48" s="5">
        <f>SUM(C45:G45)</f>
        <v>10066.080829972594</v>
      </c>
    </row>
    <row r="49" spans="2:7" ht="14" x14ac:dyDescent="0.3">
      <c r="B49" s="3" t="s">
        <v>102</v>
      </c>
      <c r="C49" s="5">
        <f>G43*(1+C13)/(C24-C13)</f>
        <v>33611.801008486233</v>
      </c>
    </row>
    <row r="50" spans="2:7" ht="14" x14ac:dyDescent="0.3">
      <c r="B50" s="3" t="s">
        <v>103</v>
      </c>
      <c r="C50" s="5">
        <f>C49*G44</f>
        <v>19964.091276629551</v>
      </c>
    </row>
    <row r="51" spans="2:7" ht="14" x14ac:dyDescent="0.3">
      <c r="B51" s="3" t="s">
        <v>104</v>
      </c>
      <c r="C51" s="5">
        <f>C48+C50</f>
        <v>30030.172106602146</v>
      </c>
    </row>
    <row r="52" spans="2:7" ht="14" x14ac:dyDescent="0.3">
      <c r="B52" s="3" t="s">
        <v>105</v>
      </c>
      <c r="C52" s="5">
        <f>C51-C16</f>
        <v>40287.172106602142</v>
      </c>
    </row>
    <row r="53" spans="2:7" ht="14" x14ac:dyDescent="0.3">
      <c r="B53" s="3" t="s">
        <v>106</v>
      </c>
      <c r="C53" s="23">
        <f>ROUND(C52*1000000/C15,0)</f>
        <v>2804</v>
      </c>
    </row>
    <row r="55" spans="2:7" ht="14" x14ac:dyDescent="0.3">
      <c r="B55" s="21" t="s">
        <v>107</v>
      </c>
      <c r="C55" s="22"/>
      <c r="D55" s="22"/>
      <c r="E55" s="22"/>
      <c r="F55" s="22"/>
      <c r="G55" s="22"/>
    </row>
    <row r="56" spans="2:7" ht="14" x14ac:dyDescent="0.3">
      <c r="B56" s="3" t="s">
        <v>101</v>
      </c>
      <c r="C56" s="5">
        <f>C48</f>
        <v>10066.080829972594</v>
      </c>
    </row>
    <row r="57" spans="2:7" ht="14" x14ac:dyDescent="0.3">
      <c r="B57" s="3" t="s">
        <v>108</v>
      </c>
      <c r="C57" s="5">
        <f>G37+G40</f>
        <v>5543.8975912320038</v>
      </c>
    </row>
    <row r="58" spans="2:7" ht="14" x14ac:dyDescent="0.3">
      <c r="B58" s="3" t="s">
        <v>109</v>
      </c>
      <c r="C58" s="5">
        <f>C57*C14</f>
        <v>51558.247598457638</v>
      </c>
    </row>
    <row r="59" spans="2:7" ht="14" x14ac:dyDescent="0.3">
      <c r="B59" s="3" t="s">
        <v>103</v>
      </c>
      <c r="C59" s="5">
        <f>C58*G44</f>
        <v>30623.576548569825</v>
      </c>
    </row>
    <row r="60" spans="2:7" ht="14" x14ac:dyDescent="0.3">
      <c r="B60" s="3" t="s">
        <v>104</v>
      </c>
      <c r="C60" s="5">
        <f>C56+C59</f>
        <v>40689.657378542419</v>
      </c>
    </row>
    <row r="61" spans="2:7" ht="14" x14ac:dyDescent="0.3">
      <c r="B61" s="3" t="s">
        <v>105</v>
      </c>
      <c r="C61" s="5">
        <f>C60-C16</f>
        <v>50946.657378542419</v>
      </c>
    </row>
    <row r="62" spans="2:7" ht="14" x14ac:dyDescent="0.3">
      <c r="B62" s="3" t="s">
        <v>110</v>
      </c>
      <c r="C62" s="23">
        <f>ROUND(C61*1000000/C15,0)</f>
        <v>3546</v>
      </c>
    </row>
    <row r="64" spans="2:7" ht="14" x14ac:dyDescent="0.3">
      <c r="B64" s="21" t="s">
        <v>111</v>
      </c>
      <c r="C64" s="22"/>
      <c r="D64" s="22"/>
      <c r="E64" s="22"/>
      <c r="F64" s="22"/>
      <c r="G64" s="22"/>
    </row>
    <row r="65" spans="2:7" ht="14" x14ac:dyDescent="0.3">
      <c r="C65" s="24" t="s">
        <v>82</v>
      </c>
      <c r="D65" s="24" t="s">
        <v>83</v>
      </c>
      <c r="E65" s="24" t="s">
        <v>84</v>
      </c>
      <c r="F65" s="24" t="s">
        <v>85</v>
      </c>
      <c r="G65" s="24" t="s">
        <v>86</v>
      </c>
    </row>
    <row r="66" spans="2:7" ht="14" x14ac:dyDescent="0.3">
      <c r="B66" s="2" t="s">
        <v>46</v>
      </c>
    </row>
    <row r="67" spans="2:7" ht="14" x14ac:dyDescent="0.3">
      <c r="B67" s="3" t="s">
        <v>80</v>
      </c>
      <c r="C67" s="25">
        <v>0.1</v>
      </c>
      <c r="D67" s="25">
        <v>0.08</v>
      </c>
      <c r="E67" s="25">
        <v>0.06</v>
      </c>
      <c r="F67" s="25">
        <v>0.06</v>
      </c>
      <c r="G67" s="25">
        <v>0.04</v>
      </c>
    </row>
    <row r="68" spans="2:7" ht="14" x14ac:dyDescent="0.3">
      <c r="B68" s="3" t="s">
        <v>112</v>
      </c>
      <c r="C68" s="25">
        <v>0.1</v>
      </c>
      <c r="D68" s="25">
        <v>0.12</v>
      </c>
      <c r="E68" s="25">
        <v>0.15</v>
      </c>
      <c r="F68" s="25">
        <v>0.15</v>
      </c>
      <c r="G68" s="25">
        <v>0.12</v>
      </c>
    </row>
    <row r="69" spans="2:7" ht="14" x14ac:dyDescent="0.3">
      <c r="B69" s="3" t="s">
        <v>113</v>
      </c>
      <c r="C69" s="25">
        <v>0.1</v>
      </c>
      <c r="D69" s="25">
        <v>0.1</v>
      </c>
      <c r="E69" s="25">
        <v>0.08</v>
      </c>
      <c r="F69" s="25">
        <v>0.06</v>
      </c>
      <c r="G69" s="25">
        <v>0.04</v>
      </c>
    </row>
    <row r="70" spans="2:7" ht="14" x14ac:dyDescent="0.3">
      <c r="B70" s="3" t="s">
        <v>114</v>
      </c>
      <c r="C70" s="25">
        <v>0.1</v>
      </c>
      <c r="D70" s="25">
        <v>0.05</v>
      </c>
      <c r="E70" s="25">
        <v>0.02</v>
      </c>
      <c r="F70" s="25">
        <v>0</v>
      </c>
      <c r="G70" s="25">
        <v>0</v>
      </c>
    </row>
    <row r="71" spans="2:7" ht="14" x14ac:dyDescent="0.3">
      <c r="B71" s="3" t="s">
        <v>115</v>
      </c>
      <c r="C71" s="25">
        <v>0.1</v>
      </c>
      <c r="D71" s="25">
        <v>0.02</v>
      </c>
      <c r="E71" s="25">
        <v>0</v>
      </c>
      <c r="F71" s="25">
        <v>-0.01</v>
      </c>
      <c r="G71" s="25">
        <v>-0.02</v>
      </c>
    </row>
    <row r="73" spans="2:7" ht="14" x14ac:dyDescent="0.3">
      <c r="B73" s="2" t="s">
        <v>87</v>
      </c>
    </row>
    <row r="74" spans="2:7" ht="14" x14ac:dyDescent="0.3">
      <c r="B74" s="3" t="s">
        <v>80</v>
      </c>
      <c r="C74" s="25">
        <v>0.7</v>
      </c>
      <c r="D74" s="25">
        <v>0.7</v>
      </c>
      <c r="E74" s="25">
        <v>0.7</v>
      </c>
      <c r="F74" s="25">
        <v>0.7</v>
      </c>
      <c r="G74" s="25">
        <v>0.7</v>
      </c>
    </row>
    <row r="75" spans="2:7" ht="14" x14ac:dyDescent="0.3">
      <c r="B75" s="3" t="s">
        <v>112</v>
      </c>
      <c r="C75" s="25">
        <v>0.7</v>
      </c>
      <c r="D75" s="25">
        <v>0.69499999999999995</v>
      </c>
      <c r="E75" s="25">
        <v>0.69499999999999995</v>
      </c>
      <c r="F75" s="25">
        <v>0.69</v>
      </c>
      <c r="G75" s="25">
        <v>0.68500000000000005</v>
      </c>
    </row>
    <row r="76" spans="2:7" ht="14" x14ac:dyDescent="0.3">
      <c r="B76" s="3" t="s">
        <v>113</v>
      </c>
      <c r="C76" s="25">
        <v>0.7</v>
      </c>
      <c r="D76" s="25">
        <v>0.7</v>
      </c>
      <c r="E76" s="25">
        <v>0.7</v>
      </c>
      <c r="F76" s="25">
        <v>0.7</v>
      </c>
      <c r="G76" s="25">
        <v>0.7</v>
      </c>
    </row>
    <row r="77" spans="2:7" ht="14" x14ac:dyDescent="0.3">
      <c r="B77" s="3" t="s">
        <v>114</v>
      </c>
      <c r="C77" s="25">
        <v>0.7</v>
      </c>
      <c r="D77" s="25">
        <v>0.71</v>
      </c>
      <c r="E77" s="25">
        <v>0.71</v>
      </c>
      <c r="F77" s="25">
        <v>0.72</v>
      </c>
      <c r="G77" s="25">
        <v>0.72</v>
      </c>
    </row>
    <row r="78" spans="2:7" ht="14" x14ac:dyDescent="0.3">
      <c r="B78" s="3" t="s">
        <v>115</v>
      </c>
      <c r="C78" s="25">
        <v>0.7</v>
      </c>
      <c r="D78" s="25">
        <v>0.72</v>
      </c>
      <c r="E78" s="25">
        <v>0.73</v>
      </c>
      <c r="F78" s="25">
        <v>0.74</v>
      </c>
      <c r="G78" s="25">
        <v>0.74</v>
      </c>
    </row>
    <row r="80" spans="2:7" ht="14" x14ac:dyDescent="0.3">
      <c r="B80" s="2" t="s">
        <v>88</v>
      </c>
    </row>
    <row r="81" spans="2:7" ht="14" x14ac:dyDescent="0.3">
      <c r="B81" s="3" t="s">
        <v>80</v>
      </c>
      <c r="C81" s="25">
        <v>0.14499999999999999</v>
      </c>
      <c r="D81" s="25">
        <v>0.14499999999999999</v>
      </c>
      <c r="E81" s="25">
        <v>0.14499999999999999</v>
      </c>
      <c r="F81" s="25">
        <v>0.14499999999999999</v>
      </c>
      <c r="G81" s="25">
        <v>0.14499999999999999</v>
      </c>
    </row>
    <row r="82" spans="2:7" ht="14" x14ac:dyDescent="0.3">
      <c r="B82" s="3" t="s">
        <v>112</v>
      </c>
      <c r="C82" s="25">
        <v>0.14499999999999999</v>
      </c>
      <c r="D82" s="25">
        <v>0.14000000000000001</v>
      </c>
      <c r="E82" s="25">
        <v>0.14000000000000001</v>
      </c>
      <c r="F82" s="25">
        <v>0.13500000000000001</v>
      </c>
      <c r="G82" s="25">
        <v>0.13500000000000001</v>
      </c>
    </row>
    <row r="83" spans="2:7" ht="14" x14ac:dyDescent="0.3">
      <c r="B83" s="3" t="s">
        <v>113</v>
      </c>
      <c r="C83" s="25">
        <v>0.14499999999999999</v>
      </c>
      <c r="D83" s="25">
        <v>0.14499999999999999</v>
      </c>
      <c r="E83" s="25">
        <v>0.14499999999999999</v>
      </c>
      <c r="F83" s="25">
        <v>0.14499999999999999</v>
      </c>
      <c r="G83" s="25">
        <v>0.14499999999999999</v>
      </c>
    </row>
    <row r="84" spans="2:7" ht="14" x14ac:dyDescent="0.3">
      <c r="B84" s="3" t="s">
        <v>114</v>
      </c>
      <c r="C84" s="25">
        <v>0.14499999999999999</v>
      </c>
      <c r="D84" s="25">
        <v>0.15</v>
      </c>
      <c r="E84" s="25">
        <v>0.15</v>
      </c>
      <c r="F84" s="25">
        <v>0.155</v>
      </c>
      <c r="G84" s="25">
        <v>0.155</v>
      </c>
    </row>
    <row r="85" spans="2:7" ht="14" x14ac:dyDescent="0.3">
      <c r="B85" s="3" t="s">
        <v>115</v>
      </c>
      <c r="C85" s="25">
        <v>0.14499999999999999</v>
      </c>
      <c r="D85" s="25">
        <v>0.155</v>
      </c>
      <c r="E85" s="25">
        <v>0.16</v>
      </c>
      <c r="F85" s="25">
        <v>0.16500000000000001</v>
      </c>
      <c r="G85" s="25">
        <v>0.17</v>
      </c>
    </row>
  </sheetData>
  <phoneticPr fontId="9"/>
  <dataValidations count="1">
    <dataValidation type="list" sqref="C25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6600"/>
  </sheetPr>
  <dimension ref="B2:H43"/>
  <sheetViews>
    <sheetView workbookViewId="0">
      <selection activeCell="I38" sqref="I38"/>
    </sheetView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1" t="s">
        <v>116</v>
      </c>
    </row>
    <row r="4" spans="2:8" ht="14" x14ac:dyDescent="0.3">
      <c r="B4" s="8" t="s">
        <v>117</v>
      </c>
      <c r="C4" s="26" t="s">
        <v>118</v>
      </c>
      <c r="D4" s="26" t="s">
        <v>82</v>
      </c>
      <c r="E4" s="26" t="s">
        <v>83</v>
      </c>
      <c r="F4" s="26" t="s">
        <v>84</v>
      </c>
      <c r="G4" s="26" t="s">
        <v>85</v>
      </c>
      <c r="H4" s="26" t="s">
        <v>86</v>
      </c>
    </row>
    <row r="5" spans="2:8" ht="14" x14ac:dyDescent="0.3">
      <c r="B5" s="3" t="s">
        <v>119</v>
      </c>
      <c r="C5" s="27">
        <f>C12/C9*365</f>
        <v>114.99734693877551</v>
      </c>
      <c r="D5" s="28">
        <f>CHOOSE('DCF Model'!$D$25,D25,D26,D27,D28,D29)</f>
        <v>115</v>
      </c>
      <c r="E5" s="28">
        <f>CHOOSE('DCF Model'!$D$25,E25,E26,E27,E28,E29)</f>
        <v>118</v>
      </c>
      <c r="F5" s="28">
        <f>CHOOSE('DCF Model'!$D$25,F25,F26,F27,F28,F29)</f>
        <v>116</v>
      </c>
      <c r="G5" s="28">
        <f>CHOOSE('DCF Model'!$D$25,G25,G26,G27,G28,G29)</f>
        <v>114</v>
      </c>
      <c r="H5" s="28">
        <f>CHOOSE('DCF Model'!$D$25,H25,H26,H27,H28,H29)</f>
        <v>114</v>
      </c>
    </row>
    <row r="6" spans="2:8" ht="14" x14ac:dyDescent="0.3">
      <c r="B6" s="3" t="s">
        <v>120</v>
      </c>
      <c r="C6" s="27">
        <f>C13/C10*365</f>
        <v>5.9973835688121397</v>
      </c>
      <c r="D6" s="28">
        <f>CHOOSE('DCF Model'!$D$25,D32,D33,D34,D35,D36)</f>
        <v>6</v>
      </c>
      <c r="E6" s="28">
        <f>CHOOSE('DCF Model'!$D$25,E32,E33,E34,E35,E36)</f>
        <v>5.8</v>
      </c>
      <c r="F6" s="28">
        <f>CHOOSE('DCF Model'!$D$25,F32,F33,F34,F35,F36)</f>
        <v>5.5</v>
      </c>
      <c r="G6" s="28">
        <f>CHOOSE('DCF Model'!$D$25,G32,G33,G34,G35,G36)</f>
        <v>5.5</v>
      </c>
      <c r="H6" s="28">
        <f>CHOOSE('DCF Model'!$D$25,H32,H33,H34,H35,H36)</f>
        <v>5.5</v>
      </c>
    </row>
    <row r="7" spans="2:8" ht="14" x14ac:dyDescent="0.3">
      <c r="B7" s="3" t="s">
        <v>121</v>
      </c>
      <c r="C7" s="27">
        <f>C15/C10*365</f>
        <v>34.991104133961279</v>
      </c>
      <c r="D7" s="28">
        <f>CHOOSE('DCF Model'!$D$25,D39,D40,D41,D42,D43)</f>
        <v>35</v>
      </c>
      <c r="E7" s="28">
        <f>CHOOSE('DCF Model'!$D$25,E39,E40,E41,E42,E43)</f>
        <v>34</v>
      </c>
      <c r="F7" s="28">
        <f>CHOOSE('DCF Model'!$D$25,F39,F40,F41,F42,F43)</f>
        <v>34</v>
      </c>
      <c r="G7" s="28">
        <f>CHOOSE('DCF Model'!$D$25,G39,G40,G41,G42,G43)</f>
        <v>34</v>
      </c>
      <c r="H7" s="28">
        <f>CHOOSE('DCF Model'!$D$25,H39,H40,H41,H42,H43)</f>
        <v>34</v>
      </c>
    </row>
    <row r="8" spans="2:8" ht="14" x14ac:dyDescent="0.3">
      <c r="B8" s="8" t="s">
        <v>122</v>
      </c>
      <c r="C8" s="9"/>
      <c r="D8" s="9"/>
      <c r="E8" s="9"/>
      <c r="F8" s="9"/>
      <c r="G8" s="9"/>
      <c r="H8" s="9"/>
    </row>
    <row r="9" spans="2:8" ht="14" x14ac:dyDescent="0.3">
      <c r="B9" s="3" t="s">
        <v>37</v>
      </c>
      <c r="C9" s="4">
        <v>24500</v>
      </c>
      <c r="D9" s="5">
        <f>'DCF Model'!C31</f>
        <v>26950.000000000004</v>
      </c>
      <c r="E9" s="5">
        <f>'DCF Model'!D31</f>
        <v>29106.000000000007</v>
      </c>
      <c r="F9" s="5">
        <f>'DCF Model'!E31</f>
        <v>30852.360000000008</v>
      </c>
      <c r="G9" s="5">
        <f>'DCF Model'!F31</f>
        <v>32703.501600000011</v>
      </c>
      <c r="H9" s="5">
        <f>'DCF Model'!G31</f>
        <v>34011.64166400001</v>
      </c>
    </row>
    <row r="10" spans="2:8" ht="14" x14ac:dyDescent="0.3">
      <c r="B10" s="3" t="s">
        <v>38</v>
      </c>
      <c r="C10" s="4">
        <v>19110</v>
      </c>
      <c r="D10" s="5">
        <f>'DCF Model'!C32</f>
        <v>18865</v>
      </c>
      <c r="E10" s="5">
        <f>'DCF Model'!D32</f>
        <v>20374.200000000004</v>
      </c>
      <c r="F10" s="5">
        <f>'DCF Model'!E32</f>
        <v>21596.652000000006</v>
      </c>
      <c r="G10" s="5">
        <f>'DCF Model'!F32</f>
        <v>22892.451120000005</v>
      </c>
      <c r="H10" s="5">
        <f>'DCF Model'!G32</f>
        <v>23808.149164800005</v>
      </c>
    </row>
    <row r="11" spans="2:8" ht="14" x14ac:dyDescent="0.3">
      <c r="B11" s="8" t="s">
        <v>123</v>
      </c>
      <c r="C11" s="9"/>
      <c r="D11" s="9"/>
      <c r="E11" s="9"/>
      <c r="F11" s="9"/>
      <c r="G11" s="9"/>
      <c r="H11" s="9"/>
    </row>
    <row r="12" spans="2:8" ht="14" x14ac:dyDescent="0.3">
      <c r="B12" s="3" t="s">
        <v>124</v>
      </c>
      <c r="C12" s="4">
        <v>7719</v>
      </c>
      <c r="D12" s="5">
        <f t="shared" ref="D12:H13" si="0">D9*D5/365</f>
        <v>8491.0958904109593</v>
      </c>
      <c r="E12" s="5">
        <f t="shared" si="0"/>
        <v>9409.6109589041116</v>
      </c>
      <c r="F12" s="5">
        <f t="shared" si="0"/>
        <v>9805.1335890410974</v>
      </c>
      <c r="G12" s="5">
        <f t="shared" si="0"/>
        <v>10214.24433534247</v>
      </c>
      <c r="H12" s="5">
        <f t="shared" si="0"/>
        <v>10622.814108756167</v>
      </c>
    </row>
    <row r="13" spans="2:8" ht="14" x14ac:dyDescent="0.3">
      <c r="B13" s="3" t="s">
        <v>125</v>
      </c>
      <c r="C13" s="4">
        <v>314</v>
      </c>
      <c r="D13" s="5">
        <f t="shared" si="0"/>
        <v>310.10958904109589</v>
      </c>
      <c r="E13" s="5">
        <f t="shared" si="0"/>
        <v>323.75441095890415</v>
      </c>
      <c r="F13" s="5">
        <f t="shared" si="0"/>
        <v>325.42900273972612</v>
      </c>
      <c r="G13" s="5">
        <f t="shared" si="0"/>
        <v>344.95474290410965</v>
      </c>
      <c r="H13" s="5">
        <f t="shared" si="0"/>
        <v>358.75293262027407</v>
      </c>
    </row>
    <row r="14" spans="2:8" ht="14" x14ac:dyDescent="0.3">
      <c r="B14" s="3" t="s">
        <v>126</v>
      </c>
      <c r="C14" s="5">
        <f t="shared" ref="C14:H14" si="1">C12+C13</f>
        <v>8033</v>
      </c>
      <c r="D14" s="5">
        <f t="shared" si="1"/>
        <v>8801.2054794520554</v>
      </c>
      <c r="E14" s="5">
        <f t="shared" si="1"/>
        <v>9733.3653698630151</v>
      </c>
      <c r="F14" s="5">
        <f t="shared" si="1"/>
        <v>10130.562591780823</v>
      </c>
      <c r="G14" s="5">
        <f t="shared" si="1"/>
        <v>10559.19907824658</v>
      </c>
      <c r="H14" s="5">
        <f t="shared" si="1"/>
        <v>10981.567041376442</v>
      </c>
    </row>
    <row r="15" spans="2:8" ht="14" x14ac:dyDescent="0.3">
      <c r="B15" s="3" t="s">
        <v>127</v>
      </c>
      <c r="C15" s="4">
        <v>1832</v>
      </c>
      <c r="D15" s="5">
        <f>D10*D7/365</f>
        <v>1808.972602739726</v>
      </c>
      <c r="E15" s="5">
        <f>E10*E7/365</f>
        <v>1897.8706849315072</v>
      </c>
      <c r="F15" s="5">
        <f>F10*F7/365</f>
        <v>2011.7429260273977</v>
      </c>
      <c r="G15" s="5">
        <f>G10*G7/365</f>
        <v>2132.4475015890416</v>
      </c>
      <c r="H15" s="5">
        <f>H10*H7/365</f>
        <v>2217.7454016526031</v>
      </c>
    </row>
    <row r="16" spans="2:8" ht="14" x14ac:dyDescent="0.3">
      <c r="B16" s="3" t="s">
        <v>128</v>
      </c>
      <c r="C16" s="5">
        <f t="shared" ref="C16:H16" si="2">C15</f>
        <v>1832</v>
      </c>
      <c r="D16" s="5">
        <f t="shared" si="2"/>
        <v>1808.972602739726</v>
      </c>
      <c r="E16" s="5">
        <f t="shared" si="2"/>
        <v>1897.8706849315072</v>
      </c>
      <c r="F16" s="5">
        <f t="shared" si="2"/>
        <v>2011.7429260273977</v>
      </c>
      <c r="G16" s="5">
        <f t="shared" si="2"/>
        <v>2132.4475015890416</v>
      </c>
      <c r="H16" s="5">
        <f t="shared" si="2"/>
        <v>2217.7454016526031</v>
      </c>
    </row>
    <row r="17" spans="2:8" ht="14" x14ac:dyDescent="0.3">
      <c r="B17" s="21" t="s">
        <v>129</v>
      </c>
      <c r="C17" s="22"/>
      <c r="D17" s="22"/>
      <c r="E17" s="22"/>
      <c r="F17" s="22"/>
      <c r="G17" s="22"/>
      <c r="H17" s="22"/>
    </row>
    <row r="18" spans="2:8" ht="14" x14ac:dyDescent="0.3">
      <c r="B18" s="3" t="s">
        <v>130</v>
      </c>
      <c r="C18" s="29">
        <f t="shared" ref="C18:H18" si="3">C14-C16</f>
        <v>6201</v>
      </c>
      <c r="D18" s="29">
        <f t="shared" si="3"/>
        <v>6992.232876712329</v>
      </c>
      <c r="E18" s="29">
        <f t="shared" si="3"/>
        <v>7835.4946849315074</v>
      </c>
      <c r="F18" s="29">
        <f t="shared" si="3"/>
        <v>8118.8196657534254</v>
      </c>
      <c r="G18" s="29">
        <f t="shared" si="3"/>
        <v>8426.751576657538</v>
      </c>
      <c r="H18" s="29">
        <f t="shared" si="3"/>
        <v>8763.8216397238393</v>
      </c>
    </row>
    <row r="19" spans="2:8" ht="14" x14ac:dyDescent="0.3">
      <c r="B19" s="3" t="s">
        <v>96</v>
      </c>
      <c r="C19" s="6" t="s">
        <v>47</v>
      </c>
      <c r="D19" s="23">
        <f>D18-C18</f>
        <v>791.23287671232902</v>
      </c>
      <c r="E19" s="23">
        <f>E18-D18</f>
        <v>843.26180821917842</v>
      </c>
      <c r="F19" s="23">
        <f>F18-E18</f>
        <v>283.32498082191796</v>
      </c>
      <c r="G19" s="23">
        <f>G18-F18</f>
        <v>307.93191090411256</v>
      </c>
      <c r="H19" s="23">
        <f>H18-G18</f>
        <v>337.07006306630137</v>
      </c>
    </row>
    <row r="22" spans="2:8" ht="14" x14ac:dyDescent="0.3">
      <c r="B22" s="21" t="s">
        <v>131</v>
      </c>
      <c r="C22" s="22"/>
      <c r="D22" s="22"/>
      <c r="E22" s="22"/>
      <c r="F22" s="22"/>
      <c r="G22" s="22"/>
      <c r="H22" s="22"/>
    </row>
    <row r="23" spans="2:8" ht="14" x14ac:dyDescent="0.3">
      <c r="D23" s="24" t="s">
        <v>82</v>
      </c>
      <c r="E23" s="24" t="s">
        <v>83</v>
      </c>
      <c r="F23" s="24" t="s">
        <v>84</v>
      </c>
      <c r="G23" s="24" t="s">
        <v>85</v>
      </c>
      <c r="H23" s="24" t="s">
        <v>86</v>
      </c>
    </row>
    <row r="24" spans="2:8" ht="14" x14ac:dyDescent="0.3">
      <c r="B24" s="2" t="s">
        <v>132</v>
      </c>
    </row>
    <row r="25" spans="2:8" ht="14" x14ac:dyDescent="0.3">
      <c r="B25" s="3" t="s">
        <v>80</v>
      </c>
      <c r="D25" s="30">
        <v>115</v>
      </c>
      <c r="E25" s="30">
        <v>118</v>
      </c>
      <c r="F25" s="30">
        <v>116</v>
      </c>
      <c r="G25" s="30">
        <v>114</v>
      </c>
      <c r="H25" s="30">
        <v>114</v>
      </c>
    </row>
    <row r="26" spans="2:8" ht="14" x14ac:dyDescent="0.3">
      <c r="B26" s="3" t="s">
        <v>112</v>
      </c>
      <c r="D26" s="30">
        <v>105</v>
      </c>
      <c r="E26" s="30">
        <v>105</v>
      </c>
      <c r="F26" s="30">
        <v>105</v>
      </c>
      <c r="G26" s="30">
        <v>105</v>
      </c>
      <c r="H26" s="30">
        <v>105</v>
      </c>
    </row>
    <row r="27" spans="2:8" ht="14" x14ac:dyDescent="0.3">
      <c r="B27" s="3" t="s">
        <v>113</v>
      </c>
      <c r="D27" s="30">
        <v>115</v>
      </c>
      <c r="E27" s="30">
        <v>115</v>
      </c>
      <c r="F27" s="30">
        <v>115</v>
      </c>
      <c r="G27" s="30">
        <v>115</v>
      </c>
      <c r="H27" s="30">
        <v>115</v>
      </c>
    </row>
    <row r="28" spans="2:8" ht="14" x14ac:dyDescent="0.3">
      <c r="B28" s="3" t="s">
        <v>114</v>
      </c>
      <c r="D28" s="30">
        <v>120</v>
      </c>
      <c r="E28" s="30">
        <v>120</v>
      </c>
      <c r="F28" s="30">
        <v>120</v>
      </c>
      <c r="G28" s="30">
        <v>120</v>
      </c>
      <c r="H28" s="30">
        <v>120</v>
      </c>
    </row>
    <row r="29" spans="2:8" ht="14" x14ac:dyDescent="0.3">
      <c r="B29" s="3" t="s">
        <v>115</v>
      </c>
      <c r="D29" s="30">
        <v>125</v>
      </c>
      <c r="E29" s="30">
        <v>125</v>
      </c>
      <c r="F29" s="30">
        <v>125</v>
      </c>
      <c r="G29" s="30">
        <v>125</v>
      </c>
      <c r="H29" s="30">
        <v>125</v>
      </c>
    </row>
    <row r="31" spans="2:8" ht="14" x14ac:dyDescent="0.3">
      <c r="B31" s="2" t="s">
        <v>133</v>
      </c>
    </row>
    <row r="32" spans="2:8" ht="14" x14ac:dyDescent="0.3">
      <c r="B32" s="3" t="s">
        <v>80</v>
      </c>
      <c r="D32" s="30">
        <v>6</v>
      </c>
      <c r="E32" s="30">
        <v>5.8</v>
      </c>
      <c r="F32" s="30">
        <v>5.5</v>
      </c>
      <c r="G32" s="30">
        <v>5.5</v>
      </c>
      <c r="H32" s="30">
        <v>5.5</v>
      </c>
    </row>
    <row r="33" spans="2:8" ht="14" x14ac:dyDescent="0.3">
      <c r="B33" s="3" t="s">
        <v>112</v>
      </c>
      <c r="D33" s="30">
        <v>5</v>
      </c>
      <c r="E33" s="30">
        <v>5</v>
      </c>
      <c r="F33" s="30">
        <v>5</v>
      </c>
      <c r="G33" s="30">
        <v>5</v>
      </c>
      <c r="H33" s="30">
        <v>5</v>
      </c>
    </row>
    <row r="34" spans="2:8" ht="14" x14ac:dyDescent="0.3">
      <c r="B34" s="3" t="s">
        <v>113</v>
      </c>
      <c r="D34" s="30">
        <v>6</v>
      </c>
      <c r="E34" s="30">
        <v>6</v>
      </c>
      <c r="F34" s="30">
        <v>6</v>
      </c>
      <c r="G34" s="30">
        <v>6</v>
      </c>
      <c r="H34" s="30">
        <v>6</v>
      </c>
    </row>
    <row r="35" spans="2:8" ht="14" x14ac:dyDescent="0.3">
      <c r="B35" s="3" t="s">
        <v>114</v>
      </c>
      <c r="D35" s="30">
        <v>7</v>
      </c>
      <c r="E35" s="30">
        <v>7</v>
      </c>
      <c r="F35" s="30">
        <v>7</v>
      </c>
      <c r="G35" s="30">
        <v>7</v>
      </c>
      <c r="H35" s="30">
        <v>7</v>
      </c>
    </row>
    <row r="36" spans="2:8" ht="14" x14ac:dyDescent="0.3">
      <c r="B36" s="3" t="s">
        <v>115</v>
      </c>
      <c r="D36" s="30">
        <v>8</v>
      </c>
      <c r="E36" s="30">
        <v>8</v>
      </c>
      <c r="F36" s="30">
        <v>8</v>
      </c>
      <c r="G36" s="30">
        <v>8</v>
      </c>
      <c r="H36" s="30">
        <v>8</v>
      </c>
    </row>
    <row r="38" spans="2:8" ht="14" x14ac:dyDescent="0.3">
      <c r="B38" s="2" t="s">
        <v>134</v>
      </c>
    </row>
    <row r="39" spans="2:8" ht="14" x14ac:dyDescent="0.3">
      <c r="B39" s="3" t="s">
        <v>80</v>
      </c>
      <c r="D39" s="30">
        <v>35</v>
      </c>
      <c r="E39" s="30">
        <v>34</v>
      </c>
      <c r="F39" s="30">
        <v>34</v>
      </c>
      <c r="G39" s="30">
        <v>34</v>
      </c>
      <c r="H39" s="30">
        <v>34</v>
      </c>
    </row>
    <row r="40" spans="2:8" ht="14" x14ac:dyDescent="0.3">
      <c r="B40" s="3" t="s">
        <v>112</v>
      </c>
      <c r="D40" s="30">
        <v>40</v>
      </c>
      <c r="E40" s="30">
        <v>40</v>
      </c>
      <c r="F40" s="30">
        <v>40</v>
      </c>
      <c r="G40" s="30">
        <v>40</v>
      </c>
      <c r="H40" s="30">
        <v>40</v>
      </c>
    </row>
    <row r="41" spans="2:8" ht="14" x14ac:dyDescent="0.3">
      <c r="B41" s="3" t="s">
        <v>113</v>
      </c>
      <c r="D41" s="30">
        <v>35</v>
      </c>
      <c r="E41" s="30">
        <v>35</v>
      </c>
      <c r="F41" s="30">
        <v>35</v>
      </c>
      <c r="G41" s="30">
        <v>35</v>
      </c>
      <c r="H41" s="30">
        <v>35</v>
      </c>
    </row>
    <row r="42" spans="2:8" ht="14" x14ac:dyDescent="0.3">
      <c r="B42" s="3" t="s">
        <v>114</v>
      </c>
      <c r="D42" s="30">
        <v>33</v>
      </c>
      <c r="E42" s="30">
        <v>33</v>
      </c>
      <c r="F42" s="30">
        <v>33</v>
      </c>
      <c r="G42" s="30">
        <v>33</v>
      </c>
      <c r="H42" s="30">
        <v>33</v>
      </c>
    </row>
    <row r="43" spans="2:8" ht="14" x14ac:dyDescent="0.3">
      <c r="B43" s="3" t="s">
        <v>115</v>
      </c>
      <c r="D43" s="30">
        <v>30</v>
      </c>
      <c r="E43" s="30">
        <v>30</v>
      </c>
      <c r="F43" s="30">
        <v>30</v>
      </c>
      <c r="G43" s="30">
        <v>30</v>
      </c>
      <c r="H43" s="30">
        <v>30</v>
      </c>
    </row>
  </sheetData>
  <phoneticPr fontId="9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</sheetPr>
  <dimension ref="B2:O28"/>
  <sheetViews>
    <sheetView topLeftCell="A10"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5" width="12" customWidth="1"/>
  </cols>
  <sheetData>
    <row r="2" spans="2:15" ht="18" x14ac:dyDescent="0.4">
      <c r="B2" s="1" t="s">
        <v>135</v>
      </c>
    </row>
    <row r="4" spans="2:15" ht="28" x14ac:dyDescent="0.3">
      <c r="B4" s="10" t="s">
        <v>3</v>
      </c>
      <c r="C4" s="10" t="s">
        <v>5</v>
      </c>
      <c r="D4" s="10" t="s">
        <v>136</v>
      </c>
      <c r="E4" s="10" t="s">
        <v>137</v>
      </c>
      <c r="F4" s="10" t="s">
        <v>138</v>
      </c>
      <c r="G4" s="10" t="s">
        <v>139</v>
      </c>
      <c r="H4" s="10" t="s">
        <v>140</v>
      </c>
      <c r="I4" s="10" t="s">
        <v>141</v>
      </c>
      <c r="J4" s="10" t="s">
        <v>142</v>
      </c>
      <c r="K4" s="10" t="s">
        <v>143</v>
      </c>
      <c r="L4" s="10" t="s">
        <v>144</v>
      </c>
      <c r="M4" s="10" t="s">
        <v>145</v>
      </c>
      <c r="N4" s="10" t="s">
        <v>146</v>
      </c>
      <c r="O4" s="10" t="s">
        <v>147</v>
      </c>
    </row>
    <row r="5" spans="2:15" ht="14" x14ac:dyDescent="0.3">
      <c r="B5" s="3" t="s">
        <v>148</v>
      </c>
      <c r="C5" t="s">
        <v>149</v>
      </c>
      <c r="D5" s="31">
        <v>152991.10502399999</v>
      </c>
      <c r="E5" s="31">
        <v>154541.10502399999</v>
      </c>
      <c r="F5" s="31">
        <v>92410</v>
      </c>
      <c r="G5" s="31">
        <v>15820</v>
      </c>
      <c r="H5" s="31">
        <v>15360</v>
      </c>
      <c r="I5" s="31">
        <v>11250</v>
      </c>
      <c r="J5" s="32">
        <f>E5/G5</f>
        <v>9.7687171317319841</v>
      </c>
      <c r="K5" s="32">
        <f>E5/F5</f>
        <v>1.6723417922735633</v>
      </c>
      <c r="L5" s="32">
        <f>D5/I5</f>
        <v>13.599209335466666</v>
      </c>
      <c r="M5" s="33">
        <v>4.6431291357814866</v>
      </c>
      <c r="N5" s="34">
        <f>H5/F5</f>
        <v>0.16621577751325614</v>
      </c>
      <c r="O5" s="35">
        <v>0.34142640364188159</v>
      </c>
    </row>
    <row r="6" spans="2:15" ht="14" x14ac:dyDescent="0.3">
      <c r="B6" s="3" t="s">
        <v>150</v>
      </c>
      <c r="C6" t="s">
        <v>151</v>
      </c>
      <c r="D6" s="31">
        <v>62727.258112000003</v>
      </c>
      <c r="E6" s="31">
        <v>62797.258112000003</v>
      </c>
      <c r="F6" s="31">
        <v>54700</v>
      </c>
      <c r="G6" s="31">
        <v>8490</v>
      </c>
      <c r="H6" s="31">
        <v>8300</v>
      </c>
      <c r="I6" s="31">
        <v>5000</v>
      </c>
      <c r="J6" s="32">
        <f>E6/G6</f>
        <v>7.3966146186101298</v>
      </c>
      <c r="K6" s="32">
        <f>E6/F6</f>
        <v>1.148030312833638</v>
      </c>
      <c r="L6" s="32">
        <f>D6/I6</f>
        <v>12.5454516224</v>
      </c>
      <c r="M6" s="33">
        <v>2.0167590943638878</v>
      </c>
      <c r="N6" s="34">
        <f>H6/F6</f>
        <v>0.15173674588665448</v>
      </c>
      <c r="O6" s="35">
        <v>0.16075619715140019</v>
      </c>
    </row>
    <row r="7" spans="2:15" ht="14" x14ac:dyDescent="0.3">
      <c r="B7" s="3" t="s">
        <v>152</v>
      </c>
      <c r="C7" t="s">
        <v>153</v>
      </c>
      <c r="D7" s="31">
        <v>61359.771648000002</v>
      </c>
      <c r="E7" s="31">
        <v>61709.771648000002</v>
      </c>
      <c r="F7" s="31">
        <v>65000</v>
      </c>
      <c r="G7" s="31">
        <v>8018</v>
      </c>
      <c r="H7" s="31">
        <v>7200</v>
      </c>
      <c r="I7" s="31">
        <v>5150</v>
      </c>
      <c r="J7" s="32">
        <f>E7/G7</f>
        <v>7.6964045457720136</v>
      </c>
      <c r="K7" s="32">
        <f>E7/F7</f>
        <v>0.94938110227692307</v>
      </c>
      <c r="L7" s="32">
        <f>D7/I7</f>
        <v>11.914518766601942</v>
      </c>
      <c r="M7" s="33">
        <v>1.5187686356278309</v>
      </c>
      <c r="N7" s="34">
        <f>H7/F7</f>
        <v>0.11076923076923077</v>
      </c>
      <c r="O7" s="35">
        <v>0.12747209227494369</v>
      </c>
    </row>
    <row r="8" spans="2:15" ht="14" x14ac:dyDescent="0.3">
      <c r="B8" s="3" t="s">
        <v>154</v>
      </c>
      <c r="C8" t="s">
        <v>155</v>
      </c>
      <c r="D8" s="31">
        <v>16087.69024</v>
      </c>
      <c r="E8" s="31">
        <v>16317.69024</v>
      </c>
      <c r="F8" s="31">
        <v>19500</v>
      </c>
      <c r="G8" s="31">
        <v>1807</v>
      </c>
      <c r="H8" s="31">
        <v>1750</v>
      </c>
      <c r="I8" s="31">
        <v>1220</v>
      </c>
      <c r="J8" s="32">
        <f>E8/G8</f>
        <v>9.0302657664637529</v>
      </c>
      <c r="K8" s="32">
        <f>E8/F8</f>
        <v>0.83680462769230768</v>
      </c>
      <c r="L8" s="32">
        <f>D8/I8</f>
        <v>13.186631344262295</v>
      </c>
      <c r="M8" s="33">
        <v>1.4794638808166269</v>
      </c>
      <c r="N8" s="34">
        <f>H8/F8</f>
        <v>8.9743589743589744E-2</v>
      </c>
      <c r="O8" s="35">
        <v>0.11219422475629939</v>
      </c>
    </row>
    <row r="9" spans="2:15" ht="14" x14ac:dyDescent="0.3">
      <c r="B9" s="3" t="s">
        <v>156</v>
      </c>
      <c r="C9" t="s">
        <v>157</v>
      </c>
      <c r="D9" s="31">
        <v>156880.945152</v>
      </c>
      <c r="E9" s="31">
        <v>160452.945152</v>
      </c>
      <c r="F9" s="31">
        <v>53651</v>
      </c>
      <c r="G9" s="31">
        <v>8992</v>
      </c>
      <c r="H9" s="31">
        <v>8052</v>
      </c>
      <c r="I9" s="31">
        <v>5364</v>
      </c>
      <c r="J9" s="32">
        <f>E9/G9</f>
        <v>17.843966320284697</v>
      </c>
      <c r="K9" s="32">
        <f>E9/F9</f>
        <v>2.9906794869061155</v>
      </c>
      <c r="L9" s="32">
        <f>D9/I9</f>
        <v>29.247006926174496</v>
      </c>
      <c r="M9" s="33">
        <v>9.780607553117207</v>
      </c>
      <c r="N9" s="34">
        <f>H9/F9</f>
        <v>0.15008107956981231</v>
      </c>
      <c r="O9" s="35">
        <v>0.33441396508728177</v>
      </c>
    </row>
    <row r="14" spans="2:15" ht="14" x14ac:dyDescent="0.3">
      <c r="B14" s="2" t="s">
        <v>158</v>
      </c>
    </row>
    <row r="15" spans="2:15" ht="14" x14ac:dyDescent="0.3">
      <c r="B15" s="3" t="s">
        <v>159</v>
      </c>
      <c r="D15" s="32">
        <f t="shared" ref="D15:I15" si="0">PERCENTILE(J5:J9,0.25)</f>
        <v>7.6964045457720136</v>
      </c>
      <c r="E15" s="32">
        <f t="shared" si="0"/>
        <v>0.94938110227692307</v>
      </c>
      <c r="F15" s="32">
        <f t="shared" si="0"/>
        <v>12.5454516224</v>
      </c>
      <c r="G15" s="32">
        <f t="shared" si="0"/>
        <v>1.5187686356278309</v>
      </c>
      <c r="H15" s="34">
        <f t="shared" si="0"/>
        <v>0.11076923076923077</v>
      </c>
      <c r="I15" s="34">
        <f t="shared" si="0"/>
        <v>0.12747209227494369</v>
      </c>
    </row>
    <row r="16" spans="2:15" ht="14" x14ac:dyDescent="0.3">
      <c r="B16" s="3" t="s">
        <v>160</v>
      </c>
      <c r="D16" s="32">
        <f t="shared" ref="D16:I16" si="1">MEDIAN(J5:J9)</f>
        <v>9.0302657664637529</v>
      </c>
      <c r="E16" s="32">
        <f t="shared" si="1"/>
        <v>1.148030312833638</v>
      </c>
      <c r="F16" s="32">
        <f t="shared" si="1"/>
        <v>13.186631344262295</v>
      </c>
      <c r="G16" s="32">
        <f t="shared" si="1"/>
        <v>2.0167590943638878</v>
      </c>
      <c r="H16" s="34">
        <f t="shared" si="1"/>
        <v>0.15008107956981231</v>
      </c>
      <c r="I16" s="34">
        <f t="shared" si="1"/>
        <v>0.16075619715140019</v>
      </c>
    </row>
    <row r="17" spans="2:9" ht="14" x14ac:dyDescent="0.3">
      <c r="B17" s="3" t="s">
        <v>161</v>
      </c>
      <c r="D17" s="32">
        <f t="shared" ref="D17:I17" si="2">PERCENTILE(J5:J9,0.75)</f>
        <v>9.7687171317319841</v>
      </c>
      <c r="E17" s="32">
        <f t="shared" si="2"/>
        <v>1.6723417922735633</v>
      </c>
      <c r="F17" s="32">
        <f t="shared" si="2"/>
        <v>13.599209335466666</v>
      </c>
      <c r="G17" s="32">
        <f t="shared" si="2"/>
        <v>4.6431291357814866</v>
      </c>
      <c r="H17" s="34">
        <f t="shared" si="2"/>
        <v>0.15173674588665448</v>
      </c>
      <c r="I17" s="34">
        <f t="shared" si="2"/>
        <v>0.33441396508728177</v>
      </c>
    </row>
    <row r="19" spans="2:9" ht="14" x14ac:dyDescent="0.3">
      <c r="B19" s="21" t="s">
        <v>162</v>
      </c>
      <c r="C19" s="22"/>
      <c r="D19" s="22"/>
      <c r="E19" s="22"/>
      <c r="F19" s="22"/>
      <c r="G19" s="22"/>
      <c r="H19" s="22"/>
      <c r="I19" s="22"/>
    </row>
    <row r="20" spans="2:9" ht="14" x14ac:dyDescent="0.3">
      <c r="B20" s="2" t="s">
        <v>163</v>
      </c>
    </row>
    <row r="21" spans="2:9" ht="14" x14ac:dyDescent="0.3">
      <c r="B21" s="3" t="s">
        <v>164</v>
      </c>
      <c r="C21" s="4">
        <v>2535</v>
      </c>
    </row>
    <row r="22" spans="2:9" ht="14" x14ac:dyDescent="0.3">
      <c r="B22" s="3" t="s">
        <v>165</v>
      </c>
      <c r="C22" s="4">
        <v>1550</v>
      </c>
    </row>
    <row r="23" spans="2:9" ht="14" x14ac:dyDescent="0.3">
      <c r="B23" s="3" t="s">
        <v>166</v>
      </c>
      <c r="C23" s="16">
        <v>14368501</v>
      </c>
    </row>
    <row r="24" spans="2:9" ht="14" x14ac:dyDescent="0.3">
      <c r="B24" s="3" t="s">
        <v>71</v>
      </c>
      <c r="C24" s="4">
        <v>-10257</v>
      </c>
    </row>
    <row r="26" spans="2:9" ht="14" x14ac:dyDescent="0.3">
      <c r="B26" s="2" t="s">
        <v>167</v>
      </c>
    </row>
    <row r="27" spans="2:9" ht="14" x14ac:dyDescent="0.3">
      <c r="B27" s="3" t="s">
        <v>168</v>
      </c>
      <c r="C27" s="23">
        <f>ROUND((C21*D16-C24)*1000000/C23,0)</f>
        <v>2307</v>
      </c>
    </row>
    <row r="28" spans="2:9" ht="14" x14ac:dyDescent="0.3">
      <c r="B28" s="3" t="s">
        <v>169</v>
      </c>
      <c r="C28" s="23">
        <f>ROUND(C22*F16*1000000/C23,0)</f>
        <v>1423</v>
      </c>
    </row>
  </sheetData>
  <phoneticPr fontId="9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6600"/>
  </sheetPr>
  <dimension ref="B2:I26"/>
  <sheetViews>
    <sheetView topLeftCell="A5" workbookViewId="0">
      <selection activeCell="F3" sqref="F3"/>
    </sheetView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1" t="s">
        <v>170</v>
      </c>
    </row>
    <row r="3" spans="2:9" ht="14" x14ac:dyDescent="0.3">
      <c r="B3" s="3" t="s">
        <v>171</v>
      </c>
      <c r="C3" s="17">
        <f>'DCF Model'!C24</f>
        <v>0.10980952380952382</v>
      </c>
      <c r="E3" s="3" t="s">
        <v>172</v>
      </c>
      <c r="F3" s="17">
        <f>'DCF Model'!C13</f>
        <v>0.01</v>
      </c>
      <c r="H3" s="3" t="s">
        <v>173</v>
      </c>
      <c r="I3" s="36">
        <f>'DCF Model'!C14</f>
        <v>9.3000000000000007</v>
      </c>
    </row>
    <row r="5" spans="2:9" ht="14" x14ac:dyDescent="0.3">
      <c r="B5" s="2" t="s">
        <v>174</v>
      </c>
    </row>
    <row r="6" spans="2:9" ht="14" x14ac:dyDescent="0.3">
      <c r="B6" s="10" t="s">
        <v>175</v>
      </c>
      <c r="C6" s="37">
        <f>$F$3-0.0075</f>
        <v>2.5000000000000005E-3</v>
      </c>
      <c r="D6" s="37">
        <f>$F$3-0.005</f>
        <v>5.0000000000000001E-3</v>
      </c>
      <c r="E6" s="37">
        <f>$F$3-0.0025</f>
        <v>7.4999999999999997E-3</v>
      </c>
      <c r="F6" s="37">
        <f>$F$3</f>
        <v>0.01</v>
      </c>
      <c r="G6" s="37">
        <f>$F$3+0.0025</f>
        <v>1.2500000000000001E-2</v>
      </c>
      <c r="H6" s="37">
        <f>$F$3+0.005</f>
        <v>1.4999999999999999E-2</v>
      </c>
      <c r="I6" s="37">
        <f>$F$3+0.0075</f>
        <v>1.7500000000000002E-2</v>
      </c>
    </row>
    <row r="7" spans="2:9" ht="13.5" x14ac:dyDescent="0.25">
      <c r="B7" s="38">
        <f>$C$3-0.015</f>
        <v>9.4809523809523816E-2</v>
      </c>
      <c r="C7" s="39">
        <f>IFERROR(ROUND(('DCF Model'!C43/(1+$B7)^1+'DCF Model'!D43/(1+$B7)^2+'DCF Model'!E43/(1+$B7)^3+'DCF Model'!F43/(1+$B7)^4+'DCF Model'!G43/(1+$B7)^5+'DCF Model'!G43*(1+C$6)/($B7-C$6)/(1+$B7)^5-'DCF Model'!C16)*1000000/'DCF Model'!C15,0),"")</f>
        <v>3040</v>
      </c>
      <c r="D7" s="39">
        <f>IFERROR(ROUND(('DCF Model'!C43/(1+$B7)^1+'DCF Model'!D43/(1+$B7)^2+'DCF Model'!E43/(1+$B7)^3+'DCF Model'!F43/(1+$B7)^4+'DCF Model'!G43/(1+$B7)^5+'DCF Model'!G43*(1+D$6)/($B7-D$6)/(1+$B7)^5-'DCF Model'!C16)*1000000/'DCF Model'!C15,0),"")</f>
        <v>3089</v>
      </c>
      <c r="E7" s="39">
        <f>IFERROR(ROUND(('DCF Model'!C43/(1+$B7)^1+'DCF Model'!D43/(1+$B7)^2+'DCF Model'!E43/(1+$B7)^3+'DCF Model'!F43/(1+$B7)^4+'DCF Model'!G43/(1+$B7)^5+'DCF Model'!G43*(1+E$6)/($B7-E$6)/(1+$B7)^5-'DCF Model'!C16)*1000000/'DCF Model'!C15,0),"")</f>
        <v>3140</v>
      </c>
      <c r="F7" s="39">
        <f>IFERROR(ROUND(('DCF Model'!C43/(1+$B7)^1+'DCF Model'!D43/(1+$B7)^2+'DCF Model'!E43/(1+$B7)^3+'DCF Model'!F43/(1+$B7)^4+'DCF Model'!G43/(1+$B7)^5+'DCF Model'!G43*(1+F$6)/($B7-F$6)/(1+$B7)^5-'DCF Model'!C16)*1000000/'DCF Model'!C15,0),"")</f>
        <v>3194</v>
      </c>
      <c r="G7" s="39">
        <f>IFERROR(ROUND(('DCF Model'!C43/(1+$B7)^1+'DCF Model'!D43/(1+$B7)^2+'DCF Model'!E43/(1+$B7)^3+'DCF Model'!F43/(1+$B7)^4+'DCF Model'!G43/(1+$B7)^5+'DCF Model'!G43*(1+G$6)/($B7-G$6)/(1+$B7)^5-'DCF Model'!C16)*1000000/'DCF Model'!C15,0),"")</f>
        <v>3252</v>
      </c>
      <c r="H7" s="39">
        <f>IFERROR(ROUND(('DCF Model'!C43/(1+$B7)^1+'DCF Model'!D43/(1+$B7)^2+'DCF Model'!E43/(1+$B7)^3+'DCF Model'!F43/(1+$B7)^4+'DCF Model'!G43/(1+$B7)^5+'DCF Model'!G43*(1+H$6)/($B7-H$6)/(1+$B7)^5-'DCF Model'!C16)*1000000/'DCF Model'!C15,0),"")</f>
        <v>3313</v>
      </c>
      <c r="I7" s="39">
        <f>IFERROR(ROUND(('DCF Model'!C43/(1+$B7)^1+'DCF Model'!D43/(1+$B7)^2+'DCF Model'!E43/(1+$B7)^3+'DCF Model'!F43/(1+$B7)^4+'DCF Model'!G43/(1+$B7)^5+'DCF Model'!G43*(1+I$6)/($B7-I$6)/(1+$B7)^5-'DCF Model'!C16)*1000000/'DCF Model'!C15,0),"")</f>
        <v>3379</v>
      </c>
    </row>
    <row r="8" spans="2:9" ht="13.5" x14ac:dyDescent="0.25">
      <c r="B8" s="38">
        <f>$C$3-0.01</f>
        <v>9.980952380952382E-2</v>
      </c>
      <c r="C8" s="39">
        <f>IFERROR(ROUND(('DCF Model'!C43/(1+$B8)^1+'DCF Model'!D43/(1+$B8)^2+'DCF Model'!E43/(1+$B8)^3+'DCF Model'!F43/(1+$B8)^4+'DCF Model'!G43/(1+$B8)^5+'DCF Model'!G43*(1+C$6)/($B8-C$6)/(1+$B8)^5-'DCF Model'!C16)*1000000/'DCF Model'!C15,0),"")</f>
        <v>2914</v>
      </c>
      <c r="D8" s="39">
        <f>IFERROR(ROUND(('DCF Model'!C43/(1+$B8)^1+'DCF Model'!D43/(1+$B8)^2+'DCF Model'!E43/(1+$B8)^3+'DCF Model'!F43/(1+$B8)^4+'DCF Model'!G43/(1+$B8)^5+'DCF Model'!G43*(1+D$6)/($B8-D$6)/(1+$B8)^5-'DCF Model'!C16)*1000000/'DCF Model'!C15,0),"")</f>
        <v>2957</v>
      </c>
      <c r="E8" s="39">
        <f>IFERROR(ROUND(('DCF Model'!C43/(1+$B8)^1+'DCF Model'!D43/(1+$B8)^2+'DCF Model'!E43/(1+$B8)^3+'DCF Model'!F43/(1+$B8)^4+'DCF Model'!G43/(1+$B8)^5+'DCF Model'!G43*(1+E$6)/($B8-E$6)/(1+$B8)^5-'DCF Model'!C16)*1000000/'DCF Model'!C15,0),"")</f>
        <v>3002</v>
      </c>
      <c r="F8" s="39">
        <f>IFERROR(ROUND(('DCF Model'!C43/(1+$B8)^1+'DCF Model'!D43/(1+$B8)^2+'DCF Model'!E43/(1+$B8)^3+'DCF Model'!F43/(1+$B8)^4+'DCF Model'!G43/(1+$B8)^5+'DCF Model'!G43*(1+F$6)/($B8-F$6)/(1+$B8)^5-'DCF Model'!C16)*1000000/'DCF Model'!C15,0),"")</f>
        <v>3050</v>
      </c>
      <c r="G8" s="39">
        <f>IFERROR(ROUND(('DCF Model'!C43/(1+$B8)^1+'DCF Model'!D43/(1+$B8)^2+'DCF Model'!E43/(1+$B8)^3+'DCF Model'!F43/(1+$B8)^4+'DCF Model'!G43/(1+$B8)^5+'DCF Model'!G43*(1+G$6)/($B8-G$6)/(1+$B8)^5-'DCF Model'!C16)*1000000/'DCF Model'!C15,0),"")</f>
        <v>3100</v>
      </c>
      <c r="H8" s="39">
        <f>IFERROR(ROUND(('DCF Model'!C43/(1+$B8)^1+'DCF Model'!D43/(1+$B8)^2+'DCF Model'!E43/(1+$B8)^3+'DCF Model'!F43/(1+$B8)^4+'DCF Model'!G43/(1+$B8)^5+'DCF Model'!G43*(1+H$6)/($B8-H$6)/(1+$B8)^5-'DCF Model'!C16)*1000000/'DCF Model'!C15,0),"")</f>
        <v>3153</v>
      </c>
      <c r="I8" s="39">
        <f>IFERROR(ROUND(('DCF Model'!C43/(1+$B8)^1+'DCF Model'!D43/(1+$B8)^2+'DCF Model'!E43/(1+$B8)^3+'DCF Model'!F43/(1+$B8)^4+'DCF Model'!G43/(1+$B8)^5+'DCF Model'!G43*(1+I$6)/($B8-I$6)/(1+$B8)^5-'DCF Model'!C16)*1000000/'DCF Model'!C15,0),"")</f>
        <v>3210</v>
      </c>
    </row>
    <row r="9" spans="2:9" ht="13.5" x14ac:dyDescent="0.25">
      <c r="B9" s="38">
        <f>$C$3-0.005</f>
        <v>0.10480952380952381</v>
      </c>
      <c r="C9" s="39">
        <f>IFERROR(ROUND(('DCF Model'!C43/(1+$B9)^1+'DCF Model'!D43/(1+$B9)^2+'DCF Model'!E43/(1+$B9)^3+'DCF Model'!F43/(1+$B9)^4+'DCF Model'!G43/(1+$B9)^5+'DCF Model'!G43*(1+C$6)/($B9-C$6)/(1+$B9)^5-'DCF Model'!C16)*1000000/'DCF Model'!C15,0),"")</f>
        <v>2800</v>
      </c>
      <c r="D9" s="39">
        <f>IFERROR(ROUND(('DCF Model'!C43/(1+$B9)^1+'DCF Model'!D43/(1+$B9)^2+'DCF Model'!E43/(1+$B9)^3+'DCF Model'!F43/(1+$B9)^4+'DCF Model'!G43/(1+$B9)^5+'DCF Model'!G43*(1+D$6)/($B9-D$6)/(1+$B9)^5-'DCF Model'!C16)*1000000/'DCF Model'!C15,0),"")</f>
        <v>2838</v>
      </c>
      <c r="E9" s="39">
        <f>IFERROR(ROUND(('DCF Model'!C43/(1+$B9)^1+'DCF Model'!D43/(1+$B9)^2+'DCF Model'!E43/(1+$B9)^3+'DCF Model'!F43/(1+$B9)^4+'DCF Model'!G43/(1+$B9)^5+'DCF Model'!G43*(1+E$6)/($B9-E$6)/(1+$B9)^5-'DCF Model'!C16)*1000000/'DCF Model'!C15,0),"")</f>
        <v>2878</v>
      </c>
      <c r="F9" s="39">
        <f>IFERROR(ROUND(('DCF Model'!C43/(1+$B9)^1+'DCF Model'!D43/(1+$B9)^2+'DCF Model'!E43/(1+$B9)^3+'DCF Model'!F43/(1+$B9)^4+'DCF Model'!G43/(1+$B9)^5+'DCF Model'!G43*(1+F$6)/($B9-F$6)/(1+$B9)^5-'DCF Model'!C16)*1000000/'DCF Model'!C15,0),"")</f>
        <v>2920</v>
      </c>
      <c r="G9" s="39">
        <f>IFERROR(ROUND(('DCF Model'!C43/(1+$B9)^1+'DCF Model'!D43/(1+$B9)^2+'DCF Model'!E43/(1+$B9)^3+'DCF Model'!F43/(1+$B9)^4+'DCF Model'!G43/(1+$B9)^5+'DCF Model'!G43*(1+G$6)/($B9-G$6)/(1+$B9)^5-'DCF Model'!C16)*1000000/'DCF Model'!C15,0),"")</f>
        <v>2965</v>
      </c>
      <c r="H9" s="39">
        <f>IFERROR(ROUND(('DCF Model'!C43/(1+$B9)^1+'DCF Model'!D43/(1+$B9)^2+'DCF Model'!E43/(1+$B9)^3+'DCF Model'!F43/(1+$B9)^4+'DCF Model'!G43/(1+$B9)^5+'DCF Model'!G43*(1+H$6)/($B9-H$6)/(1+$B9)^5-'DCF Model'!C16)*1000000/'DCF Model'!C15,0),"")</f>
        <v>3011</v>
      </c>
      <c r="I9" s="39">
        <f>IFERROR(ROUND(('DCF Model'!C43/(1+$B9)^1+'DCF Model'!D43/(1+$B9)^2+'DCF Model'!E43/(1+$B9)^3+'DCF Model'!F43/(1+$B9)^4+'DCF Model'!G43/(1+$B9)^5+'DCF Model'!G43*(1+I$6)/($B9-I$6)/(1+$B9)^5-'DCF Model'!C16)*1000000/'DCF Model'!C15,0),"")</f>
        <v>3061</v>
      </c>
    </row>
    <row r="10" spans="2:9" ht="13.5" x14ac:dyDescent="0.25">
      <c r="B10" s="38">
        <f>$C$3</f>
        <v>0.10980952380952382</v>
      </c>
      <c r="C10" s="39">
        <f>IFERROR(ROUND(('DCF Model'!C43/(1+$B10)^1+'DCF Model'!D43/(1+$B10)^2+'DCF Model'!E43/(1+$B10)^3+'DCF Model'!F43/(1+$B10)^4+'DCF Model'!G43/(1+$B10)^5+'DCF Model'!G43*(1+C$6)/($B10-C$6)/(1+$B10)^5-'DCF Model'!C16)*1000000/'DCF Model'!C15,0),"")</f>
        <v>2697</v>
      </c>
      <c r="D10" s="39">
        <f>IFERROR(ROUND(('DCF Model'!C43/(1+$B10)^1+'DCF Model'!D43/(1+$B10)^2+'DCF Model'!E43/(1+$B10)^3+'DCF Model'!F43/(1+$B10)^4+'DCF Model'!G43/(1+$B10)^5+'DCF Model'!G43*(1+D$6)/($B10-D$6)/(1+$B10)^5-'DCF Model'!C16)*1000000/'DCF Model'!C15,0),"")</f>
        <v>2731</v>
      </c>
      <c r="E10" s="39">
        <f>IFERROR(ROUND(('DCF Model'!C43/(1+$B10)^1+'DCF Model'!D43/(1+$B10)^2+'DCF Model'!E43/(1+$B10)^3+'DCF Model'!F43/(1+$B10)^4+'DCF Model'!G43/(1+$B10)^5+'DCF Model'!G43*(1+E$6)/($B10-E$6)/(1+$B10)^5-'DCF Model'!C16)*1000000/'DCF Model'!C15,0),"")</f>
        <v>2767</v>
      </c>
      <c r="F10" s="39">
        <f>IFERROR(ROUND(('DCF Model'!C43/(1+$B10)^1+'DCF Model'!D43/(1+$B10)^2+'DCF Model'!E43/(1+$B10)^3+'DCF Model'!F43/(1+$B10)^4+'DCF Model'!G43/(1+$B10)^5+'DCF Model'!G43*(1+F$6)/($B10-F$6)/(1+$B10)^5-'DCF Model'!C16)*1000000/'DCF Model'!C15,0),"")</f>
        <v>2804</v>
      </c>
      <c r="G10" s="39">
        <f>IFERROR(ROUND(('DCF Model'!C43/(1+$B10)^1+'DCF Model'!D43/(1+$B10)^2+'DCF Model'!E43/(1+$B10)^3+'DCF Model'!F43/(1+$B10)^4+'DCF Model'!G43/(1+$B10)^5+'DCF Model'!G43*(1+G$6)/($B10-G$6)/(1+$B10)^5-'DCF Model'!C16)*1000000/'DCF Model'!C15,0),"")</f>
        <v>2843</v>
      </c>
      <c r="H10" s="39">
        <f>IFERROR(ROUND(('DCF Model'!C43/(1+$B10)^1+'DCF Model'!D43/(1+$B10)^2+'DCF Model'!E43/(1+$B10)^3+'DCF Model'!F43/(1+$B10)^4+'DCF Model'!G43/(1+$B10)^5+'DCF Model'!G43*(1+H$6)/($B10-H$6)/(1+$B10)^5-'DCF Model'!C16)*1000000/'DCF Model'!C15,0),"")</f>
        <v>2884</v>
      </c>
      <c r="I10" s="39">
        <f>IFERROR(ROUND(('DCF Model'!C43/(1+$B10)^1+'DCF Model'!D43/(1+$B10)^2+'DCF Model'!E43/(1+$B10)^3+'DCF Model'!F43/(1+$B10)^4+'DCF Model'!G43/(1+$B10)^5+'DCF Model'!G43*(1+I$6)/($B10-I$6)/(1+$B10)^5-'DCF Model'!C16)*1000000/'DCF Model'!C15,0),"")</f>
        <v>2928</v>
      </c>
    </row>
    <row r="11" spans="2:9" ht="13.5" x14ac:dyDescent="0.25">
      <c r="B11" s="38">
        <f>$C$3+0.005</f>
        <v>0.11480952380952382</v>
      </c>
      <c r="C11" s="39">
        <f>IFERROR(ROUND(('DCF Model'!C43/(1+$B11)^1+'DCF Model'!D43/(1+$B11)^2+'DCF Model'!E43/(1+$B11)^3+'DCF Model'!F43/(1+$B11)^4+'DCF Model'!G43/(1+$B11)^5+'DCF Model'!G43*(1+C$6)/($B11-C$6)/(1+$B11)^5-'DCF Model'!C16)*1000000/'DCF Model'!C15,0),"")</f>
        <v>2603</v>
      </c>
      <c r="D11" s="39">
        <f>IFERROR(ROUND(('DCF Model'!C43/(1+$B11)^1+'DCF Model'!D43/(1+$B11)^2+'DCF Model'!E43/(1+$B11)^3+'DCF Model'!F43/(1+$B11)^4+'DCF Model'!G43/(1+$B11)^5+'DCF Model'!G43*(1+D$6)/($B11-D$6)/(1+$B11)^5-'DCF Model'!C16)*1000000/'DCF Model'!C15,0),"")</f>
        <v>2634</v>
      </c>
      <c r="E11" s="39">
        <f>IFERROR(ROUND(('DCF Model'!C43/(1+$B11)^1+'DCF Model'!D43/(1+$B11)^2+'DCF Model'!E43/(1+$B11)^3+'DCF Model'!F43/(1+$B11)^4+'DCF Model'!G43/(1+$B11)^5+'DCF Model'!G43*(1+E$6)/($B11-E$6)/(1+$B11)^5-'DCF Model'!C16)*1000000/'DCF Model'!C15,0),"")</f>
        <v>2665</v>
      </c>
      <c r="F11" s="39">
        <f>IFERROR(ROUND(('DCF Model'!C43/(1+$B11)^1+'DCF Model'!D43/(1+$B11)^2+'DCF Model'!E43/(1+$B11)^3+'DCF Model'!F43/(1+$B11)^4+'DCF Model'!G43/(1+$B11)^5+'DCF Model'!G43*(1+F$6)/($B11-F$6)/(1+$B11)^5-'DCF Model'!C16)*1000000/'DCF Model'!C15,0),"")</f>
        <v>2699</v>
      </c>
      <c r="G11" s="39">
        <f>IFERROR(ROUND(('DCF Model'!C43/(1+$B11)^1+'DCF Model'!D43/(1+$B11)^2+'DCF Model'!E43/(1+$B11)^3+'DCF Model'!F43/(1+$B11)^4+'DCF Model'!G43/(1+$B11)^5+'DCF Model'!G43*(1+G$6)/($B11-G$6)/(1+$B11)^5-'DCF Model'!C16)*1000000/'DCF Model'!C15,0),"")</f>
        <v>2734</v>
      </c>
      <c r="H11" s="39">
        <f>IFERROR(ROUND(('DCF Model'!C43/(1+$B11)^1+'DCF Model'!D43/(1+$B11)^2+'DCF Model'!E43/(1+$B11)^3+'DCF Model'!F43/(1+$B11)^4+'DCF Model'!G43/(1+$B11)^5+'DCF Model'!G43*(1+H$6)/($B11-H$6)/(1+$B11)^5-'DCF Model'!C16)*1000000/'DCF Model'!C15,0),"")</f>
        <v>2770</v>
      </c>
      <c r="I11" s="39">
        <f>IFERROR(ROUND(('DCF Model'!C43/(1+$B11)^1+'DCF Model'!D43/(1+$B11)^2+'DCF Model'!E43/(1+$B11)^3+'DCF Model'!F43/(1+$B11)^4+'DCF Model'!G43/(1+$B11)^5+'DCF Model'!G43*(1+I$6)/($B11-I$6)/(1+$B11)^5-'DCF Model'!C16)*1000000/'DCF Model'!C15,0),"")</f>
        <v>2809</v>
      </c>
    </row>
    <row r="12" spans="2:9" ht="13.5" x14ac:dyDescent="0.25">
      <c r="B12" s="38">
        <f>$C$3+0.01</f>
        <v>0.11980952380952381</v>
      </c>
      <c r="C12" s="39">
        <f>IFERROR(ROUND(('DCF Model'!C43/(1+$B12)^1+'DCF Model'!D43/(1+$B12)^2+'DCF Model'!E43/(1+$B12)^3+'DCF Model'!F43/(1+$B12)^4+'DCF Model'!G43/(1+$B12)^5+'DCF Model'!G43*(1+C$6)/($B12-C$6)/(1+$B12)^5-'DCF Model'!C16)*1000000/'DCF Model'!C15,0),"")</f>
        <v>2518</v>
      </c>
      <c r="D12" s="39">
        <f>IFERROR(ROUND(('DCF Model'!C43/(1+$B12)^1+'DCF Model'!D43/(1+$B12)^2+'DCF Model'!E43/(1+$B12)^3+'DCF Model'!F43/(1+$B12)^4+'DCF Model'!G43/(1+$B12)^5+'DCF Model'!G43*(1+D$6)/($B12-D$6)/(1+$B12)^5-'DCF Model'!C16)*1000000/'DCF Model'!C15,0),"")</f>
        <v>2545</v>
      </c>
      <c r="E12" s="39">
        <f>IFERROR(ROUND(('DCF Model'!C43/(1+$B12)^1+'DCF Model'!D43/(1+$B12)^2+'DCF Model'!E43/(1+$B12)^3+'DCF Model'!F43/(1+$B12)^4+'DCF Model'!G43/(1+$B12)^5+'DCF Model'!G43*(1+E$6)/($B12-E$6)/(1+$B12)^5-'DCF Model'!C16)*1000000/'DCF Model'!C15,0),"")</f>
        <v>2573</v>
      </c>
      <c r="F12" s="39">
        <f>IFERROR(ROUND(('DCF Model'!C43/(1+$B12)^1+'DCF Model'!D43/(1+$B12)^2+'DCF Model'!E43/(1+$B12)^3+'DCF Model'!F43/(1+$B12)^4+'DCF Model'!G43/(1+$B12)^5+'DCF Model'!G43*(1+F$6)/($B12-F$6)/(1+$B12)^5-'DCF Model'!C16)*1000000/'DCF Model'!C15,0),"")</f>
        <v>2603</v>
      </c>
      <c r="G12" s="39">
        <f>IFERROR(ROUND(('DCF Model'!C43/(1+$B12)^1+'DCF Model'!D43/(1+$B12)^2+'DCF Model'!E43/(1+$B12)^3+'DCF Model'!F43/(1+$B12)^4+'DCF Model'!G43/(1+$B12)^5+'DCF Model'!G43*(1+G$6)/($B12-G$6)/(1+$B12)^5-'DCF Model'!C16)*1000000/'DCF Model'!C15,0),"")</f>
        <v>2634</v>
      </c>
      <c r="H12" s="39">
        <f>IFERROR(ROUND(('DCF Model'!C43/(1+$B12)^1+'DCF Model'!D43/(1+$B12)^2+'DCF Model'!E43/(1+$B12)^3+'DCF Model'!F43/(1+$B12)^4+'DCF Model'!G43/(1+$B12)^5+'DCF Model'!G43*(1+H$6)/($B12-H$6)/(1+$B12)^5-'DCF Model'!C16)*1000000/'DCF Model'!C15,0),"")</f>
        <v>2667</v>
      </c>
      <c r="I12" s="39">
        <f>IFERROR(ROUND(('DCF Model'!C43/(1+$B12)^1+'DCF Model'!D43/(1+$B12)^2+'DCF Model'!E43/(1+$B12)^3+'DCF Model'!F43/(1+$B12)^4+'DCF Model'!G43/(1+$B12)^5+'DCF Model'!G43*(1+I$6)/($B12-I$6)/(1+$B12)^5-'DCF Model'!C16)*1000000/'DCF Model'!C15,0),"")</f>
        <v>2701</v>
      </c>
    </row>
    <row r="13" spans="2:9" ht="13.5" x14ac:dyDescent="0.25">
      <c r="B13" s="38">
        <f>$C$3+0.015</f>
        <v>0.12480952380952381</v>
      </c>
      <c r="C13" s="39">
        <f>IFERROR(ROUND(('DCF Model'!C43/(1+$B13)^1+'DCF Model'!D43/(1+$B13)^2+'DCF Model'!E43/(1+$B13)^3+'DCF Model'!F43/(1+$B13)^4+'DCF Model'!G43/(1+$B13)^5+'DCF Model'!G43*(1+C$6)/($B13-C$6)/(1+$B13)^5-'DCF Model'!C16)*1000000/'DCF Model'!C15,0),"")</f>
        <v>2439</v>
      </c>
      <c r="D13" s="39">
        <f>IFERROR(ROUND(('DCF Model'!C43/(1+$B13)^1+'DCF Model'!D43/(1+$B13)^2+'DCF Model'!E43/(1+$B13)^3+'DCF Model'!F43/(1+$B13)^4+'DCF Model'!G43/(1+$B13)^5+'DCF Model'!G43*(1+D$6)/($B13-D$6)/(1+$B13)^5-'DCF Model'!C16)*1000000/'DCF Model'!C15,0),"")</f>
        <v>2464</v>
      </c>
      <c r="E13" s="39">
        <f>IFERROR(ROUND(('DCF Model'!C43/(1+$B13)^1+'DCF Model'!D43/(1+$B13)^2+'DCF Model'!E43/(1+$B13)^3+'DCF Model'!F43/(1+$B13)^4+'DCF Model'!G43/(1+$B13)^5+'DCF Model'!G43*(1+E$6)/($B13-E$6)/(1+$B13)^5-'DCF Model'!C16)*1000000/'DCF Model'!C15,0),"")</f>
        <v>2489</v>
      </c>
      <c r="F13" s="39">
        <f>IFERROR(ROUND(('DCF Model'!C43/(1+$B13)^1+'DCF Model'!D43/(1+$B13)^2+'DCF Model'!E43/(1+$B13)^3+'DCF Model'!F43/(1+$B13)^4+'DCF Model'!G43/(1+$B13)^5+'DCF Model'!G43*(1+F$6)/($B13-F$6)/(1+$B13)^5-'DCF Model'!C16)*1000000/'DCF Model'!C15,0),"")</f>
        <v>2516</v>
      </c>
      <c r="G13" s="39">
        <f>IFERROR(ROUND(('DCF Model'!C43/(1+$B13)^1+'DCF Model'!D43/(1+$B13)^2+'DCF Model'!E43/(1+$B13)^3+'DCF Model'!F43/(1+$B13)^4+'DCF Model'!G43/(1+$B13)^5+'DCF Model'!G43*(1+G$6)/($B13-G$6)/(1+$B13)^5-'DCF Model'!C16)*1000000/'DCF Model'!C15,0),"")</f>
        <v>2544</v>
      </c>
      <c r="H13" s="39">
        <f>IFERROR(ROUND(('DCF Model'!C43/(1+$B13)^1+'DCF Model'!D43/(1+$B13)^2+'DCF Model'!E43/(1+$B13)^3+'DCF Model'!F43/(1+$B13)^4+'DCF Model'!G43/(1+$B13)^5+'DCF Model'!G43*(1+H$6)/($B13-H$6)/(1+$B13)^5-'DCF Model'!C16)*1000000/'DCF Model'!C15,0),"")</f>
        <v>2573</v>
      </c>
      <c r="I13" s="39">
        <f>IFERROR(ROUND(('DCF Model'!C43/(1+$B13)^1+'DCF Model'!D43/(1+$B13)^2+'DCF Model'!E43/(1+$B13)^3+'DCF Model'!F43/(1+$B13)^4+'DCF Model'!G43/(1+$B13)^5+'DCF Model'!G43*(1+I$6)/($B13-I$6)/(1+$B13)^5-'DCF Model'!C16)*1000000/'DCF Model'!C15,0),"")</f>
        <v>2604</v>
      </c>
    </row>
    <row r="16" spans="2:9" ht="14" x14ac:dyDescent="0.3">
      <c r="B16" s="2" t="s">
        <v>176</v>
      </c>
    </row>
    <row r="17" spans="2:9" ht="14" x14ac:dyDescent="0.3">
      <c r="B17" s="10" t="s">
        <v>177</v>
      </c>
      <c r="C17" s="40">
        <f>$I$3-3</f>
        <v>6.3000000000000007</v>
      </c>
      <c r="D17" s="40">
        <f>$I$3-2</f>
        <v>7.3000000000000007</v>
      </c>
      <c r="E17" s="40">
        <f>$I$3-1</f>
        <v>8.3000000000000007</v>
      </c>
      <c r="F17" s="40">
        <f>$I$3</f>
        <v>9.3000000000000007</v>
      </c>
      <c r="G17" s="40">
        <f>$I$3+1</f>
        <v>10.3</v>
      </c>
      <c r="H17" s="40">
        <f>$I$3+2</f>
        <v>11.3</v>
      </c>
      <c r="I17" s="40">
        <f>$I$3+3</f>
        <v>12.3</v>
      </c>
    </row>
    <row r="18" spans="2:9" ht="13.5" x14ac:dyDescent="0.25">
      <c r="B18" s="38">
        <f>$C$3-0.015</f>
        <v>9.4809523809523816E-2</v>
      </c>
      <c r="C18" s="39">
        <f>IFERROR(ROUND(('DCF Model'!C43/(1+$B18)^1+'DCF Model'!D43/(1+$B18)^2+'DCF Model'!E43/(1+$B18)^3+'DCF Model'!F43/(1+$B18)^4+'DCF Model'!G43/(1+$B18)^5+('DCF Model'!G37+'DCF Model'!G40)*C$17/(1+$B18)^5-'DCF Model'!C16)*1000000/'DCF Model'!C15,0),"")</f>
        <v>2990</v>
      </c>
      <c r="D18" s="39">
        <f>IFERROR(ROUND(('DCF Model'!C43/(1+$B18)^1+'DCF Model'!D43/(1+$B18)^2+'DCF Model'!E43/(1+$B18)^3+'DCF Model'!F43/(1+$B18)^4+'DCF Model'!G43/(1+$B18)^5+('DCF Model'!G37+'DCF Model'!G40)*D$17/(1+$B18)^5-'DCF Model'!C16)*1000000/'DCF Model'!C15,0),"")</f>
        <v>3235</v>
      </c>
      <c r="E18" s="39">
        <f>IFERROR(ROUND(('DCF Model'!C43/(1+$B18)^1+'DCF Model'!D43/(1+$B18)^2+'DCF Model'!E43/(1+$B18)^3+'DCF Model'!F43/(1+$B18)^4+'DCF Model'!G43/(1+$B18)^5+('DCF Model'!G37+'DCF Model'!G40)*E$17/(1+$B18)^5-'DCF Model'!C16)*1000000/'DCF Model'!C15,0),"")</f>
        <v>3480</v>
      </c>
      <c r="F18" s="39">
        <f>IFERROR(ROUND(('DCF Model'!C43/(1+$B18)^1+'DCF Model'!D43/(1+$B18)^2+'DCF Model'!E43/(1+$B18)^3+'DCF Model'!F43/(1+$B18)^4+'DCF Model'!G43/(1+$B18)^5+('DCF Model'!G37+'DCF Model'!G40)*F$17/(1+$B18)^5-'DCF Model'!C16)*1000000/'DCF Model'!C15,0),"")</f>
        <v>3726</v>
      </c>
      <c r="G18" s="39">
        <f>IFERROR(ROUND(('DCF Model'!C43/(1+$B18)^1+'DCF Model'!D43/(1+$B18)^2+'DCF Model'!E43/(1+$B18)^3+'DCF Model'!F43/(1+$B18)^4+'DCF Model'!G43/(1+$B18)^5+('DCF Model'!G37+'DCF Model'!G40)*G$17/(1+$B18)^5-'DCF Model'!C16)*1000000/'DCF Model'!C15,0),"")</f>
        <v>3971</v>
      </c>
      <c r="H18" s="39">
        <f>IFERROR(ROUND(('DCF Model'!C43/(1+$B18)^1+'DCF Model'!D43/(1+$B18)^2+'DCF Model'!E43/(1+$B18)^3+'DCF Model'!F43/(1+$B18)^4+'DCF Model'!G43/(1+$B18)^5+('DCF Model'!G37+'DCF Model'!G40)*H$17/(1+$B18)^5-'DCF Model'!C16)*1000000/'DCF Model'!C15,0),"")</f>
        <v>4216</v>
      </c>
      <c r="I18" s="39">
        <f>IFERROR(ROUND(('DCF Model'!C43/(1+$B18)^1+'DCF Model'!D43/(1+$B18)^2+'DCF Model'!E43/(1+$B18)^3+'DCF Model'!F43/(1+$B18)^4+'DCF Model'!G43/(1+$B18)^5+('DCF Model'!G37+'DCF Model'!G40)*I$17/(1+$B18)^5-'DCF Model'!C16)*1000000/'DCF Model'!C15,0),"")</f>
        <v>4461</v>
      </c>
    </row>
    <row r="19" spans="2:9" ht="13.5" x14ac:dyDescent="0.25">
      <c r="B19" s="38">
        <f>$C$3-0.01</f>
        <v>9.980952380952382E-2</v>
      </c>
      <c r="C19" s="39">
        <f>IFERROR(ROUND(('DCF Model'!C43/(1+$B19)^1+'DCF Model'!D43/(1+$B19)^2+'DCF Model'!E43/(1+$B19)^3+'DCF Model'!F43/(1+$B19)^4+'DCF Model'!G43/(1+$B19)^5+('DCF Model'!G37+'DCF Model'!G40)*C$17/(1+$B19)^5-'DCF Model'!C16)*1000000/'DCF Model'!C15,0),"")</f>
        <v>2945</v>
      </c>
      <c r="D19" s="39">
        <f>IFERROR(ROUND(('DCF Model'!C43/(1+$B19)^1+'DCF Model'!D43/(1+$B19)^2+'DCF Model'!E43/(1+$B19)^3+'DCF Model'!F43/(1+$B19)^4+'DCF Model'!G43/(1+$B19)^5+('DCF Model'!G37+'DCF Model'!G40)*D$17/(1+$B19)^5-'DCF Model'!C16)*1000000/'DCF Model'!C15,0),"")</f>
        <v>3184</v>
      </c>
      <c r="E19" s="39">
        <f>IFERROR(ROUND(('DCF Model'!C43/(1+$B19)^1+'DCF Model'!D43/(1+$B19)^2+'DCF Model'!E43/(1+$B19)^3+'DCF Model'!F43/(1+$B19)^4+'DCF Model'!G43/(1+$B19)^5+('DCF Model'!G37+'DCF Model'!G40)*E$17/(1+$B19)^5-'DCF Model'!C16)*1000000/'DCF Model'!C15,0),"")</f>
        <v>3424</v>
      </c>
      <c r="F19" s="39">
        <f>IFERROR(ROUND(('DCF Model'!C43/(1+$B19)^1+'DCF Model'!D43/(1+$B19)^2+'DCF Model'!E43/(1+$B19)^3+'DCF Model'!F43/(1+$B19)^4+'DCF Model'!G43/(1+$B19)^5+('DCF Model'!G37+'DCF Model'!G40)*F$17/(1+$B19)^5-'DCF Model'!C16)*1000000/'DCF Model'!C15,0),"")</f>
        <v>3664</v>
      </c>
      <c r="G19" s="39">
        <f>IFERROR(ROUND(('DCF Model'!C43/(1+$B19)^1+'DCF Model'!D43/(1+$B19)^2+'DCF Model'!E43/(1+$B19)^3+'DCF Model'!F43/(1+$B19)^4+'DCF Model'!G43/(1+$B19)^5+('DCF Model'!G37+'DCF Model'!G40)*G$17/(1+$B19)^5-'DCF Model'!C16)*1000000/'DCF Model'!C15,0),"")</f>
        <v>3904</v>
      </c>
      <c r="H19" s="39">
        <f>IFERROR(ROUND(('DCF Model'!C43/(1+$B19)^1+'DCF Model'!D43/(1+$B19)^2+'DCF Model'!E43/(1+$B19)^3+'DCF Model'!F43/(1+$B19)^4+'DCF Model'!G43/(1+$B19)^5+('DCF Model'!G37+'DCF Model'!G40)*H$17/(1+$B19)^5-'DCF Model'!C16)*1000000/'DCF Model'!C15,0),"")</f>
        <v>4144</v>
      </c>
      <c r="I19" s="39">
        <f>IFERROR(ROUND(('DCF Model'!C43/(1+$B19)^1+'DCF Model'!D43/(1+$B19)^2+'DCF Model'!E43/(1+$B19)^3+'DCF Model'!F43/(1+$B19)^4+'DCF Model'!G43/(1+$B19)^5+('DCF Model'!G37+'DCF Model'!G40)*I$17/(1+$B19)^5-'DCF Model'!C16)*1000000/'DCF Model'!C15,0),"")</f>
        <v>4383</v>
      </c>
    </row>
    <row r="20" spans="2:9" ht="13.5" x14ac:dyDescent="0.25">
      <c r="B20" s="38">
        <f>$C$3-0.005</f>
        <v>0.10480952380952381</v>
      </c>
      <c r="C20" s="39">
        <f>IFERROR(ROUND(('DCF Model'!C43/(1+$B20)^1+'DCF Model'!D43/(1+$B20)^2+'DCF Model'!E43/(1+$B20)^3+'DCF Model'!F43/(1+$B20)^4+'DCF Model'!G43/(1+$B20)^5+('DCF Model'!G37+'DCF Model'!G40)*C$17/(1+$B20)^5-'DCF Model'!C16)*1000000/'DCF Model'!C15,0),"")</f>
        <v>2901</v>
      </c>
      <c r="D20" s="39">
        <f>IFERROR(ROUND(('DCF Model'!C43/(1+$B20)^1+'DCF Model'!D43/(1+$B20)^2+'DCF Model'!E43/(1+$B20)^3+'DCF Model'!F43/(1+$B20)^4+'DCF Model'!G43/(1+$B20)^5+('DCF Model'!G37+'DCF Model'!G40)*D$17/(1+$B20)^5-'DCF Model'!C16)*1000000/'DCF Model'!C15,0),"")</f>
        <v>3135</v>
      </c>
      <c r="E20" s="39">
        <f>IFERROR(ROUND(('DCF Model'!C43/(1+$B20)^1+'DCF Model'!D43/(1+$B20)^2+'DCF Model'!E43/(1+$B20)^3+'DCF Model'!F43/(1+$B20)^4+'DCF Model'!G43/(1+$B20)^5+('DCF Model'!G37+'DCF Model'!G40)*E$17/(1+$B20)^5-'DCF Model'!C16)*1000000/'DCF Model'!C15,0),"")</f>
        <v>3370</v>
      </c>
      <c r="F20" s="39">
        <f>IFERROR(ROUND(('DCF Model'!C43/(1+$B20)^1+'DCF Model'!D43/(1+$B20)^2+'DCF Model'!E43/(1+$B20)^3+'DCF Model'!F43/(1+$B20)^4+'DCF Model'!G43/(1+$B20)^5+('DCF Model'!G37+'DCF Model'!G40)*F$17/(1+$B20)^5-'DCF Model'!C16)*1000000/'DCF Model'!C15,0),"")</f>
        <v>3604</v>
      </c>
      <c r="G20" s="39">
        <f>IFERROR(ROUND(('DCF Model'!C43/(1+$B20)^1+'DCF Model'!D43/(1+$B20)^2+'DCF Model'!E43/(1+$B20)^3+'DCF Model'!F43/(1+$B20)^4+'DCF Model'!G43/(1+$B20)^5+('DCF Model'!G37+'DCF Model'!G40)*G$17/(1+$B20)^5-'DCF Model'!C16)*1000000/'DCF Model'!C15,0),"")</f>
        <v>3838</v>
      </c>
      <c r="H20" s="39">
        <f>IFERROR(ROUND(('DCF Model'!C43/(1+$B20)^1+'DCF Model'!D43/(1+$B20)^2+'DCF Model'!E43/(1+$B20)^3+'DCF Model'!F43/(1+$B20)^4+'DCF Model'!G43/(1+$B20)^5+('DCF Model'!G37+'DCF Model'!G40)*H$17/(1+$B20)^5-'DCF Model'!C16)*1000000/'DCF Model'!C15,0),"")</f>
        <v>4073</v>
      </c>
      <c r="I20" s="39">
        <f>IFERROR(ROUND(('DCF Model'!C43/(1+$B20)^1+'DCF Model'!D43/(1+$B20)^2+'DCF Model'!E43/(1+$B20)^3+'DCF Model'!F43/(1+$B20)^4+'DCF Model'!G43/(1+$B20)^5+('DCF Model'!G37+'DCF Model'!G40)*I$17/(1+$B20)^5-'DCF Model'!C16)*1000000/'DCF Model'!C15,0),"")</f>
        <v>4307</v>
      </c>
    </row>
    <row r="21" spans="2:9" ht="13.5" x14ac:dyDescent="0.25">
      <c r="B21" s="38">
        <f>$C$3</f>
        <v>0.10980952380952382</v>
      </c>
      <c r="C21" s="39">
        <f>IFERROR(ROUND(('DCF Model'!C43/(1+$B21)^1+'DCF Model'!D43/(1+$B21)^2+'DCF Model'!E43/(1+$B21)^3+'DCF Model'!F43/(1+$B21)^4+'DCF Model'!G43/(1+$B21)^5+('DCF Model'!G37+'DCF Model'!G40)*C$17/(1+$B21)^5-'DCF Model'!C16)*1000000/'DCF Model'!C15,0),"")</f>
        <v>2858</v>
      </c>
      <c r="D21" s="39">
        <f>IFERROR(ROUND(('DCF Model'!C43/(1+$B21)^1+'DCF Model'!D43/(1+$B21)^2+'DCF Model'!E43/(1+$B21)^3+'DCF Model'!F43/(1+$B21)^4+'DCF Model'!G43/(1+$B21)^5+('DCF Model'!G37+'DCF Model'!G40)*D$17/(1+$B21)^5-'DCF Model'!C16)*1000000/'DCF Model'!C15,0),"")</f>
        <v>3087</v>
      </c>
      <c r="E21" s="39">
        <f>IFERROR(ROUND(('DCF Model'!C43/(1+$B21)^1+'DCF Model'!D43/(1+$B21)^2+'DCF Model'!E43/(1+$B21)^3+'DCF Model'!F43/(1+$B21)^4+'DCF Model'!G43/(1+$B21)^5+('DCF Model'!G37+'DCF Model'!G40)*E$17/(1+$B21)^5-'DCF Model'!C16)*1000000/'DCF Model'!C15,0),"")</f>
        <v>3317</v>
      </c>
      <c r="F21" s="39">
        <f>IFERROR(ROUND(('DCF Model'!C43/(1+$B21)^1+'DCF Model'!D43/(1+$B21)^2+'DCF Model'!E43/(1+$B21)^3+'DCF Model'!F43/(1+$B21)^4+'DCF Model'!G43/(1+$B21)^5+('DCF Model'!G37+'DCF Model'!G40)*F$17/(1+$B21)^5-'DCF Model'!C16)*1000000/'DCF Model'!C15,0),"")</f>
        <v>3546</v>
      </c>
      <c r="G21" s="39">
        <f>IFERROR(ROUND(('DCF Model'!C43/(1+$B21)^1+'DCF Model'!D43/(1+$B21)^2+'DCF Model'!E43/(1+$B21)^3+'DCF Model'!F43/(1+$B21)^4+'DCF Model'!G43/(1+$B21)^5+('DCF Model'!G37+'DCF Model'!G40)*G$17/(1+$B21)^5-'DCF Model'!C16)*1000000/'DCF Model'!C15,0),"")</f>
        <v>3775</v>
      </c>
      <c r="H21" s="39">
        <f>IFERROR(ROUND(('DCF Model'!C43/(1+$B21)^1+'DCF Model'!D43/(1+$B21)^2+'DCF Model'!E43/(1+$B21)^3+'DCF Model'!F43/(1+$B21)^4+'DCF Model'!G43/(1+$B21)^5+('DCF Model'!G37+'DCF Model'!G40)*H$17/(1+$B21)^5-'DCF Model'!C16)*1000000/'DCF Model'!C15,0),"")</f>
        <v>4004</v>
      </c>
      <c r="I21" s="39">
        <f>IFERROR(ROUND(('DCF Model'!C43/(1+$B21)^1+'DCF Model'!D43/(1+$B21)^2+'DCF Model'!E43/(1+$B21)^3+'DCF Model'!F43/(1+$B21)^4+'DCF Model'!G43/(1+$B21)^5+('DCF Model'!G37+'DCF Model'!G40)*I$17/(1+$B21)^5-'DCF Model'!C16)*1000000/'DCF Model'!C15,0),"")</f>
        <v>4233</v>
      </c>
    </row>
    <row r="22" spans="2:9" ht="13.5" x14ac:dyDescent="0.25">
      <c r="B22" s="38">
        <f>$C$3+0.005</f>
        <v>0.11480952380952382</v>
      </c>
      <c r="C22" s="39">
        <f>IFERROR(ROUND(('DCF Model'!C43/(1+$B22)^1+'DCF Model'!D43/(1+$B22)^2+'DCF Model'!E43/(1+$B22)^3+'DCF Model'!F43/(1+$B22)^4+'DCF Model'!G43/(1+$B22)^5+('DCF Model'!G37+'DCF Model'!G40)*C$17/(1+$B22)^5-'DCF Model'!C16)*1000000/'DCF Model'!C15,0),"")</f>
        <v>2817</v>
      </c>
      <c r="D22" s="39">
        <f>IFERROR(ROUND(('DCF Model'!C43/(1+$B22)^1+'DCF Model'!D43/(1+$B22)^2+'DCF Model'!E43/(1+$B22)^3+'DCF Model'!F43/(1+$B22)^4+'DCF Model'!G43/(1+$B22)^5+('DCF Model'!G37+'DCF Model'!G40)*D$17/(1+$B22)^5-'DCF Model'!C16)*1000000/'DCF Model'!C15,0),"")</f>
        <v>3041</v>
      </c>
      <c r="E22" s="39">
        <f>IFERROR(ROUND(('DCF Model'!C43/(1+$B22)^1+'DCF Model'!D43/(1+$B22)^2+'DCF Model'!E43/(1+$B22)^3+'DCF Model'!F43/(1+$B22)^4+'DCF Model'!G43/(1+$B22)^5+('DCF Model'!G37+'DCF Model'!G40)*E$17/(1+$B22)^5-'DCF Model'!C16)*1000000/'DCF Model'!C15,0),"")</f>
        <v>3265</v>
      </c>
      <c r="F22" s="39">
        <f>IFERROR(ROUND(('DCF Model'!C43/(1+$B22)^1+'DCF Model'!D43/(1+$B22)^2+'DCF Model'!E43/(1+$B22)^3+'DCF Model'!F43/(1+$B22)^4+'DCF Model'!G43/(1+$B22)^5+('DCF Model'!G37+'DCF Model'!G40)*F$17/(1+$B22)^5-'DCF Model'!C16)*1000000/'DCF Model'!C15,0),"")</f>
        <v>3489</v>
      </c>
      <c r="G22" s="39">
        <f>IFERROR(ROUND(('DCF Model'!C43/(1+$B22)^1+'DCF Model'!D43/(1+$B22)^2+'DCF Model'!E43/(1+$B22)^3+'DCF Model'!F43/(1+$B22)^4+'DCF Model'!G43/(1+$B22)^5+('DCF Model'!G37+'DCF Model'!G40)*G$17/(1+$B22)^5-'DCF Model'!C16)*1000000/'DCF Model'!C15,0),"")</f>
        <v>3713</v>
      </c>
      <c r="H22" s="39">
        <f>IFERROR(ROUND(('DCF Model'!C43/(1+$B22)^1+'DCF Model'!D43/(1+$B22)^2+'DCF Model'!E43/(1+$B22)^3+'DCF Model'!F43/(1+$B22)^4+'DCF Model'!G43/(1+$B22)^5+('DCF Model'!G37+'DCF Model'!G40)*H$17/(1+$B22)^5-'DCF Model'!C16)*1000000/'DCF Model'!C15,0),"")</f>
        <v>3937</v>
      </c>
      <c r="I22" s="39">
        <f>IFERROR(ROUND(('DCF Model'!C43/(1+$B22)^1+'DCF Model'!D43/(1+$B22)^2+'DCF Model'!E43/(1+$B22)^3+'DCF Model'!F43/(1+$B22)^4+'DCF Model'!G43/(1+$B22)^5+('DCF Model'!G37+'DCF Model'!G40)*I$17/(1+$B22)^5-'DCF Model'!C16)*1000000/'DCF Model'!C15,0),"")</f>
        <v>4161</v>
      </c>
    </row>
    <row r="23" spans="2:9" ht="13.5" x14ac:dyDescent="0.25">
      <c r="B23" s="38">
        <f>$C$3+0.01</f>
        <v>0.11980952380952381</v>
      </c>
      <c r="C23" s="39">
        <f>IFERROR(ROUND(('DCF Model'!C43/(1+$B23)^1+'DCF Model'!D43/(1+$B23)^2+'DCF Model'!E43/(1+$B23)^3+'DCF Model'!F43/(1+$B23)^4+'DCF Model'!G43/(1+$B23)^5+('DCF Model'!G37+'DCF Model'!G40)*C$17/(1+$B23)^5-'DCF Model'!C16)*1000000/'DCF Model'!C15,0),"")</f>
        <v>2776</v>
      </c>
      <c r="D23" s="39">
        <f>IFERROR(ROUND(('DCF Model'!C43/(1+$B23)^1+'DCF Model'!D43/(1+$B23)^2+'DCF Model'!E43/(1+$B23)^3+'DCF Model'!F43/(1+$B23)^4+'DCF Model'!G43/(1+$B23)^5+('DCF Model'!G37+'DCF Model'!G40)*D$17/(1+$B23)^5-'DCF Model'!C16)*1000000/'DCF Model'!C15,0),"")</f>
        <v>2995</v>
      </c>
      <c r="E23" s="39">
        <f>IFERROR(ROUND(('DCF Model'!C43/(1+$B23)^1+'DCF Model'!D43/(1+$B23)^2+'DCF Model'!E43/(1+$B23)^3+'DCF Model'!F43/(1+$B23)^4+'DCF Model'!G43/(1+$B23)^5+('DCF Model'!G37+'DCF Model'!G40)*E$17/(1+$B23)^5-'DCF Model'!C16)*1000000/'DCF Model'!C15,0),"")</f>
        <v>3214</v>
      </c>
      <c r="F23" s="39">
        <f>IFERROR(ROUND(('DCF Model'!C43/(1+$B23)^1+'DCF Model'!D43/(1+$B23)^2+'DCF Model'!E43/(1+$B23)^3+'DCF Model'!F43/(1+$B23)^4+'DCF Model'!G43/(1+$B23)^5+('DCF Model'!G37+'DCF Model'!G40)*F$17/(1+$B23)^5-'DCF Model'!C16)*1000000/'DCF Model'!C15,0),"")</f>
        <v>3433</v>
      </c>
      <c r="G23" s="39">
        <f>IFERROR(ROUND(('DCF Model'!C43/(1+$B23)^1+'DCF Model'!D43/(1+$B23)^2+'DCF Model'!E43/(1+$B23)^3+'DCF Model'!F43/(1+$B23)^4+'DCF Model'!G43/(1+$B23)^5+('DCF Model'!G37+'DCF Model'!G40)*G$17/(1+$B23)^5-'DCF Model'!C16)*1000000/'DCF Model'!C15,0),"")</f>
        <v>3653</v>
      </c>
      <c r="H23" s="39">
        <f>IFERROR(ROUND(('DCF Model'!C43/(1+$B23)^1+'DCF Model'!D43/(1+$B23)^2+'DCF Model'!E43/(1+$B23)^3+'DCF Model'!F43/(1+$B23)^4+'DCF Model'!G43/(1+$B23)^5+('DCF Model'!G37+'DCF Model'!G40)*H$17/(1+$B23)^5-'DCF Model'!C16)*1000000/'DCF Model'!C15,0),"")</f>
        <v>3872</v>
      </c>
      <c r="I23" s="39">
        <f>IFERROR(ROUND(('DCF Model'!C43/(1+$B23)^1+'DCF Model'!D43/(1+$B23)^2+'DCF Model'!E43/(1+$B23)^3+'DCF Model'!F43/(1+$B23)^4+'DCF Model'!G43/(1+$B23)^5+('DCF Model'!G37+'DCF Model'!G40)*I$17/(1+$B23)^5-'DCF Model'!C16)*1000000/'DCF Model'!C15,0),"")</f>
        <v>4091</v>
      </c>
    </row>
    <row r="24" spans="2:9" ht="13.5" x14ac:dyDescent="0.25">
      <c r="B24" s="38">
        <f>$C$3+0.015</f>
        <v>0.12480952380952381</v>
      </c>
      <c r="C24" s="39">
        <f>IFERROR(ROUND(('DCF Model'!C43/(1+$B24)^1+'DCF Model'!D43/(1+$B24)^2+'DCF Model'!E43/(1+$B24)^3+'DCF Model'!F43/(1+$B24)^4+'DCF Model'!G43/(1+$B24)^5+('DCF Model'!G37+'DCF Model'!G40)*C$17/(1+$B24)^5-'DCF Model'!C16)*1000000/'DCF Model'!C15,0),"")</f>
        <v>2737</v>
      </c>
      <c r="D24" s="39">
        <f>IFERROR(ROUND(('DCF Model'!C43/(1+$B24)^1+'DCF Model'!D43/(1+$B24)^2+'DCF Model'!E43/(1+$B24)^3+'DCF Model'!F43/(1+$B24)^4+'DCF Model'!G43/(1+$B24)^5+('DCF Model'!G37+'DCF Model'!G40)*D$17/(1+$B24)^5-'DCF Model'!C16)*1000000/'DCF Model'!C15,0),"")</f>
        <v>2951</v>
      </c>
      <c r="E24" s="39">
        <f>IFERROR(ROUND(('DCF Model'!C43/(1+$B24)^1+'DCF Model'!D43/(1+$B24)^2+'DCF Model'!E43/(1+$B24)^3+'DCF Model'!F43/(1+$B24)^4+'DCF Model'!G43/(1+$B24)^5+('DCF Model'!G37+'DCF Model'!G40)*E$17/(1+$B24)^5-'DCF Model'!C16)*1000000/'DCF Model'!C15,0),"")</f>
        <v>3165</v>
      </c>
      <c r="F24" s="39">
        <f>IFERROR(ROUND(('DCF Model'!C43/(1+$B24)^1+'DCF Model'!D43/(1+$B24)^2+'DCF Model'!E43/(1+$B24)^3+'DCF Model'!F43/(1+$B24)^4+'DCF Model'!G43/(1+$B24)^5+('DCF Model'!G37+'DCF Model'!G40)*F$17/(1+$B24)^5-'DCF Model'!C16)*1000000/'DCF Model'!C15,0),"")</f>
        <v>3379</v>
      </c>
      <c r="G24" s="39">
        <f>IFERROR(ROUND(('DCF Model'!C43/(1+$B24)^1+'DCF Model'!D43/(1+$B24)^2+'DCF Model'!E43/(1+$B24)^3+'DCF Model'!F43/(1+$B24)^4+'DCF Model'!G43/(1+$B24)^5+('DCF Model'!G37+'DCF Model'!G40)*G$17/(1+$B24)^5-'DCF Model'!C16)*1000000/'DCF Model'!C15,0),"")</f>
        <v>3594</v>
      </c>
      <c r="H24" s="39">
        <f>IFERROR(ROUND(('DCF Model'!C43/(1+$B24)^1+'DCF Model'!D43/(1+$B24)^2+'DCF Model'!E43/(1+$B24)^3+'DCF Model'!F43/(1+$B24)^4+'DCF Model'!G43/(1+$B24)^5+('DCF Model'!G37+'DCF Model'!G40)*H$17/(1+$B24)^5-'DCF Model'!C16)*1000000/'DCF Model'!C15,0),"")</f>
        <v>3808</v>
      </c>
      <c r="I24" s="39">
        <f>IFERROR(ROUND(('DCF Model'!C43/(1+$B24)^1+'DCF Model'!D43/(1+$B24)^2+'DCF Model'!E43/(1+$B24)^3+'DCF Model'!F43/(1+$B24)^4+'DCF Model'!G43/(1+$B24)^5+('DCF Model'!G37+'DCF Model'!G40)*I$17/(1+$B24)^5-'DCF Model'!C16)*1000000/'DCF Model'!C15,0),"")</f>
        <v>4022</v>
      </c>
    </row>
    <row r="26" spans="2:9" ht="14" x14ac:dyDescent="0.3">
      <c r="B26" s="43" t="s">
        <v>178</v>
      </c>
      <c r="C26" s="42"/>
      <c r="D26" s="42"/>
      <c r="E26" s="42"/>
      <c r="F26" s="42"/>
      <c r="G26" s="42"/>
      <c r="H26" s="42"/>
      <c r="I26" s="42"/>
    </row>
  </sheetData>
  <mergeCells count="1">
    <mergeCell ref="B26:I26"/>
  </mergeCells>
  <phoneticPr fontId="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Executive Summary</vt:lpstr>
      <vt:lpstr>Financial Statements</vt:lpstr>
      <vt:lpstr>DCF Model</vt:lpstr>
      <vt:lpstr>NWC Schedule</vt:lpstr>
      <vt:lpstr>Comps Analysis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2026-03-07T05:16:56Z</dcterms:created>
  <dcterms:modified xsi:type="dcterms:W3CDTF">2026-03-07T05:43:44Z</dcterms:modified>
</cp:coreProperties>
</file>