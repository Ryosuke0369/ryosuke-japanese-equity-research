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Downloads\"/>
    </mc:Choice>
  </mc:AlternateContent>
  <xr:revisionPtr revIDLastSave="0" documentId="13_ncr:1_{B9F60A0B-8C83-4F0E-96FB-34BEF9BC1EE5}" xr6:coauthVersionLast="47" xr6:coauthVersionMax="47" xr10:uidLastSave="{00000000-0000-0000-0000-000000000000}"/>
  <bookViews>
    <workbookView xWindow="-110" yWindow="-110" windowWidth="19420" windowHeight="10300" tabRatio="500" firstSheet="5" activeTab="7" xr2:uid="{00000000-000D-0000-FFFF-FFFF00000000}"/>
  </bookViews>
  <sheets>
    <sheet name="Cover" sheetId="1" r:id="rId1"/>
    <sheet name="Transaction Assumptions" sheetId="2" r:id="rId2"/>
    <sheet name="Income Statement" sheetId="3" r:id="rId3"/>
    <sheet name="Transaction Summary" sheetId="4" r:id="rId4"/>
    <sheet name="Balance Sheet" sheetId="5" r:id="rId5"/>
    <sheet name="Cash Flow Statement" sheetId="6" r:id="rId6"/>
    <sheet name="Debt Schedule" sheetId="7" r:id="rId7"/>
    <sheet name="Returns Analysis" sheetId="8" r:id="rId8"/>
  </sheets>
  <calcPr calcId="181029" iterateDelta="1E-4"/>
</workbook>
</file>

<file path=xl/calcChain.xml><?xml version="1.0" encoding="utf-8"?>
<calcChain xmlns="http://schemas.openxmlformats.org/spreadsheetml/2006/main">
  <c r="D26" i="7" l="1"/>
  <c r="I26" i="7" s="1"/>
  <c r="D21" i="7"/>
  <c r="D27" i="7" s="1"/>
  <c r="H15" i="7"/>
  <c r="D15" i="7"/>
  <c r="I15" i="7" s="1"/>
  <c r="I10" i="7"/>
  <c r="I33" i="7" s="1"/>
  <c r="H10" i="7"/>
  <c r="H33" i="7" s="1"/>
  <c r="G10" i="7"/>
  <c r="G33" i="7" s="1"/>
  <c r="F10" i="7"/>
  <c r="F33" i="7" s="1"/>
  <c r="E10" i="7"/>
  <c r="E33" i="7" s="1"/>
  <c r="D10" i="7"/>
  <c r="D33" i="7" s="1"/>
  <c r="D9" i="7"/>
  <c r="D16" i="7" s="1"/>
  <c r="I36" i="6"/>
  <c r="H36" i="6"/>
  <c r="G36" i="6"/>
  <c r="F36" i="6"/>
  <c r="E36" i="6"/>
  <c r="D36" i="6"/>
  <c r="I35" i="6"/>
  <c r="H35" i="6"/>
  <c r="G35" i="6"/>
  <c r="F35" i="6"/>
  <c r="E35" i="6"/>
  <c r="D35" i="6"/>
  <c r="I34" i="6"/>
  <c r="H34" i="6"/>
  <c r="G34" i="6"/>
  <c r="F34" i="6"/>
  <c r="E34" i="6"/>
  <c r="D34" i="6"/>
  <c r="D29" i="6"/>
  <c r="D27" i="6"/>
  <c r="D19" i="6"/>
  <c r="D16" i="6"/>
  <c r="D15" i="6"/>
  <c r="D20" i="6" s="1"/>
  <c r="D11" i="6"/>
  <c r="F43" i="5"/>
  <c r="E43" i="5"/>
  <c r="D43" i="5"/>
  <c r="D45" i="5" s="1"/>
  <c r="F42" i="5"/>
  <c r="G42" i="5" s="1"/>
  <c r="H42" i="5" s="1"/>
  <c r="I42" i="5" s="1"/>
  <c r="J42" i="5" s="1"/>
  <c r="K42" i="5" s="1"/>
  <c r="F41" i="5"/>
  <c r="F40" i="5"/>
  <c r="G40" i="5" s="1"/>
  <c r="D35" i="5"/>
  <c r="G34" i="5"/>
  <c r="H34" i="5" s="1"/>
  <c r="I34" i="5" s="1"/>
  <c r="J34" i="5" s="1"/>
  <c r="K34" i="5" s="1"/>
  <c r="F34" i="5"/>
  <c r="F30" i="5"/>
  <c r="E30" i="5"/>
  <c r="D30" i="5"/>
  <c r="D37" i="5" s="1"/>
  <c r="H29" i="5"/>
  <c r="I29" i="5" s="1"/>
  <c r="J29" i="5" s="1"/>
  <c r="K29" i="5" s="1"/>
  <c r="F29" i="5"/>
  <c r="G29" i="5" s="1"/>
  <c r="K28" i="5"/>
  <c r="J28" i="5"/>
  <c r="I28" i="5"/>
  <c r="H28" i="5"/>
  <c r="G28" i="5"/>
  <c r="F28" i="5"/>
  <c r="G27" i="5"/>
  <c r="E19" i="6" s="1"/>
  <c r="F27" i="5"/>
  <c r="F26" i="5"/>
  <c r="D18" i="6" s="1"/>
  <c r="D20" i="5"/>
  <c r="H19" i="5"/>
  <c r="I19" i="5" s="1"/>
  <c r="J19" i="5" s="1"/>
  <c r="K19" i="5" s="1"/>
  <c r="F19" i="5"/>
  <c r="G19" i="5" s="1"/>
  <c r="F17" i="5"/>
  <c r="G17" i="5" s="1"/>
  <c r="H17" i="5" s="1"/>
  <c r="I17" i="5" s="1"/>
  <c r="J17" i="5" s="1"/>
  <c r="K17" i="5" s="1"/>
  <c r="F16" i="5"/>
  <c r="E13" i="5"/>
  <c r="D13" i="5"/>
  <c r="D22" i="5" s="1"/>
  <c r="D48" i="5" s="1"/>
  <c r="D49" i="5" s="1"/>
  <c r="F12" i="5"/>
  <c r="D17" i="6" s="1"/>
  <c r="F11" i="5"/>
  <c r="F10" i="5"/>
  <c r="F9" i="5"/>
  <c r="E9" i="5"/>
  <c r="D30" i="4"/>
  <c r="D27" i="4"/>
  <c r="D25" i="4"/>
  <c r="D17" i="4"/>
  <c r="H43" i="3"/>
  <c r="G43" i="3"/>
  <c r="F43" i="3"/>
  <c r="E43" i="3"/>
  <c r="D43" i="3"/>
  <c r="H41" i="3"/>
  <c r="G41" i="3"/>
  <c r="F41" i="3"/>
  <c r="E41" i="3"/>
  <c r="D41" i="3"/>
  <c r="G25" i="3"/>
  <c r="G40" i="3" s="1"/>
  <c r="G46" i="3" s="1"/>
  <c r="H23" i="3"/>
  <c r="G23" i="3"/>
  <c r="F23" i="3"/>
  <c r="E23" i="3"/>
  <c r="D23" i="3"/>
  <c r="G19" i="3"/>
  <c r="E19" i="3"/>
  <c r="E20" i="3" s="1"/>
  <c r="D19" i="3"/>
  <c r="D20" i="3" s="1"/>
  <c r="H17" i="3"/>
  <c r="G17" i="3"/>
  <c r="F17" i="3"/>
  <c r="E17" i="3"/>
  <c r="D17" i="3"/>
  <c r="H14" i="3"/>
  <c r="G14" i="3"/>
  <c r="F14" i="3"/>
  <c r="H13" i="3"/>
  <c r="H19" i="3" s="1"/>
  <c r="G13" i="3"/>
  <c r="F13" i="3"/>
  <c r="F19" i="3" s="1"/>
  <c r="F20" i="3" s="1"/>
  <c r="E13" i="3"/>
  <c r="E14" i="3" s="1"/>
  <c r="D13" i="3"/>
  <c r="D14" i="3" s="1"/>
  <c r="H11" i="3"/>
  <c r="G11" i="3"/>
  <c r="F11" i="3"/>
  <c r="E11" i="3"/>
  <c r="D11" i="3"/>
  <c r="H8" i="3"/>
  <c r="G8" i="3"/>
  <c r="F8" i="3"/>
  <c r="E8" i="3"/>
  <c r="J7" i="3"/>
  <c r="D42" i="2"/>
  <c r="D41" i="2"/>
  <c r="D44" i="2" s="1"/>
  <c r="I35" i="2"/>
  <c r="D35" i="2"/>
  <c r="E33" i="2" s="1"/>
  <c r="I32" i="2"/>
  <c r="I31" i="2"/>
  <c r="D25" i="2"/>
  <c r="D24" i="2"/>
  <c r="D11" i="2"/>
  <c r="D15" i="2" s="1"/>
  <c r="D23" i="2" s="1"/>
  <c r="D29" i="4" s="1"/>
  <c r="D8" i="2"/>
  <c r="D26" i="4" s="1"/>
  <c r="G16" i="5" l="1"/>
  <c r="E32" i="2"/>
  <c r="G10" i="5"/>
  <c r="E15" i="6" s="1"/>
  <c r="J22" i="3"/>
  <c r="E11" i="6" s="1"/>
  <c r="D34" i="2"/>
  <c r="D28" i="4"/>
  <c r="F13" i="5"/>
  <c r="J10" i="3"/>
  <c r="K7" i="3"/>
  <c r="G20" i="3"/>
  <c r="G30" i="3"/>
  <c r="H40" i="5"/>
  <c r="G26" i="3"/>
  <c r="J42" i="3"/>
  <c r="E27" i="6" s="1"/>
  <c r="E29" i="6" s="1"/>
  <c r="G12" i="5"/>
  <c r="E17" i="6" s="1"/>
  <c r="D20" i="4"/>
  <c r="H25" i="3"/>
  <c r="D25" i="3"/>
  <c r="D30" i="3"/>
  <c r="E31" i="2"/>
  <c r="D46" i="2"/>
  <c r="D36" i="4" s="1"/>
  <c r="D34" i="4"/>
  <c r="J13" i="3"/>
  <c r="E25" i="3"/>
  <c r="E30" i="3"/>
  <c r="J16" i="3"/>
  <c r="F25" i="3"/>
  <c r="F30" i="3"/>
  <c r="E45" i="6"/>
  <c r="D53" i="6"/>
  <c r="D45" i="6"/>
  <c r="D34" i="7"/>
  <c r="H20" i="3"/>
  <c r="H30" i="3"/>
  <c r="E15" i="7"/>
  <c r="E26" i="7"/>
  <c r="D13" i="7"/>
  <c r="F15" i="7"/>
  <c r="D24" i="7"/>
  <c r="E21" i="7" s="1"/>
  <c r="F26" i="7"/>
  <c r="G15" i="7"/>
  <c r="G26" i="7"/>
  <c r="H26" i="7"/>
  <c r="F26" i="3" l="1"/>
  <c r="F40" i="3"/>
  <c r="F46" i="3" s="1"/>
  <c r="H33" i="3"/>
  <c r="H35" i="3"/>
  <c r="D33" i="3"/>
  <c r="D35" i="3"/>
  <c r="D36" i="3" s="1"/>
  <c r="I40" i="5"/>
  <c r="D23" i="8"/>
  <c r="D35" i="4"/>
  <c r="E34" i="2"/>
  <c r="D47" i="2"/>
  <c r="K22" i="3"/>
  <c r="F11" i="6" s="1"/>
  <c r="K42" i="3"/>
  <c r="F27" i="6" s="1"/>
  <c r="F29" i="6" s="1"/>
  <c r="H12" i="5"/>
  <c r="F17" i="6" s="1"/>
  <c r="K16" i="3"/>
  <c r="H27" i="5"/>
  <c r="F19" i="6" s="1"/>
  <c r="H10" i="5"/>
  <c r="F15" i="6" s="1"/>
  <c r="L7" i="3"/>
  <c r="K10" i="3"/>
  <c r="E27" i="7"/>
  <c r="E24" i="7"/>
  <c r="F21" i="7" s="1"/>
  <c r="E35" i="3"/>
  <c r="E36" i="3" s="1"/>
  <c r="E33" i="3"/>
  <c r="D40" i="3"/>
  <c r="D46" i="3" s="1"/>
  <c r="D26" i="3"/>
  <c r="J19" i="3"/>
  <c r="J14" i="3"/>
  <c r="G26" i="5"/>
  <c r="G11" i="5"/>
  <c r="E16" i="6" s="1"/>
  <c r="F35" i="3"/>
  <c r="F36" i="3" s="1"/>
  <c r="F33" i="3"/>
  <c r="D41" i="7"/>
  <c r="D10" i="6"/>
  <c r="D37" i="6"/>
  <c r="D40" i="6" s="1"/>
  <c r="E40" i="3"/>
  <c r="E46" i="3" s="1"/>
  <c r="E26" i="3"/>
  <c r="D38" i="7"/>
  <c r="D40" i="7" s="1"/>
  <c r="H26" i="3"/>
  <c r="D19" i="4" s="1"/>
  <c r="H40" i="3"/>
  <c r="H46" i="3" s="1"/>
  <c r="D18" i="4"/>
  <c r="G35" i="3"/>
  <c r="G36" i="3" s="1"/>
  <c r="G33" i="3"/>
  <c r="E9" i="7"/>
  <c r="D32" i="7"/>
  <c r="H11" i="5" l="1"/>
  <c r="F16" i="6" s="1"/>
  <c r="H26" i="5"/>
  <c r="D39" i="7"/>
  <c r="E33" i="5"/>
  <c r="F33" i="5"/>
  <c r="F35" i="5" s="1"/>
  <c r="F37" i="5" s="1"/>
  <c r="F45" i="5" s="1"/>
  <c r="L42" i="3"/>
  <c r="G27" i="6" s="1"/>
  <c r="G29" i="6" s="1"/>
  <c r="L10" i="3"/>
  <c r="M7" i="3"/>
  <c r="L13" i="3"/>
  <c r="I27" i="5"/>
  <c r="G19" i="6" s="1"/>
  <c r="I12" i="5"/>
  <c r="G17" i="6" s="1"/>
  <c r="I10" i="5"/>
  <c r="G15" i="6" s="1"/>
  <c r="L22" i="3"/>
  <c r="G11" i="6" s="1"/>
  <c r="L16" i="3"/>
  <c r="D21" i="4"/>
  <c r="D9" i="6"/>
  <c r="D22" i="6" s="1"/>
  <c r="D46" i="6" s="1"/>
  <c r="D47" i="6" s="1"/>
  <c r="D52" i="6" s="1"/>
  <c r="D54" i="6" s="1"/>
  <c r="D55" i="6" s="1"/>
  <c r="H36" i="3"/>
  <c r="J25" i="3"/>
  <c r="J20" i="3"/>
  <c r="J40" i="5"/>
  <c r="F27" i="7"/>
  <c r="F24" i="7"/>
  <c r="G21" i="7" s="1"/>
  <c r="E13" i="7"/>
  <c r="E18" i="6"/>
  <c r="E20" i="6" s="1"/>
  <c r="G30" i="5"/>
  <c r="K13" i="3"/>
  <c r="H16" i="5"/>
  <c r="F20" i="6" l="1"/>
  <c r="G24" i="7"/>
  <c r="H21" i="7" s="1"/>
  <c r="G27" i="7"/>
  <c r="I11" i="5"/>
  <c r="G16" i="6" s="1"/>
  <c r="I26" i="5"/>
  <c r="I16" i="5"/>
  <c r="K14" i="3"/>
  <c r="K19" i="3"/>
  <c r="E35" i="5"/>
  <c r="E37" i="5" s="1"/>
  <c r="E45" i="5" s="1"/>
  <c r="E18" i="5"/>
  <c r="L19" i="3"/>
  <c r="L14" i="3"/>
  <c r="J12" i="5"/>
  <c r="H17" i="6" s="1"/>
  <c r="M13" i="3"/>
  <c r="J10" i="5"/>
  <c r="H15" i="6" s="1"/>
  <c r="M42" i="3"/>
  <c r="H27" i="6" s="1"/>
  <c r="H29" i="6" s="1"/>
  <c r="M22" i="3"/>
  <c r="H11" i="6" s="1"/>
  <c r="M10" i="3"/>
  <c r="J27" i="5"/>
  <c r="H19" i="6" s="1"/>
  <c r="M16" i="3"/>
  <c r="N7" i="3"/>
  <c r="K40" i="5"/>
  <c r="F9" i="7"/>
  <c r="E32" i="7"/>
  <c r="E38" i="7"/>
  <c r="E11" i="8" s="1"/>
  <c r="E13" i="8" s="1"/>
  <c r="J26" i="3"/>
  <c r="J40" i="3"/>
  <c r="E16" i="7"/>
  <c r="E34" i="7" s="1"/>
  <c r="F18" i="6"/>
  <c r="H30" i="5"/>
  <c r="G20" i="6" l="1"/>
  <c r="L25" i="3"/>
  <c r="L20" i="3"/>
  <c r="M14" i="3"/>
  <c r="M19" i="3"/>
  <c r="K12" i="5"/>
  <c r="I17" i="6" s="1"/>
  <c r="N10" i="3"/>
  <c r="K27" i="5"/>
  <c r="I19" i="6" s="1"/>
  <c r="N16" i="3"/>
  <c r="N22" i="3"/>
  <c r="I11" i="6" s="1"/>
  <c r="K10" i="5"/>
  <c r="I15" i="6" s="1"/>
  <c r="N42" i="3"/>
  <c r="I27" i="6" s="1"/>
  <c r="I29" i="6" s="1"/>
  <c r="J26" i="5"/>
  <c r="J11" i="5"/>
  <c r="H16" i="6" s="1"/>
  <c r="E20" i="5"/>
  <c r="E22" i="5" s="1"/>
  <c r="E48" i="5" s="1"/>
  <c r="E49" i="5" s="1"/>
  <c r="F18" i="5"/>
  <c r="G18" i="6"/>
  <c r="I30" i="5"/>
  <c r="K25" i="3"/>
  <c r="K20" i="3"/>
  <c r="E15" i="8"/>
  <c r="E18" i="8" s="1"/>
  <c r="E39" i="7"/>
  <c r="G33" i="5"/>
  <c r="G35" i="5" s="1"/>
  <c r="G37" i="5" s="1"/>
  <c r="E10" i="6"/>
  <c r="E40" i="7"/>
  <c r="J28" i="3"/>
  <c r="J30" i="3" s="1"/>
  <c r="E37" i="6"/>
  <c r="E40" i="6" s="1"/>
  <c r="E41" i="7"/>
  <c r="J16" i="5"/>
  <c r="F13" i="7"/>
  <c r="H24" i="7"/>
  <c r="I21" i="7" s="1"/>
  <c r="H27" i="7"/>
  <c r="H20" i="6" l="1"/>
  <c r="E27" i="8"/>
  <c r="E25" i="8"/>
  <c r="K16" i="5"/>
  <c r="K20" i="5" s="1"/>
  <c r="H18" i="5"/>
  <c r="H20" i="5" s="1"/>
  <c r="G18" i="5"/>
  <c r="G20" i="5" s="1"/>
  <c r="J18" i="5"/>
  <c r="J20" i="5" s="1"/>
  <c r="F20" i="5"/>
  <c r="F22" i="5" s="1"/>
  <c r="F48" i="5" s="1"/>
  <c r="F49" i="5" s="1"/>
  <c r="K18" i="5"/>
  <c r="I18" i="5"/>
  <c r="I20" i="5" s="1"/>
  <c r="F38" i="7"/>
  <c r="F11" i="8" s="1"/>
  <c r="F13" i="8" s="1"/>
  <c r="K40" i="3"/>
  <c r="K26" i="3"/>
  <c r="G38" i="7"/>
  <c r="G11" i="8" s="1"/>
  <c r="L26" i="3"/>
  <c r="L40" i="3"/>
  <c r="J30" i="5"/>
  <c r="H18" i="6"/>
  <c r="K26" i="5"/>
  <c r="K11" i="5"/>
  <c r="I16" i="6" s="1"/>
  <c r="J32" i="3"/>
  <c r="J41" i="3" s="1"/>
  <c r="J46" i="3" s="1"/>
  <c r="J35" i="3"/>
  <c r="M20" i="3"/>
  <c r="M25" i="3"/>
  <c r="I24" i="7"/>
  <c r="I27" i="7"/>
  <c r="F32" i="7"/>
  <c r="G9" i="7"/>
  <c r="N13" i="3"/>
  <c r="F16" i="7"/>
  <c r="F34" i="7" s="1"/>
  <c r="G13" i="8" l="1"/>
  <c r="G13" i="7"/>
  <c r="H38" i="7"/>
  <c r="H11" i="8" s="1"/>
  <c r="M26" i="3"/>
  <c r="M40" i="3"/>
  <c r="F39" i="7"/>
  <c r="H33" i="5"/>
  <c r="H35" i="5" s="1"/>
  <c r="H37" i="5" s="1"/>
  <c r="F15" i="8"/>
  <c r="F18" i="8" s="1"/>
  <c r="N14" i="3"/>
  <c r="N19" i="3"/>
  <c r="K30" i="5"/>
  <c r="I18" i="6"/>
  <c r="I20" i="6" s="1"/>
  <c r="F40" i="7"/>
  <c r="F41" i="7"/>
  <c r="F37" i="6"/>
  <c r="F40" i="6" s="1"/>
  <c r="F10" i="6"/>
  <c r="K28" i="3"/>
  <c r="K30" i="3" s="1"/>
  <c r="G41" i="5"/>
  <c r="J36" i="3"/>
  <c r="E9" i="6"/>
  <c r="E22" i="6" s="1"/>
  <c r="E46" i="6" s="1"/>
  <c r="E47" i="6" s="1"/>
  <c r="F25" i="8" l="1"/>
  <c r="F27" i="8"/>
  <c r="E52" i="6"/>
  <c r="F45" i="6"/>
  <c r="G9" i="5"/>
  <c r="H41" i="5"/>
  <c r="G43" i="5"/>
  <c r="G45" i="5" s="1"/>
  <c r="G32" i="7"/>
  <c r="H9" i="7"/>
  <c r="K32" i="3"/>
  <c r="K41" i="3" s="1"/>
  <c r="K46" i="3" s="1"/>
  <c r="K35" i="3"/>
  <c r="H13" i="8"/>
  <c r="N20" i="3"/>
  <c r="N25" i="3"/>
  <c r="G16" i="7"/>
  <c r="G34" i="7" s="1"/>
  <c r="E53" i="6" l="1"/>
  <c r="E54" i="6" s="1"/>
  <c r="E55" i="6" s="1"/>
  <c r="G13" i="5"/>
  <c r="G22" i="5" s="1"/>
  <c r="G48" i="5" s="1"/>
  <c r="G49" i="5" s="1"/>
  <c r="H43" i="5"/>
  <c r="H45" i="5" s="1"/>
  <c r="G40" i="7"/>
  <c r="L28" i="3"/>
  <c r="L30" i="3" s="1"/>
  <c r="G37" i="6"/>
  <c r="G40" i="6" s="1"/>
  <c r="G41" i="7"/>
  <c r="G10" i="6"/>
  <c r="I38" i="7"/>
  <c r="I11" i="8" s="1"/>
  <c r="N40" i="3"/>
  <c r="N26" i="3"/>
  <c r="F9" i="6"/>
  <c r="F22" i="6" s="1"/>
  <c r="F46" i="6" s="1"/>
  <c r="F47" i="6" s="1"/>
  <c r="K36" i="3"/>
  <c r="H13" i="7"/>
  <c r="H16" i="7"/>
  <c r="H34" i="7" s="1"/>
  <c r="G39" i="7"/>
  <c r="G15" i="8"/>
  <c r="I33" i="5"/>
  <c r="I35" i="5" s="1"/>
  <c r="I37" i="5" s="1"/>
  <c r="F52" i="6" l="1"/>
  <c r="G45" i="6"/>
  <c r="H9" i="5"/>
  <c r="H40" i="7"/>
  <c r="M28" i="3"/>
  <c r="M30" i="3" s="1"/>
  <c r="H41" i="7"/>
  <c r="H37" i="6"/>
  <c r="H40" i="6" s="1"/>
  <c r="H10" i="6"/>
  <c r="H32" i="7"/>
  <c r="I9" i="7"/>
  <c r="L32" i="3"/>
  <c r="L41" i="3" s="1"/>
  <c r="L46" i="3" s="1"/>
  <c r="G34" i="8"/>
  <c r="G43" i="8" s="1"/>
  <c r="F34" i="8"/>
  <c r="F43" i="8" s="1"/>
  <c r="H34" i="8"/>
  <c r="H43" i="8" s="1"/>
  <c r="E34" i="8"/>
  <c r="E43" i="8" s="1"/>
  <c r="D34" i="8"/>
  <c r="D43" i="8" s="1"/>
  <c r="I34" i="8"/>
  <c r="I43" i="8" s="1"/>
  <c r="G18" i="8"/>
  <c r="I13" i="8"/>
  <c r="I13" i="7" l="1"/>
  <c r="I32" i="7" s="1"/>
  <c r="H39" i="7"/>
  <c r="J33" i="5"/>
  <c r="J35" i="5" s="1"/>
  <c r="J37" i="5" s="1"/>
  <c r="H15" i="8"/>
  <c r="F53" i="6"/>
  <c r="H13" i="5"/>
  <c r="H22" i="5" s="1"/>
  <c r="H48" i="5" s="1"/>
  <c r="H49" i="5" s="1"/>
  <c r="F54" i="6"/>
  <c r="F55" i="6" s="1"/>
  <c r="M32" i="3"/>
  <c r="M41" i="3" s="1"/>
  <c r="M46" i="3" s="1"/>
  <c r="M35" i="3"/>
  <c r="G25" i="8"/>
  <c r="G27" i="8"/>
  <c r="L35" i="3"/>
  <c r="L36" i="3" l="1"/>
  <c r="G9" i="6"/>
  <c r="G22" i="6" s="1"/>
  <c r="G46" i="6" s="1"/>
  <c r="G47" i="6" s="1"/>
  <c r="I41" i="5"/>
  <c r="F35" i="8"/>
  <c r="F44" i="8" s="1"/>
  <c r="I35" i="8"/>
  <c r="I44" i="8" s="1"/>
  <c r="H35" i="8"/>
  <c r="H44" i="8" s="1"/>
  <c r="E35" i="8"/>
  <c r="E44" i="8" s="1"/>
  <c r="D35" i="8"/>
  <c r="D44" i="8" s="1"/>
  <c r="G35" i="8"/>
  <c r="G44" i="8" s="1"/>
  <c r="H18" i="8"/>
  <c r="K33" i="5"/>
  <c r="K35" i="5" s="1"/>
  <c r="K37" i="5" s="1"/>
  <c r="I15" i="8"/>
  <c r="I39" i="7"/>
  <c r="M36" i="3"/>
  <c r="H9" i="6"/>
  <c r="H22" i="6" s="1"/>
  <c r="H46" i="6" s="1"/>
  <c r="I16" i="7"/>
  <c r="I34" i="7" s="1"/>
  <c r="H45" i="6" l="1"/>
  <c r="H47" i="6" s="1"/>
  <c r="G52" i="6"/>
  <c r="I9" i="5"/>
  <c r="H25" i="8"/>
  <c r="H27" i="8"/>
  <c r="I40" i="7"/>
  <c r="I41" i="7"/>
  <c r="I37" i="6"/>
  <c r="I40" i="6" s="1"/>
  <c r="N28" i="3"/>
  <c r="N30" i="3" s="1"/>
  <c r="I10" i="6"/>
  <c r="D36" i="8"/>
  <c r="D45" i="8" s="1"/>
  <c r="I36" i="8"/>
  <c r="I45" i="8" s="1"/>
  <c r="G36" i="8"/>
  <c r="G45" i="8" s="1"/>
  <c r="H36" i="8"/>
  <c r="H45" i="8" s="1"/>
  <c r="F36" i="8"/>
  <c r="F45" i="8" s="1"/>
  <c r="E36" i="8"/>
  <c r="E45" i="8" s="1"/>
  <c r="I18" i="8"/>
  <c r="J41" i="5"/>
  <c r="I43" i="5"/>
  <c r="I45" i="5" s="1"/>
  <c r="H52" i="6" l="1"/>
  <c r="J9" i="5"/>
  <c r="I45" i="6"/>
  <c r="I25" i="8"/>
  <c r="I27" i="8"/>
  <c r="G54" i="6"/>
  <c r="G55" i="6" s="1"/>
  <c r="N32" i="3"/>
  <c r="N41" i="3" s="1"/>
  <c r="N46" i="3" s="1"/>
  <c r="N35" i="3"/>
  <c r="K41" i="5"/>
  <c r="K43" i="5" s="1"/>
  <c r="K45" i="5" s="1"/>
  <c r="J43" i="5"/>
  <c r="J45" i="5" s="1"/>
  <c r="G53" i="6"/>
  <c r="I13" i="5"/>
  <c r="I22" i="5" s="1"/>
  <c r="I48" i="5" s="1"/>
  <c r="I49" i="5" s="1"/>
  <c r="H53" i="6" l="1"/>
  <c r="H54" i="6" s="1"/>
  <c r="H55" i="6" s="1"/>
  <c r="J13" i="5"/>
  <c r="J22" i="5" s="1"/>
  <c r="J48" i="5" s="1"/>
  <c r="J49" i="5" s="1"/>
  <c r="I9" i="6"/>
  <c r="I22" i="6" s="1"/>
  <c r="I46" i="6" s="1"/>
  <c r="N36" i="3"/>
  <c r="I47" i="6"/>
  <c r="I52" i="6" l="1"/>
  <c r="K9" i="5"/>
  <c r="K13" i="5" l="1"/>
  <c r="K22" i="5" s="1"/>
  <c r="K48" i="5" s="1"/>
  <c r="K49" i="5" s="1"/>
  <c r="I53" i="6"/>
  <c r="I54" i="6" s="1"/>
  <c r="I55" i="6" s="1"/>
</calcChain>
</file>

<file path=xl/sharedStrings.xml><?xml version="1.0" encoding="utf-8"?>
<sst xmlns="http://schemas.openxmlformats.org/spreadsheetml/2006/main" count="324" uniqueCount="256">
  <si>
    <t>KFC Holdings Japan, Ltd.</t>
  </si>
  <si>
    <t>Leveraged Buyout Analysis</t>
  </si>
  <si>
    <t>Reconstruction of Carlyle Group's Take-Private Transaction</t>
  </si>
  <si>
    <t>Target:</t>
  </si>
  <si>
    <t>KFC Holdings Japan (TSE: 9873)</t>
  </si>
  <si>
    <t>Acquirer:</t>
  </si>
  <si>
    <t>The Carlyle Group</t>
  </si>
  <si>
    <t>Announcement Date:</t>
  </si>
  <si>
    <t>May 20, 2024</t>
  </si>
  <si>
    <t>Closing Date:</t>
  </si>
  <si>
    <t>September 2024</t>
  </si>
  <si>
    <t>Units:</t>
  </si>
  <si>
    <t>JPY millions (March 31 fiscal year-end)</t>
  </si>
  <si>
    <t>Prepared by: Ryosuke Sato</t>
  </si>
  <si>
    <t>github.com/Ryosuke0369/ryosuke-japanese-equity-research</t>
  </si>
  <si>
    <t>Disclaimer</t>
  </si>
  <si>
    <t>This analysis is prepared solely for portfolio demonstration purposes and does not constitute investment advice, a recommendation, or an offer to buy or sell any securities. All financial data and projections are based on publicly available information and hypothetical assumptions. The author assumes no responsibility for any investment decisions made based on this material.</t>
  </si>
  <si>
    <t>KFC Holdings Japan — Transaction Assumptions</t>
  </si>
  <si>
    <t>(JPY millions, March 31 FYE)</t>
  </si>
  <si>
    <t>Transaction Structure</t>
  </si>
  <si>
    <t>TOB Price (JPY/share)</t>
  </si>
  <si>
    <t>Pre-TOB Closing Price (JPY/share)</t>
  </si>
  <si>
    <t>Acquisition Premium</t>
  </si>
  <si>
    <t>Shares Outstanding (thousands)</t>
  </si>
  <si>
    <t>Equity Value (JPY mm)</t>
  </si>
  <si>
    <t>(+) Total Debt (JPY mm)</t>
  </si>
  <si>
    <t>(-) Cash &amp; Equivalents (JPY mm)</t>
  </si>
  <si>
    <t>Enterprise Value (JPY mm)</t>
  </si>
  <si>
    <t>Valuation Multiples</t>
  </si>
  <si>
    <t>LTM EBITDA (FY2024)</t>
  </si>
  <si>
    <t>LTM Operating Income (FY2024)</t>
  </si>
  <si>
    <t>LTM Net Income (FY2024)</t>
  </si>
  <si>
    <t>EV / EBITDA</t>
  </si>
  <si>
    <t>EV / EBIT</t>
  </si>
  <si>
    <t>P / E</t>
  </si>
  <si>
    <t>Sources &amp; Uses</t>
  </si>
  <si>
    <t>Sources</t>
  </si>
  <si>
    <t>Amount</t>
  </si>
  <si>
    <t>%</t>
  </si>
  <si>
    <t>Uses</t>
  </si>
  <si>
    <t>Senior Loan (Term Loan A)</t>
  </si>
  <si>
    <t>Equity Value (Share Acquisition)</t>
  </si>
  <si>
    <t>Senior Loan (Term Loan B)</t>
  </si>
  <si>
    <t>Existing Debt Refinancing</t>
  </si>
  <si>
    <t>Mezzanine</t>
  </si>
  <si>
    <t>Transaction Fees &amp; Advisory</t>
  </si>
  <si>
    <t>Sponsor Equity</t>
  </si>
  <si>
    <t>Financing Fees</t>
  </si>
  <si>
    <t>Total Sources</t>
  </si>
  <si>
    <t>Total Uses</t>
  </si>
  <si>
    <t>Debt Terms</t>
  </si>
  <si>
    <t>Rate</t>
  </si>
  <si>
    <t>Repayment</t>
  </si>
  <si>
    <t>Maturity (Yrs)</t>
  </si>
  <si>
    <t>Term Loan A</t>
  </si>
  <si>
    <t>Amortizing</t>
  </si>
  <si>
    <t>Term Loan B</t>
  </si>
  <si>
    <t>Bullet</t>
  </si>
  <si>
    <t>Total Debt</t>
  </si>
  <si>
    <t>Total Debt / EBITDA</t>
  </si>
  <si>
    <t>Equity / Total Sources</t>
  </si>
  <si>
    <t>Income Statement</t>
  </si>
  <si>
    <t>Actual</t>
  </si>
  <si>
    <t>Projected</t>
  </si>
  <si>
    <t>FY2020</t>
  </si>
  <si>
    <t>FY2021</t>
  </si>
  <si>
    <t>FY2022</t>
  </si>
  <si>
    <t>FY2023</t>
  </si>
  <si>
    <t>FY2024</t>
  </si>
  <si>
    <t>FY2025E</t>
  </si>
  <si>
    <t>FY2026E</t>
  </si>
  <si>
    <t>FY2027E</t>
  </si>
  <si>
    <t>FY2028E</t>
  </si>
  <si>
    <t>FY2029E</t>
  </si>
  <si>
    <t>Revenue</t>
  </si>
  <si>
    <t xml:space="preserve">  Revenue Growth</t>
  </si>
  <si>
    <t>Cost of Goods Sold</t>
  </si>
  <si>
    <t xml:space="preserve">  COGS % Revenue</t>
  </si>
  <si>
    <t>Gross Profit</t>
  </si>
  <si>
    <t xml:space="preserve">  Gross Margin</t>
  </si>
  <si>
    <t>SG&amp;A Expenses</t>
  </si>
  <si>
    <t xml:space="preserve">  SG&amp;A % Revenue</t>
  </si>
  <si>
    <t>Operating Income (EBIT)</t>
  </si>
  <si>
    <t xml:space="preserve">  Operating Margin</t>
  </si>
  <si>
    <t>Depreciation &amp; Amortization</t>
  </si>
  <si>
    <t xml:space="preserve">  D&amp;A % Revenue</t>
  </si>
  <si>
    <t>EBITDA</t>
  </si>
  <si>
    <t xml:space="preserve">  EBITDA Margin</t>
  </si>
  <si>
    <t>Interest Expense</t>
  </si>
  <si>
    <t>Earnings Before Tax (EBT)</t>
  </si>
  <si>
    <t>Income Taxes</t>
  </si>
  <si>
    <t xml:space="preserve">  Effective Tax Rate</t>
  </si>
  <si>
    <t>Net Income</t>
  </si>
  <si>
    <t xml:space="preserve">  Net Margin</t>
  </si>
  <si>
    <t>Free Cash Flow Summary</t>
  </si>
  <si>
    <t>(-) Income Taxes</t>
  </si>
  <si>
    <t>(-) Capital Expenditure</t>
  </si>
  <si>
    <t xml:space="preserve">  Capex % Revenue</t>
  </si>
  <si>
    <t>(-) Change in Working Capital</t>
  </si>
  <si>
    <t>Levered Free Cash Flow</t>
  </si>
  <si>
    <t>KFC Holdings Japan — Transaction Summary</t>
  </si>
  <si>
    <t>(JPY millions)</t>
  </si>
  <si>
    <t>Company Overview</t>
  </si>
  <si>
    <t>Company</t>
  </si>
  <si>
    <t>Ticker</t>
  </si>
  <si>
    <t>TSE: 9873 (Delisted)</t>
  </si>
  <si>
    <t>Sector</t>
  </si>
  <si>
    <t>Quick-Service Restaurant (QSR)</t>
  </si>
  <si>
    <t>Brand</t>
  </si>
  <si>
    <t>Kentucky Fried Chicken</t>
  </si>
  <si>
    <t>Franchisor</t>
  </si>
  <si>
    <t>Yum! Brands, Inc.</t>
  </si>
  <si>
    <t>Major Shareholder (Pre-Deal)</t>
  </si>
  <si>
    <t>Mitsubishi Corporation 35.12%</t>
  </si>
  <si>
    <t>Acquirer</t>
  </si>
  <si>
    <t>Fiscal Year End</t>
  </si>
  <si>
    <t>March 31</t>
  </si>
  <si>
    <t>Key Financial Metrics (FY2024)</t>
  </si>
  <si>
    <t>EBITDA Margin</t>
  </si>
  <si>
    <t>Operating Income</t>
  </si>
  <si>
    <t>Transaction Terms</t>
  </si>
  <si>
    <t>TOB Price</t>
  </si>
  <si>
    <t>Equity Value</t>
  </si>
  <si>
    <t>Enterprise Value</t>
  </si>
  <si>
    <t>EV/EBITDA</t>
  </si>
  <si>
    <t>P/E</t>
  </si>
  <si>
    <t>Financing</t>
  </si>
  <si>
    <t>Debt/EBITDA</t>
  </si>
  <si>
    <t>Balance Sheet</t>
  </si>
  <si>
    <t>Pre-Deal</t>
  </si>
  <si>
    <t>Adj.</t>
  </si>
  <si>
    <t>Pro Forma</t>
  </si>
  <si>
    <t>+/-</t>
  </si>
  <si>
    <t>Assets</t>
  </si>
  <si>
    <t>Current Assets:</t>
  </si>
  <si>
    <t xml:space="preserve">  Cash &amp; Equivalents</t>
  </si>
  <si>
    <t xml:space="preserve">  Accounts Receivable</t>
  </si>
  <si>
    <t xml:space="preserve">  Inventory</t>
  </si>
  <si>
    <t xml:space="preserve">  Other Current Assets</t>
  </si>
  <si>
    <t xml:space="preserve">  Total Current Assets</t>
  </si>
  <si>
    <t>Non-Current Assets:</t>
  </si>
  <si>
    <t xml:space="preserve">  PP&amp;E (Net)</t>
  </si>
  <si>
    <t xml:space="preserve">  Intangible Assets</t>
  </si>
  <si>
    <t xml:space="preserve">  Goodwill</t>
  </si>
  <si>
    <t xml:space="preserve">  Other Non-Current Assets</t>
  </si>
  <si>
    <t xml:space="preserve">  Total Non-Current Assets</t>
  </si>
  <si>
    <t>Total Assets</t>
  </si>
  <si>
    <t>Liabilities</t>
  </si>
  <si>
    <t>Current Liabilities:</t>
  </si>
  <si>
    <t xml:space="preserve">  Accounts Payable</t>
  </si>
  <si>
    <t xml:space="preserve">  Accrued Expenses</t>
  </si>
  <si>
    <t xml:space="preserve">  Current Portion of LT Debt</t>
  </si>
  <si>
    <t xml:space="preserve">  Other Current Liabilities</t>
  </si>
  <si>
    <t xml:space="preserve">  Total Current Liabilities</t>
  </si>
  <si>
    <t>Non-Current Liabilities:</t>
  </si>
  <si>
    <t xml:space="preserve">  Long-Term Debt</t>
  </si>
  <si>
    <t xml:space="preserve">  Other Non-Current Liabilities</t>
  </si>
  <si>
    <t xml:space="preserve">  Total Non-Current Liabilities</t>
  </si>
  <si>
    <t>Total Liabilities</t>
  </si>
  <si>
    <t>Shareholders' Equity</t>
  </si>
  <si>
    <t xml:space="preserve">  Share Capital</t>
  </si>
  <si>
    <t xml:space="preserve">  Retained Earnings</t>
  </si>
  <si>
    <t xml:space="preserve">  Other</t>
  </si>
  <si>
    <t xml:space="preserve">  Total Shareholders' Equity</t>
  </si>
  <si>
    <t>Total Liabilities &amp; Equity</t>
  </si>
  <si>
    <t>Balance Check</t>
  </si>
  <si>
    <t xml:space="preserve">  Total Assets - Total L&amp;E</t>
  </si>
  <si>
    <t xml:space="preserve">  Check</t>
  </si>
  <si>
    <t>Working Capital Assumptions</t>
  </si>
  <si>
    <t xml:space="preserve">  Days Sales Outstanding (DSO)</t>
  </si>
  <si>
    <t xml:space="preserve">  Days Inventory Outstanding (DIO)</t>
  </si>
  <si>
    <t xml:space="preserve">  Days Payable Outstanding (DPO)</t>
  </si>
  <si>
    <t xml:space="preserve">  Other Current Assets / Revenue</t>
  </si>
  <si>
    <t xml:space="preserve">  Accrued Expenses / Revenue</t>
  </si>
  <si>
    <t>Cash Flow Statement</t>
  </si>
  <si>
    <t>Year 1</t>
  </si>
  <si>
    <t>Year 2</t>
  </si>
  <si>
    <t>Year 3</t>
  </si>
  <si>
    <t>Year 4</t>
  </si>
  <si>
    <t>Year 5</t>
  </si>
  <si>
    <t>Cash Flow from Operations</t>
  </si>
  <si>
    <t xml:space="preserve">  Net Income</t>
  </si>
  <si>
    <t xml:space="preserve">  (+) Interest Expense</t>
  </si>
  <si>
    <t xml:space="preserve">  (+) Depreciation &amp; Amortization</t>
  </si>
  <si>
    <t xml:space="preserve">  (+) Goodwill Amortization</t>
  </si>
  <si>
    <t xml:space="preserve">  Working Capital Changes:</t>
  </si>
  <si>
    <t xml:space="preserve">    Change in A/R</t>
  </si>
  <si>
    <t xml:space="preserve">    Change in Inventory</t>
  </si>
  <si>
    <t xml:space="preserve">    Change in Other Current Assets</t>
  </si>
  <si>
    <t xml:space="preserve">    Change in A/P</t>
  </si>
  <si>
    <t xml:space="preserve">    Change in Accrued Expenses</t>
  </si>
  <si>
    <t xml:space="preserve">  Total Working Capital Change</t>
  </si>
  <si>
    <t>Total Operating Cash Flow</t>
  </si>
  <si>
    <t>Cash Flow from Investing</t>
  </si>
  <si>
    <t xml:space="preserve">  Capital Expenditure</t>
  </si>
  <si>
    <t>Total Investing Cash Flow</t>
  </si>
  <si>
    <t>Cash Flow from Financing</t>
  </si>
  <si>
    <t xml:space="preserve">  TLA Repayment (Scheduled)</t>
  </si>
  <si>
    <t xml:space="preserve">  TLA Voluntary Prepayment</t>
  </si>
  <si>
    <t xml:space="preserve">  TLB Repayment</t>
  </si>
  <si>
    <t xml:space="preserve">  Interest Payments</t>
  </si>
  <si>
    <t xml:space="preserve">  Dividends</t>
  </si>
  <si>
    <t>Total Financing Cash Flow</t>
  </si>
  <si>
    <t>Cash Summary</t>
  </si>
  <si>
    <t xml:space="preserve">  Beginning Cash Balance</t>
  </si>
  <si>
    <t xml:space="preserve">  Net Change in Cash</t>
  </si>
  <si>
    <t>Ending Cash Balance</t>
  </si>
  <si>
    <t>Consistency Check</t>
  </si>
  <si>
    <t xml:space="preserve">  CF Statement Ending Cash</t>
  </si>
  <si>
    <t xml:space="preserve">  BS Cash &amp; Equivalents</t>
  </si>
  <si>
    <t xml:space="preserve">  Difference</t>
  </si>
  <si>
    <t>Debt Schedule</t>
  </si>
  <si>
    <t>Term Loan A (Amortizing)</t>
  </si>
  <si>
    <t>Beginning Balance</t>
  </si>
  <si>
    <t>Scheduled Repayment</t>
  </si>
  <si>
    <t>Voluntary Prepayment</t>
  </si>
  <si>
    <t>Ending Balance</t>
  </si>
  <si>
    <t>Interest Rate</t>
  </si>
  <si>
    <t>Interest Expense (TLA)</t>
  </si>
  <si>
    <t>Term Loan B (Bullet)</t>
  </si>
  <si>
    <t>Interest Expense (TLB)</t>
  </si>
  <si>
    <t>Debt Summary</t>
  </si>
  <si>
    <t>Total Debt Outstanding</t>
  </si>
  <si>
    <t>Total Principal Repayment</t>
  </si>
  <si>
    <t>Total Interest Expense</t>
  </si>
  <si>
    <t>Credit Metrics</t>
  </si>
  <si>
    <t>EBITDA / Interest (ICR)</t>
  </si>
  <si>
    <t>(EBITDA - Capex) / Interest</t>
  </si>
  <si>
    <t>Returns Analysis</t>
  </si>
  <si>
    <t>Entry</t>
  </si>
  <si>
    <t>Exit Assumptions</t>
  </si>
  <si>
    <t>Exit EV/EBITDA Multiple</t>
  </si>
  <si>
    <t>EBITDA (Exit Year)</t>
  </si>
  <si>
    <t>Exit Enterprise Value</t>
  </si>
  <si>
    <t>(-) Exit Debt Outstanding</t>
  </si>
  <si>
    <t>(+) Exit Cash</t>
  </si>
  <si>
    <t>Exit Equity Value</t>
  </si>
  <si>
    <t>Return Metrics</t>
  </si>
  <si>
    <t>Sponsor Equity (Investment)</t>
  </si>
  <si>
    <t>MOIC</t>
  </si>
  <si>
    <t>IRR</t>
  </si>
  <si>
    <t>Sensitivity Analysis: Exit MOIC</t>
  </si>
  <si>
    <t>Exit EV/EBITDA →</t>
  </si>
  <si>
    <t>Exit Year ↓</t>
  </si>
  <si>
    <t>Sensitivity Analysis: IRR</t>
  </si>
  <si>
    <t>Investment Thesis Summary</t>
  </si>
  <si>
    <t>1. Brand Power</t>
  </si>
  <si>
    <t>KFC is a dominant QSR brand in Japan with 55+ years of history. Unique cultural tie to Christmas season drives strong seasonal demand.</t>
  </si>
  <si>
    <t>2. Margin Expansion</t>
  </si>
  <si>
    <t>Operating margin improvement from ~5% to 7-8% through menu diversification (lunch/afternoon), digitization, and operational efficiency.</t>
  </si>
  <si>
    <t>3. Store Expansion</t>
  </si>
  <si>
    <t>Carlyle's capital enables accelerated store openings in untapped domestic markets across Japan.</t>
  </si>
  <si>
    <t>4. Exit Optionality</t>
  </si>
  <si>
    <t>Multiple exit paths: IPO re-listing, strategic sale (Yum! Brands direct acquisition), or secondary sale to another PE fund.</t>
  </si>
  <si>
    <t>5. Downside Protection</t>
  </si>
  <si>
    <t>Stable cash flow generation, low pre-deal leverage, and strong brand equity provide resilience.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</si>
</sst>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
    <numFmt numFmtId="177" formatCode="0.0\x"/>
  </numFmts>
  <fonts count="16" x14ac:knownFonts="1">
    <font>
      <sz val="11"/>
      <color theme="1"/>
      <name val="Calibri"/>
      <family val="2"/>
      <charset val="1"/>
    </font>
    <font>
      <b/>
      <sz val="20"/>
      <color rgb="FF1F3864"/>
      <name val="Arial"/>
      <charset val="1"/>
    </font>
    <font>
      <b/>
      <sz val="16"/>
      <color rgb="FF333333"/>
      <name val="Arial"/>
      <charset val="1"/>
    </font>
    <font>
      <sz val="11"/>
      <color rgb="FF666666"/>
      <name val="Arial"/>
      <charset val="1"/>
    </font>
    <font>
      <b/>
      <sz val="10"/>
      <color rgb="FF000000"/>
      <name val="Arial"/>
      <charset val="1"/>
    </font>
    <font>
      <sz val="10"/>
      <color rgb="FF000000"/>
      <name val="Arial"/>
      <charset val="1"/>
    </font>
    <font>
      <sz val="10"/>
      <color rgb="FF666666"/>
      <name val="Arial"/>
      <charset val="1"/>
    </font>
    <font>
      <b/>
      <sz val="14"/>
      <color rgb="FF000000"/>
      <name val="Arial"/>
      <charset val="1"/>
    </font>
    <font>
      <sz val="9"/>
      <color rgb="FF666666"/>
      <name val="Arial"/>
      <charset val="1"/>
    </font>
    <font>
      <b/>
      <sz val="11"/>
      <color rgb="FF000000"/>
      <name val="Arial"/>
      <charset val="1"/>
    </font>
    <font>
      <sz val="10"/>
      <color rgb="FF0000FF"/>
      <name val="Arial"/>
      <charset val="1"/>
    </font>
    <font>
      <b/>
      <sz val="11"/>
      <color rgb="FFFFFFFF"/>
      <name val="Arial"/>
      <charset val="1"/>
    </font>
    <font>
      <sz val="10"/>
      <color rgb="FF008000"/>
      <name val="Arial"/>
      <charset val="1"/>
    </font>
    <font>
      <b/>
      <sz val="8"/>
      <color rgb="FF666666"/>
      <name val="Arial"/>
    </font>
    <font>
      <sz val="8"/>
      <color rgb="FF666666"/>
      <name val="Arial"/>
    </font>
    <font>
      <sz val="6"/>
      <name val="ＭＳ Ｐゴシック"/>
      <family val="3"/>
      <charset val="128"/>
    </font>
  </fonts>
  <fills count="3">
    <fill>
      <patternFill patternType="none"/>
    </fill>
    <fill>
      <patternFill patternType="gray125"/>
    </fill>
    <fill>
      <patternFill patternType="solid">
        <fgColor rgb="FF1F3864"/>
        <bgColor rgb="FF333333"/>
      </patternFill>
    </fill>
  </fills>
  <borders count="5">
    <border>
      <left/>
      <right/>
      <top/>
      <bottom/>
      <diagonal/>
    </border>
    <border>
      <left/>
      <right/>
      <top/>
      <bottom style="medium">
        <color auto="1"/>
      </bottom>
      <diagonal/>
    </border>
    <border>
      <left/>
      <right/>
      <top/>
      <bottom style="thin">
        <color auto="1"/>
      </bottom>
      <diagonal/>
    </border>
    <border>
      <left/>
      <right/>
      <top/>
      <bottom style="thin">
        <color rgb="FFCCCCCC"/>
      </bottom>
      <diagonal/>
    </border>
    <border>
      <left/>
      <right/>
      <top/>
      <bottom style="thin">
        <color rgb="FFCCCCCC"/>
      </bottom>
      <diagonal/>
    </border>
  </borders>
  <cellStyleXfs count="1">
    <xf numFmtId="0" fontId="0" fillId="0" borderId="0"/>
  </cellStyleXfs>
  <cellXfs count="38">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1" xfId="0" applyFont="1" applyBorder="1"/>
    <xf numFmtId="0" fontId="0" fillId="0" borderId="1" xfId="0" applyBorder="1"/>
    <xf numFmtId="3" fontId="10" fillId="0" borderId="0" xfId="0" applyNumberFormat="1" applyFont="1"/>
    <xf numFmtId="176" fontId="5" fillId="0" borderId="0" xfId="0" applyNumberFormat="1" applyFont="1"/>
    <xf numFmtId="3" fontId="5" fillId="0" borderId="0" xfId="0" applyNumberFormat="1" applyFont="1"/>
    <xf numFmtId="0" fontId="4" fillId="0" borderId="2" xfId="0" applyFont="1" applyBorder="1"/>
    <xf numFmtId="3" fontId="4" fillId="0" borderId="2" xfId="0" applyNumberFormat="1" applyFont="1" applyBorder="1"/>
    <xf numFmtId="177" fontId="5" fillId="0" borderId="0" xfId="0" applyNumberFormat="1" applyFont="1"/>
    <xf numFmtId="0" fontId="11" fillId="2" borderId="0" xfId="0" applyFont="1" applyFill="1"/>
    <xf numFmtId="0" fontId="11" fillId="2" borderId="0" xfId="0" applyFont="1" applyFill="1" applyAlignment="1">
      <alignment horizontal="center"/>
    </xf>
    <xf numFmtId="3" fontId="12" fillId="0" borderId="0" xfId="0" applyNumberFormat="1" applyFont="1"/>
    <xf numFmtId="3" fontId="4" fillId="0" borderId="0" xfId="0" applyNumberFormat="1" applyFont="1"/>
    <xf numFmtId="0" fontId="4" fillId="0" borderId="1" xfId="0" applyFont="1" applyBorder="1"/>
    <xf numFmtId="3" fontId="4" fillId="0" borderId="1" xfId="0" applyNumberFormat="1" applyFont="1" applyBorder="1"/>
    <xf numFmtId="176" fontId="5" fillId="0" borderId="1" xfId="0" applyNumberFormat="1" applyFont="1" applyBorder="1"/>
    <xf numFmtId="176" fontId="10" fillId="0" borderId="0" xfId="0" applyNumberFormat="1" applyFont="1"/>
    <xf numFmtId="0" fontId="10" fillId="0" borderId="0" xfId="0" applyFont="1"/>
    <xf numFmtId="3" fontId="5" fillId="0" borderId="1" xfId="0" applyNumberFormat="1" applyFont="1" applyBorder="1"/>
    <xf numFmtId="176" fontId="12" fillId="0" borderId="0" xfId="0" applyNumberFormat="1" applyFont="1"/>
    <xf numFmtId="177" fontId="12" fillId="0" borderId="0" xfId="0" applyNumberFormat="1" applyFont="1"/>
    <xf numFmtId="0" fontId="8" fillId="0" borderId="0" xfId="0" applyFont="1" applyAlignment="1">
      <alignment horizontal="center"/>
    </xf>
    <xf numFmtId="0" fontId="9" fillId="0" borderId="0" xfId="0" applyFont="1"/>
    <xf numFmtId="3" fontId="5" fillId="0" borderId="2" xfId="0" applyNumberFormat="1" applyFont="1" applyBorder="1"/>
    <xf numFmtId="177" fontId="10" fillId="0" borderId="0" xfId="0" applyNumberFormat="1" applyFont="1"/>
    <xf numFmtId="177" fontId="10" fillId="0" borderId="0" xfId="0" applyNumberFormat="1" applyFont="1" applyAlignment="1">
      <alignment horizontal="center"/>
    </xf>
    <xf numFmtId="0" fontId="13" fillId="0" borderId="3" xfId="0" applyFont="1" applyBorder="1"/>
    <xf numFmtId="0" fontId="0" fillId="0" borderId="4" xfId="0" applyBorder="1"/>
    <xf numFmtId="0" fontId="14" fillId="0" borderId="0" xfId="0" applyFont="1" applyAlignment="1">
      <alignment vertical="top" wrapText="1"/>
    </xf>
    <xf numFmtId="0" fontId="0" fillId="0" borderId="0" xfId="0"/>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C24"/>
  <sheetViews>
    <sheetView topLeftCell="A4" zoomScaleNormal="100" workbookViewId="0"/>
  </sheetViews>
  <sheetFormatPr defaultColWidth="8.6328125" defaultRowHeight="14.5" x14ac:dyDescent="0.35"/>
  <cols>
    <col min="1" max="1" width="3" customWidth="1"/>
    <col min="2" max="3" width="50" customWidth="1"/>
  </cols>
  <sheetData>
    <row r="4" spans="2:3" ht="24" customHeight="1" x14ac:dyDescent="0.5">
      <c r="B4" s="1" t="s">
        <v>0</v>
      </c>
    </row>
    <row r="6" spans="2:3" ht="19.5" customHeight="1" x14ac:dyDescent="0.4">
      <c r="B6" s="2" t="s">
        <v>1</v>
      </c>
    </row>
    <row r="8" spans="2:3" ht="15" customHeight="1" x14ac:dyDescent="0.35">
      <c r="B8" s="3" t="s">
        <v>2</v>
      </c>
    </row>
    <row r="11" spans="2:3" ht="15" customHeight="1" x14ac:dyDescent="0.35">
      <c r="B11" s="4" t="s">
        <v>3</v>
      </c>
      <c r="C11" s="5" t="s">
        <v>4</v>
      </c>
    </row>
    <row r="12" spans="2:3" ht="15" customHeight="1" x14ac:dyDescent="0.35">
      <c r="B12" s="4" t="s">
        <v>5</v>
      </c>
      <c r="C12" s="5" t="s">
        <v>6</v>
      </c>
    </row>
    <row r="13" spans="2:3" ht="15" customHeight="1" x14ac:dyDescent="0.35">
      <c r="B13" s="4" t="s">
        <v>7</v>
      </c>
      <c r="C13" s="5" t="s">
        <v>8</v>
      </c>
    </row>
    <row r="14" spans="2:3" ht="15" customHeight="1" x14ac:dyDescent="0.35">
      <c r="B14" s="4" t="s">
        <v>9</v>
      </c>
      <c r="C14" s="5" t="s">
        <v>10</v>
      </c>
    </row>
    <row r="15" spans="2:3" ht="15" customHeight="1" x14ac:dyDescent="0.35">
      <c r="B15" s="4" t="s">
        <v>11</v>
      </c>
      <c r="C15" s="5" t="s">
        <v>12</v>
      </c>
    </row>
    <row r="17" spans="2:3" ht="15" customHeight="1" x14ac:dyDescent="0.35">
      <c r="B17" s="6" t="s">
        <v>13</v>
      </c>
    </row>
    <row r="18" spans="2:3" ht="15" customHeight="1" x14ac:dyDescent="0.35">
      <c r="B18" s="6" t="s">
        <v>14</v>
      </c>
    </row>
    <row r="21" spans="2:3" x14ac:dyDescent="0.35">
      <c r="B21" s="34" t="s">
        <v>15</v>
      </c>
      <c r="C21" s="35"/>
    </row>
    <row r="22" spans="2:3" x14ac:dyDescent="0.35">
      <c r="B22" s="36" t="s">
        <v>16</v>
      </c>
      <c r="C22" s="37"/>
    </row>
    <row r="23" spans="2:3" x14ac:dyDescent="0.35">
      <c r="B23" s="37"/>
      <c r="C23" s="37"/>
    </row>
    <row r="24" spans="2:3" x14ac:dyDescent="0.35">
      <c r="B24" s="37"/>
      <c r="C24" s="37"/>
    </row>
  </sheetData>
  <mergeCells count="2">
    <mergeCell ref="B21:C21"/>
    <mergeCell ref="B22:C24"/>
  </mergeCells>
  <phoneticPr fontId="15"/>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I47"/>
  <sheetViews>
    <sheetView topLeftCell="A12" zoomScaleNormal="100" workbookViewId="0"/>
  </sheetViews>
  <sheetFormatPr defaultColWidth="8.6328125" defaultRowHeight="14.5" x14ac:dyDescent="0.35"/>
  <cols>
    <col min="1" max="1" width="3" customWidth="1"/>
    <col min="2" max="2" width="40" customWidth="1"/>
    <col min="3" max="3" width="3" customWidth="1"/>
    <col min="4" max="4" width="18" customWidth="1"/>
    <col min="5" max="5" width="14" customWidth="1"/>
    <col min="6" max="6" width="3" customWidth="1"/>
    <col min="7" max="7" width="40" customWidth="1"/>
    <col min="8" max="8" width="3" customWidth="1"/>
    <col min="9" max="9" width="18" customWidth="1"/>
  </cols>
  <sheetData>
    <row r="1" spans="2:9" ht="17.25" customHeight="1" x14ac:dyDescent="0.4">
      <c r="B1" s="7" t="s">
        <v>17</v>
      </c>
    </row>
    <row r="2" spans="2:9" ht="15" customHeight="1" x14ac:dyDescent="0.35">
      <c r="B2" s="8" t="s">
        <v>18</v>
      </c>
    </row>
    <row r="4" spans="2:9" ht="15" customHeight="1" x14ac:dyDescent="0.35">
      <c r="B4" s="9" t="s">
        <v>19</v>
      </c>
      <c r="C4" s="10"/>
      <c r="D4" s="10"/>
      <c r="E4" s="10"/>
      <c r="F4" s="10"/>
      <c r="G4" s="10"/>
      <c r="H4" s="10"/>
      <c r="I4" s="10"/>
    </row>
    <row r="6" spans="2:9" ht="15" customHeight="1" x14ac:dyDescent="0.35">
      <c r="B6" s="5" t="s">
        <v>20</v>
      </c>
      <c r="D6" s="11">
        <v>6500</v>
      </c>
    </row>
    <row r="7" spans="2:9" ht="15" customHeight="1" x14ac:dyDescent="0.35">
      <c r="B7" s="5" t="s">
        <v>21</v>
      </c>
      <c r="D7" s="11">
        <v>5398</v>
      </c>
    </row>
    <row r="8" spans="2:9" ht="15" customHeight="1" x14ac:dyDescent="0.35">
      <c r="B8" s="5" t="s">
        <v>22</v>
      </c>
      <c r="D8" s="12">
        <f>D6/D7-1</f>
        <v>0.20414968506854381</v>
      </c>
    </row>
    <row r="10" spans="2:9" ht="15" customHeight="1" x14ac:dyDescent="0.35">
      <c r="B10" s="5" t="s">
        <v>23</v>
      </c>
      <c r="D10" s="11">
        <v>22354</v>
      </c>
    </row>
    <row r="11" spans="2:9" ht="15" customHeight="1" x14ac:dyDescent="0.35">
      <c r="B11" s="5" t="s">
        <v>24</v>
      </c>
      <c r="D11" s="13">
        <f>D6*D10/1000</f>
        <v>145301</v>
      </c>
    </row>
    <row r="13" spans="2:9" ht="15" customHeight="1" x14ac:dyDescent="0.35">
      <c r="B13" s="5" t="s">
        <v>25</v>
      </c>
      <c r="D13" s="11">
        <v>2845</v>
      </c>
    </row>
    <row r="14" spans="2:9" ht="15" customHeight="1" x14ac:dyDescent="0.35">
      <c r="B14" s="5" t="s">
        <v>26</v>
      </c>
      <c r="D14" s="11">
        <v>24636</v>
      </c>
    </row>
    <row r="15" spans="2:9" ht="15" customHeight="1" x14ac:dyDescent="0.35">
      <c r="B15" s="14" t="s">
        <v>27</v>
      </c>
      <c r="D15" s="15">
        <f>D11+D13-D14</f>
        <v>123510</v>
      </c>
    </row>
    <row r="17" spans="2:9" ht="15" customHeight="1" x14ac:dyDescent="0.35">
      <c r="B17" s="9" t="s">
        <v>28</v>
      </c>
      <c r="C17" s="10"/>
      <c r="D17" s="10"/>
      <c r="E17" s="10"/>
    </row>
    <row r="19" spans="2:9" ht="15" customHeight="1" x14ac:dyDescent="0.35">
      <c r="B19" s="5" t="s">
        <v>29</v>
      </c>
      <c r="D19" s="11">
        <v>8275</v>
      </c>
    </row>
    <row r="20" spans="2:9" ht="15" customHeight="1" x14ac:dyDescent="0.35">
      <c r="B20" s="5" t="s">
        <v>30</v>
      </c>
      <c r="D20" s="11">
        <v>5864</v>
      </c>
    </row>
    <row r="21" spans="2:9" ht="15" customHeight="1" x14ac:dyDescent="0.35">
      <c r="B21" s="5" t="s">
        <v>31</v>
      </c>
      <c r="D21" s="11">
        <v>4332</v>
      </c>
    </row>
    <row r="23" spans="2:9" ht="15" customHeight="1" x14ac:dyDescent="0.35">
      <c r="B23" s="5" t="s">
        <v>32</v>
      </c>
      <c r="D23" s="16">
        <f>D15/D19</f>
        <v>14.925679758308156</v>
      </c>
    </row>
    <row r="24" spans="2:9" ht="15" customHeight="1" x14ac:dyDescent="0.35">
      <c r="B24" s="5" t="s">
        <v>33</v>
      </c>
      <c r="D24" s="16">
        <f>D15/D20</f>
        <v>21.062414733969987</v>
      </c>
    </row>
    <row r="25" spans="2:9" ht="15" customHeight="1" x14ac:dyDescent="0.35">
      <c r="B25" s="5" t="s">
        <v>34</v>
      </c>
      <c r="D25" s="16">
        <f>D11/D21</f>
        <v>33.541320406278857</v>
      </c>
    </row>
    <row r="28" spans="2:9" ht="15" customHeight="1" x14ac:dyDescent="0.35">
      <c r="B28" s="9" t="s">
        <v>35</v>
      </c>
      <c r="C28" s="10"/>
      <c r="D28" s="10"/>
      <c r="E28" s="10"/>
      <c r="F28" s="10"/>
      <c r="G28" s="10"/>
      <c r="H28" s="10"/>
      <c r="I28" s="10"/>
    </row>
    <row r="30" spans="2:9" ht="15" customHeight="1" x14ac:dyDescent="0.35">
      <c r="B30" s="17" t="s">
        <v>36</v>
      </c>
      <c r="D30" s="18" t="s">
        <v>37</v>
      </c>
      <c r="E30" s="18" t="s">
        <v>38</v>
      </c>
      <c r="G30" s="17" t="s">
        <v>39</v>
      </c>
      <c r="I30" s="18" t="s">
        <v>37</v>
      </c>
    </row>
    <row r="31" spans="2:9" ht="15" customHeight="1" x14ac:dyDescent="0.35">
      <c r="B31" s="5" t="s">
        <v>40</v>
      </c>
      <c r="D31" s="11">
        <v>50000</v>
      </c>
      <c r="E31" s="12">
        <f>D31/$D$35</f>
        <v>0.32755525857212114</v>
      </c>
      <c r="G31" s="5" t="s">
        <v>41</v>
      </c>
      <c r="I31" s="19">
        <f>'Transaction Assumptions'!D11</f>
        <v>145301</v>
      </c>
    </row>
    <row r="32" spans="2:9" ht="15" customHeight="1" x14ac:dyDescent="0.35">
      <c r="B32" s="5" t="s">
        <v>42</v>
      </c>
      <c r="D32" s="11">
        <v>25000</v>
      </c>
      <c r="E32" s="12">
        <f>D32/$D$35</f>
        <v>0.16377762928606057</v>
      </c>
      <c r="G32" s="5" t="s">
        <v>43</v>
      </c>
      <c r="I32" s="19">
        <f>'Transaction Assumptions'!D13</f>
        <v>2845</v>
      </c>
    </row>
    <row r="33" spans="2:9" ht="15" customHeight="1" x14ac:dyDescent="0.35">
      <c r="B33" s="5" t="s">
        <v>44</v>
      </c>
      <c r="D33" s="11">
        <v>0</v>
      </c>
      <c r="E33" s="12">
        <f>D33/$D$35</f>
        <v>0</v>
      </c>
      <c r="G33" s="5" t="s">
        <v>45</v>
      </c>
      <c r="I33" s="11">
        <v>3000</v>
      </c>
    </row>
    <row r="34" spans="2:9" ht="15" customHeight="1" x14ac:dyDescent="0.35">
      <c r="B34" s="4" t="s">
        <v>46</v>
      </c>
      <c r="D34" s="20">
        <f>D35-D31-D32-D33</f>
        <v>77646</v>
      </c>
      <c r="E34" s="12">
        <f>D34/$D$35</f>
        <v>0.50866711214181837</v>
      </c>
      <c r="G34" s="5" t="s">
        <v>47</v>
      </c>
      <c r="I34" s="11">
        <v>1500</v>
      </c>
    </row>
    <row r="35" spans="2:9" ht="15" customHeight="1" x14ac:dyDescent="0.35">
      <c r="B35" s="21" t="s">
        <v>48</v>
      </c>
      <c r="D35" s="22">
        <f>I35</f>
        <v>152646</v>
      </c>
      <c r="E35" s="23">
        <v>1</v>
      </c>
      <c r="G35" s="21" t="s">
        <v>49</v>
      </c>
      <c r="I35" s="22">
        <f>SUM(I31:I34)</f>
        <v>152646</v>
      </c>
    </row>
    <row r="38" spans="2:9" ht="15" customHeight="1" x14ac:dyDescent="0.35">
      <c r="B38" s="9" t="s">
        <v>50</v>
      </c>
      <c r="C38" s="10"/>
      <c r="D38" s="10"/>
      <c r="E38" s="10"/>
      <c r="F38" s="10"/>
      <c r="G38" s="10"/>
      <c r="H38" s="10"/>
      <c r="I38" s="10"/>
    </row>
    <row r="40" spans="2:9" ht="15" customHeight="1" x14ac:dyDescent="0.35">
      <c r="D40" s="18" t="s">
        <v>37</v>
      </c>
      <c r="E40" s="18" t="s">
        <v>51</v>
      </c>
      <c r="G40" s="18" t="s">
        <v>52</v>
      </c>
      <c r="I40" s="18" t="s">
        <v>53</v>
      </c>
    </row>
    <row r="41" spans="2:9" ht="15" customHeight="1" x14ac:dyDescent="0.35">
      <c r="B41" s="5" t="s">
        <v>54</v>
      </c>
      <c r="D41" s="19">
        <f>D31</f>
        <v>50000</v>
      </c>
      <c r="E41" s="24">
        <v>2.5000000000000001E-2</v>
      </c>
      <c r="G41" s="25" t="s">
        <v>55</v>
      </c>
      <c r="I41" s="11">
        <v>7</v>
      </c>
    </row>
    <row r="42" spans="2:9" ht="15" customHeight="1" x14ac:dyDescent="0.35">
      <c r="B42" s="5" t="s">
        <v>56</v>
      </c>
      <c r="D42" s="19">
        <f>D32</f>
        <v>25000</v>
      </c>
      <c r="E42" s="24">
        <v>3.5000000000000003E-2</v>
      </c>
      <c r="G42" s="25" t="s">
        <v>57</v>
      </c>
      <c r="I42" s="11">
        <v>7</v>
      </c>
    </row>
    <row r="44" spans="2:9" ht="15" customHeight="1" x14ac:dyDescent="0.35">
      <c r="B44" s="14" t="s">
        <v>58</v>
      </c>
      <c r="D44" s="15">
        <f>D41+D42</f>
        <v>75000</v>
      </c>
    </row>
    <row r="46" spans="2:9" ht="15" customHeight="1" x14ac:dyDescent="0.35">
      <c r="B46" s="5" t="s">
        <v>59</v>
      </c>
      <c r="D46" s="16">
        <f>D44/D19</f>
        <v>9.0634441087613293</v>
      </c>
    </row>
    <row r="47" spans="2:9" ht="15" customHeight="1" x14ac:dyDescent="0.35">
      <c r="B47" s="5" t="s">
        <v>60</v>
      </c>
      <c r="D47" s="12">
        <f>D34/D35</f>
        <v>0.50866711214181837</v>
      </c>
    </row>
  </sheetData>
  <phoneticPr fontId="15"/>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46"/>
  <sheetViews>
    <sheetView topLeftCell="A7" zoomScale="56" zoomScaleNormal="100" workbookViewId="0"/>
  </sheetViews>
  <sheetFormatPr defaultColWidth="8.6328125" defaultRowHeight="14.5" x14ac:dyDescent="0.35"/>
  <cols>
    <col min="1" max="1" width="3" customWidth="1"/>
    <col min="2" max="2" width="35" customWidth="1"/>
    <col min="3" max="3" width="3" customWidth="1"/>
    <col min="4" max="8" width="14" customWidth="1"/>
    <col min="9" max="9" width="3" customWidth="1"/>
    <col min="10" max="14" width="14" customWidth="1"/>
  </cols>
  <sheetData>
    <row r="1" spans="2:14" ht="15" customHeight="1" x14ac:dyDescent="0.35">
      <c r="B1" s="8" t="s">
        <v>18</v>
      </c>
    </row>
    <row r="2" spans="2:14" ht="17.25" customHeight="1" x14ac:dyDescent="0.4">
      <c r="B2" s="7" t="s">
        <v>61</v>
      </c>
    </row>
    <row r="4" spans="2:14" ht="15" customHeight="1" x14ac:dyDescent="0.35">
      <c r="D4" s="4" t="s">
        <v>62</v>
      </c>
      <c r="J4" s="4" t="s">
        <v>63</v>
      </c>
    </row>
    <row r="5" spans="2:14" ht="15" customHeight="1" x14ac:dyDescent="0.35">
      <c r="D5" s="18" t="s">
        <v>64</v>
      </c>
      <c r="E5" s="18" t="s">
        <v>65</v>
      </c>
      <c r="F5" s="18" t="s">
        <v>66</v>
      </c>
      <c r="G5" s="18" t="s">
        <v>67</v>
      </c>
      <c r="H5" s="18" t="s">
        <v>68</v>
      </c>
      <c r="J5" s="18" t="s">
        <v>69</v>
      </c>
      <c r="K5" s="18" t="s">
        <v>70</v>
      </c>
      <c r="L5" s="18" t="s">
        <v>71</v>
      </c>
      <c r="M5" s="18" t="s">
        <v>72</v>
      </c>
      <c r="N5" s="18" t="s">
        <v>73</v>
      </c>
    </row>
    <row r="7" spans="2:14" ht="15" customHeight="1" x14ac:dyDescent="0.35">
      <c r="B7" s="4" t="s">
        <v>74</v>
      </c>
      <c r="D7" s="13">
        <v>79634</v>
      </c>
      <c r="E7" s="13">
        <v>89652</v>
      </c>
      <c r="F7" s="13">
        <v>97520</v>
      </c>
      <c r="G7" s="13">
        <v>99926</v>
      </c>
      <c r="H7" s="13">
        <v>110685</v>
      </c>
      <c r="J7" s="13">
        <f>H7*(1+J8)</f>
        <v>115112.40000000001</v>
      </c>
      <c r="K7" s="13">
        <f>J7*(1+K8)</f>
        <v>119141.334</v>
      </c>
      <c r="L7" s="13">
        <f>K7*(1+L8)</f>
        <v>122715.57402</v>
      </c>
      <c r="M7" s="13">
        <f>L7*(1+M8)</f>
        <v>126397.04124060001</v>
      </c>
      <c r="N7" s="13">
        <f>M7*(1+N8)</f>
        <v>130188.95247781802</v>
      </c>
    </row>
    <row r="8" spans="2:14" ht="15" customHeight="1" x14ac:dyDescent="0.35">
      <c r="B8" s="8" t="s">
        <v>75</v>
      </c>
      <c r="E8" s="12">
        <f>E7/D7-1</f>
        <v>0.12580053745887443</v>
      </c>
      <c r="F8" s="12">
        <f>F7/E7-1</f>
        <v>8.7761566947753611E-2</v>
      </c>
      <c r="G8" s="12">
        <f>G7/F7-1</f>
        <v>2.4671862182116477E-2</v>
      </c>
      <c r="H8" s="12">
        <f>H7/G7-1</f>
        <v>0.10766967555991425</v>
      </c>
      <c r="J8" s="24">
        <v>0.04</v>
      </c>
      <c r="K8" s="24">
        <v>3.5000000000000003E-2</v>
      </c>
      <c r="L8" s="24">
        <v>0.03</v>
      </c>
      <c r="M8" s="24">
        <v>0.03</v>
      </c>
      <c r="N8" s="24">
        <v>0.03</v>
      </c>
    </row>
    <row r="10" spans="2:14" ht="15" customHeight="1" x14ac:dyDescent="0.35">
      <c r="B10" s="5" t="s">
        <v>76</v>
      </c>
      <c r="D10" s="13">
        <v>44674</v>
      </c>
      <c r="E10" s="13">
        <v>50954</v>
      </c>
      <c r="F10" s="13">
        <v>56610</v>
      </c>
      <c r="G10" s="13">
        <v>59395</v>
      </c>
      <c r="H10" s="13">
        <v>65367</v>
      </c>
      <c r="J10" s="13">
        <f>J7*J11</f>
        <v>67916.316000000006</v>
      </c>
      <c r="K10" s="13">
        <f>K7*K11</f>
        <v>70055.104391999994</v>
      </c>
      <c r="L10" s="13">
        <f>L7*L11</f>
        <v>71911.326375719989</v>
      </c>
      <c r="M10" s="13">
        <f>M7*M11</f>
        <v>73942.269125751001</v>
      </c>
      <c r="N10" s="13">
        <f>N7*N11</f>
        <v>76160.537199523533</v>
      </c>
    </row>
    <row r="11" spans="2:14" ht="15" customHeight="1" x14ac:dyDescent="0.35">
      <c r="B11" s="8" t="s">
        <v>77</v>
      </c>
      <c r="D11" s="12">
        <f>D10/D7</f>
        <v>0.56099153627847398</v>
      </c>
      <c r="E11" s="12">
        <f>E10/E7</f>
        <v>0.56835318788203271</v>
      </c>
      <c r="F11" s="12">
        <f>F10/F7</f>
        <v>0.5804963084495488</v>
      </c>
      <c r="G11" s="12">
        <f>G10/G7</f>
        <v>0.59438984848788101</v>
      </c>
      <c r="H11" s="12">
        <f>H10/H7</f>
        <v>0.59056782761891857</v>
      </c>
      <c r="J11" s="24">
        <v>0.59</v>
      </c>
      <c r="K11" s="24">
        <v>0.58799999999999997</v>
      </c>
      <c r="L11" s="24">
        <v>0.58599999999999997</v>
      </c>
      <c r="M11" s="24">
        <v>0.58499999999999996</v>
      </c>
      <c r="N11" s="24">
        <v>0.58499999999999996</v>
      </c>
    </row>
    <row r="13" spans="2:14" ht="15" customHeight="1" x14ac:dyDescent="0.35">
      <c r="B13" s="4" t="s">
        <v>78</v>
      </c>
      <c r="D13" s="13">
        <f>D7-D10</f>
        <v>34960</v>
      </c>
      <c r="E13" s="13">
        <f>E7-E10</f>
        <v>38698</v>
      </c>
      <c r="F13" s="13">
        <f>F7-F10</f>
        <v>40910</v>
      </c>
      <c r="G13" s="13">
        <f>G7-G10</f>
        <v>40531</v>
      </c>
      <c r="H13" s="13">
        <f>H7-H10</f>
        <v>45318</v>
      </c>
      <c r="J13" s="13">
        <f>J7-J10</f>
        <v>47196.084000000003</v>
      </c>
      <c r="K13" s="13">
        <f>K7-K10</f>
        <v>49086.229608000009</v>
      </c>
      <c r="L13" s="13">
        <f>L7-L10</f>
        <v>50804.247644280011</v>
      </c>
      <c r="M13" s="13">
        <f>M7-M10</f>
        <v>52454.772114849009</v>
      </c>
      <c r="N13" s="13">
        <f>N7-N10</f>
        <v>54028.415278294488</v>
      </c>
    </row>
    <row r="14" spans="2:14" ht="15" customHeight="1" x14ac:dyDescent="0.35">
      <c r="B14" s="8" t="s">
        <v>79</v>
      </c>
      <c r="D14" s="12">
        <f>D13/D7</f>
        <v>0.43900846372152597</v>
      </c>
      <c r="E14" s="12">
        <f>E13/E7</f>
        <v>0.43164681211796724</v>
      </c>
      <c r="F14" s="12">
        <f>F13/F7</f>
        <v>0.4195036915504512</v>
      </c>
      <c r="G14" s="12">
        <f>G13/G7</f>
        <v>0.40561015151211899</v>
      </c>
      <c r="H14" s="12">
        <f>H13/H7</f>
        <v>0.40943217238108143</v>
      </c>
      <c r="J14" s="12">
        <f>J13/J7</f>
        <v>0.41</v>
      </c>
      <c r="K14" s="12">
        <f>K13/K7</f>
        <v>0.41200000000000009</v>
      </c>
      <c r="L14" s="12">
        <f>L13/L7</f>
        <v>0.41400000000000009</v>
      </c>
      <c r="M14" s="12">
        <f>M13/M7</f>
        <v>0.41500000000000004</v>
      </c>
      <c r="N14" s="12">
        <f>N13/N7</f>
        <v>0.41500000000000009</v>
      </c>
    </row>
    <row r="16" spans="2:14" ht="15" customHeight="1" x14ac:dyDescent="0.35">
      <c r="B16" s="5" t="s">
        <v>80</v>
      </c>
      <c r="D16" s="13">
        <v>30173</v>
      </c>
      <c r="E16" s="13">
        <v>32344</v>
      </c>
      <c r="F16" s="13">
        <v>34802</v>
      </c>
      <c r="G16" s="13">
        <v>36909</v>
      </c>
      <c r="H16" s="13">
        <v>39454</v>
      </c>
      <c r="J16" s="13">
        <f>J7*J17</f>
        <v>39713.777999999998</v>
      </c>
      <c r="K16" s="13">
        <f>K7*K17</f>
        <v>40508.05356</v>
      </c>
      <c r="L16" s="13">
        <f>L7*L17</f>
        <v>41109.717296700001</v>
      </c>
      <c r="M16" s="13">
        <f>M7*M17</f>
        <v>41711.023609398006</v>
      </c>
      <c r="N16" s="13">
        <f>N7*N17</f>
        <v>42701.976412724311</v>
      </c>
    </row>
    <row r="17" spans="2:14" ht="15" customHeight="1" x14ac:dyDescent="0.35">
      <c r="B17" s="8" t="s">
        <v>81</v>
      </c>
      <c r="D17" s="12">
        <f>D16/D7</f>
        <v>0.37889594896652184</v>
      </c>
      <c r="E17" s="12">
        <f>E16/E7</f>
        <v>0.36077276580555928</v>
      </c>
      <c r="F17" s="12">
        <f>F16/F7</f>
        <v>0.35687038556193601</v>
      </c>
      <c r="G17" s="12">
        <f>G16/G7</f>
        <v>0.36936332886335888</v>
      </c>
      <c r="H17" s="12">
        <f>H16/H7</f>
        <v>0.35645299724443241</v>
      </c>
      <c r="J17" s="24">
        <v>0.34499999999999997</v>
      </c>
      <c r="K17" s="24">
        <v>0.34</v>
      </c>
      <c r="L17" s="24">
        <v>0.33500000000000002</v>
      </c>
      <c r="M17" s="24">
        <v>0.33</v>
      </c>
      <c r="N17" s="24">
        <v>0.32800000000000001</v>
      </c>
    </row>
    <row r="19" spans="2:14" ht="15" customHeight="1" x14ac:dyDescent="0.35">
      <c r="B19" s="4" t="s">
        <v>82</v>
      </c>
      <c r="D19" s="13">
        <f>D13-D16</f>
        <v>4787</v>
      </c>
      <c r="E19" s="13">
        <f>E13-E16</f>
        <v>6354</v>
      </c>
      <c r="F19" s="13">
        <f>F13-F16</f>
        <v>6108</v>
      </c>
      <c r="G19" s="13">
        <f>G13-G16</f>
        <v>3622</v>
      </c>
      <c r="H19" s="13">
        <f>H13-H16</f>
        <v>5864</v>
      </c>
      <c r="J19" s="13">
        <f>J13-J16</f>
        <v>7482.3060000000041</v>
      </c>
      <c r="K19" s="13">
        <f>K13-K16</f>
        <v>8578.1760480000084</v>
      </c>
      <c r="L19" s="13">
        <f>L13-L16</f>
        <v>9694.5303475800101</v>
      </c>
      <c r="M19" s="13">
        <f>M13-M16</f>
        <v>10743.748505451003</v>
      </c>
      <c r="N19" s="13">
        <f>N13-N16</f>
        <v>11326.438865570177</v>
      </c>
    </row>
    <row r="20" spans="2:14" ht="15" customHeight="1" x14ac:dyDescent="0.35">
      <c r="B20" s="8" t="s">
        <v>83</v>
      </c>
      <c r="D20" s="12">
        <f>D19/D7</f>
        <v>6.0112514755004141E-2</v>
      </c>
      <c r="E20" s="12">
        <f>E19/E7</f>
        <v>7.0874046312407971E-2</v>
      </c>
      <c r="F20" s="12">
        <f>F19/F7</f>
        <v>6.2633305988515173E-2</v>
      </c>
      <c r="G20" s="12">
        <f>G19/G7</f>
        <v>3.6246822648760085E-2</v>
      </c>
      <c r="H20" s="12">
        <f>H19/H7</f>
        <v>5.297917513664905E-2</v>
      </c>
      <c r="J20" s="12">
        <f>J19/J7</f>
        <v>6.500000000000003E-2</v>
      </c>
      <c r="K20" s="12">
        <f>K19/K7</f>
        <v>7.2000000000000064E-2</v>
      </c>
      <c r="L20" s="12">
        <f>L19/L7</f>
        <v>7.9000000000000084E-2</v>
      </c>
      <c r="M20" s="12">
        <f>M19/M7</f>
        <v>8.500000000000002E-2</v>
      </c>
      <c r="N20" s="12">
        <f>N19/N7</f>
        <v>8.7000000000000063E-2</v>
      </c>
    </row>
    <row r="22" spans="2:14" ht="15" customHeight="1" x14ac:dyDescent="0.35">
      <c r="B22" s="5" t="s">
        <v>84</v>
      </c>
      <c r="D22" s="13">
        <v>1955</v>
      </c>
      <c r="E22" s="13">
        <v>1477</v>
      </c>
      <c r="F22" s="13">
        <v>1463</v>
      </c>
      <c r="G22" s="13">
        <v>1924</v>
      </c>
      <c r="H22" s="13">
        <v>2411</v>
      </c>
      <c r="J22" s="13">
        <f>J7*J23</f>
        <v>2532.4728</v>
      </c>
      <c r="K22" s="13">
        <f>K7*K23</f>
        <v>2621.109348</v>
      </c>
      <c r="L22" s="13">
        <f>L7*L23</f>
        <v>2577.0270544200002</v>
      </c>
      <c r="M22" s="13">
        <f>M7*M23</f>
        <v>2654.3378660526005</v>
      </c>
      <c r="N22" s="13">
        <f>N7*N23</f>
        <v>2603.7790495563604</v>
      </c>
    </row>
    <row r="23" spans="2:14" ht="15" customHeight="1" x14ac:dyDescent="0.35">
      <c r="B23" s="8" t="s">
        <v>85</v>
      </c>
      <c r="D23" s="12">
        <f>D22/D7</f>
        <v>2.4549815405480072E-2</v>
      </c>
      <c r="E23" s="12">
        <f>E22/E7</f>
        <v>1.6474813724177931E-2</v>
      </c>
      <c r="F23" s="12">
        <f>F22/F7</f>
        <v>1.5002050861361771E-2</v>
      </c>
      <c r="G23" s="12">
        <f>G22/G7</f>
        <v>1.9254248143626283E-2</v>
      </c>
      <c r="H23" s="12">
        <f>H22/H7</f>
        <v>2.1782536025658401E-2</v>
      </c>
      <c r="J23" s="24">
        <v>2.1999999999999999E-2</v>
      </c>
      <c r="K23" s="24">
        <v>2.1999999999999999E-2</v>
      </c>
      <c r="L23" s="24">
        <v>2.1000000000000001E-2</v>
      </c>
      <c r="M23" s="24">
        <v>2.1000000000000001E-2</v>
      </c>
      <c r="N23" s="24">
        <v>0.02</v>
      </c>
    </row>
    <row r="25" spans="2:14" ht="15" customHeight="1" x14ac:dyDescent="0.35">
      <c r="B25" s="4" t="s">
        <v>86</v>
      </c>
      <c r="D25" s="13">
        <f>D19+D22</f>
        <v>6742</v>
      </c>
      <c r="E25" s="13">
        <f>E19+E22</f>
        <v>7831</v>
      </c>
      <c r="F25" s="13">
        <f>F19+F22</f>
        <v>7571</v>
      </c>
      <c r="G25" s="13">
        <f>G19+G22</f>
        <v>5546</v>
      </c>
      <c r="H25" s="13">
        <f>H19+H22</f>
        <v>8275</v>
      </c>
      <c r="J25" s="13">
        <f>J19+J22</f>
        <v>10014.778800000004</v>
      </c>
      <c r="K25" s="13">
        <f>K19+K22</f>
        <v>11199.285396000008</v>
      </c>
      <c r="L25" s="13">
        <f>L19+L22</f>
        <v>12271.557402000009</v>
      </c>
      <c r="M25" s="13">
        <f>M19+M22</f>
        <v>13398.086371503603</v>
      </c>
      <c r="N25" s="13">
        <f>N19+N22</f>
        <v>13930.217915126537</v>
      </c>
    </row>
    <row r="26" spans="2:14" ht="15" customHeight="1" x14ac:dyDescent="0.35">
      <c r="B26" s="8" t="s">
        <v>87</v>
      </c>
      <c r="D26" s="12">
        <f>D25/D7</f>
        <v>8.4662330160484217E-2</v>
      </c>
      <c r="E26" s="12">
        <f>E25/E7</f>
        <v>8.7348860036585915E-2</v>
      </c>
      <c r="F26" s="12">
        <f>F25/F7</f>
        <v>7.7635356849876949E-2</v>
      </c>
      <c r="G26" s="12">
        <f>G25/G7</f>
        <v>5.5501070792386364E-2</v>
      </c>
      <c r="H26" s="12">
        <f>H25/H7</f>
        <v>7.4761711162307454E-2</v>
      </c>
      <c r="J26" s="12">
        <f>J25/J7</f>
        <v>8.7000000000000022E-2</v>
      </c>
      <c r="K26" s="12">
        <f>K25/K7</f>
        <v>9.400000000000007E-2</v>
      </c>
      <c r="L26" s="12">
        <f>L25/L7</f>
        <v>0.10000000000000007</v>
      </c>
      <c r="M26" s="12">
        <f>M25/M7</f>
        <v>0.10600000000000001</v>
      </c>
      <c r="N26" s="12">
        <f>N25/N7</f>
        <v>0.10700000000000007</v>
      </c>
    </row>
    <row r="28" spans="2:14" ht="15" customHeight="1" x14ac:dyDescent="0.35">
      <c r="B28" s="5" t="s">
        <v>88</v>
      </c>
      <c r="D28" s="13">
        <v>10</v>
      </c>
      <c r="E28" s="13">
        <v>5</v>
      </c>
      <c r="F28" s="13">
        <v>5</v>
      </c>
      <c r="G28" s="13">
        <v>11</v>
      </c>
      <c r="H28" s="13">
        <v>55</v>
      </c>
      <c r="J28" s="19">
        <f>'Debt Schedule'!E34</f>
        <v>1857.1428571428573</v>
      </c>
      <c r="K28" s="19">
        <f>'Debt Schedule'!F34</f>
        <v>1678.5714285714284</v>
      </c>
      <c r="L28" s="19">
        <f>'Debt Schedule'!G34</f>
        <v>1500</v>
      </c>
      <c r="M28" s="19">
        <f>'Debt Schedule'!H34</f>
        <v>1321.4285714285713</v>
      </c>
      <c r="N28" s="19">
        <f>'Debt Schedule'!I34</f>
        <v>1142.8571428571427</v>
      </c>
    </row>
    <row r="30" spans="2:14" ht="15" customHeight="1" x14ac:dyDescent="0.35">
      <c r="B30" s="4" t="s">
        <v>89</v>
      </c>
      <c r="D30" s="13">
        <f>D19-D28</f>
        <v>4777</v>
      </c>
      <c r="E30" s="13">
        <f>E19-E28</f>
        <v>6349</v>
      </c>
      <c r="F30" s="13">
        <f>F19-F28</f>
        <v>6103</v>
      </c>
      <c r="G30" s="13">
        <f>G19-G28</f>
        <v>3611</v>
      </c>
      <c r="H30" s="13">
        <f>H19-H28</f>
        <v>5809</v>
      </c>
      <c r="J30" s="13">
        <f>J19-J28</f>
        <v>5625.1631428571472</v>
      </c>
      <c r="K30" s="13">
        <f>K19-K28</f>
        <v>6899.60461942858</v>
      </c>
      <c r="L30" s="13">
        <f>L19-L28</f>
        <v>8194.5303475800101</v>
      </c>
      <c r="M30" s="13">
        <f>M19-M28</f>
        <v>9422.3199340224328</v>
      </c>
      <c r="N30" s="13">
        <f>N19-N28</f>
        <v>10183.581722713034</v>
      </c>
    </row>
    <row r="32" spans="2:14" ht="15" customHeight="1" x14ac:dyDescent="0.35">
      <c r="B32" s="5" t="s">
        <v>90</v>
      </c>
      <c r="D32" s="13">
        <v>1854</v>
      </c>
      <c r="E32" s="13">
        <v>2316</v>
      </c>
      <c r="F32" s="13">
        <v>1952</v>
      </c>
      <c r="G32" s="13">
        <v>1757</v>
      </c>
      <c r="H32" s="13">
        <v>2646</v>
      </c>
      <c r="J32" s="13">
        <f>J30*J33</f>
        <v>1968.8071000000014</v>
      </c>
      <c r="K32" s="13">
        <f>K30*K33</f>
        <v>2414.861616800003</v>
      </c>
      <c r="L32" s="13">
        <f>L30*L33</f>
        <v>2868.0856216530033</v>
      </c>
      <c r="M32" s="13">
        <f>M30*M33</f>
        <v>3297.8119769078512</v>
      </c>
      <c r="N32" s="13">
        <f>N30*N33</f>
        <v>3564.2536029495618</v>
      </c>
    </row>
    <row r="33" spans="2:14" ht="15" customHeight="1" x14ac:dyDescent="0.35">
      <c r="B33" s="8" t="s">
        <v>91</v>
      </c>
      <c r="D33" s="12">
        <f>D32/D30</f>
        <v>0.3881096922754867</v>
      </c>
      <c r="E33" s="12">
        <f>E32/E30</f>
        <v>0.36478185541030084</v>
      </c>
      <c r="F33" s="12">
        <f>F32/F30</f>
        <v>0.31984270031132228</v>
      </c>
      <c r="G33" s="12">
        <f>G32/G30</f>
        <v>0.48656881750207698</v>
      </c>
      <c r="H33" s="12">
        <f>H32/H30</f>
        <v>0.45550008607333448</v>
      </c>
      <c r="J33" s="24">
        <v>0.35</v>
      </c>
      <c r="K33" s="24">
        <v>0.35</v>
      </c>
      <c r="L33" s="24">
        <v>0.35</v>
      </c>
      <c r="M33" s="24">
        <v>0.35</v>
      </c>
      <c r="N33" s="24">
        <v>0.35</v>
      </c>
    </row>
    <row r="35" spans="2:14" ht="15" customHeight="1" x14ac:dyDescent="0.35">
      <c r="B35" s="4" t="s">
        <v>92</v>
      </c>
      <c r="D35" s="26">
        <f>D30-D32</f>
        <v>2923</v>
      </c>
      <c r="E35" s="26">
        <f>E30-E32</f>
        <v>4033</v>
      </c>
      <c r="F35" s="26">
        <f>F30-F32</f>
        <v>4151</v>
      </c>
      <c r="G35" s="26">
        <f>G30-G32</f>
        <v>1854</v>
      </c>
      <c r="H35" s="26">
        <f>H30-H32</f>
        <v>3163</v>
      </c>
      <c r="J35" s="26">
        <f>J30-J32</f>
        <v>3656.3560428571459</v>
      </c>
      <c r="K35" s="26">
        <f>K30-K32</f>
        <v>4484.7430026285765</v>
      </c>
      <c r="L35" s="26">
        <f>L30-L32</f>
        <v>5326.4447259270073</v>
      </c>
      <c r="M35" s="26">
        <f>M30-M32</f>
        <v>6124.5079571145816</v>
      </c>
      <c r="N35" s="26">
        <f>N30-N32</f>
        <v>6619.3281197634715</v>
      </c>
    </row>
    <row r="36" spans="2:14" ht="15" customHeight="1" x14ac:dyDescent="0.35">
      <c r="B36" s="8" t="s">
        <v>93</v>
      </c>
      <c r="D36" s="12">
        <f>D35/D7</f>
        <v>3.6705427330034908E-2</v>
      </c>
      <c r="E36" s="12">
        <f>E35/E7</f>
        <v>4.4985053317271227E-2</v>
      </c>
      <c r="F36" s="12">
        <f>F35/F7</f>
        <v>4.2565627563576701E-2</v>
      </c>
      <c r="G36" s="12">
        <f>G35/G7</f>
        <v>1.8553729760022418E-2</v>
      </c>
      <c r="H36" s="12">
        <f>H35/H7</f>
        <v>2.8576591227356913E-2</v>
      </c>
      <c r="J36" s="12">
        <f>J35/J7</f>
        <v>3.1763355145554652E-2</v>
      </c>
      <c r="K36" s="12">
        <f>K35/K7</f>
        <v>3.7642209064308249E-2</v>
      </c>
      <c r="L36" s="12">
        <f>L35/L7</f>
        <v>4.3404798196673158E-2</v>
      </c>
      <c r="M36" s="12">
        <f>M35/M7</f>
        <v>4.8454519955545665E-2</v>
      </c>
      <c r="N36" s="12">
        <f>N35/N7</f>
        <v>5.0844007834622465E-2</v>
      </c>
    </row>
    <row r="38" spans="2:14" ht="15" customHeight="1" x14ac:dyDescent="0.35">
      <c r="B38" s="9" t="s">
        <v>94</v>
      </c>
    </row>
    <row r="40" spans="2:14" ht="15" customHeight="1" x14ac:dyDescent="0.35">
      <c r="B40" s="5" t="s">
        <v>86</v>
      </c>
      <c r="D40" s="19">
        <f>D25</f>
        <v>6742</v>
      </c>
      <c r="E40" s="19">
        <f>E25</f>
        <v>7831</v>
      </c>
      <c r="F40" s="19">
        <f>F25</f>
        <v>7571</v>
      </c>
      <c r="G40" s="19">
        <f>G25</f>
        <v>5546</v>
      </c>
      <c r="H40" s="19">
        <f>H25</f>
        <v>8275</v>
      </c>
      <c r="J40" s="19">
        <f>J25</f>
        <v>10014.778800000004</v>
      </c>
      <c r="K40" s="19">
        <f>K25</f>
        <v>11199.285396000008</v>
      </c>
      <c r="L40" s="19">
        <f>L25</f>
        <v>12271.557402000009</v>
      </c>
      <c r="M40" s="19">
        <f>M25</f>
        <v>13398.086371503603</v>
      </c>
      <c r="N40" s="19">
        <f>N25</f>
        <v>13930.217915126537</v>
      </c>
    </row>
    <row r="41" spans="2:14" ht="15" customHeight="1" x14ac:dyDescent="0.35">
      <c r="B41" s="5" t="s">
        <v>95</v>
      </c>
      <c r="D41" s="19">
        <f>D32</f>
        <v>1854</v>
      </c>
      <c r="E41" s="19">
        <f>E32</f>
        <v>2316</v>
      </c>
      <c r="F41" s="19">
        <f>F32</f>
        <v>1952</v>
      </c>
      <c r="G41" s="19">
        <f>G32</f>
        <v>1757</v>
      </c>
      <c r="H41" s="19">
        <f>H32</f>
        <v>2646</v>
      </c>
      <c r="J41" s="19">
        <f>J32</f>
        <v>1968.8071000000014</v>
      </c>
      <c r="K41" s="19">
        <f>K32</f>
        <v>2414.861616800003</v>
      </c>
      <c r="L41" s="19">
        <f>L32</f>
        <v>2868.0856216530033</v>
      </c>
      <c r="M41" s="19">
        <f>M32</f>
        <v>3297.8119769078512</v>
      </c>
      <c r="N41" s="19">
        <f>N32</f>
        <v>3564.2536029495618</v>
      </c>
    </row>
    <row r="42" spans="2:14" ht="15" customHeight="1" x14ac:dyDescent="0.35">
      <c r="B42" s="5" t="s">
        <v>96</v>
      </c>
      <c r="D42" s="13">
        <v>1867</v>
      </c>
      <c r="E42" s="13">
        <v>1740</v>
      </c>
      <c r="F42" s="13">
        <v>1853</v>
      </c>
      <c r="G42" s="13">
        <v>4360</v>
      </c>
      <c r="H42" s="13">
        <v>2550</v>
      </c>
      <c r="J42" s="13">
        <f>J7*J43</f>
        <v>2877.8100000000004</v>
      </c>
      <c r="K42" s="13">
        <f>K7*K43</f>
        <v>2978.5333500000002</v>
      </c>
      <c r="L42" s="13">
        <f>L7*L43</f>
        <v>2945.17377648</v>
      </c>
      <c r="M42" s="13">
        <f>M7*M43</f>
        <v>2907.1319485338004</v>
      </c>
      <c r="N42" s="13">
        <f>N7*N43</f>
        <v>2994.3459069898145</v>
      </c>
    </row>
    <row r="43" spans="2:14" ht="15" customHeight="1" x14ac:dyDescent="0.35">
      <c r="B43" s="8" t="s">
        <v>97</v>
      </c>
      <c r="D43" s="12">
        <f>D42/D7</f>
        <v>2.3444759775975085E-2</v>
      </c>
      <c r="E43" s="12">
        <f>E42/E7</f>
        <v>1.9408379065720786E-2</v>
      </c>
      <c r="F43" s="12">
        <f>F42/F7</f>
        <v>1.9001230516817062E-2</v>
      </c>
      <c r="G43" s="12">
        <f>G42/G7</f>
        <v>4.3632287893040848E-2</v>
      </c>
      <c r="H43" s="12">
        <f>H42/H7</f>
        <v>2.3038352080227673E-2</v>
      </c>
      <c r="J43" s="24">
        <v>2.5000000000000001E-2</v>
      </c>
      <c r="K43" s="24">
        <v>2.5000000000000001E-2</v>
      </c>
      <c r="L43" s="24">
        <v>2.4E-2</v>
      </c>
      <c r="M43" s="24">
        <v>2.3E-2</v>
      </c>
      <c r="N43" s="24">
        <v>2.3E-2</v>
      </c>
    </row>
    <row r="44" spans="2:14" ht="15" customHeight="1" x14ac:dyDescent="0.35">
      <c r="B44" s="5" t="s">
        <v>98</v>
      </c>
      <c r="D44" s="11">
        <v>500</v>
      </c>
      <c r="E44" s="11">
        <v>800</v>
      </c>
      <c r="F44" s="11">
        <v>600</v>
      </c>
      <c r="G44" s="11">
        <v>1200</v>
      </c>
      <c r="H44" s="11">
        <v>1000</v>
      </c>
      <c r="J44" s="11">
        <v>500</v>
      </c>
      <c r="K44" s="11">
        <v>500</v>
      </c>
      <c r="L44" s="11">
        <v>500</v>
      </c>
      <c r="M44" s="11">
        <v>500</v>
      </c>
      <c r="N44" s="11">
        <v>500</v>
      </c>
    </row>
    <row r="46" spans="2:14" ht="15" customHeight="1" x14ac:dyDescent="0.35">
      <c r="B46" s="4" t="s">
        <v>99</v>
      </c>
      <c r="D46" s="26">
        <f>D40-D41-D42-D44</f>
        <v>2521</v>
      </c>
      <c r="E46" s="26">
        <f>E40-E41-E42-E44</f>
        <v>2975</v>
      </c>
      <c r="F46" s="26">
        <f>F40-F41-F42-F44</f>
        <v>3166</v>
      </c>
      <c r="G46" s="26">
        <f>G40-G41-G42-G44</f>
        <v>-1771</v>
      </c>
      <c r="H46" s="26">
        <f>H40-H41-H42-H44</f>
        <v>2079</v>
      </c>
      <c r="J46" s="26">
        <f>J40-J41-J42-J44</f>
        <v>4668.1617000000015</v>
      </c>
      <c r="K46" s="26">
        <f>K40-K41-K42-K44</f>
        <v>5305.8904292000061</v>
      </c>
      <c r="L46" s="26">
        <f>L40-L41-L42-L44</f>
        <v>5958.2980038670066</v>
      </c>
      <c r="M46" s="26">
        <f>M40-M41-M42-M44</f>
        <v>6693.142446061951</v>
      </c>
      <c r="N46" s="26">
        <f>N40-N41-N42-N44</f>
        <v>6871.6184051871605</v>
      </c>
    </row>
  </sheetData>
  <phoneticPr fontId="15"/>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36"/>
  <sheetViews>
    <sheetView zoomScaleNormal="100" workbookViewId="0"/>
  </sheetViews>
  <sheetFormatPr defaultColWidth="8.6328125" defaultRowHeight="14.5" x14ac:dyDescent="0.35"/>
  <cols>
    <col min="1" max="1" width="3" customWidth="1"/>
    <col min="2" max="2" width="35" customWidth="1"/>
    <col min="3" max="3" width="3" customWidth="1"/>
    <col min="4" max="4" width="50" customWidth="1"/>
  </cols>
  <sheetData>
    <row r="1" spans="2:4" ht="17.25" customHeight="1" x14ac:dyDescent="0.4">
      <c r="B1" s="7" t="s">
        <v>100</v>
      </c>
    </row>
    <row r="2" spans="2:4" ht="15" customHeight="1" x14ac:dyDescent="0.35">
      <c r="B2" s="8" t="s">
        <v>101</v>
      </c>
    </row>
    <row r="4" spans="2:4" ht="15" customHeight="1" x14ac:dyDescent="0.35">
      <c r="B4" s="9" t="s">
        <v>102</v>
      </c>
      <c r="D4" s="10"/>
    </row>
    <row r="6" spans="2:4" ht="15" customHeight="1" x14ac:dyDescent="0.35">
      <c r="B6" s="4" t="s">
        <v>103</v>
      </c>
      <c r="D6" s="5" t="s">
        <v>0</v>
      </c>
    </row>
    <row r="7" spans="2:4" ht="15" customHeight="1" x14ac:dyDescent="0.35">
      <c r="B7" s="4" t="s">
        <v>104</v>
      </c>
      <c r="D7" s="5" t="s">
        <v>105</v>
      </c>
    </row>
    <row r="8" spans="2:4" ht="15" customHeight="1" x14ac:dyDescent="0.35">
      <c r="B8" s="4" t="s">
        <v>106</v>
      </c>
      <c r="D8" s="5" t="s">
        <v>107</v>
      </c>
    </row>
    <row r="9" spans="2:4" ht="15" customHeight="1" x14ac:dyDescent="0.35">
      <c r="B9" s="4" t="s">
        <v>108</v>
      </c>
      <c r="D9" s="5" t="s">
        <v>109</v>
      </c>
    </row>
    <row r="10" spans="2:4" ht="15" customHeight="1" x14ac:dyDescent="0.35">
      <c r="B10" s="4" t="s">
        <v>110</v>
      </c>
      <c r="D10" s="5" t="s">
        <v>111</v>
      </c>
    </row>
    <row r="11" spans="2:4" ht="15" customHeight="1" x14ac:dyDescent="0.35">
      <c r="B11" s="4" t="s">
        <v>112</v>
      </c>
      <c r="D11" s="5" t="s">
        <v>113</v>
      </c>
    </row>
    <row r="12" spans="2:4" ht="15" customHeight="1" x14ac:dyDescent="0.35">
      <c r="B12" s="4" t="s">
        <v>114</v>
      </c>
      <c r="D12" s="5" t="s">
        <v>6</v>
      </c>
    </row>
    <row r="13" spans="2:4" ht="15" customHeight="1" x14ac:dyDescent="0.35">
      <c r="B13" s="4" t="s">
        <v>115</v>
      </c>
      <c r="D13" s="5" t="s">
        <v>116</v>
      </c>
    </row>
    <row r="15" spans="2:4" ht="15" customHeight="1" x14ac:dyDescent="0.35">
      <c r="B15" s="9" t="s">
        <v>117</v>
      </c>
      <c r="D15" s="10"/>
    </row>
    <row r="17" spans="2:4" ht="15" customHeight="1" x14ac:dyDescent="0.35">
      <c r="B17" s="5" t="s">
        <v>74</v>
      </c>
      <c r="D17" s="19">
        <f>'Income Statement'!H7</f>
        <v>110685</v>
      </c>
    </row>
    <row r="18" spans="2:4" ht="15" customHeight="1" x14ac:dyDescent="0.35">
      <c r="B18" s="5" t="s">
        <v>86</v>
      </c>
      <c r="D18" s="19">
        <f>'Income Statement'!H25</f>
        <v>8275</v>
      </c>
    </row>
    <row r="19" spans="2:4" ht="15" customHeight="1" x14ac:dyDescent="0.35">
      <c r="B19" s="5" t="s">
        <v>118</v>
      </c>
      <c r="D19" s="27">
        <f>'Income Statement'!H26</f>
        <v>7.4761711162307454E-2</v>
      </c>
    </row>
    <row r="20" spans="2:4" ht="15" customHeight="1" x14ac:dyDescent="0.35">
      <c r="B20" s="5" t="s">
        <v>119</v>
      </c>
      <c r="D20" s="19">
        <f>'Income Statement'!H19</f>
        <v>5864</v>
      </c>
    </row>
    <row r="21" spans="2:4" ht="15" customHeight="1" x14ac:dyDescent="0.35">
      <c r="B21" s="5" t="s">
        <v>92</v>
      </c>
      <c r="D21" s="19">
        <f>'Income Statement'!H35</f>
        <v>3163</v>
      </c>
    </row>
    <row r="23" spans="2:4" ht="15" customHeight="1" x14ac:dyDescent="0.35">
      <c r="B23" s="9" t="s">
        <v>120</v>
      </c>
      <c r="D23" s="10"/>
    </row>
    <row r="25" spans="2:4" ht="15" customHeight="1" x14ac:dyDescent="0.35">
      <c r="B25" s="5" t="s">
        <v>121</v>
      </c>
      <c r="D25" s="19">
        <f>'Transaction Assumptions'!D6</f>
        <v>6500</v>
      </c>
    </row>
    <row r="26" spans="2:4" ht="15" customHeight="1" x14ac:dyDescent="0.35">
      <c r="B26" s="5" t="s">
        <v>22</v>
      </c>
      <c r="D26" s="27">
        <f>'Transaction Assumptions'!D8</f>
        <v>0.20414968506854381</v>
      </c>
    </row>
    <row r="27" spans="2:4" ht="15" customHeight="1" x14ac:dyDescent="0.35">
      <c r="B27" s="5" t="s">
        <v>122</v>
      </c>
      <c r="D27" s="19">
        <f>'Transaction Assumptions'!D11</f>
        <v>145301</v>
      </c>
    </row>
    <row r="28" spans="2:4" ht="15" customHeight="1" x14ac:dyDescent="0.35">
      <c r="B28" s="5" t="s">
        <v>123</v>
      </c>
      <c r="D28" s="19">
        <f>'Transaction Assumptions'!D15</f>
        <v>123510</v>
      </c>
    </row>
    <row r="29" spans="2:4" ht="15" customHeight="1" x14ac:dyDescent="0.35">
      <c r="B29" s="5" t="s">
        <v>124</v>
      </c>
      <c r="D29" s="28">
        <f>'Transaction Assumptions'!D23</f>
        <v>14.925679758308156</v>
      </c>
    </row>
    <row r="30" spans="2:4" ht="15" customHeight="1" x14ac:dyDescent="0.35">
      <c r="B30" s="5" t="s">
        <v>125</v>
      </c>
      <c r="D30" s="28">
        <f>'Transaction Assumptions'!D25</f>
        <v>33.541320406278857</v>
      </c>
    </row>
    <row r="32" spans="2:4" ht="15" customHeight="1" x14ac:dyDescent="0.35">
      <c r="B32" s="9" t="s">
        <v>126</v>
      </c>
      <c r="D32" s="10"/>
    </row>
    <row r="34" spans="2:4" ht="15" customHeight="1" x14ac:dyDescent="0.35">
      <c r="B34" s="5" t="s">
        <v>58</v>
      </c>
      <c r="D34" s="19">
        <f>'Transaction Assumptions'!D44</f>
        <v>75000</v>
      </c>
    </row>
    <row r="35" spans="2:4" ht="15" customHeight="1" x14ac:dyDescent="0.35">
      <c r="B35" s="5" t="s">
        <v>46</v>
      </c>
      <c r="D35" s="19">
        <f>'Transaction Assumptions'!D34</f>
        <v>77646</v>
      </c>
    </row>
    <row r="36" spans="2:4" ht="15" customHeight="1" x14ac:dyDescent="0.35">
      <c r="B36" s="5" t="s">
        <v>127</v>
      </c>
      <c r="D36" s="28">
        <f>'Transaction Assumptions'!D46</f>
        <v>9.0634441087613293</v>
      </c>
    </row>
  </sheetData>
  <phoneticPr fontId="15"/>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59"/>
  <sheetViews>
    <sheetView zoomScaleNormal="100" workbookViewId="0"/>
  </sheetViews>
  <sheetFormatPr defaultColWidth="8.6328125" defaultRowHeight="14.5" x14ac:dyDescent="0.35"/>
  <cols>
    <col min="1" max="1" width="3" customWidth="1"/>
    <col min="2" max="2" width="38" customWidth="1"/>
    <col min="3" max="3" width="3" customWidth="1"/>
    <col min="4" max="4" width="14" customWidth="1"/>
    <col min="5" max="5" width="10" customWidth="1"/>
    <col min="6" max="11" width="14" customWidth="1"/>
  </cols>
  <sheetData>
    <row r="1" spans="2:11" ht="15" customHeight="1" x14ac:dyDescent="0.35">
      <c r="B1" s="8" t="s">
        <v>18</v>
      </c>
    </row>
    <row r="2" spans="2:11" ht="17.25" customHeight="1" x14ac:dyDescent="0.4">
      <c r="B2" s="7" t="s">
        <v>128</v>
      </c>
    </row>
    <row r="4" spans="2:11" ht="15" customHeight="1" x14ac:dyDescent="0.35">
      <c r="D4" s="18" t="s">
        <v>129</v>
      </c>
      <c r="E4" s="18" t="s">
        <v>130</v>
      </c>
      <c r="F4" s="18" t="s">
        <v>131</v>
      </c>
      <c r="G4" s="18" t="s">
        <v>69</v>
      </c>
      <c r="H4" s="18" t="s">
        <v>70</v>
      </c>
      <c r="I4" s="18" t="s">
        <v>71</v>
      </c>
      <c r="J4" s="18" t="s">
        <v>72</v>
      </c>
      <c r="K4" s="18" t="s">
        <v>73</v>
      </c>
    </row>
    <row r="5" spans="2:11" ht="15" customHeight="1" x14ac:dyDescent="0.35">
      <c r="D5" s="29" t="s">
        <v>68</v>
      </c>
      <c r="E5" s="29" t="s">
        <v>132</v>
      </c>
      <c r="F5" s="29" t="s">
        <v>68</v>
      </c>
    </row>
    <row r="7" spans="2:11" ht="15" customHeight="1" x14ac:dyDescent="0.35">
      <c r="B7" s="30" t="s">
        <v>133</v>
      </c>
    </row>
    <row r="8" spans="2:11" ht="15" customHeight="1" x14ac:dyDescent="0.35">
      <c r="B8" s="4" t="s">
        <v>134</v>
      </c>
    </row>
    <row r="9" spans="2:11" ht="15" customHeight="1" x14ac:dyDescent="0.35">
      <c r="B9" s="5" t="s">
        <v>135</v>
      </c>
      <c r="D9" s="13">
        <v>24636</v>
      </c>
      <c r="E9" s="11">
        <f>-'Transaction Assumptions'!I33-'Transaction Assumptions'!I34</f>
        <v>-4500</v>
      </c>
      <c r="F9" s="13">
        <f>D9+E9</f>
        <v>20136</v>
      </c>
      <c r="G9" s="19">
        <f>'Cash Flow Statement'!E47</f>
        <v>16364.088538356167</v>
      </c>
      <c r="H9" s="19">
        <f>'Cash Flow Statement'!F47</f>
        <v>13319.318154056367</v>
      </c>
      <c r="I9" s="19">
        <f>'Cash Flow Statement'!G47</f>
        <v>11104.650531098672</v>
      </c>
      <c r="J9" s="19">
        <f>'Cash Flow Statement'!H47</f>
        <v>9814.5619954885351</v>
      </c>
      <c r="K9" s="19">
        <f>'Cash Flow Statement'!I47</f>
        <v>8893.7653403093391</v>
      </c>
    </row>
    <row r="10" spans="2:11" ht="15" customHeight="1" x14ac:dyDescent="0.35">
      <c r="B10" s="5" t="s">
        <v>136</v>
      </c>
      <c r="D10" s="13">
        <v>12805</v>
      </c>
      <c r="F10" s="13">
        <f>D10</f>
        <v>12805</v>
      </c>
      <c r="G10" s="19">
        <f>'Income Statement'!J7*$D$55/365</f>
        <v>13245.810410958906</v>
      </c>
      <c r="H10" s="19">
        <f>'Income Statement'!K7*$D$55/365</f>
        <v>13709.413775342466</v>
      </c>
      <c r="I10" s="19">
        <f>'Income Statement'!L7*$D$55/365</f>
        <v>14120.69618860274</v>
      </c>
      <c r="J10" s="19">
        <f>'Income Statement'!M7*$D$55/365</f>
        <v>14544.317074260822</v>
      </c>
      <c r="K10" s="19">
        <f>'Income Statement'!N7*$D$55/365</f>
        <v>14980.646586488649</v>
      </c>
    </row>
    <row r="11" spans="2:11" ht="15" customHeight="1" x14ac:dyDescent="0.35">
      <c r="B11" s="5" t="s">
        <v>137</v>
      </c>
      <c r="D11" s="13">
        <v>3200</v>
      </c>
      <c r="F11" s="13">
        <f>D11</f>
        <v>3200</v>
      </c>
      <c r="G11" s="19">
        <f>'Income Statement'!J10*$D$56/365</f>
        <v>3349.2977753424661</v>
      </c>
      <c r="H11" s="19">
        <f>'Income Statement'!K10*$D$56/365</f>
        <v>3454.7722713863013</v>
      </c>
      <c r="I11" s="19">
        <f>'Income Statement'!L10*$D$56/365</f>
        <v>3546.3119856519447</v>
      </c>
      <c r="J11" s="19">
        <f>'Income Statement'!M10*$D$56/365</f>
        <v>3646.4680664753919</v>
      </c>
      <c r="K11" s="19">
        <f>'Income Statement'!N10*$D$56/365</f>
        <v>3755.8621084696538</v>
      </c>
    </row>
    <row r="12" spans="2:11" ht="15" customHeight="1" x14ac:dyDescent="0.35">
      <c r="B12" s="5" t="s">
        <v>138</v>
      </c>
      <c r="D12" s="13">
        <v>2500</v>
      </c>
      <c r="F12" s="13">
        <f>D12</f>
        <v>2500</v>
      </c>
      <c r="G12" s="19">
        <f>'Income Statement'!J7*$D$58</f>
        <v>2647.5852</v>
      </c>
      <c r="H12" s="19">
        <f>'Income Statement'!K7*$D$58</f>
        <v>2740.2506819999999</v>
      </c>
      <c r="I12" s="19">
        <f>'Income Statement'!L7*$D$58</f>
        <v>2822.4582024599999</v>
      </c>
      <c r="J12" s="19">
        <f>'Income Statement'!M7*$D$58</f>
        <v>2907.1319485338004</v>
      </c>
      <c r="K12" s="19">
        <f>'Income Statement'!N7*$D$58</f>
        <v>2994.3459069898145</v>
      </c>
    </row>
    <row r="13" spans="2:11" ht="15" customHeight="1" x14ac:dyDescent="0.35">
      <c r="B13" s="4" t="s">
        <v>139</v>
      </c>
      <c r="D13" s="31">
        <f t="shared" ref="D13:K13" si="0">SUM(D9:D12)</f>
        <v>43141</v>
      </c>
      <c r="E13" s="31">
        <f t="shared" si="0"/>
        <v>-4500</v>
      </c>
      <c r="F13" s="31">
        <f t="shared" si="0"/>
        <v>38641</v>
      </c>
      <c r="G13" s="31">
        <f t="shared" si="0"/>
        <v>35606.781924657538</v>
      </c>
      <c r="H13" s="31">
        <f t="shared" si="0"/>
        <v>33223.754882785135</v>
      </c>
      <c r="I13" s="31">
        <f t="shared" si="0"/>
        <v>31594.116907813353</v>
      </c>
      <c r="J13" s="31">
        <f t="shared" si="0"/>
        <v>30912.479084758546</v>
      </c>
      <c r="K13" s="31">
        <f t="shared" si="0"/>
        <v>30624.619942257457</v>
      </c>
    </row>
    <row r="15" spans="2:11" ht="15" customHeight="1" x14ac:dyDescent="0.35">
      <c r="B15" s="4" t="s">
        <v>140</v>
      </c>
    </row>
    <row r="16" spans="2:11" ht="15" customHeight="1" x14ac:dyDescent="0.35">
      <c r="B16" s="5" t="s">
        <v>141</v>
      </c>
      <c r="D16" s="13">
        <v>8500</v>
      </c>
      <c r="F16" s="13">
        <f>D16</f>
        <v>8500</v>
      </c>
      <c r="G16" s="19">
        <f>F16+'Income Statement'!J42-'Income Statement'!J22</f>
        <v>8845.3372000000018</v>
      </c>
      <c r="H16" s="19">
        <f>G16+'Income Statement'!K42-'Income Statement'!K22</f>
        <v>9202.7612020000015</v>
      </c>
      <c r="I16" s="19">
        <f>H16+'Income Statement'!L42-'Income Statement'!L22</f>
        <v>9570.9079240600004</v>
      </c>
      <c r="J16" s="19">
        <f>I16+'Income Statement'!M42-'Income Statement'!M22</f>
        <v>9823.7020065411998</v>
      </c>
      <c r="K16" s="19">
        <f>J16+'Income Statement'!N42-'Income Statement'!N22</f>
        <v>10214.268863974654</v>
      </c>
    </row>
    <row r="17" spans="2:11" ht="15" customHeight="1" x14ac:dyDescent="0.35">
      <c r="B17" s="5" t="s">
        <v>142</v>
      </c>
      <c r="D17" s="13">
        <v>1200</v>
      </c>
      <c r="F17" s="13">
        <f>D17</f>
        <v>1200</v>
      </c>
      <c r="G17" s="13">
        <f>F17</f>
        <v>1200</v>
      </c>
      <c r="H17" s="13">
        <f>G17</f>
        <v>1200</v>
      </c>
      <c r="I17" s="13">
        <f>H17</f>
        <v>1200</v>
      </c>
      <c r="J17" s="13">
        <f>I17</f>
        <v>1200</v>
      </c>
      <c r="K17" s="13">
        <f>J17</f>
        <v>1200</v>
      </c>
    </row>
    <row r="18" spans="2:11" ht="15" customHeight="1" x14ac:dyDescent="0.35">
      <c r="B18" s="5" t="s">
        <v>143</v>
      </c>
      <c r="D18" s="13">
        <v>0</v>
      </c>
      <c r="E18" s="13">
        <f>E33-E9</f>
        <v>69512.142857142855</v>
      </c>
      <c r="F18" s="13">
        <f>D18+E18</f>
        <v>69512.142857142855</v>
      </c>
      <c r="G18" s="13">
        <f>F18</f>
        <v>69512.142857142855</v>
      </c>
      <c r="H18" s="13">
        <f>F18</f>
        <v>69512.142857142855</v>
      </c>
      <c r="I18" s="13">
        <f>F18</f>
        <v>69512.142857142855</v>
      </c>
      <c r="J18" s="13">
        <f>F18</f>
        <v>69512.142857142855</v>
      </c>
      <c r="K18" s="13">
        <f>F18</f>
        <v>69512.142857142855</v>
      </c>
    </row>
    <row r="19" spans="2:11" ht="15" customHeight="1" x14ac:dyDescent="0.35">
      <c r="B19" s="5" t="s">
        <v>144</v>
      </c>
      <c r="D19" s="13">
        <v>5900</v>
      </c>
      <c r="F19" s="13">
        <f>D19</f>
        <v>5900</v>
      </c>
      <c r="G19" s="13">
        <f>F19</f>
        <v>5900</v>
      </c>
      <c r="H19" s="13">
        <f>G19</f>
        <v>5900</v>
      </c>
      <c r="I19" s="13">
        <f>H19</f>
        <v>5900</v>
      </c>
      <c r="J19" s="13">
        <f>I19</f>
        <v>5900</v>
      </c>
      <c r="K19" s="13">
        <f>J19</f>
        <v>5900</v>
      </c>
    </row>
    <row r="20" spans="2:11" ht="15" customHeight="1" x14ac:dyDescent="0.35">
      <c r="B20" s="4" t="s">
        <v>145</v>
      </c>
      <c r="D20" s="31">
        <f t="shared" ref="D20:K20" si="1">SUM(D16:D19)</f>
        <v>15600</v>
      </c>
      <c r="E20" s="31">
        <f t="shared" si="1"/>
        <v>69512.142857142855</v>
      </c>
      <c r="F20" s="31">
        <f t="shared" si="1"/>
        <v>85112.142857142855</v>
      </c>
      <c r="G20" s="31">
        <f t="shared" si="1"/>
        <v>85457.48005714285</v>
      </c>
      <c r="H20" s="31">
        <f t="shared" si="1"/>
        <v>85814.904059142864</v>
      </c>
      <c r="I20" s="31">
        <f t="shared" si="1"/>
        <v>86183.050781202852</v>
      </c>
      <c r="J20" s="31">
        <f t="shared" si="1"/>
        <v>86435.844863684062</v>
      </c>
      <c r="K20" s="31">
        <f t="shared" si="1"/>
        <v>86826.411721117503</v>
      </c>
    </row>
    <row r="22" spans="2:11" ht="15" customHeight="1" x14ac:dyDescent="0.35">
      <c r="B22" s="4" t="s">
        <v>146</v>
      </c>
      <c r="D22" s="22">
        <f t="shared" ref="D22:K22" si="2">D13+D20</f>
        <v>58741</v>
      </c>
      <c r="E22" s="22">
        <f t="shared" si="2"/>
        <v>65012.142857142855</v>
      </c>
      <c r="F22" s="22">
        <f t="shared" si="2"/>
        <v>123753.14285714286</v>
      </c>
      <c r="G22" s="22">
        <f t="shared" si="2"/>
        <v>121064.26198180039</v>
      </c>
      <c r="H22" s="22">
        <f t="shared" si="2"/>
        <v>119038.65894192801</v>
      </c>
      <c r="I22" s="22">
        <f t="shared" si="2"/>
        <v>117777.16768901621</v>
      </c>
      <c r="J22" s="22">
        <f t="shared" si="2"/>
        <v>117348.32394844262</v>
      </c>
      <c r="K22" s="22">
        <f t="shared" si="2"/>
        <v>117451.03166337496</v>
      </c>
    </row>
    <row r="24" spans="2:11" ht="15" customHeight="1" x14ac:dyDescent="0.35">
      <c r="B24" s="30" t="s">
        <v>147</v>
      </c>
    </row>
    <row r="25" spans="2:11" ht="15" customHeight="1" x14ac:dyDescent="0.35">
      <c r="B25" s="4" t="s">
        <v>148</v>
      </c>
    </row>
    <row r="26" spans="2:11" ht="15" customHeight="1" x14ac:dyDescent="0.35">
      <c r="B26" s="5" t="s">
        <v>149</v>
      </c>
      <c r="D26" s="13">
        <v>9800</v>
      </c>
      <c r="F26" s="13">
        <f>D26</f>
        <v>9800</v>
      </c>
      <c r="G26" s="19">
        <f>'Income Statement'!J10*$D$57/365</f>
        <v>10233.965424657536</v>
      </c>
      <c r="H26" s="19">
        <f>'Income Statement'!K10*$D$57/365</f>
        <v>10556.248607013697</v>
      </c>
      <c r="I26" s="19">
        <f>'Income Statement'!L10*$D$57/365</f>
        <v>10835.953289492054</v>
      </c>
      <c r="J26" s="19">
        <f>'Income Statement'!M10*$D$57/365</f>
        <v>11141.985758674808</v>
      </c>
      <c r="K26" s="19">
        <f>'Income Statement'!N10*$D$57/365</f>
        <v>11476.245331435053</v>
      </c>
    </row>
    <row r="27" spans="2:11" ht="15" customHeight="1" x14ac:dyDescent="0.35">
      <c r="B27" s="5" t="s">
        <v>150</v>
      </c>
      <c r="D27" s="13">
        <v>8500</v>
      </c>
      <c r="F27" s="13">
        <f>D27</f>
        <v>8500</v>
      </c>
      <c r="G27" s="19">
        <f>'Income Statement'!J7*$D$59</f>
        <v>8863.6548000000003</v>
      </c>
      <c r="H27" s="19">
        <f>'Income Statement'!K7*$D$59</f>
        <v>9173.8827180000008</v>
      </c>
      <c r="I27" s="19">
        <f>'Income Statement'!L7*$D$59</f>
        <v>9449.09919954</v>
      </c>
      <c r="J27" s="19">
        <f>'Income Statement'!M7*$D$59</f>
        <v>9732.5721755262002</v>
      </c>
      <c r="K27" s="19">
        <f>'Income Statement'!N7*$D$59</f>
        <v>10024.549340791988</v>
      </c>
    </row>
    <row r="28" spans="2:11" ht="15" customHeight="1" x14ac:dyDescent="0.35">
      <c r="B28" s="5" t="s">
        <v>151</v>
      </c>
      <c r="D28" s="13">
        <v>0</v>
      </c>
      <c r="F28" s="19">
        <f>'Debt Schedule'!D10</f>
        <v>7142.8571428571431</v>
      </c>
      <c r="G28" s="19">
        <f>'Debt Schedule'!E10</f>
        <v>7142.8571428571431</v>
      </c>
      <c r="H28" s="19">
        <f>'Debt Schedule'!F10</f>
        <v>7142.8571428571431</v>
      </c>
      <c r="I28" s="19">
        <f>'Debt Schedule'!G10</f>
        <v>7142.8571428571431</v>
      </c>
      <c r="J28" s="19">
        <f>'Debt Schedule'!H10</f>
        <v>7142.8571428571431</v>
      </c>
      <c r="K28" s="19">
        <f>'Debt Schedule'!I10</f>
        <v>7142.8571428571431</v>
      </c>
    </row>
    <row r="29" spans="2:11" ht="15" customHeight="1" x14ac:dyDescent="0.35">
      <c r="B29" s="5" t="s">
        <v>152</v>
      </c>
      <c r="D29" s="13">
        <v>3700</v>
      </c>
      <c r="F29" s="13">
        <f>D29</f>
        <v>3700</v>
      </c>
      <c r="G29" s="13">
        <f>F29</f>
        <v>3700</v>
      </c>
      <c r="H29" s="13">
        <f>G29</f>
        <v>3700</v>
      </c>
      <c r="I29" s="13">
        <f>H29</f>
        <v>3700</v>
      </c>
      <c r="J29" s="13">
        <f>I29</f>
        <v>3700</v>
      </c>
      <c r="K29" s="13">
        <f>J29</f>
        <v>3700</v>
      </c>
    </row>
    <row r="30" spans="2:11" ht="15" customHeight="1" x14ac:dyDescent="0.35">
      <c r="B30" s="4" t="s">
        <v>153</v>
      </c>
      <c r="D30" s="31">
        <f t="shared" ref="D30:K30" si="3">SUM(D26:D29)</f>
        <v>22000</v>
      </c>
      <c r="E30" s="31">
        <f t="shared" si="3"/>
        <v>0</v>
      </c>
      <c r="F30" s="31">
        <f t="shared" si="3"/>
        <v>29142.857142857145</v>
      </c>
      <c r="G30" s="31">
        <f t="shared" si="3"/>
        <v>29940.477367514679</v>
      </c>
      <c r="H30" s="31">
        <f t="shared" si="3"/>
        <v>30572.98846787084</v>
      </c>
      <c r="I30" s="31">
        <f t="shared" si="3"/>
        <v>31127.909631889197</v>
      </c>
      <c r="J30" s="31">
        <f t="shared" si="3"/>
        <v>31717.415077058155</v>
      </c>
      <c r="K30" s="31">
        <f t="shared" si="3"/>
        <v>32343.651815084188</v>
      </c>
    </row>
    <row r="32" spans="2:11" ht="15" customHeight="1" x14ac:dyDescent="0.35">
      <c r="B32" s="4" t="s">
        <v>154</v>
      </c>
    </row>
    <row r="33" spans="2:11" ht="15" customHeight="1" x14ac:dyDescent="0.35">
      <c r="B33" s="5" t="s">
        <v>155</v>
      </c>
      <c r="D33" s="13">
        <v>2845</v>
      </c>
      <c r="E33" s="13">
        <f>'Debt Schedule'!D32-D33</f>
        <v>65012.142857142855</v>
      </c>
      <c r="F33" s="13">
        <f>'Debt Schedule'!D32-F28</f>
        <v>60714.28571428571</v>
      </c>
      <c r="G33" s="19">
        <f>'Debt Schedule'!E32-G28</f>
        <v>53571.428571428565</v>
      </c>
      <c r="H33" s="19">
        <f>'Debt Schedule'!F32-H28</f>
        <v>46428.57142857142</v>
      </c>
      <c r="I33" s="19">
        <f>'Debt Schedule'!G32-I28</f>
        <v>39285.714285714275</v>
      </c>
      <c r="J33" s="19">
        <f>'Debt Schedule'!H32-J28</f>
        <v>32142.85714285713</v>
      </c>
      <c r="K33" s="19">
        <f>'Debt Schedule'!I32-K28</f>
        <v>24999.999999999993</v>
      </c>
    </row>
    <row r="34" spans="2:11" ht="15" customHeight="1" x14ac:dyDescent="0.35">
      <c r="B34" s="5" t="s">
        <v>156</v>
      </c>
      <c r="D34" s="13">
        <v>3200</v>
      </c>
      <c r="F34" s="13">
        <f>D34</f>
        <v>3200</v>
      </c>
      <c r="G34" s="13">
        <f>F34</f>
        <v>3200</v>
      </c>
      <c r="H34" s="13">
        <f>G34</f>
        <v>3200</v>
      </c>
      <c r="I34" s="13">
        <f>H34</f>
        <v>3200</v>
      </c>
      <c r="J34" s="13">
        <f>I34</f>
        <v>3200</v>
      </c>
      <c r="K34" s="13">
        <f>J34</f>
        <v>3200</v>
      </c>
    </row>
    <row r="35" spans="2:11" ht="15" customHeight="1" x14ac:dyDescent="0.35">
      <c r="B35" s="4" t="s">
        <v>157</v>
      </c>
      <c r="D35" s="31">
        <f t="shared" ref="D35:K35" si="4">SUM(D33:D34)</f>
        <v>6045</v>
      </c>
      <c r="E35" s="31">
        <f t="shared" si="4"/>
        <v>65012.142857142855</v>
      </c>
      <c r="F35" s="31">
        <f t="shared" si="4"/>
        <v>63914.28571428571</v>
      </c>
      <c r="G35" s="31">
        <f t="shared" si="4"/>
        <v>56771.428571428565</v>
      </c>
      <c r="H35" s="31">
        <f t="shared" si="4"/>
        <v>49628.57142857142</v>
      </c>
      <c r="I35" s="31">
        <f t="shared" si="4"/>
        <v>42485.714285714275</v>
      </c>
      <c r="J35" s="31">
        <f t="shared" si="4"/>
        <v>35342.85714285713</v>
      </c>
      <c r="K35" s="31">
        <f t="shared" si="4"/>
        <v>28199.999999999993</v>
      </c>
    </row>
    <row r="37" spans="2:11" ht="15" customHeight="1" x14ac:dyDescent="0.35">
      <c r="B37" s="4" t="s">
        <v>158</v>
      </c>
      <c r="D37" s="15">
        <f t="shared" ref="D37:K37" si="5">D30+D35</f>
        <v>28045</v>
      </c>
      <c r="E37" s="15">
        <f t="shared" si="5"/>
        <v>65012.142857142855</v>
      </c>
      <c r="F37" s="15">
        <f t="shared" si="5"/>
        <v>93057.142857142855</v>
      </c>
      <c r="G37" s="15">
        <f t="shared" si="5"/>
        <v>86711.905938943237</v>
      </c>
      <c r="H37" s="15">
        <f t="shared" si="5"/>
        <v>80201.559896442253</v>
      </c>
      <c r="I37" s="15">
        <f t="shared" si="5"/>
        <v>73613.623917603472</v>
      </c>
      <c r="J37" s="15">
        <f t="shared" si="5"/>
        <v>67060.272219915292</v>
      </c>
      <c r="K37" s="15">
        <f t="shared" si="5"/>
        <v>60543.65181508418</v>
      </c>
    </row>
    <row r="39" spans="2:11" ht="15" customHeight="1" x14ac:dyDescent="0.35">
      <c r="B39" s="30" t="s">
        <v>159</v>
      </c>
    </row>
    <row r="40" spans="2:11" ht="15" customHeight="1" x14ac:dyDescent="0.35">
      <c r="B40" s="5" t="s">
        <v>160</v>
      </c>
      <c r="D40" s="13">
        <v>7769</v>
      </c>
      <c r="F40" s="13">
        <f>D40</f>
        <v>7769</v>
      </c>
      <c r="G40" s="13">
        <f>F40</f>
        <v>7769</v>
      </c>
      <c r="H40" s="13">
        <f>G40</f>
        <v>7769</v>
      </c>
      <c r="I40" s="13">
        <f>H40</f>
        <v>7769</v>
      </c>
      <c r="J40" s="13">
        <f>I40</f>
        <v>7769</v>
      </c>
      <c r="K40" s="13">
        <f>J40</f>
        <v>7769</v>
      </c>
    </row>
    <row r="41" spans="2:11" ht="15" customHeight="1" x14ac:dyDescent="0.35">
      <c r="B41" s="5" t="s">
        <v>161</v>
      </c>
      <c r="D41" s="13">
        <v>23000</v>
      </c>
      <c r="F41" s="13">
        <f>D41</f>
        <v>23000</v>
      </c>
      <c r="G41" s="19">
        <f>F41+'Income Statement'!J35</f>
        <v>26656.356042857147</v>
      </c>
      <c r="H41" s="19">
        <f>G41+'Income Statement'!K35</f>
        <v>31141.099045485724</v>
      </c>
      <c r="I41" s="19">
        <f>H41+'Income Statement'!L35</f>
        <v>36467.543771412733</v>
      </c>
      <c r="J41" s="19">
        <f>I41+'Income Statement'!M35</f>
        <v>42592.051728527316</v>
      </c>
      <c r="K41" s="19">
        <f>J41+'Income Statement'!N35</f>
        <v>49211.379848290788</v>
      </c>
    </row>
    <row r="42" spans="2:11" ht="15" customHeight="1" x14ac:dyDescent="0.35">
      <c r="B42" s="5" t="s">
        <v>162</v>
      </c>
      <c r="D42" s="13">
        <v>-73</v>
      </c>
      <c r="F42" s="13">
        <f>D42</f>
        <v>-73</v>
      </c>
      <c r="G42" s="13">
        <f>F42</f>
        <v>-73</v>
      </c>
      <c r="H42" s="13">
        <f>G42</f>
        <v>-73</v>
      </c>
      <c r="I42" s="13">
        <f>H42</f>
        <v>-73</v>
      </c>
      <c r="J42" s="13">
        <f>I42</f>
        <v>-73</v>
      </c>
      <c r="K42" s="13">
        <f>J42</f>
        <v>-73</v>
      </c>
    </row>
    <row r="43" spans="2:11" ht="15" customHeight="1" x14ac:dyDescent="0.35">
      <c r="B43" s="4" t="s">
        <v>163</v>
      </c>
      <c r="D43" s="31">
        <f t="shared" ref="D43:K43" si="6">SUM(D40:D42)</f>
        <v>30696</v>
      </c>
      <c r="E43" s="31">
        <f t="shared" si="6"/>
        <v>0</v>
      </c>
      <c r="F43" s="31">
        <f t="shared" si="6"/>
        <v>30696</v>
      </c>
      <c r="G43" s="31">
        <f t="shared" si="6"/>
        <v>34352.356042857151</v>
      </c>
      <c r="H43" s="31">
        <f t="shared" si="6"/>
        <v>38837.099045485724</v>
      </c>
      <c r="I43" s="31">
        <f t="shared" si="6"/>
        <v>44163.543771412733</v>
      </c>
      <c r="J43" s="31">
        <f t="shared" si="6"/>
        <v>50288.051728527316</v>
      </c>
      <c r="K43" s="31">
        <f t="shared" si="6"/>
        <v>56907.379848290788</v>
      </c>
    </row>
    <row r="45" spans="2:11" ht="15" customHeight="1" x14ac:dyDescent="0.35">
      <c r="B45" s="4" t="s">
        <v>164</v>
      </c>
      <c r="D45" s="22">
        <f t="shared" ref="D45:K45" si="7">D37+D43</f>
        <v>58741</v>
      </c>
      <c r="E45" s="22">
        <f t="shared" si="7"/>
        <v>65012.142857142855</v>
      </c>
      <c r="F45" s="22">
        <f t="shared" si="7"/>
        <v>123753.14285714286</v>
      </c>
      <c r="G45" s="22">
        <f t="shared" si="7"/>
        <v>121064.26198180039</v>
      </c>
      <c r="H45" s="22">
        <f t="shared" si="7"/>
        <v>119038.65894192798</v>
      </c>
      <c r="I45" s="22">
        <f t="shared" si="7"/>
        <v>117777.16768901621</v>
      </c>
      <c r="J45" s="22">
        <f t="shared" si="7"/>
        <v>117348.32394844262</v>
      </c>
      <c r="K45" s="22">
        <f t="shared" si="7"/>
        <v>117451.03166337498</v>
      </c>
    </row>
    <row r="47" spans="2:11" ht="15" customHeight="1" x14ac:dyDescent="0.35">
      <c r="B47" s="4" t="s">
        <v>165</v>
      </c>
    </row>
    <row r="48" spans="2:11" ht="15" customHeight="1" x14ac:dyDescent="0.35">
      <c r="B48" s="5" t="s">
        <v>166</v>
      </c>
      <c r="D48" s="13">
        <f t="shared" ref="D48:K48" si="8">D22-D45</f>
        <v>0</v>
      </c>
      <c r="E48" s="13">
        <f t="shared" si="8"/>
        <v>0</v>
      </c>
      <c r="F48" s="13">
        <f t="shared" si="8"/>
        <v>0</v>
      </c>
      <c r="G48" s="13">
        <f t="shared" si="8"/>
        <v>0</v>
      </c>
      <c r="H48" s="13">
        <f t="shared" si="8"/>
        <v>0</v>
      </c>
      <c r="I48" s="13">
        <f t="shared" si="8"/>
        <v>0</v>
      </c>
      <c r="J48" s="13">
        <f t="shared" si="8"/>
        <v>0</v>
      </c>
      <c r="K48" s="13">
        <f t="shared" si="8"/>
        <v>0</v>
      </c>
    </row>
    <row r="49" spans="2:11" ht="15" customHeight="1" x14ac:dyDescent="0.35">
      <c r="B49" s="5" t="s">
        <v>167</v>
      </c>
      <c r="D49" t="str">
        <f t="shared" ref="D49:K49" si="9">IF(ABS(D48)&lt;1,"✓ Balance","✗ Error")</f>
        <v>✓ Balance</v>
      </c>
      <c r="E49" t="str">
        <f t="shared" si="9"/>
        <v>✓ Balance</v>
      </c>
      <c r="F49" t="str">
        <f t="shared" si="9"/>
        <v>✓ Balance</v>
      </c>
      <c r="G49" t="str">
        <f t="shared" si="9"/>
        <v>✓ Balance</v>
      </c>
      <c r="H49" t="str">
        <f t="shared" si="9"/>
        <v>✓ Balance</v>
      </c>
      <c r="I49" t="str">
        <f t="shared" si="9"/>
        <v>✓ Balance</v>
      </c>
      <c r="J49" t="str">
        <f t="shared" si="9"/>
        <v>✓ Balance</v>
      </c>
      <c r="K49" t="str">
        <f t="shared" si="9"/>
        <v>✓ Balance</v>
      </c>
    </row>
    <row r="52" spans="2:11" ht="15" customHeight="1" x14ac:dyDescent="0.35">
      <c r="B52" s="30" t="s">
        <v>168</v>
      </c>
    </row>
    <row r="55" spans="2:11" ht="15" customHeight="1" x14ac:dyDescent="0.35">
      <c r="B55" s="5" t="s">
        <v>169</v>
      </c>
      <c r="D55" s="11">
        <v>42</v>
      </c>
    </row>
    <row r="56" spans="2:11" ht="15" customHeight="1" x14ac:dyDescent="0.35">
      <c r="B56" s="5" t="s">
        <v>170</v>
      </c>
      <c r="D56" s="11">
        <v>18</v>
      </c>
    </row>
    <row r="57" spans="2:11" ht="15" customHeight="1" x14ac:dyDescent="0.35">
      <c r="B57" s="5" t="s">
        <v>171</v>
      </c>
      <c r="D57" s="11">
        <v>55</v>
      </c>
    </row>
    <row r="58" spans="2:11" ht="15" customHeight="1" x14ac:dyDescent="0.35">
      <c r="B58" s="5" t="s">
        <v>172</v>
      </c>
      <c r="D58" s="24">
        <v>2.3E-2</v>
      </c>
    </row>
    <row r="59" spans="2:11" ht="15" customHeight="1" x14ac:dyDescent="0.35">
      <c r="B59" s="5" t="s">
        <v>173</v>
      </c>
      <c r="D59" s="24">
        <v>7.6999999999999999E-2</v>
      </c>
    </row>
  </sheetData>
  <phoneticPr fontId="15"/>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I55"/>
  <sheetViews>
    <sheetView zoomScaleNormal="100" workbookViewId="0"/>
  </sheetViews>
  <sheetFormatPr defaultColWidth="8.6328125" defaultRowHeight="14.5" x14ac:dyDescent="0.35"/>
  <cols>
    <col min="1" max="1" width="3" customWidth="1"/>
    <col min="2" max="2" width="38" customWidth="1"/>
    <col min="3" max="3" width="3" customWidth="1"/>
    <col min="4" max="9" width="14" customWidth="1"/>
  </cols>
  <sheetData>
    <row r="1" spans="2:9" ht="15" customHeight="1" x14ac:dyDescent="0.35">
      <c r="B1" s="8" t="s">
        <v>18</v>
      </c>
    </row>
    <row r="2" spans="2:9" ht="17.25" customHeight="1" x14ac:dyDescent="0.4">
      <c r="B2" s="7" t="s">
        <v>174</v>
      </c>
    </row>
    <row r="4" spans="2:9" ht="15" customHeight="1" x14ac:dyDescent="0.35">
      <c r="D4" s="18" t="s">
        <v>131</v>
      </c>
      <c r="E4" s="18" t="s">
        <v>175</v>
      </c>
      <c r="F4" s="18" t="s">
        <v>176</v>
      </c>
      <c r="G4" s="18" t="s">
        <v>177</v>
      </c>
      <c r="H4" s="18" t="s">
        <v>178</v>
      </c>
      <c r="I4" s="18" t="s">
        <v>179</v>
      </c>
    </row>
    <row r="5" spans="2:9" ht="15" customHeight="1" x14ac:dyDescent="0.35">
      <c r="D5" s="29" t="s">
        <v>68</v>
      </c>
      <c r="E5" s="29" t="s">
        <v>69</v>
      </c>
      <c r="F5" s="29" t="s">
        <v>70</v>
      </c>
      <c r="G5" s="29" t="s">
        <v>71</v>
      </c>
      <c r="H5" s="29" t="s">
        <v>72</v>
      </c>
      <c r="I5" s="29" t="s">
        <v>73</v>
      </c>
    </row>
    <row r="7" spans="2:9" ht="15" customHeight="1" x14ac:dyDescent="0.35">
      <c r="B7" s="9" t="s">
        <v>180</v>
      </c>
    </row>
    <row r="9" spans="2:9" ht="15" customHeight="1" x14ac:dyDescent="0.35">
      <c r="B9" s="5" t="s">
        <v>181</v>
      </c>
      <c r="D9" s="19">
        <f>'Income Statement'!H35</f>
        <v>3163</v>
      </c>
      <c r="E9" s="19">
        <f>'Income Statement'!J35</f>
        <v>3656.3560428571459</v>
      </c>
      <c r="F9" s="19">
        <f>'Income Statement'!K35</f>
        <v>4484.7430026285765</v>
      </c>
      <c r="G9" s="19">
        <f>'Income Statement'!L35</f>
        <v>5326.4447259270073</v>
      </c>
      <c r="H9" s="19">
        <f>'Income Statement'!M35</f>
        <v>6124.5079571145816</v>
      </c>
      <c r="I9" s="19">
        <f>'Income Statement'!N35</f>
        <v>6619.3281197634715</v>
      </c>
    </row>
    <row r="10" spans="2:9" ht="15" customHeight="1" x14ac:dyDescent="0.35">
      <c r="B10" s="5" t="s">
        <v>182</v>
      </c>
      <c r="D10" s="19">
        <f>'Debt Schedule'!D34</f>
        <v>2125</v>
      </c>
      <c r="E10" s="19">
        <f>'Debt Schedule'!E34</f>
        <v>1857.1428571428573</v>
      </c>
      <c r="F10" s="19">
        <f>'Debt Schedule'!F34</f>
        <v>1678.5714285714284</v>
      </c>
      <c r="G10" s="19">
        <f>'Debt Schedule'!G34</f>
        <v>1500</v>
      </c>
      <c r="H10" s="19">
        <f>'Debt Schedule'!H34</f>
        <v>1321.4285714285713</v>
      </c>
      <c r="I10" s="19">
        <f>'Debt Schedule'!I34</f>
        <v>1142.8571428571427</v>
      </c>
    </row>
    <row r="11" spans="2:9" ht="15" customHeight="1" x14ac:dyDescent="0.35">
      <c r="B11" s="5" t="s">
        <v>183</v>
      </c>
      <c r="D11" s="19">
        <f>'Income Statement'!H22</f>
        <v>2411</v>
      </c>
      <c r="E11" s="19">
        <f>'Income Statement'!J22</f>
        <v>2532.4728</v>
      </c>
      <c r="F11" s="19">
        <f>'Income Statement'!K22</f>
        <v>2621.109348</v>
      </c>
      <c r="G11" s="19">
        <f>'Income Statement'!L22</f>
        <v>2577.0270544200002</v>
      </c>
      <c r="H11" s="19">
        <f>'Income Statement'!M22</f>
        <v>2654.3378660526005</v>
      </c>
      <c r="I11" s="19">
        <f>'Income Statement'!N22</f>
        <v>2603.7790495563604</v>
      </c>
    </row>
    <row r="12" spans="2:9" ht="15" customHeight="1" x14ac:dyDescent="0.35">
      <c r="B12" s="5" t="s">
        <v>184</v>
      </c>
      <c r="D12" s="13">
        <v>0</v>
      </c>
      <c r="E12" s="13">
        <v>0</v>
      </c>
      <c r="F12" s="13">
        <v>0</v>
      </c>
      <c r="G12" s="13">
        <v>0</v>
      </c>
      <c r="H12" s="13">
        <v>0</v>
      </c>
      <c r="I12" s="13">
        <v>0</v>
      </c>
    </row>
    <row r="14" spans="2:9" ht="15" customHeight="1" x14ac:dyDescent="0.35">
      <c r="B14" s="4" t="s">
        <v>185</v>
      </c>
    </row>
    <row r="15" spans="2:9" ht="15" customHeight="1" x14ac:dyDescent="0.35">
      <c r="B15" s="5" t="s">
        <v>186</v>
      </c>
      <c r="D15" s="19">
        <f>-('Balance Sheet'!F10-'Balance Sheet'!D10)</f>
        <v>0</v>
      </c>
      <c r="E15" s="19">
        <f>-('Balance Sheet'!G10-'Balance Sheet'!F10)</f>
        <v>-440.81041095890578</v>
      </c>
      <c r="F15" s="19">
        <f>-('Balance Sheet'!H10-'Balance Sheet'!G10)</f>
        <v>-463.60336438355989</v>
      </c>
      <c r="G15" s="19">
        <f>-('Balance Sheet'!I10-'Balance Sheet'!H10)</f>
        <v>-411.28241326027455</v>
      </c>
      <c r="H15" s="19">
        <f>-('Balance Sheet'!J10-'Balance Sheet'!I10)</f>
        <v>-423.62088565808153</v>
      </c>
      <c r="I15" s="19">
        <f>-('Balance Sheet'!K10-'Balance Sheet'!J10)</f>
        <v>-436.32951222782685</v>
      </c>
    </row>
    <row r="16" spans="2:9" ht="15" customHeight="1" x14ac:dyDescent="0.35">
      <c r="B16" s="5" t="s">
        <v>187</v>
      </c>
      <c r="D16" s="19">
        <f>-('Balance Sheet'!F11-'Balance Sheet'!D11)</f>
        <v>0</v>
      </c>
      <c r="E16" s="19">
        <f>-('Balance Sheet'!G11-'Balance Sheet'!F11)</f>
        <v>-149.29777534246614</v>
      </c>
      <c r="F16" s="19">
        <f>-('Balance Sheet'!H11-'Balance Sheet'!G11)</f>
        <v>-105.47449604383519</v>
      </c>
      <c r="G16" s="19">
        <f>-('Balance Sheet'!I11-'Balance Sheet'!H11)</f>
        <v>-91.539714265643397</v>
      </c>
      <c r="H16" s="19">
        <f>-('Balance Sheet'!J11-'Balance Sheet'!I11)</f>
        <v>-100.15608082344716</v>
      </c>
      <c r="I16" s="19">
        <f>-('Balance Sheet'!K11-'Balance Sheet'!J11)</f>
        <v>-109.3940419942619</v>
      </c>
    </row>
    <row r="17" spans="2:9" ht="15" customHeight="1" x14ac:dyDescent="0.35">
      <c r="B17" s="5" t="s">
        <v>188</v>
      </c>
      <c r="D17" s="19">
        <f>-('Balance Sheet'!F12-'Balance Sheet'!D12)</f>
        <v>0</v>
      </c>
      <c r="E17" s="19">
        <f>-('Balance Sheet'!G12-'Balance Sheet'!F12)</f>
        <v>-147.58519999999999</v>
      </c>
      <c r="F17" s="19">
        <f>-('Balance Sheet'!H12-'Balance Sheet'!G12)</f>
        <v>-92.665481999999884</v>
      </c>
      <c r="G17" s="19">
        <f>-('Balance Sheet'!I12-'Balance Sheet'!H12)</f>
        <v>-82.207520460000069</v>
      </c>
      <c r="H17" s="19">
        <f>-('Balance Sheet'!J12-'Balance Sheet'!I12)</f>
        <v>-84.67374607380043</v>
      </c>
      <c r="I17" s="19">
        <f>-('Balance Sheet'!K12-'Balance Sheet'!J12)</f>
        <v>-87.213958456014097</v>
      </c>
    </row>
    <row r="18" spans="2:9" ht="15" customHeight="1" x14ac:dyDescent="0.35">
      <c r="B18" s="5" t="s">
        <v>189</v>
      </c>
      <c r="D18" s="19">
        <f>'Balance Sheet'!F26-'Balance Sheet'!D26</f>
        <v>0</v>
      </c>
      <c r="E18" s="19">
        <f>'Balance Sheet'!G26-'Balance Sheet'!F26</f>
        <v>433.96542465753555</v>
      </c>
      <c r="F18" s="19">
        <f>'Balance Sheet'!H26-'Balance Sheet'!G26</f>
        <v>322.28318235616098</v>
      </c>
      <c r="G18" s="19">
        <f>'Balance Sheet'!I26-'Balance Sheet'!H26</f>
        <v>279.70468247835743</v>
      </c>
      <c r="H18" s="19">
        <f>'Balance Sheet'!J26-'Balance Sheet'!I26</f>
        <v>306.03246918275363</v>
      </c>
      <c r="I18" s="19">
        <f>'Balance Sheet'!K26-'Balance Sheet'!J26</f>
        <v>334.25957276024565</v>
      </c>
    </row>
    <row r="19" spans="2:9" ht="15" customHeight="1" x14ac:dyDescent="0.35">
      <c r="B19" s="5" t="s">
        <v>190</v>
      </c>
      <c r="D19" s="19">
        <f>'Balance Sheet'!F27-'Balance Sheet'!D27</f>
        <v>0</v>
      </c>
      <c r="E19" s="19">
        <f>'Balance Sheet'!G27-'Balance Sheet'!F27</f>
        <v>363.65480000000025</v>
      </c>
      <c r="F19" s="19">
        <f>'Balance Sheet'!H27-'Balance Sheet'!G27</f>
        <v>310.2279180000005</v>
      </c>
      <c r="G19" s="19">
        <f>'Balance Sheet'!I27-'Balance Sheet'!H27</f>
        <v>275.21648153999922</v>
      </c>
      <c r="H19" s="19">
        <f>'Balance Sheet'!J27-'Balance Sheet'!I27</f>
        <v>283.47297598620025</v>
      </c>
      <c r="I19" s="19">
        <f>'Balance Sheet'!K27-'Balance Sheet'!J27</f>
        <v>291.97716526578733</v>
      </c>
    </row>
    <row r="20" spans="2:9" ht="15" customHeight="1" x14ac:dyDescent="0.35">
      <c r="B20" s="5" t="s">
        <v>191</v>
      </c>
      <c r="D20" s="13">
        <f t="shared" ref="D20:I20" si="0">SUM(D15:D19)</f>
        <v>0</v>
      </c>
      <c r="E20" s="13">
        <f t="shared" si="0"/>
        <v>59.926838356163898</v>
      </c>
      <c r="F20" s="13">
        <f t="shared" si="0"/>
        <v>-29.232242071233486</v>
      </c>
      <c r="G20" s="13">
        <f t="shared" si="0"/>
        <v>-30.108483967561369</v>
      </c>
      <c r="H20" s="13">
        <f t="shared" si="0"/>
        <v>-18.945267386375235</v>
      </c>
      <c r="I20" s="13">
        <f t="shared" si="0"/>
        <v>-6.7007746520698674</v>
      </c>
    </row>
    <row r="22" spans="2:9" ht="15" customHeight="1" x14ac:dyDescent="0.35">
      <c r="B22" s="4" t="s">
        <v>192</v>
      </c>
      <c r="D22" s="26">
        <f t="shared" ref="D22:I22" si="1">D9+D10+D11+D12+D20</f>
        <v>7699</v>
      </c>
      <c r="E22" s="26">
        <f t="shared" si="1"/>
        <v>8105.8985383561676</v>
      </c>
      <c r="F22" s="26">
        <f t="shared" si="1"/>
        <v>8755.1915371287723</v>
      </c>
      <c r="G22" s="26">
        <f t="shared" si="1"/>
        <v>9373.363296379448</v>
      </c>
      <c r="H22" s="26">
        <f t="shared" si="1"/>
        <v>10081.329127209377</v>
      </c>
      <c r="I22" s="26">
        <f t="shared" si="1"/>
        <v>10359.263537524905</v>
      </c>
    </row>
    <row r="25" spans="2:9" ht="15" customHeight="1" x14ac:dyDescent="0.35">
      <c r="B25" s="9" t="s">
        <v>193</v>
      </c>
    </row>
    <row r="27" spans="2:9" ht="15" customHeight="1" x14ac:dyDescent="0.35">
      <c r="B27" s="5" t="s">
        <v>194</v>
      </c>
      <c r="D27" s="19">
        <f>-'Income Statement'!H42</f>
        <v>-2550</v>
      </c>
      <c r="E27" s="19">
        <f>-'Income Statement'!J42</f>
        <v>-2877.8100000000004</v>
      </c>
      <c r="F27" s="19">
        <f>-'Income Statement'!K42</f>
        <v>-2978.5333500000002</v>
      </c>
      <c r="G27" s="19">
        <f>-'Income Statement'!L42</f>
        <v>-2945.17377648</v>
      </c>
      <c r="H27" s="19">
        <f>-'Income Statement'!M42</f>
        <v>-2907.1319485338004</v>
      </c>
      <c r="I27" s="19">
        <f>-'Income Statement'!N42</f>
        <v>-2994.3459069898145</v>
      </c>
    </row>
    <row r="29" spans="2:9" ht="15" customHeight="1" x14ac:dyDescent="0.35">
      <c r="B29" s="4" t="s">
        <v>195</v>
      </c>
      <c r="D29" s="26">
        <f t="shared" ref="D29:I29" si="2">D27</f>
        <v>-2550</v>
      </c>
      <c r="E29" s="26">
        <f t="shared" si="2"/>
        <v>-2877.8100000000004</v>
      </c>
      <c r="F29" s="26">
        <f t="shared" si="2"/>
        <v>-2978.5333500000002</v>
      </c>
      <c r="G29" s="26">
        <f t="shared" si="2"/>
        <v>-2945.17377648</v>
      </c>
      <c r="H29" s="26">
        <f t="shared" si="2"/>
        <v>-2907.1319485338004</v>
      </c>
      <c r="I29" s="26">
        <f t="shared" si="2"/>
        <v>-2994.3459069898145</v>
      </c>
    </row>
    <row r="32" spans="2:9" ht="15" customHeight="1" x14ac:dyDescent="0.35">
      <c r="B32" s="9" t="s">
        <v>196</v>
      </c>
    </row>
    <row r="34" spans="2:9" ht="15" customHeight="1" x14ac:dyDescent="0.35">
      <c r="B34" s="5" t="s">
        <v>197</v>
      </c>
      <c r="D34" s="19">
        <f>-'Debt Schedule'!D10</f>
        <v>-7142.8571428571431</v>
      </c>
      <c r="E34" s="19">
        <f>-'Debt Schedule'!E10</f>
        <v>-7142.8571428571431</v>
      </c>
      <c r="F34" s="19">
        <f>-'Debt Schedule'!F10</f>
        <v>-7142.8571428571431</v>
      </c>
      <c r="G34" s="19">
        <f>-'Debt Schedule'!G10</f>
        <v>-7142.8571428571431</v>
      </c>
      <c r="H34" s="19">
        <f>-'Debt Schedule'!H10</f>
        <v>-7142.8571428571431</v>
      </c>
      <c r="I34" s="19">
        <f>-'Debt Schedule'!I10</f>
        <v>-7142.8571428571431</v>
      </c>
    </row>
    <row r="35" spans="2:9" ht="15" customHeight="1" x14ac:dyDescent="0.35">
      <c r="B35" s="5" t="s">
        <v>198</v>
      </c>
      <c r="D35" s="19">
        <f>-'Debt Schedule'!D11</f>
        <v>0</v>
      </c>
      <c r="E35" s="19">
        <f>-'Debt Schedule'!E11</f>
        <v>0</v>
      </c>
      <c r="F35" s="19">
        <f>-'Debt Schedule'!F11</f>
        <v>0</v>
      </c>
      <c r="G35" s="19">
        <f>-'Debt Schedule'!G11</f>
        <v>0</v>
      </c>
      <c r="H35" s="19">
        <f>-'Debt Schedule'!H11</f>
        <v>0</v>
      </c>
      <c r="I35" s="19">
        <f>-'Debt Schedule'!I11</f>
        <v>0</v>
      </c>
    </row>
    <row r="36" spans="2:9" ht="15" customHeight="1" x14ac:dyDescent="0.35">
      <c r="B36" s="5" t="s">
        <v>199</v>
      </c>
      <c r="D36" s="19">
        <f>-'Debt Schedule'!D22</f>
        <v>0</v>
      </c>
      <c r="E36" s="19">
        <f>-'Debt Schedule'!E22</f>
        <v>0</v>
      </c>
      <c r="F36" s="19">
        <f>-'Debt Schedule'!F22</f>
        <v>0</v>
      </c>
      <c r="G36" s="19">
        <f>-'Debt Schedule'!G22</f>
        <v>0</v>
      </c>
      <c r="H36" s="19">
        <f>-'Debt Schedule'!H22</f>
        <v>0</v>
      </c>
      <c r="I36" s="19">
        <f>-'Debt Schedule'!I22</f>
        <v>0</v>
      </c>
    </row>
    <row r="37" spans="2:9" ht="15" customHeight="1" x14ac:dyDescent="0.35">
      <c r="B37" s="5" t="s">
        <v>200</v>
      </c>
      <c r="D37" s="19">
        <f>-'Debt Schedule'!D34</f>
        <v>-2125</v>
      </c>
      <c r="E37" s="19">
        <f>-'Debt Schedule'!E34</f>
        <v>-1857.1428571428573</v>
      </c>
      <c r="F37" s="19">
        <f>-'Debt Schedule'!F34</f>
        <v>-1678.5714285714284</v>
      </c>
      <c r="G37" s="19">
        <f>-'Debt Schedule'!G34</f>
        <v>-1500</v>
      </c>
      <c r="H37" s="19">
        <f>-'Debt Schedule'!H34</f>
        <v>-1321.4285714285713</v>
      </c>
      <c r="I37" s="19">
        <f>-'Debt Schedule'!I34</f>
        <v>-1142.8571428571427</v>
      </c>
    </row>
    <row r="38" spans="2:9" ht="15" customHeight="1" x14ac:dyDescent="0.35">
      <c r="B38" s="5" t="s">
        <v>201</v>
      </c>
      <c r="D38" s="13">
        <v>0</v>
      </c>
      <c r="E38" s="13">
        <v>0</v>
      </c>
      <c r="F38" s="13">
        <v>0</v>
      </c>
      <c r="G38" s="13">
        <v>0</v>
      </c>
      <c r="H38" s="13">
        <v>0</v>
      </c>
      <c r="I38" s="13">
        <v>0</v>
      </c>
    </row>
    <row r="40" spans="2:9" ht="15" customHeight="1" x14ac:dyDescent="0.35">
      <c r="B40" s="4" t="s">
        <v>202</v>
      </c>
      <c r="D40" s="26">
        <f t="shared" ref="D40:I40" si="3">SUM(D34:D38)</f>
        <v>-9267.8571428571431</v>
      </c>
      <c r="E40" s="26">
        <f t="shared" si="3"/>
        <v>-9000</v>
      </c>
      <c r="F40" s="26">
        <f t="shared" si="3"/>
        <v>-8821.4285714285725</v>
      </c>
      <c r="G40" s="26">
        <f t="shared" si="3"/>
        <v>-8642.8571428571431</v>
      </c>
      <c r="H40" s="26">
        <f t="shared" si="3"/>
        <v>-8464.2857142857138</v>
      </c>
      <c r="I40" s="26">
        <f t="shared" si="3"/>
        <v>-8285.7142857142862</v>
      </c>
    </row>
    <row r="43" spans="2:9" ht="15" customHeight="1" x14ac:dyDescent="0.35">
      <c r="B43" s="9" t="s">
        <v>203</v>
      </c>
    </row>
    <row r="45" spans="2:9" ht="15" customHeight="1" x14ac:dyDescent="0.35">
      <c r="B45" s="5" t="s">
        <v>204</v>
      </c>
      <c r="D45" s="19">
        <f>'Balance Sheet'!F9</f>
        <v>20136</v>
      </c>
      <c r="E45" s="19">
        <f>'Balance Sheet'!F9</f>
        <v>20136</v>
      </c>
      <c r="F45" s="13">
        <f>E47</f>
        <v>16364.088538356167</v>
      </c>
      <c r="G45" s="13">
        <f>F47</f>
        <v>13319.318154056367</v>
      </c>
      <c r="H45" s="13">
        <f>G47</f>
        <v>11104.650531098672</v>
      </c>
      <c r="I45" s="13">
        <f>H47</f>
        <v>9814.5619954885351</v>
      </c>
    </row>
    <row r="46" spans="2:9" ht="15" customHeight="1" x14ac:dyDescent="0.35">
      <c r="B46" s="5" t="s">
        <v>205</v>
      </c>
      <c r="D46" s="13">
        <f t="shared" ref="D46:I46" si="4">D22+D29+D40</f>
        <v>-4118.8571428571431</v>
      </c>
      <c r="E46" s="13">
        <f t="shared" si="4"/>
        <v>-3771.9114616438328</v>
      </c>
      <c r="F46" s="13">
        <f t="shared" si="4"/>
        <v>-3044.7703842997998</v>
      </c>
      <c r="G46" s="13">
        <f t="shared" si="4"/>
        <v>-2214.6676229576951</v>
      </c>
      <c r="H46" s="13">
        <f t="shared" si="4"/>
        <v>-1290.0885356101371</v>
      </c>
      <c r="I46" s="13">
        <f t="shared" si="4"/>
        <v>-920.79665517919602</v>
      </c>
    </row>
    <row r="47" spans="2:9" ht="15" customHeight="1" x14ac:dyDescent="0.35">
      <c r="B47" s="4" t="s">
        <v>206</v>
      </c>
      <c r="D47" s="22">
        <f t="shared" ref="D47:I47" si="5">D45+D46</f>
        <v>16017.142857142857</v>
      </c>
      <c r="E47" s="22">
        <f t="shared" si="5"/>
        <v>16364.088538356167</v>
      </c>
      <c r="F47" s="22">
        <f t="shared" si="5"/>
        <v>13319.318154056367</v>
      </c>
      <c r="G47" s="22">
        <f t="shared" si="5"/>
        <v>11104.650531098672</v>
      </c>
      <c r="H47" s="22">
        <f t="shared" si="5"/>
        <v>9814.5619954885351</v>
      </c>
      <c r="I47" s="22">
        <f t="shared" si="5"/>
        <v>8893.7653403093391</v>
      </c>
    </row>
    <row r="50" spans="2:9" ht="15" customHeight="1" x14ac:dyDescent="0.35">
      <c r="B50" s="4" t="s">
        <v>207</v>
      </c>
    </row>
    <row r="52" spans="2:9" ht="15" customHeight="1" x14ac:dyDescent="0.35">
      <c r="B52" s="5" t="s">
        <v>208</v>
      </c>
      <c r="D52" s="19">
        <f t="shared" ref="D52:I52" si="6">D47</f>
        <v>16017.142857142857</v>
      </c>
      <c r="E52" s="19">
        <f t="shared" si="6"/>
        <v>16364.088538356167</v>
      </c>
      <c r="F52" s="19">
        <f t="shared" si="6"/>
        <v>13319.318154056367</v>
      </c>
      <c r="G52" s="19">
        <f t="shared" si="6"/>
        <v>11104.650531098672</v>
      </c>
      <c r="H52" s="19">
        <f t="shared" si="6"/>
        <v>9814.5619954885351</v>
      </c>
      <c r="I52" s="19">
        <f t="shared" si="6"/>
        <v>8893.7653403093391</v>
      </c>
    </row>
    <row r="53" spans="2:9" ht="15" customHeight="1" x14ac:dyDescent="0.35">
      <c r="B53" s="5" t="s">
        <v>209</v>
      </c>
      <c r="D53" s="19">
        <f>'Balance Sheet'!F9</f>
        <v>20136</v>
      </c>
      <c r="E53" s="19">
        <f>'Balance Sheet'!G9</f>
        <v>16364.088538356167</v>
      </c>
      <c r="F53" s="19">
        <f>'Balance Sheet'!H9</f>
        <v>13319.318154056367</v>
      </c>
      <c r="G53" s="19">
        <f>'Balance Sheet'!I9</f>
        <v>11104.650531098672</v>
      </c>
      <c r="H53" s="19">
        <f>'Balance Sheet'!J9</f>
        <v>9814.5619954885351</v>
      </c>
      <c r="I53" s="19">
        <f>'Balance Sheet'!K9</f>
        <v>8893.7653403093391</v>
      </c>
    </row>
    <row r="54" spans="2:9" ht="15" customHeight="1" x14ac:dyDescent="0.35">
      <c r="B54" s="5" t="s">
        <v>210</v>
      </c>
      <c r="D54" s="13">
        <f t="shared" ref="D54:I54" si="7">D52-D53</f>
        <v>-4118.8571428571431</v>
      </c>
      <c r="E54" s="13">
        <f t="shared" si="7"/>
        <v>0</v>
      </c>
      <c r="F54" s="13">
        <f t="shared" si="7"/>
        <v>0</v>
      </c>
      <c r="G54" s="13">
        <f t="shared" si="7"/>
        <v>0</v>
      </c>
      <c r="H54" s="13">
        <f t="shared" si="7"/>
        <v>0</v>
      </c>
      <c r="I54" s="13">
        <f t="shared" si="7"/>
        <v>0</v>
      </c>
    </row>
    <row r="55" spans="2:9" ht="15" customHeight="1" x14ac:dyDescent="0.35">
      <c r="B55" s="5" t="s">
        <v>167</v>
      </c>
      <c r="D55" t="str">
        <f t="shared" ref="D55:I55" si="8">IF(ABS(D54)&lt;1,"✓ Match","✗ Error")</f>
        <v>✗ Error</v>
      </c>
      <c r="E55" t="str">
        <f t="shared" si="8"/>
        <v>✓ Match</v>
      </c>
      <c r="F55" t="str">
        <f t="shared" si="8"/>
        <v>✓ Match</v>
      </c>
      <c r="G55" t="str">
        <f t="shared" si="8"/>
        <v>✓ Match</v>
      </c>
      <c r="H55" t="str">
        <f t="shared" si="8"/>
        <v>✓ Match</v>
      </c>
      <c r="I55" t="str">
        <f t="shared" si="8"/>
        <v>✓ Match</v>
      </c>
    </row>
  </sheetData>
  <phoneticPr fontId="15"/>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I41"/>
  <sheetViews>
    <sheetView zoomScaleNormal="100" workbookViewId="0"/>
  </sheetViews>
  <sheetFormatPr defaultColWidth="8.6328125" defaultRowHeight="14.5" x14ac:dyDescent="0.35"/>
  <cols>
    <col min="1" max="1" width="3" customWidth="1"/>
    <col min="2" max="2" width="38" customWidth="1"/>
    <col min="3" max="3" width="3" customWidth="1"/>
    <col min="4" max="9" width="14" customWidth="1"/>
  </cols>
  <sheetData>
    <row r="1" spans="2:9" ht="15" customHeight="1" x14ac:dyDescent="0.35">
      <c r="B1" s="8" t="s">
        <v>18</v>
      </c>
    </row>
    <row r="2" spans="2:9" ht="17.25" customHeight="1" x14ac:dyDescent="0.4">
      <c r="B2" s="7" t="s">
        <v>211</v>
      </c>
    </row>
    <row r="4" spans="2:9" ht="15" customHeight="1" x14ac:dyDescent="0.35">
      <c r="D4" s="18" t="s">
        <v>131</v>
      </c>
      <c r="E4" s="18" t="s">
        <v>175</v>
      </c>
      <c r="F4" s="18" t="s">
        <v>176</v>
      </c>
      <c r="G4" s="18" t="s">
        <v>177</v>
      </c>
      <c r="H4" s="18" t="s">
        <v>178</v>
      </c>
      <c r="I4" s="18" t="s">
        <v>179</v>
      </c>
    </row>
    <row r="5" spans="2:9" ht="15" customHeight="1" x14ac:dyDescent="0.35">
      <c r="D5" s="29" t="s">
        <v>68</v>
      </c>
      <c r="E5" s="29" t="s">
        <v>69</v>
      </c>
      <c r="F5" s="29" t="s">
        <v>70</v>
      </c>
      <c r="G5" s="29" t="s">
        <v>71</v>
      </c>
      <c r="H5" s="29" t="s">
        <v>72</v>
      </c>
      <c r="I5" s="29" t="s">
        <v>73</v>
      </c>
    </row>
    <row r="7" spans="2:9" ht="15" customHeight="1" x14ac:dyDescent="0.35">
      <c r="B7" s="9" t="s">
        <v>212</v>
      </c>
    </row>
    <row r="9" spans="2:9" ht="15" customHeight="1" x14ac:dyDescent="0.35">
      <c r="B9" s="5" t="s">
        <v>213</v>
      </c>
      <c r="D9" s="19">
        <f>'Transaction Assumptions'!D31</f>
        <v>50000</v>
      </c>
      <c r="E9" s="13">
        <f>D13</f>
        <v>42857.142857142855</v>
      </c>
      <c r="F9" s="13">
        <f>E13</f>
        <v>35714.28571428571</v>
      </c>
      <c r="G9" s="13">
        <f>F13</f>
        <v>28571.428571428565</v>
      </c>
      <c r="H9" s="13">
        <f>G13</f>
        <v>21428.57142857142</v>
      </c>
      <c r="I9" s="13">
        <f>H13</f>
        <v>14285.714285714277</v>
      </c>
    </row>
    <row r="10" spans="2:9" ht="15" customHeight="1" x14ac:dyDescent="0.35">
      <c r="B10" s="5" t="s">
        <v>214</v>
      </c>
      <c r="D10" s="13">
        <f>'Transaction Assumptions'!D31/'Transaction Assumptions'!I41</f>
        <v>7142.8571428571431</v>
      </c>
      <c r="E10" s="13">
        <f>'Transaction Assumptions'!D31/'Transaction Assumptions'!I41</f>
        <v>7142.8571428571431</v>
      </c>
      <c r="F10" s="13">
        <f>'Transaction Assumptions'!D31/'Transaction Assumptions'!I41</f>
        <v>7142.8571428571431</v>
      </c>
      <c r="G10" s="13">
        <f>'Transaction Assumptions'!D31/'Transaction Assumptions'!I41</f>
        <v>7142.8571428571431</v>
      </c>
      <c r="H10" s="13">
        <f>'Transaction Assumptions'!D31/'Transaction Assumptions'!I41</f>
        <v>7142.8571428571431</v>
      </c>
      <c r="I10" s="13">
        <f>'Transaction Assumptions'!D31/'Transaction Assumptions'!I41</f>
        <v>7142.8571428571431</v>
      </c>
    </row>
    <row r="11" spans="2:9" ht="15" customHeight="1" x14ac:dyDescent="0.35">
      <c r="B11" s="5" t="s">
        <v>215</v>
      </c>
      <c r="D11" s="11">
        <v>0</v>
      </c>
      <c r="E11" s="11">
        <v>0</v>
      </c>
      <c r="F11" s="11">
        <v>0</v>
      </c>
      <c r="G11" s="11">
        <v>0</v>
      </c>
      <c r="H11" s="11">
        <v>0</v>
      </c>
      <c r="I11" s="11">
        <v>0</v>
      </c>
    </row>
    <row r="13" spans="2:9" ht="15" customHeight="1" x14ac:dyDescent="0.35">
      <c r="B13" s="4" t="s">
        <v>216</v>
      </c>
      <c r="D13" s="31">
        <f t="shared" ref="D13:I13" si="0">D9-D10-D11</f>
        <v>42857.142857142855</v>
      </c>
      <c r="E13" s="31">
        <f t="shared" si="0"/>
        <v>35714.28571428571</v>
      </c>
      <c r="F13" s="31">
        <f t="shared" si="0"/>
        <v>28571.428571428565</v>
      </c>
      <c r="G13" s="31">
        <f t="shared" si="0"/>
        <v>21428.57142857142</v>
      </c>
      <c r="H13" s="31">
        <f t="shared" si="0"/>
        <v>14285.714285714277</v>
      </c>
      <c r="I13" s="31">
        <f t="shared" si="0"/>
        <v>7142.857142857134</v>
      </c>
    </row>
    <row r="15" spans="2:9" ht="15" customHeight="1" x14ac:dyDescent="0.35">
      <c r="B15" s="5" t="s">
        <v>217</v>
      </c>
      <c r="D15" s="27">
        <f>'Transaction Assumptions'!E41</f>
        <v>2.5000000000000001E-2</v>
      </c>
      <c r="E15" s="12">
        <f>$D$15</f>
        <v>2.5000000000000001E-2</v>
      </c>
      <c r="F15" s="12">
        <f>$D$15</f>
        <v>2.5000000000000001E-2</v>
      </c>
      <c r="G15" s="12">
        <f>$D$15</f>
        <v>2.5000000000000001E-2</v>
      </c>
      <c r="H15" s="12">
        <f>$D$15</f>
        <v>2.5000000000000001E-2</v>
      </c>
      <c r="I15" s="12">
        <f>$D$15</f>
        <v>2.5000000000000001E-2</v>
      </c>
    </row>
    <row r="16" spans="2:9" ht="15" customHeight="1" x14ac:dyDescent="0.35">
      <c r="B16" s="5" t="s">
        <v>218</v>
      </c>
      <c r="D16" s="13">
        <f>D9*D15</f>
        <v>1250</v>
      </c>
      <c r="E16" s="13">
        <f>(E9+E13)/2*E15</f>
        <v>982.14285714285711</v>
      </c>
      <c r="F16" s="13">
        <f>(F9+F13)/2*F15</f>
        <v>803.57142857142844</v>
      </c>
      <c r="G16" s="13">
        <f>(G9+G13)/2*G15</f>
        <v>624.99999999999989</v>
      </c>
      <c r="H16" s="13">
        <f>(H9+H13)/2*H15</f>
        <v>446.42857142857122</v>
      </c>
      <c r="I16" s="13">
        <f>(I9+I13)/2*I15</f>
        <v>267.85714285714266</v>
      </c>
    </row>
    <row r="19" spans="2:9" ht="15" customHeight="1" x14ac:dyDescent="0.35">
      <c r="B19" s="9" t="s">
        <v>219</v>
      </c>
    </row>
    <row r="21" spans="2:9" ht="15" customHeight="1" x14ac:dyDescent="0.35">
      <c r="B21" s="5" t="s">
        <v>213</v>
      </c>
      <c r="D21" s="19">
        <f>'Transaction Assumptions'!D32</f>
        <v>25000</v>
      </c>
      <c r="E21" s="13">
        <f>D24</f>
        <v>25000</v>
      </c>
      <c r="F21" s="13">
        <f>E24</f>
        <v>25000</v>
      </c>
      <c r="G21" s="13">
        <f>F24</f>
        <v>25000</v>
      </c>
      <c r="H21" s="13">
        <f>G24</f>
        <v>25000</v>
      </c>
      <c r="I21" s="13">
        <f>H24</f>
        <v>25000</v>
      </c>
    </row>
    <row r="22" spans="2:9" ht="15" customHeight="1" x14ac:dyDescent="0.35">
      <c r="B22" s="5" t="s">
        <v>52</v>
      </c>
      <c r="D22" s="11">
        <v>0</v>
      </c>
      <c r="E22" s="11">
        <v>0</v>
      </c>
      <c r="F22" s="11">
        <v>0</v>
      </c>
      <c r="G22" s="11">
        <v>0</v>
      </c>
      <c r="H22" s="11">
        <v>0</v>
      </c>
      <c r="I22" s="11">
        <v>0</v>
      </c>
    </row>
    <row r="24" spans="2:9" ht="15" customHeight="1" x14ac:dyDescent="0.35">
      <c r="B24" s="4" t="s">
        <v>216</v>
      </c>
      <c r="D24" s="31">
        <f t="shared" ref="D24:I24" si="1">D21-D22</f>
        <v>25000</v>
      </c>
      <c r="E24" s="31">
        <f t="shared" si="1"/>
        <v>25000</v>
      </c>
      <c r="F24" s="31">
        <f t="shared" si="1"/>
        <v>25000</v>
      </c>
      <c r="G24" s="31">
        <f t="shared" si="1"/>
        <v>25000</v>
      </c>
      <c r="H24" s="31">
        <f t="shared" si="1"/>
        <v>25000</v>
      </c>
      <c r="I24" s="31">
        <f t="shared" si="1"/>
        <v>25000</v>
      </c>
    </row>
    <row r="26" spans="2:9" ht="15" customHeight="1" x14ac:dyDescent="0.35">
      <c r="B26" s="5" t="s">
        <v>217</v>
      </c>
      <c r="D26" s="27">
        <f>'Transaction Assumptions'!E42</f>
        <v>3.5000000000000003E-2</v>
      </c>
      <c r="E26" s="12">
        <f>$D$26</f>
        <v>3.5000000000000003E-2</v>
      </c>
      <c r="F26" s="12">
        <f>$D$26</f>
        <v>3.5000000000000003E-2</v>
      </c>
      <c r="G26" s="12">
        <f>$D$26</f>
        <v>3.5000000000000003E-2</v>
      </c>
      <c r="H26" s="12">
        <f>$D$26</f>
        <v>3.5000000000000003E-2</v>
      </c>
      <c r="I26" s="12">
        <f>$D$26</f>
        <v>3.5000000000000003E-2</v>
      </c>
    </row>
    <row r="27" spans="2:9" ht="15" customHeight="1" x14ac:dyDescent="0.35">
      <c r="B27" s="5" t="s">
        <v>220</v>
      </c>
      <c r="D27" s="13">
        <f t="shared" ref="D27:I27" si="2">D21*D26</f>
        <v>875.00000000000011</v>
      </c>
      <c r="E27" s="13">
        <f t="shared" si="2"/>
        <v>875.00000000000011</v>
      </c>
      <c r="F27" s="13">
        <f t="shared" si="2"/>
        <v>875.00000000000011</v>
      </c>
      <c r="G27" s="13">
        <f t="shared" si="2"/>
        <v>875.00000000000011</v>
      </c>
      <c r="H27" s="13">
        <f t="shared" si="2"/>
        <v>875.00000000000011</v>
      </c>
      <c r="I27" s="13">
        <f t="shared" si="2"/>
        <v>875.00000000000011</v>
      </c>
    </row>
    <row r="30" spans="2:9" ht="15" customHeight="1" x14ac:dyDescent="0.35">
      <c r="B30" s="9" t="s">
        <v>221</v>
      </c>
    </row>
    <row r="32" spans="2:9" ht="15" customHeight="1" x14ac:dyDescent="0.35">
      <c r="B32" s="4" t="s">
        <v>222</v>
      </c>
      <c r="D32" s="13">
        <f t="shared" ref="D32:I32" si="3">D13+D24</f>
        <v>67857.142857142855</v>
      </c>
      <c r="E32" s="13">
        <f t="shared" si="3"/>
        <v>60714.28571428571</v>
      </c>
      <c r="F32" s="13">
        <f t="shared" si="3"/>
        <v>53571.428571428565</v>
      </c>
      <c r="G32" s="13">
        <f t="shared" si="3"/>
        <v>46428.57142857142</v>
      </c>
      <c r="H32" s="13">
        <f t="shared" si="3"/>
        <v>39285.714285714275</v>
      </c>
      <c r="I32" s="13">
        <f t="shared" si="3"/>
        <v>32142.857142857134</v>
      </c>
    </row>
    <row r="33" spans="2:9" ht="15" customHeight="1" x14ac:dyDescent="0.35">
      <c r="B33" s="5" t="s">
        <v>223</v>
      </c>
      <c r="D33" s="13">
        <f t="shared" ref="D33:I33" si="4">D10+D11+D22</f>
        <v>7142.8571428571431</v>
      </c>
      <c r="E33" s="13">
        <f t="shared" si="4"/>
        <v>7142.8571428571431</v>
      </c>
      <c r="F33" s="13">
        <f t="shared" si="4"/>
        <v>7142.8571428571431</v>
      </c>
      <c r="G33" s="13">
        <f t="shared" si="4"/>
        <v>7142.8571428571431</v>
      </c>
      <c r="H33" s="13">
        <f t="shared" si="4"/>
        <v>7142.8571428571431</v>
      </c>
      <c r="I33" s="13">
        <f t="shared" si="4"/>
        <v>7142.8571428571431</v>
      </c>
    </row>
    <row r="34" spans="2:9" ht="15" customHeight="1" x14ac:dyDescent="0.35">
      <c r="B34" s="5" t="s">
        <v>224</v>
      </c>
      <c r="D34" s="31">
        <f t="shared" ref="D34:I34" si="5">D16+D27</f>
        <v>2125</v>
      </c>
      <c r="E34" s="31">
        <f t="shared" si="5"/>
        <v>1857.1428571428573</v>
      </c>
      <c r="F34" s="31">
        <f t="shared" si="5"/>
        <v>1678.5714285714284</v>
      </c>
      <c r="G34" s="31">
        <f t="shared" si="5"/>
        <v>1500</v>
      </c>
      <c r="H34" s="31">
        <f t="shared" si="5"/>
        <v>1321.4285714285713</v>
      </c>
      <c r="I34" s="31">
        <f t="shared" si="5"/>
        <v>1142.8571428571427</v>
      </c>
    </row>
    <row r="36" spans="2:9" ht="15" customHeight="1" x14ac:dyDescent="0.35">
      <c r="B36" s="9" t="s">
        <v>225</v>
      </c>
    </row>
    <row r="38" spans="2:9" ht="15" customHeight="1" x14ac:dyDescent="0.35">
      <c r="B38" s="5" t="s">
        <v>86</v>
      </c>
      <c r="D38" s="19">
        <f>'Income Statement'!H25</f>
        <v>8275</v>
      </c>
      <c r="E38" s="19">
        <f>'Income Statement'!J25</f>
        <v>10014.778800000004</v>
      </c>
      <c r="F38" s="19">
        <f>'Income Statement'!K25</f>
        <v>11199.285396000008</v>
      </c>
      <c r="G38" s="19">
        <f>'Income Statement'!L25</f>
        <v>12271.557402000009</v>
      </c>
      <c r="H38" s="19">
        <f>'Income Statement'!M25</f>
        <v>13398.086371503603</v>
      </c>
      <c r="I38" s="19">
        <f>'Income Statement'!N25</f>
        <v>13930.217915126537</v>
      </c>
    </row>
    <row r="39" spans="2:9" ht="15" customHeight="1" x14ac:dyDescent="0.35">
      <c r="B39" s="5" t="s">
        <v>59</v>
      </c>
      <c r="D39" s="16">
        <f t="shared" ref="D39:I39" si="6">D32/D38</f>
        <v>8.200258955545964</v>
      </c>
      <c r="E39" s="16">
        <f t="shared" si="6"/>
        <v>6.0624689697874992</v>
      </c>
      <c r="F39" s="16">
        <f t="shared" si="6"/>
        <v>4.7834684693866629</v>
      </c>
      <c r="G39" s="16">
        <f t="shared" si="6"/>
        <v>3.7834294301556644</v>
      </c>
      <c r="H39" s="16">
        <f t="shared" si="6"/>
        <v>2.9321884630682096</v>
      </c>
      <c r="I39" s="16">
        <f t="shared" si="6"/>
        <v>2.3074195492630354</v>
      </c>
    </row>
    <row r="40" spans="2:9" ht="15" customHeight="1" x14ac:dyDescent="0.35">
      <c r="B40" s="5" t="s">
        <v>226</v>
      </c>
      <c r="D40" s="16">
        <f t="shared" ref="D40:I40" si="7">IF(D34=0,"-",D38/D34)</f>
        <v>3.8941176470588235</v>
      </c>
      <c r="E40" s="16">
        <f t="shared" si="7"/>
        <v>5.3925732000000011</v>
      </c>
      <c r="F40" s="16">
        <f t="shared" si="7"/>
        <v>6.6719147040000051</v>
      </c>
      <c r="G40" s="16">
        <f t="shared" si="7"/>
        <v>8.1810382680000071</v>
      </c>
      <c r="H40" s="16">
        <f t="shared" si="7"/>
        <v>10.13909238924597</v>
      </c>
      <c r="I40" s="16">
        <f t="shared" si="7"/>
        <v>12.188940675735722</v>
      </c>
    </row>
    <row r="41" spans="2:9" ht="15" customHeight="1" x14ac:dyDescent="0.35">
      <c r="B41" s="5" t="s">
        <v>227</v>
      </c>
      <c r="D41" s="16">
        <f>IF(D34=0,"-",(D38-'Income Statement'!H42)/D34)</f>
        <v>2.6941176470588237</v>
      </c>
      <c r="E41" s="16">
        <f>IF(E34=0,"-",(E38-'Income Statement'!J42)/E34)</f>
        <v>3.8429832000000013</v>
      </c>
      <c r="F41" s="16">
        <f>IF(F34=0,"-",(F38-'Income Statement'!K42)/F34)</f>
        <v>4.8974693040000057</v>
      </c>
      <c r="G41" s="16">
        <f>IF(G34=0,"-",(G38-'Income Statement'!L42)/G34)</f>
        <v>6.2175890836800063</v>
      </c>
      <c r="H41" s="16">
        <f>IF(H34=0,"-",(H38-'Income Statement'!M42)/H34)</f>
        <v>7.9391006444095806</v>
      </c>
      <c r="I41" s="16">
        <f>IF(I34=0,"-",(I38-'Income Statement'!N42)/I34)</f>
        <v>9.5688880071196341</v>
      </c>
    </row>
  </sheetData>
  <phoneticPr fontId="15"/>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54"/>
  <sheetViews>
    <sheetView tabSelected="1" topLeftCell="A30" zoomScale="75" zoomScaleNormal="100" workbookViewId="0"/>
  </sheetViews>
  <sheetFormatPr defaultColWidth="8.6328125" defaultRowHeight="14.5" x14ac:dyDescent="0.35"/>
  <cols>
    <col min="1" max="1" width="3" customWidth="1"/>
    <col min="2" max="2" width="38" customWidth="1"/>
    <col min="3" max="3" width="3" customWidth="1"/>
    <col min="4" max="9" width="14" customWidth="1"/>
  </cols>
  <sheetData>
    <row r="1" spans="2:9" ht="15" customHeight="1" x14ac:dyDescent="0.35">
      <c r="B1" s="8" t="s">
        <v>18</v>
      </c>
    </row>
    <row r="2" spans="2:9" ht="17.25" customHeight="1" x14ac:dyDescent="0.4">
      <c r="B2" s="7" t="s">
        <v>228</v>
      </c>
    </row>
    <row r="4" spans="2:9" ht="15" customHeight="1" x14ac:dyDescent="0.35">
      <c r="D4" s="18" t="s">
        <v>229</v>
      </c>
      <c r="E4" s="18" t="s">
        <v>175</v>
      </c>
      <c r="F4" s="18" t="s">
        <v>176</v>
      </c>
      <c r="G4" s="18" t="s">
        <v>177</v>
      </c>
      <c r="H4" s="18" t="s">
        <v>178</v>
      </c>
      <c r="I4" s="18" t="s">
        <v>179</v>
      </c>
    </row>
    <row r="5" spans="2:9" ht="15" customHeight="1" x14ac:dyDescent="0.35">
      <c r="D5" s="29" t="s">
        <v>68</v>
      </c>
      <c r="E5" s="29" t="s">
        <v>69</v>
      </c>
      <c r="F5" s="29" t="s">
        <v>70</v>
      </c>
      <c r="G5" s="29" t="s">
        <v>71</v>
      </c>
      <c r="H5" s="29" t="s">
        <v>72</v>
      </c>
      <c r="I5" s="29" t="s">
        <v>73</v>
      </c>
    </row>
    <row r="7" spans="2:9" ht="15" customHeight="1" x14ac:dyDescent="0.35">
      <c r="B7" s="9" t="s">
        <v>230</v>
      </c>
    </row>
    <row r="9" spans="2:9" ht="15" customHeight="1" x14ac:dyDescent="0.35">
      <c r="B9" s="5" t="s">
        <v>231</v>
      </c>
      <c r="E9" s="32">
        <v>15</v>
      </c>
      <c r="F9" s="32">
        <v>15</v>
      </c>
      <c r="G9" s="32">
        <v>15</v>
      </c>
      <c r="H9" s="32">
        <v>15</v>
      </c>
      <c r="I9" s="32">
        <v>15</v>
      </c>
    </row>
    <row r="11" spans="2:9" ht="15" customHeight="1" x14ac:dyDescent="0.35">
      <c r="B11" s="5" t="s">
        <v>232</v>
      </c>
      <c r="E11" s="19">
        <f>'Debt Schedule'!E38</f>
        <v>10014.778800000004</v>
      </c>
      <c r="F11" s="19">
        <f>'Debt Schedule'!F38</f>
        <v>11199.285396000008</v>
      </c>
      <c r="G11" s="19">
        <f>'Debt Schedule'!G38</f>
        <v>12271.557402000009</v>
      </c>
      <c r="H11" s="19">
        <f>'Debt Schedule'!H38</f>
        <v>13398.086371503603</v>
      </c>
      <c r="I11" s="19">
        <f>'Debt Schedule'!I38</f>
        <v>13930.217915126537</v>
      </c>
    </row>
    <row r="13" spans="2:9" ht="15" customHeight="1" x14ac:dyDescent="0.35">
      <c r="B13" s="4" t="s">
        <v>233</v>
      </c>
      <c r="E13" s="13">
        <f>E9*E11</f>
        <v>150221.68200000006</v>
      </c>
      <c r="F13" s="13">
        <f>F9*F11</f>
        <v>167989.28094000011</v>
      </c>
      <c r="G13" s="13">
        <f>G9*G11</f>
        <v>184073.36103000015</v>
      </c>
      <c r="H13" s="13">
        <f>H9*H11</f>
        <v>200971.29557255405</v>
      </c>
      <c r="I13" s="13">
        <f>I9*I11</f>
        <v>208953.26872689807</v>
      </c>
    </row>
    <row r="15" spans="2:9" ht="15" customHeight="1" x14ac:dyDescent="0.35">
      <c r="B15" s="5" t="s">
        <v>234</v>
      </c>
      <c r="E15" s="19">
        <f>'Debt Schedule'!E32</f>
        <v>60714.28571428571</v>
      </c>
      <c r="F15" s="19">
        <f>'Debt Schedule'!F32</f>
        <v>53571.428571428565</v>
      </c>
      <c r="G15" s="19">
        <f>'Debt Schedule'!G32</f>
        <v>46428.57142857142</v>
      </c>
      <c r="H15" s="19">
        <f>'Debt Schedule'!H32</f>
        <v>39285.714285714275</v>
      </c>
      <c r="I15" s="19">
        <f>'Debt Schedule'!I32</f>
        <v>32142.857142857134</v>
      </c>
    </row>
    <row r="16" spans="2:9" ht="15" customHeight="1" x14ac:dyDescent="0.35">
      <c r="B16" s="5" t="s">
        <v>235</v>
      </c>
      <c r="E16" s="11">
        <v>10000</v>
      </c>
      <c r="F16" s="11">
        <v>10000</v>
      </c>
      <c r="G16" s="11">
        <v>10000</v>
      </c>
      <c r="H16" s="11">
        <v>10000</v>
      </c>
      <c r="I16" s="11">
        <v>10000</v>
      </c>
    </row>
    <row r="18" spans="2:9" ht="15" customHeight="1" x14ac:dyDescent="0.35">
      <c r="B18" s="4" t="s">
        <v>236</v>
      </c>
      <c r="E18" s="26">
        <f>E13-E15+E16</f>
        <v>99507.396285714349</v>
      </c>
      <c r="F18" s="26">
        <f>F13-F15+F16</f>
        <v>124417.85236857155</v>
      </c>
      <c r="G18" s="26">
        <f>G13-G15+G16</f>
        <v>147644.78960142873</v>
      </c>
      <c r="H18" s="26">
        <f>H13-H15+H16</f>
        <v>171685.58128683979</v>
      </c>
      <c r="I18" s="26">
        <f>I13-I15+I16</f>
        <v>186810.41158404094</v>
      </c>
    </row>
    <row r="21" spans="2:9" ht="15" customHeight="1" x14ac:dyDescent="0.35">
      <c r="B21" s="9" t="s">
        <v>237</v>
      </c>
    </row>
    <row r="23" spans="2:9" ht="15" customHeight="1" x14ac:dyDescent="0.35">
      <c r="B23" s="5" t="s">
        <v>238</v>
      </c>
      <c r="D23" s="19">
        <f>'Transaction Assumptions'!D34</f>
        <v>77646</v>
      </c>
    </row>
    <row r="25" spans="2:9" ht="15" customHeight="1" x14ac:dyDescent="0.35">
      <c r="B25" s="4" t="s">
        <v>239</v>
      </c>
      <c r="E25" s="16">
        <f>E18/$D$23</f>
        <v>1.2815521248449933</v>
      </c>
      <c r="F25" s="16">
        <f>F18/$D$23</f>
        <v>1.6023729795298089</v>
      </c>
      <c r="G25" s="16">
        <f>G18/$D$23</f>
        <v>1.9015118563921996</v>
      </c>
      <c r="H25" s="16">
        <f>H18/$D$23</f>
        <v>2.2111323350441721</v>
      </c>
      <c r="I25" s="16">
        <f>I18/$D$23</f>
        <v>2.4059244724009083</v>
      </c>
    </row>
    <row r="27" spans="2:9" ht="15" customHeight="1" x14ac:dyDescent="0.35">
      <c r="B27" s="4" t="s">
        <v>240</v>
      </c>
      <c r="E27" s="12">
        <f>IFERROR(E18/$D$23-1,"-")</f>
        <v>0.28155212484499326</v>
      </c>
      <c r="F27" s="12">
        <f>IFERROR((F18/$D$23)^(1/2)-1,"-")</f>
        <v>0.26584871905366669</v>
      </c>
      <c r="G27" s="12">
        <f>IFERROR((G18/$D$23)^(1/3)-1,"-")</f>
        <v>0.23889075628438428</v>
      </c>
      <c r="H27" s="12">
        <f>IFERROR((H18/$D$23)^(1/4)-1,"-")</f>
        <v>0.21942103944862268</v>
      </c>
      <c r="I27" s="12">
        <f>IFERROR((I18/$D$23)^(1/5)-1,"-")</f>
        <v>0.19194549883147705</v>
      </c>
    </row>
    <row r="30" spans="2:9" ht="15" customHeight="1" x14ac:dyDescent="0.35">
      <c r="B30" s="9" t="s">
        <v>241</v>
      </c>
    </row>
    <row r="32" spans="2:9" ht="15" customHeight="1" x14ac:dyDescent="0.35">
      <c r="B32" s="4" t="s">
        <v>242</v>
      </c>
      <c r="D32" s="33">
        <v>12</v>
      </c>
      <c r="E32" s="33">
        <v>13</v>
      </c>
      <c r="F32" s="33">
        <v>14</v>
      </c>
      <c r="G32" s="33">
        <v>15</v>
      </c>
      <c r="H32" s="33">
        <v>16</v>
      </c>
      <c r="I32" s="33">
        <v>17</v>
      </c>
    </row>
    <row r="33" spans="2:9" ht="15" customHeight="1" x14ac:dyDescent="0.35">
      <c r="B33" s="4" t="s">
        <v>243</v>
      </c>
    </row>
    <row r="34" spans="2:9" ht="15" customHeight="1" x14ac:dyDescent="0.35">
      <c r="B34" s="5" t="s">
        <v>177</v>
      </c>
      <c r="D34" s="16">
        <f>(G11*D32-G15+G16)/$D$23</f>
        <v>1.4273770367492042</v>
      </c>
      <c r="E34" s="16">
        <f>(G11*E32-G15+G16)/$D$23</f>
        <v>1.5854219766302027</v>
      </c>
      <c r="F34" s="16">
        <f>(G11*F32-G15+G16)/$D$23</f>
        <v>1.7434669165112011</v>
      </c>
      <c r="G34" s="16">
        <f>(G11*G32-G15+G16)/$D$23</f>
        <v>1.9015118563921996</v>
      </c>
      <c r="H34" s="16">
        <f>(G11*H32-G15+G16)/$D$23</f>
        <v>2.0595567962731982</v>
      </c>
      <c r="I34" s="16">
        <f>(G11*I32-G15+G16)/$D$23</f>
        <v>2.2176017361541964</v>
      </c>
    </row>
    <row r="35" spans="2:9" ht="15" customHeight="1" x14ac:dyDescent="0.35">
      <c r="B35" s="5" t="s">
        <v>178</v>
      </c>
      <c r="D35" s="16">
        <f>(H11*D32-H15+H16)/$D$23</f>
        <v>1.6934719389579496</v>
      </c>
      <c r="E35" s="16">
        <f>(H11*E32-H15+H16)/$D$23</f>
        <v>1.8660254043200235</v>
      </c>
      <c r="F35" s="16">
        <f>(H11*F32-H15+H16)/$D$23</f>
        <v>2.0385788696820981</v>
      </c>
      <c r="G35" s="16">
        <f>(H11*G32-H15+H16)/$D$23</f>
        <v>2.2111323350441721</v>
      </c>
      <c r="H35" s="16">
        <f>(H11*H32-H15+H16)/$D$23</f>
        <v>2.383685800406246</v>
      </c>
      <c r="I35" s="16">
        <f>(H11*I32-H15+H16)/$D$23</f>
        <v>2.5562392657683199</v>
      </c>
    </row>
    <row r="36" spans="2:9" ht="15" customHeight="1" x14ac:dyDescent="0.35">
      <c r="B36" s="5" t="s">
        <v>179</v>
      </c>
      <c r="D36" s="16">
        <f>(I11*D32-I15+I16)/$D$23</f>
        <v>1.8677041681305067</v>
      </c>
      <c r="E36" s="16">
        <f>(I11*E32-I15+I16)/$D$23</f>
        <v>2.0471109362206406</v>
      </c>
      <c r="F36" s="16">
        <f>(I11*F32-I15+I16)/$D$23</f>
        <v>2.2265177043107744</v>
      </c>
      <c r="G36" s="16">
        <f>(I11*G32-I15+I16)/$D$23</f>
        <v>2.4059244724009083</v>
      </c>
      <c r="H36" s="16">
        <f>(I11*H32-I15+I16)/$D$23</f>
        <v>2.5853312404910422</v>
      </c>
      <c r="I36" s="16">
        <f>(I11*I32-I15+I16)/$D$23</f>
        <v>2.7647380085811761</v>
      </c>
    </row>
    <row r="39" spans="2:9" ht="15" customHeight="1" x14ac:dyDescent="0.35">
      <c r="B39" s="9" t="s">
        <v>244</v>
      </c>
    </row>
    <row r="41" spans="2:9" ht="15" customHeight="1" x14ac:dyDescent="0.35">
      <c r="B41" s="4" t="s">
        <v>242</v>
      </c>
      <c r="D41" s="33">
        <v>12</v>
      </c>
      <c r="E41" s="33">
        <v>13</v>
      </c>
      <c r="F41" s="33">
        <v>14</v>
      </c>
      <c r="G41" s="33">
        <v>15</v>
      </c>
      <c r="H41" s="33">
        <v>16</v>
      </c>
      <c r="I41" s="33">
        <v>17</v>
      </c>
    </row>
    <row r="42" spans="2:9" ht="15" customHeight="1" x14ac:dyDescent="0.35">
      <c r="B42" s="4" t="s">
        <v>243</v>
      </c>
    </row>
    <row r="43" spans="2:9" ht="15" customHeight="1" x14ac:dyDescent="0.35">
      <c r="B43" s="5" t="s">
        <v>177</v>
      </c>
      <c r="D43" s="12">
        <f t="shared" ref="D43:I43" si="0">IFERROR((D34^(1/3)-1),"-")</f>
        <v>0.12593391730159387</v>
      </c>
      <c r="E43" s="12">
        <f t="shared" si="0"/>
        <v>0.16604405208807038</v>
      </c>
      <c r="F43" s="12">
        <f t="shared" si="0"/>
        <v>0.20356967539987503</v>
      </c>
      <c r="G43" s="12">
        <f t="shared" si="0"/>
        <v>0.23889075628438428</v>
      </c>
      <c r="H43" s="12">
        <f t="shared" si="0"/>
        <v>0.27230506958029688</v>
      </c>
      <c r="I43" s="12">
        <f t="shared" si="0"/>
        <v>0.30405082325920141</v>
      </c>
    </row>
    <row r="44" spans="2:9" ht="15" customHeight="1" x14ac:dyDescent="0.35">
      <c r="B44" s="5" t="s">
        <v>178</v>
      </c>
      <c r="D44" s="12">
        <f t="shared" ref="D44:I44" si="1">IFERROR((D35^(1/4)-1),"-")</f>
        <v>0.14076056909379653</v>
      </c>
      <c r="E44" s="12">
        <f t="shared" si="1"/>
        <v>0.16877089456423255</v>
      </c>
      <c r="F44" s="12">
        <f t="shared" si="1"/>
        <v>0.19490087618819563</v>
      </c>
      <c r="G44" s="12">
        <f t="shared" si="1"/>
        <v>0.21942103944862268</v>
      </c>
      <c r="H44" s="12">
        <f t="shared" si="1"/>
        <v>0.24254536122006032</v>
      </c>
      <c r="I44" s="12">
        <f t="shared" si="1"/>
        <v>0.26444625770392105</v>
      </c>
    </row>
    <row r="45" spans="2:9" ht="15" customHeight="1" x14ac:dyDescent="0.35">
      <c r="B45" s="5" t="s">
        <v>179</v>
      </c>
      <c r="D45" s="12">
        <f t="shared" ref="D45:I45" si="2">IFERROR((D36^(1/5)-1),"-")</f>
        <v>0.13308272307721469</v>
      </c>
      <c r="E45" s="12">
        <f t="shared" si="2"/>
        <v>0.15405970011519665</v>
      </c>
      <c r="F45" s="12">
        <f t="shared" si="2"/>
        <v>0.17361386221031605</v>
      </c>
      <c r="G45" s="12">
        <f t="shared" si="2"/>
        <v>0.19194549883147705</v>
      </c>
      <c r="H45" s="12">
        <f t="shared" si="2"/>
        <v>0.20921420082911735</v>
      </c>
      <c r="I45" s="12">
        <f t="shared" si="2"/>
        <v>0.22554932927497617</v>
      </c>
    </row>
    <row r="48" spans="2:9" ht="15" customHeight="1" x14ac:dyDescent="0.35">
      <c r="B48" s="9" t="s">
        <v>245</v>
      </c>
    </row>
    <row r="50" spans="2:4" ht="15" customHeight="1" x14ac:dyDescent="0.35">
      <c r="B50" s="4" t="s">
        <v>246</v>
      </c>
      <c r="D50" s="5" t="s">
        <v>247</v>
      </c>
    </row>
    <row r="51" spans="2:4" ht="15" customHeight="1" x14ac:dyDescent="0.35">
      <c r="B51" s="4" t="s">
        <v>248</v>
      </c>
      <c r="D51" s="5" t="s">
        <v>249</v>
      </c>
    </row>
    <row r="52" spans="2:4" ht="15" customHeight="1" x14ac:dyDescent="0.35">
      <c r="B52" s="4" t="s">
        <v>250</v>
      </c>
      <c r="D52" s="5" t="s">
        <v>251</v>
      </c>
    </row>
    <row r="53" spans="2:4" ht="15" customHeight="1" x14ac:dyDescent="0.35">
      <c r="B53" s="4" t="s">
        <v>252</v>
      </c>
      <c r="D53" s="5" t="s">
        <v>253</v>
      </c>
    </row>
    <row r="54" spans="2:4" ht="15" customHeight="1" x14ac:dyDescent="0.35">
      <c r="B54" s="4" t="s">
        <v>254</v>
      </c>
      <c r="D54" s="5" t="s">
        <v>255</v>
      </c>
    </row>
  </sheetData>
  <phoneticPr fontId="15"/>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Cover</vt:lpstr>
      <vt:lpstr>Transaction Assumptions</vt:lpstr>
      <vt:lpstr>Income Statement</vt:lpstr>
      <vt:lpstr>Transaction Summary</vt:lpstr>
      <vt:lpstr>Balance Sheet</vt:lpstr>
      <vt:lpstr>Cash Flow Statement</vt:lpstr>
      <vt:lpstr>Debt Schedule</vt:lpstr>
      <vt:lpstr>Returns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cp:revision>0</cp:revision>
  <dcterms:created xsi:type="dcterms:W3CDTF">2026-02-26T04:23:08Z</dcterms:created>
  <dcterms:modified xsi:type="dcterms:W3CDTF">2026-02-26T11:27:04Z</dcterms:modified>
  <dc:language>en-US</dc:language>
</cp:coreProperties>
</file>