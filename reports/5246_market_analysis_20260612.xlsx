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5C3D5601-8587-449B-8DDF-DC10D03BC4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</sheets>
  <calcPr calcId="181029"/>
</workbook>
</file>

<file path=xl/calcChain.xml><?xml version="1.0" encoding="utf-8"?>
<calcChain xmlns="http://schemas.openxmlformats.org/spreadsheetml/2006/main">
  <c r="E45" i="3" l="1"/>
  <c r="F45" i="3" s="1"/>
  <c r="E44" i="3"/>
  <c r="C10" i="3" s="1"/>
  <c r="C37" i="3"/>
  <c r="C36" i="3"/>
  <c r="D9" i="3" s="1"/>
  <c r="C28" i="3"/>
  <c r="C27" i="3"/>
  <c r="C26" i="3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D32" i="2"/>
  <c r="E32" i="2" s="1"/>
  <c r="C32" i="2"/>
  <c r="D31" i="2"/>
  <c r="E31" i="2" s="1"/>
  <c r="C31" i="2"/>
  <c r="C18" i="2"/>
  <c r="C48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D26" i="1"/>
  <c r="Q25" i="1"/>
  <c r="I25" i="1"/>
  <c r="G25" i="1"/>
  <c r="G30" i="1" s="1"/>
  <c r="G35" i="1" s="1"/>
  <c r="F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L26" i="1" s="1"/>
  <c r="K21" i="1"/>
  <c r="J21" i="1"/>
  <c r="I21" i="1"/>
  <c r="H21" i="1"/>
  <c r="G21" i="1"/>
  <c r="F21" i="1"/>
  <c r="E21" i="1"/>
  <c r="D21" i="1"/>
  <c r="C21" i="1"/>
  <c r="T20" i="1"/>
  <c r="T25" i="1" s="1"/>
  <c r="T30" i="1" s="1"/>
  <c r="T35" i="1" s="1"/>
  <c r="S20" i="1"/>
  <c r="S25" i="1" s="1"/>
  <c r="R20" i="1"/>
  <c r="R25" i="1" s="1"/>
  <c r="Q20" i="1"/>
  <c r="P20" i="1"/>
  <c r="P25" i="1" s="1"/>
  <c r="P30" i="1" s="1"/>
  <c r="P35" i="1" s="1"/>
  <c r="O20" i="1"/>
  <c r="O25" i="1" s="1"/>
  <c r="N20" i="1"/>
  <c r="N25" i="1" s="1"/>
  <c r="M20" i="1"/>
  <c r="M25" i="1" s="1"/>
  <c r="L20" i="1"/>
  <c r="L25" i="1" s="1"/>
  <c r="L30" i="1" s="1"/>
  <c r="L35" i="1" s="1"/>
  <c r="K20" i="1"/>
  <c r="K25" i="1" s="1"/>
  <c r="J20" i="1"/>
  <c r="J25" i="1" s="1"/>
  <c r="I20" i="1"/>
  <c r="H20" i="1"/>
  <c r="H25" i="1" s="1"/>
  <c r="H30" i="1" s="1"/>
  <c r="H35" i="1" s="1"/>
  <c r="G20" i="1"/>
  <c r="F20" i="1"/>
  <c r="E20" i="1"/>
  <c r="E25" i="1" s="1"/>
  <c r="D20" i="1"/>
  <c r="D25" i="1" s="1"/>
  <c r="D30" i="1" s="1"/>
  <c r="D35" i="1" s="1"/>
  <c r="C20" i="1"/>
  <c r="C25" i="1" s="1"/>
  <c r="D11" i="1"/>
  <c r="E11" i="1" s="1"/>
  <c r="F11" i="1" s="1"/>
  <c r="D10" i="1"/>
  <c r="E10" i="1" s="1"/>
  <c r="F10" i="1" s="1"/>
  <c r="D9" i="1"/>
  <c r="E9" i="1" s="1"/>
  <c r="F9" i="1" s="1"/>
  <c r="E8" i="1"/>
  <c r="F8" i="1" s="1"/>
  <c r="D8" i="1"/>
  <c r="D7" i="1"/>
  <c r="E7" i="1" s="1"/>
  <c r="F7" i="1" s="1"/>
  <c r="O30" i="1" l="1"/>
  <c r="O35" i="1" s="1"/>
  <c r="O26" i="1"/>
  <c r="G26" i="1"/>
  <c r="F44" i="3"/>
  <c r="C19" i="2"/>
  <c r="C21" i="2" s="1"/>
  <c r="D10" i="3"/>
  <c r="E30" i="1"/>
  <c r="E35" i="1" s="1"/>
  <c r="E26" i="1"/>
  <c r="F30" i="1"/>
  <c r="F35" i="1" s="1"/>
  <c r="F26" i="1"/>
  <c r="I30" i="1"/>
  <c r="I35" i="1" s="1"/>
  <c r="I26" i="1"/>
  <c r="H26" i="1"/>
  <c r="C20" i="2"/>
  <c r="C49" i="2"/>
  <c r="L31" i="1"/>
  <c r="L36" i="1" s="1"/>
  <c r="L27" i="1"/>
  <c r="O31" i="1"/>
  <c r="O36" i="1" s="1"/>
  <c r="O27" i="1"/>
  <c r="F9" i="3"/>
  <c r="G9" i="3"/>
  <c r="N30" i="1"/>
  <c r="N35" i="1" s="1"/>
  <c r="N26" i="1"/>
  <c r="P26" i="1"/>
  <c r="C30" i="1"/>
  <c r="C35" i="1" s="1"/>
  <c r="C26" i="1"/>
  <c r="K30" i="1"/>
  <c r="K35" i="1" s="1"/>
  <c r="K26" i="1"/>
  <c r="S30" i="1"/>
  <c r="S35" i="1" s="1"/>
  <c r="S26" i="1"/>
  <c r="Q30" i="1"/>
  <c r="Q35" i="1" s="1"/>
  <c r="Q26" i="1"/>
  <c r="T26" i="1"/>
  <c r="R30" i="1"/>
  <c r="R35" i="1" s="1"/>
  <c r="R26" i="1"/>
  <c r="G8" i="3"/>
  <c r="F8" i="3"/>
  <c r="J30" i="1"/>
  <c r="J35" i="1" s="1"/>
  <c r="J26" i="1"/>
  <c r="M30" i="1"/>
  <c r="M35" i="1" s="1"/>
  <c r="M26" i="1"/>
  <c r="D31" i="1"/>
  <c r="D36" i="1" s="1"/>
  <c r="D27" i="1"/>
  <c r="G31" i="1"/>
  <c r="G36" i="1" s="1"/>
  <c r="G27" i="1"/>
  <c r="G10" i="3"/>
  <c r="F10" i="3"/>
  <c r="R31" i="1" l="1"/>
  <c r="R36" i="1" s="1"/>
  <c r="R27" i="1"/>
  <c r="M31" i="1"/>
  <c r="M36" i="1" s="1"/>
  <c r="M27" i="1"/>
  <c r="D32" i="1"/>
  <c r="D37" i="1" s="1"/>
  <c r="D28" i="1"/>
  <c r="S31" i="1"/>
  <c r="S36" i="1" s="1"/>
  <c r="S27" i="1"/>
  <c r="F31" i="1"/>
  <c r="F36" i="1" s="1"/>
  <c r="F27" i="1"/>
  <c r="O32" i="1"/>
  <c r="O37" i="1" s="1"/>
  <c r="O28" i="1"/>
  <c r="C26" i="2"/>
  <c r="C27" i="2" s="1"/>
  <c r="C25" i="2"/>
  <c r="C24" i="2"/>
  <c r="K31" i="1"/>
  <c r="K36" i="1" s="1"/>
  <c r="K27" i="1"/>
  <c r="E27" i="1"/>
  <c r="E31" i="1"/>
  <c r="E36" i="1" s="1"/>
  <c r="J27" i="1"/>
  <c r="J31" i="1"/>
  <c r="J36" i="1" s="1"/>
  <c r="T31" i="1"/>
  <c r="T36" i="1" s="1"/>
  <c r="T27" i="1"/>
  <c r="H31" i="1"/>
  <c r="H36" i="1" s="1"/>
  <c r="H27" i="1"/>
  <c r="C31" i="1"/>
  <c r="C36" i="1" s="1"/>
  <c r="C27" i="1"/>
  <c r="G32" i="1"/>
  <c r="G37" i="1" s="1"/>
  <c r="G28" i="1"/>
  <c r="Q31" i="1"/>
  <c r="Q36" i="1" s="1"/>
  <c r="Q27" i="1"/>
  <c r="P31" i="1"/>
  <c r="P36" i="1" s="1"/>
  <c r="P27" i="1"/>
  <c r="I31" i="1"/>
  <c r="I36" i="1" s="1"/>
  <c r="I27" i="1"/>
  <c r="N27" i="1"/>
  <c r="N31" i="1"/>
  <c r="N36" i="1" s="1"/>
  <c r="L28" i="1"/>
  <c r="L32" i="1"/>
  <c r="L37" i="1" s="1"/>
  <c r="T32" i="1" l="1"/>
  <c r="T37" i="1" s="1"/>
  <c r="T28" i="1"/>
  <c r="D33" i="1"/>
  <c r="D38" i="1" s="1"/>
  <c r="D40" i="1" s="1"/>
  <c r="D43" i="1" s="1"/>
  <c r="D44" i="1" s="1"/>
  <c r="D45" i="1" s="1"/>
  <c r="D29" i="1"/>
  <c r="D34" i="1" s="1"/>
  <c r="D39" i="1" s="1"/>
  <c r="D41" i="1" s="1"/>
  <c r="D42" i="1" s="1"/>
  <c r="N32" i="1"/>
  <c r="N37" i="1" s="1"/>
  <c r="N28" i="1"/>
  <c r="G33" i="1"/>
  <c r="G38" i="1" s="1"/>
  <c r="G29" i="1"/>
  <c r="G34" i="1" s="1"/>
  <c r="G39" i="1" s="1"/>
  <c r="G41" i="1" s="1"/>
  <c r="G42" i="1" s="1"/>
  <c r="G40" i="1"/>
  <c r="G43" i="1" s="1"/>
  <c r="G44" i="1" s="1"/>
  <c r="G45" i="1" s="1"/>
  <c r="I32" i="1"/>
  <c r="I37" i="1" s="1"/>
  <c r="I28" i="1"/>
  <c r="C28" i="1"/>
  <c r="C32" i="1"/>
  <c r="C37" i="1" s="1"/>
  <c r="F32" i="1"/>
  <c r="F37" i="1" s="1"/>
  <c r="F28" i="1"/>
  <c r="M32" i="1"/>
  <c r="M37" i="1" s="1"/>
  <c r="M28" i="1"/>
  <c r="J32" i="1"/>
  <c r="J37" i="1" s="1"/>
  <c r="J28" i="1"/>
  <c r="P32" i="1"/>
  <c r="P37" i="1" s="1"/>
  <c r="P28" i="1"/>
  <c r="H28" i="1"/>
  <c r="H32" i="1"/>
  <c r="H37" i="1" s="1"/>
  <c r="R32" i="1"/>
  <c r="R37" i="1" s="1"/>
  <c r="R28" i="1"/>
  <c r="E32" i="1"/>
  <c r="E37" i="1" s="1"/>
  <c r="E28" i="1"/>
  <c r="O33" i="1"/>
  <c r="O38" i="1" s="1"/>
  <c r="O29" i="1"/>
  <c r="O34" i="1" s="1"/>
  <c r="O39" i="1" s="1"/>
  <c r="O41" i="1" s="1"/>
  <c r="O42" i="1" s="1"/>
  <c r="S32" i="1"/>
  <c r="S37" i="1" s="1"/>
  <c r="S28" i="1"/>
  <c r="L33" i="1"/>
  <c r="L38" i="1" s="1"/>
  <c r="L29" i="1"/>
  <c r="L34" i="1" s="1"/>
  <c r="L39" i="1" s="1"/>
  <c r="L41" i="1" s="1"/>
  <c r="L42" i="1" s="1"/>
  <c r="Q32" i="1"/>
  <c r="Q37" i="1" s="1"/>
  <c r="Q28" i="1"/>
  <c r="K28" i="1"/>
  <c r="K32" i="1"/>
  <c r="K37" i="1" s="1"/>
  <c r="O40" i="1"/>
  <c r="O43" i="1" s="1"/>
  <c r="O44" i="1" s="1"/>
  <c r="O45" i="1" s="1"/>
  <c r="L40" i="1" l="1"/>
  <c r="L43" i="1" s="1"/>
  <c r="L44" i="1" s="1"/>
  <c r="L45" i="1" s="1"/>
  <c r="K33" i="1"/>
  <c r="K38" i="1" s="1"/>
  <c r="K40" i="1" s="1"/>
  <c r="K43" i="1" s="1"/>
  <c r="K44" i="1" s="1"/>
  <c r="K45" i="1" s="1"/>
  <c r="K29" i="1"/>
  <c r="K34" i="1" s="1"/>
  <c r="K39" i="1" s="1"/>
  <c r="K41" i="1" s="1"/>
  <c r="K42" i="1" s="1"/>
  <c r="H33" i="1"/>
  <c r="H38" i="1" s="1"/>
  <c r="H29" i="1"/>
  <c r="H34" i="1" s="1"/>
  <c r="H39" i="1" s="1"/>
  <c r="H41" i="1" s="1"/>
  <c r="H42" i="1" s="1"/>
  <c r="Q29" i="1"/>
  <c r="Q34" i="1" s="1"/>
  <c r="Q39" i="1" s="1"/>
  <c r="Q41" i="1" s="1"/>
  <c r="Q42" i="1" s="1"/>
  <c r="Q33" i="1"/>
  <c r="Q38" i="1" s="1"/>
  <c r="Q40" i="1" s="1"/>
  <c r="Q43" i="1" s="1"/>
  <c r="Q44" i="1" s="1"/>
  <c r="Q45" i="1" s="1"/>
  <c r="E33" i="1"/>
  <c r="E38" i="1" s="1"/>
  <c r="E40" i="1" s="1"/>
  <c r="E43" i="1" s="1"/>
  <c r="E44" i="1" s="1"/>
  <c r="E45" i="1" s="1"/>
  <c r="E29" i="1"/>
  <c r="E34" i="1" s="1"/>
  <c r="E39" i="1" s="1"/>
  <c r="E41" i="1" s="1"/>
  <c r="E42" i="1" s="1"/>
  <c r="P33" i="1"/>
  <c r="P38" i="1" s="1"/>
  <c r="P40" i="1" s="1"/>
  <c r="P43" i="1" s="1"/>
  <c r="P44" i="1" s="1"/>
  <c r="P45" i="1" s="1"/>
  <c r="P29" i="1"/>
  <c r="P34" i="1" s="1"/>
  <c r="P39" i="1" s="1"/>
  <c r="P41" i="1" s="1"/>
  <c r="P42" i="1" s="1"/>
  <c r="N29" i="1"/>
  <c r="N34" i="1" s="1"/>
  <c r="N39" i="1" s="1"/>
  <c r="N41" i="1" s="1"/>
  <c r="N42" i="1" s="1"/>
  <c r="N33" i="1"/>
  <c r="N38" i="1" s="1"/>
  <c r="N40" i="1" s="1"/>
  <c r="N43" i="1" s="1"/>
  <c r="N44" i="1" s="1"/>
  <c r="N45" i="1" s="1"/>
  <c r="C33" i="1"/>
  <c r="C38" i="1" s="1"/>
  <c r="C29" i="1"/>
  <c r="C34" i="1" s="1"/>
  <c r="C39" i="1" s="1"/>
  <c r="C41" i="1" s="1"/>
  <c r="C42" i="1" s="1"/>
  <c r="J29" i="1"/>
  <c r="J34" i="1" s="1"/>
  <c r="J39" i="1" s="1"/>
  <c r="J41" i="1" s="1"/>
  <c r="J42" i="1" s="1"/>
  <c r="J33" i="1"/>
  <c r="J38" i="1" s="1"/>
  <c r="J40" i="1" s="1"/>
  <c r="J43" i="1" s="1"/>
  <c r="J44" i="1" s="1"/>
  <c r="J45" i="1" s="1"/>
  <c r="I33" i="1"/>
  <c r="I38" i="1" s="1"/>
  <c r="I29" i="1"/>
  <c r="I34" i="1" s="1"/>
  <c r="I39" i="1" s="1"/>
  <c r="I41" i="1" s="1"/>
  <c r="I42" i="1" s="1"/>
  <c r="S33" i="1"/>
  <c r="S38" i="1" s="1"/>
  <c r="S40" i="1" s="1"/>
  <c r="S43" i="1" s="1"/>
  <c r="S44" i="1" s="1"/>
  <c r="S45" i="1" s="1"/>
  <c r="S29" i="1"/>
  <c r="S34" i="1" s="1"/>
  <c r="S39" i="1" s="1"/>
  <c r="S41" i="1" s="1"/>
  <c r="S42" i="1" s="1"/>
  <c r="R33" i="1"/>
  <c r="R38" i="1" s="1"/>
  <c r="R29" i="1"/>
  <c r="R34" i="1" s="1"/>
  <c r="R39" i="1" s="1"/>
  <c r="R41" i="1" s="1"/>
  <c r="R42" i="1" s="1"/>
  <c r="M33" i="1"/>
  <c r="M38" i="1" s="1"/>
  <c r="M29" i="1"/>
  <c r="M34" i="1" s="1"/>
  <c r="M39" i="1" s="1"/>
  <c r="M41" i="1" s="1"/>
  <c r="M42" i="1" s="1"/>
  <c r="T33" i="1"/>
  <c r="T38" i="1" s="1"/>
  <c r="T29" i="1"/>
  <c r="T34" i="1" s="1"/>
  <c r="T39" i="1" s="1"/>
  <c r="T41" i="1" s="1"/>
  <c r="T42" i="1" s="1"/>
  <c r="F33" i="1"/>
  <c r="F38" i="1" s="1"/>
  <c r="F40" i="1" s="1"/>
  <c r="F43" i="1" s="1"/>
  <c r="F44" i="1" s="1"/>
  <c r="F45" i="1" s="1"/>
  <c r="F29" i="1"/>
  <c r="F34" i="1" s="1"/>
  <c r="F39" i="1" s="1"/>
  <c r="F41" i="1" s="1"/>
  <c r="F42" i="1" s="1"/>
  <c r="R40" i="1" l="1"/>
  <c r="R43" i="1" s="1"/>
  <c r="R44" i="1" s="1"/>
  <c r="R45" i="1" s="1"/>
  <c r="I40" i="1"/>
  <c r="I43" i="1" s="1"/>
  <c r="I44" i="1" s="1"/>
  <c r="I45" i="1" s="1"/>
  <c r="C40" i="1"/>
  <c r="C43" i="1" s="1"/>
  <c r="C44" i="1" s="1"/>
  <c r="C45" i="1" s="1"/>
  <c r="M40" i="1"/>
  <c r="M43" i="1" s="1"/>
  <c r="M44" i="1" s="1"/>
  <c r="M45" i="1" s="1"/>
  <c r="H40" i="1"/>
  <c r="H43" i="1" s="1"/>
  <c r="H44" i="1" s="1"/>
  <c r="H45" i="1" s="1"/>
  <c r="D67" i="1"/>
  <c r="D65" i="1"/>
  <c r="D68" i="1"/>
  <c r="D64" i="1"/>
  <c r="T40" i="1"/>
  <c r="T43" i="1" s="1"/>
  <c r="T44" i="1" s="1"/>
  <c r="T45" i="1" s="1"/>
  <c r="D66" i="1" s="1"/>
  <c r="E66" i="1" l="1"/>
  <c r="F66" i="1"/>
  <c r="F68" i="1"/>
  <c r="E68" i="1"/>
  <c r="F67" i="1"/>
  <c r="E67" i="1"/>
  <c r="F76" i="1"/>
  <c r="G76" i="1" s="1"/>
  <c r="F74" i="1"/>
  <c r="G74" i="1" s="1"/>
  <c r="F72" i="1"/>
  <c r="G72" i="1" s="1"/>
  <c r="E64" i="1"/>
  <c r="F75" i="1"/>
  <c r="G75" i="1" s="1"/>
  <c r="F73" i="1"/>
  <c r="G73" i="1" s="1"/>
  <c r="C79" i="1"/>
  <c r="F64" i="1"/>
  <c r="E65" i="1"/>
  <c r="F65" i="1"/>
  <c r="C81" i="1" l="1"/>
  <c r="C82" i="1" s="1"/>
  <c r="C7" i="3"/>
  <c r="D7" i="3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<sst xmlns="http://schemas.openxmlformats.org/spreadsheetml/2006/main" count="203" uniqueCount="189">
  <si>
    <t>Implied Growth Analysis - ELEMENTS (5246.T)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</si>
  <si>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</si>
  <si>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</si>
  <si>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</si>
  <si>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</si>
  <si>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</si>
  <si>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</si>
  <si>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</si>
  <si>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</si>
  <si>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</si>
  <si>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</si>
  <si>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</si>
  <si>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</si>
  <si>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</si>
  <si>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</si>
  <si>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</si>
  <si>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</si>
  <si>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</si>
  <si>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</si>
  <si>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</si>
  <si>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</si>
  <si>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</si>
  <si>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</si>
  <si>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</si>
  <si>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</si>
  <si>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</si>
  <si>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</si>
  <si>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</si>
  <si>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</si>
  <si>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</si>
  <si>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</si>
  <si>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</si>
  <si>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</si>
  <si>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</si>
  <si>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</si>
  <si>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</si>
  <si>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</si>
  <si>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</si>
  <si>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</si>
  <si>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</si>
  <si>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</si>
  <si>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</si>
  <si>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</si>
  <si>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</si>
  <si>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</si>
  <si>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</si>
  <si>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</si>
  <si>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</si>
  <si>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[G]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</si>
  <si>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</si>
  <si>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</si>
  <si>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</si>
  <si>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</si>
  <si>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</si>
  <si>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</si>
  <si>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</si>
  <si>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</si>
  <si>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</si>
  <si>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</si>
  <si>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</si>
  <si>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</si>
  <si>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</si>
  <si>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</si>
  <si>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</si>
  <si>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</si>
  <si>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</si>
  <si>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</si>
  <si>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</si>
  <si>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</si>
  <si>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</si>
  <si>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</si>
  <si>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</si>
  <si>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</si>
  <si>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</si>
  <si>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</si>
  <si>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</si>
  <si>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</si>
  <si>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</si>
  <si>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</si>
  <si>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</si>
  <si>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</si>
  <si>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</si>
  <si>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</si>
  <si>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</si>
  <si>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</si>
  <si>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</si>
  <si>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</si>
  <si>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</si>
  <si>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</si>
  <si>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</si>
  <si>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</si>
  <si>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</si>
  <si>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</si>
  <si>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</si>
  <si>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</si>
  <si>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</si>
  <si>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ELEMENTS (5246.T)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</si>
  <si>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</si>
  <si>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</si>
  <si>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</si>
  <si>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</si>
  <si>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</si>
  <si>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</si>
  <si>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</si>
  <si>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-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</si>
  <si>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</si>
  <si>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</si>
  <si>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</si>
  <si>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</si>
  <si>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</si>
  <si>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</si>
  <si>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</si>
  <si>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</si>
  <si>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</si>
  <si>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</si>
  <si>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</si>
  <si>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</si>
  <si>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</si>
  <si>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</si>
  <si>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</si>
  <si>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</si>
  <si>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</si>
  <si>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</si>
  <si>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</si>
  <si>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</si>
  <si>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</si>
  <si>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</si>
  <si>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Showcase</t>
  </si>
  <si>
    <t>Cyber Security Cloud</t>
  </si>
  <si>
    <t>FFRI</t>
  </si>
  <si>
    <t>Headwaters</t>
  </si>
  <si>
    <t>User Local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</si>
  <si>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</si>
  <si>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</si>
  <si>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</si>
  <si>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</si>
  <si>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</si>
  <si>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</si>
  <si>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</si>
  <si>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対象が赤字の期は EV/EBITDA・PER の逆算は意味をなさない（負値）。EV/Sales を primary とする。</t>
  </si>
  <si>
    <t>Market Scorecard - ELEMENTS (5246.T)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</si>
  <si>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</si>
  <si>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</si>
  <si>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</si>
  <si>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</si>
  <si>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</si>
  <si>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</si>
  <si>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</si>
  <si>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</si>
  <si>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</si>
  <si>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</si>
  <si>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</si>
  <si>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</si>
  <si>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</si>
  <si>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</si>
  <si>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</si>
  <si>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</si>
  <si>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</si>
  <si>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</si>
  <si>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</si>
  <si>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</si>
  <si>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</si>
  <si>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</si>
  <si>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</si>
  <si>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</si>
  <si>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</si>
  <si>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</si>
  <si>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</si>
  <si>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</si>
  <si>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</si>
  <si>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</si>
  <si>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</si>
  <si>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</si>
  <si>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</si>
  <si>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</si>
  <si>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</si>
  <si>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</si>
  <si>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</si>
  <si>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</si>
  <si>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</si>
  <si>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</si>
  <si>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</si>
  <si>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</si>
  <si>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</si>
  <si>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</si>
  <si>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</si>
  <si>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C79 行近くで My View alpha を入力する。</t>
  </si>
  <si>
    <t>3. Block 1 (this sheet) Total Score と判定を確認する。</t>
  </si>
  <si>
    <t>4. 複数銘柄で同じテンプレートを使用し、横比較で買い候補を絞り込む。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</si>
</sst>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abSelected="1"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1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5" spans="2:20" ht="14.5" x14ac:dyDescent="0.35">
      <c r="B5" s="38" t="s">
        <v>1</v>
      </c>
      <c r="C5" s="39"/>
      <c r="D5" s="39"/>
      <c r="E5" s="39"/>
      <c r="F5" s="39"/>
      <c r="G5" s="39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557</v>
      </c>
      <c r="D7" s="3">
        <f>C7*27115114/1000000</f>
        <v>15103.118498</v>
      </c>
      <c r="E7" s="3">
        <f>D7+-548</f>
        <v>14555.118498</v>
      </c>
      <c r="F7" s="3">
        <f>E7</f>
        <v>14555.118498</v>
      </c>
      <c r="G7" s="2" t="s">
        <v>9</v>
      </c>
    </row>
    <row r="8" spans="2:20" x14ac:dyDescent="0.2">
      <c r="B8" s="2" t="s">
        <v>10</v>
      </c>
      <c r="C8" s="3">
        <v>347.05938047275572</v>
      </c>
      <c r="D8" s="3">
        <f>C8*27115114/1000000</f>
        <v>9410.5546662881443</v>
      </c>
      <c r="E8" s="3">
        <f>D8+-548</f>
        <v>8862.5546662881443</v>
      </c>
      <c r="F8" s="3">
        <f>E8</f>
        <v>8862.5546662881443</v>
      </c>
      <c r="G8" s="2" t="s">
        <v>11</v>
      </c>
    </row>
    <row r="9" spans="2:20" x14ac:dyDescent="0.2">
      <c r="B9" s="2" t="s">
        <v>12</v>
      </c>
      <c r="C9" s="3">
        <v>1129</v>
      </c>
      <c r="D9" s="3">
        <f>C9*27115114/1000000</f>
        <v>30612.963705999999</v>
      </c>
      <c r="E9" s="3">
        <f>D9+-548</f>
        <v>30064.963705999999</v>
      </c>
      <c r="F9" s="3">
        <f>E9</f>
        <v>30064.963705999999</v>
      </c>
      <c r="G9" s="2" t="s">
        <v>13</v>
      </c>
    </row>
    <row r="10" spans="2:20" x14ac:dyDescent="0.2">
      <c r="B10" s="2" t="s">
        <v>14</v>
      </c>
      <c r="C10" s="3">
        <v>557</v>
      </c>
      <c r="D10" s="3">
        <f>C10*27115114/1000000</f>
        <v>15103.118498</v>
      </c>
      <c r="E10" s="3">
        <f>D10+-548</f>
        <v>14555.118498</v>
      </c>
      <c r="F10" s="3">
        <f>E10</f>
        <v>14555.118498</v>
      </c>
      <c r="G10" s="2" t="s">
        <v>15</v>
      </c>
    </row>
    <row r="11" spans="2:20" x14ac:dyDescent="0.2">
      <c r="B11" s="2" t="s">
        <v>16</v>
      </c>
      <c r="C11" s="3">
        <v>557</v>
      </c>
      <c r="D11" s="3">
        <f>C11*27115114/1000000</f>
        <v>15103.118498</v>
      </c>
      <c r="E11" s="3">
        <f>D11+-548</f>
        <v>14555.118498</v>
      </c>
      <c r="F11" s="3">
        <f>E11</f>
        <v>14555.118498</v>
      </c>
      <c r="G11" s="2" t="s">
        <v>15</v>
      </c>
    </row>
    <row r="14" spans="2:20" ht="14.5" x14ac:dyDescent="0.35">
      <c r="B14" s="38" t="s">
        <v>17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-0.16500000000000006</v>
      </c>
      <c r="D20" s="6">
        <f>D17*D54</f>
        <v>-9.9000000000000032E-2</v>
      </c>
      <c r="E20" s="6">
        <f>E17*D54</f>
        <v>-3.3000000000000015E-2</v>
      </c>
      <c r="F20" s="6">
        <f>F17*D54</f>
        <v>0</v>
      </c>
      <c r="G20" s="6">
        <f>G17*D54</f>
        <v>3.3000000000000015E-2</v>
      </c>
      <c r="H20" s="6">
        <f>H17*D54</f>
        <v>6.6000000000000031E-2</v>
      </c>
      <c r="I20" s="6">
        <f>I17*D54</f>
        <v>9.9000000000000032E-2</v>
      </c>
      <c r="J20" s="6">
        <f>J17*D54</f>
        <v>0.13200000000000006</v>
      </c>
      <c r="K20" s="6">
        <f>K17*D54</f>
        <v>0.16500000000000006</v>
      </c>
      <c r="L20" s="6">
        <f>L17*D54</f>
        <v>0.19800000000000006</v>
      </c>
      <c r="M20" s="6">
        <f>M17*D54</f>
        <v>0.23100000000000007</v>
      </c>
      <c r="N20" s="6">
        <f>N17*D54</f>
        <v>0.26400000000000012</v>
      </c>
      <c r="O20" s="6">
        <f>O17*D54</f>
        <v>0.2970000000000001</v>
      </c>
      <c r="P20" s="6">
        <f>P17*D54</f>
        <v>0.33000000000000013</v>
      </c>
      <c r="Q20" s="6">
        <f>Q17*D54</f>
        <v>0.36300000000000016</v>
      </c>
      <c r="R20" s="6">
        <f>R17*D54</f>
        <v>0.39600000000000013</v>
      </c>
      <c r="S20" s="6">
        <f>S17*D54</f>
        <v>0.42900000000000016</v>
      </c>
      <c r="T20" s="6">
        <f>T17*D54</f>
        <v>0.49500000000000022</v>
      </c>
    </row>
    <row r="21" spans="2:20" x14ac:dyDescent="0.2">
      <c r="B21" t="s">
        <v>22</v>
      </c>
      <c r="C21" s="6">
        <f>C17*E54</f>
        <v>-0.17500000000000004</v>
      </c>
      <c r="D21" s="6">
        <f>D17*E54</f>
        <v>-0.10500000000000002</v>
      </c>
      <c r="E21" s="6">
        <f>E17*E54</f>
        <v>-3.500000000000001E-2</v>
      </c>
      <c r="F21" s="6">
        <f>F17*E54</f>
        <v>0</v>
      </c>
      <c r="G21" s="6">
        <f>G17*E54</f>
        <v>3.500000000000001E-2</v>
      </c>
      <c r="H21" s="6">
        <f>H17*E54</f>
        <v>7.0000000000000021E-2</v>
      </c>
      <c r="I21" s="6">
        <f>I17*E54</f>
        <v>0.10500000000000002</v>
      </c>
      <c r="J21" s="6">
        <f>J17*E54</f>
        <v>0.14000000000000004</v>
      </c>
      <c r="K21" s="6">
        <f>K17*E54</f>
        <v>0.17500000000000004</v>
      </c>
      <c r="L21" s="6">
        <f>L17*E54</f>
        <v>0.21000000000000005</v>
      </c>
      <c r="M21" s="6">
        <f>M17*E54</f>
        <v>0.24500000000000005</v>
      </c>
      <c r="N21" s="6">
        <f>N17*E54</f>
        <v>0.28000000000000008</v>
      </c>
      <c r="O21" s="6">
        <f>O17*E54</f>
        <v>0.31500000000000011</v>
      </c>
      <c r="P21" s="6">
        <f>P17*E54</f>
        <v>0.35000000000000009</v>
      </c>
      <c r="Q21" s="6">
        <f>Q17*E54</f>
        <v>0.38500000000000012</v>
      </c>
      <c r="R21" s="6">
        <f>R17*E54</f>
        <v>0.4200000000000001</v>
      </c>
      <c r="S21" s="6">
        <f>S17*E54</f>
        <v>0.45500000000000013</v>
      </c>
      <c r="T21" s="6">
        <f>T17*E54</f>
        <v>0.52500000000000013</v>
      </c>
    </row>
    <row r="22" spans="2:20" x14ac:dyDescent="0.2">
      <c r="B22" t="s">
        <v>23</v>
      </c>
      <c r="C22" s="6">
        <f>C17*F54</f>
        <v>-0.15</v>
      </c>
      <c r="D22" s="6">
        <f>D17*F54</f>
        <v>-0.09</v>
      </c>
      <c r="E22" s="6">
        <f>E17*F54</f>
        <v>-0.03</v>
      </c>
      <c r="F22" s="6">
        <f>F17*F54</f>
        <v>0</v>
      </c>
      <c r="G22" s="6">
        <f>G17*F54</f>
        <v>0.03</v>
      </c>
      <c r="H22" s="6">
        <f>H17*F54</f>
        <v>0.06</v>
      </c>
      <c r="I22" s="6">
        <f>I17*F54</f>
        <v>0.09</v>
      </c>
      <c r="J22" s="6">
        <f>J17*F54</f>
        <v>0.12</v>
      </c>
      <c r="K22" s="6">
        <f>K17*F54</f>
        <v>0.15</v>
      </c>
      <c r="L22" s="6">
        <f>L17*F54</f>
        <v>0.18</v>
      </c>
      <c r="M22" s="6">
        <f>M17*F54</f>
        <v>0.21</v>
      </c>
      <c r="N22" s="6">
        <f>N17*F54</f>
        <v>0.24</v>
      </c>
      <c r="O22" s="6">
        <f>O17*F54</f>
        <v>0.27</v>
      </c>
      <c r="P22" s="6">
        <f>P17*F54</f>
        <v>0.3</v>
      </c>
      <c r="Q22" s="6">
        <f>Q17*F54</f>
        <v>0.33</v>
      </c>
      <c r="R22" s="6">
        <f>R17*F54</f>
        <v>0.36</v>
      </c>
      <c r="S22" s="6">
        <f>S17*F54</f>
        <v>0.39</v>
      </c>
      <c r="T22" s="6">
        <f>T17*F54</f>
        <v>0.44999999999999996</v>
      </c>
    </row>
    <row r="23" spans="2:20" x14ac:dyDescent="0.2">
      <c r="B23" t="s">
        <v>24</v>
      </c>
      <c r="C23" s="6">
        <f>C17*G54</f>
        <v>-0.12</v>
      </c>
      <c r="D23" s="6">
        <f>D17*G54</f>
        <v>-7.1999999999999995E-2</v>
      </c>
      <c r="E23" s="6">
        <f>E17*G54</f>
        <v>-2.4E-2</v>
      </c>
      <c r="F23" s="6">
        <f>F17*G54</f>
        <v>0</v>
      </c>
      <c r="G23" s="6">
        <f>G17*G54</f>
        <v>2.4E-2</v>
      </c>
      <c r="H23" s="6">
        <f>H17*G54</f>
        <v>4.8000000000000001E-2</v>
      </c>
      <c r="I23" s="6">
        <f>I17*G54</f>
        <v>7.1999999999999995E-2</v>
      </c>
      <c r="J23" s="6">
        <f>J17*G54</f>
        <v>9.6000000000000002E-2</v>
      </c>
      <c r="K23" s="6">
        <f>K17*G54</f>
        <v>0.12</v>
      </c>
      <c r="L23" s="6">
        <f>L17*G54</f>
        <v>0.14399999999999999</v>
      </c>
      <c r="M23" s="6">
        <f>M17*G54</f>
        <v>0.16799999999999998</v>
      </c>
      <c r="N23" s="6">
        <f>N17*G54</f>
        <v>0.192</v>
      </c>
      <c r="O23" s="6">
        <f>O17*G54</f>
        <v>0.216</v>
      </c>
      <c r="P23" s="6">
        <f>P17*G54</f>
        <v>0.24</v>
      </c>
      <c r="Q23" s="6">
        <f>Q17*G54</f>
        <v>0.26400000000000001</v>
      </c>
      <c r="R23" s="6">
        <f>R17*G54</f>
        <v>0.28799999999999998</v>
      </c>
      <c r="S23" s="6">
        <f>S17*G54</f>
        <v>0.312</v>
      </c>
      <c r="T23" s="6">
        <f>T17*G54</f>
        <v>0.36</v>
      </c>
    </row>
    <row r="24" spans="2:20" x14ac:dyDescent="0.2">
      <c r="B24" t="s">
        <v>25</v>
      </c>
      <c r="C24" s="6">
        <f>C17*H54</f>
        <v>-8.9999999999999955E-2</v>
      </c>
      <c r="D24" s="6">
        <f>D17*H54</f>
        <v>-5.3999999999999972E-2</v>
      </c>
      <c r="E24" s="6">
        <f>E17*H54</f>
        <v>-1.7999999999999992E-2</v>
      </c>
      <c r="F24" s="6">
        <f>F17*H54</f>
        <v>0</v>
      </c>
      <c r="G24" s="6">
        <f>G17*H54</f>
        <v>1.7999999999999992E-2</v>
      </c>
      <c r="H24" s="6">
        <f>H17*H54</f>
        <v>3.5999999999999983E-2</v>
      </c>
      <c r="I24" s="6">
        <f>I17*H54</f>
        <v>5.3999999999999972E-2</v>
      </c>
      <c r="J24" s="6">
        <f>J17*H54</f>
        <v>7.1999999999999967E-2</v>
      </c>
      <c r="K24" s="6">
        <f>K17*H54</f>
        <v>8.9999999999999955E-2</v>
      </c>
      <c r="L24" s="6">
        <f>L17*H54</f>
        <v>0.10799999999999994</v>
      </c>
      <c r="M24" s="6">
        <f>M17*H54</f>
        <v>0.12599999999999992</v>
      </c>
      <c r="N24" s="6">
        <f>N17*H54</f>
        <v>0.14399999999999993</v>
      </c>
      <c r="O24" s="6">
        <f>O17*H54</f>
        <v>0.16199999999999992</v>
      </c>
      <c r="P24" s="6">
        <f>P17*H54</f>
        <v>0.17999999999999991</v>
      </c>
      <c r="Q24" s="6">
        <f>Q17*H54</f>
        <v>0.19799999999999993</v>
      </c>
      <c r="R24" s="6">
        <f>R17*H54</f>
        <v>0.21599999999999989</v>
      </c>
      <c r="S24" s="6">
        <f>S17*H54</f>
        <v>0.2339999999999999</v>
      </c>
      <c r="T24" s="6">
        <f>T17*H54</f>
        <v>0.26999999999999985</v>
      </c>
    </row>
    <row r="25" spans="2:20" x14ac:dyDescent="0.2">
      <c r="B25" t="s">
        <v>26</v>
      </c>
      <c r="C25" s="7">
        <f>C48*(1+C20)</f>
        <v>3252.3249999999998</v>
      </c>
      <c r="D25" s="7">
        <f>C48*(1+D20)</f>
        <v>3509.395</v>
      </c>
      <c r="E25" s="7">
        <f>C48*(1+E20)</f>
        <v>3766.4649999999997</v>
      </c>
      <c r="F25" s="7">
        <f>C48*(1+F20)</f>
        <v>3895</v>
      </c>
      <c r="G25" s="7">
        <f>C48*(1+G20)</f>
        <v>4023.5349999999999</v>
      </c>
      <c r="H25" s="7">
        <f>C48*(1+H20)</f>
        <v>4152.0700000000006</v>
      </c>
      <c r="I25" s="7">
        <f>C48*(1+I20)</f>
        <v>4280.6049999999996</v>
      </c>
      <c r="J25" s="7">
        <f>C48*(1+J20)</f>
        <v>4409.1400000000003</v>
      </c>
      <c r="K25" s="7">
        <f>C48*(1+K20)</f>
        <v>4537.6750000000002</v>
      </c>
      <c r="L25" s="7">
        <f>C48*(1+L20)</f>
        <v>4666.21</v>
      </c>
      <c r="M25" s="7">
        <f>C48*(1+M20)</f>
        <v>4794.7450000000008</v>
      </c>
      <c r="N25" s="7">
        <f>C48*(1+N20)</f>
        <v>4923.2800000000007</v>
      </c>
      <c r="O25" s="7">
        <f>C48*(1+O20)</f>
        <v>5051.8150000000005</v>
      </c>
      <c r="P25" s="7">
        <f>C48*(1+P20)</f>
        <v>5180.3500000000004</v>
      </c>
      <c r="Q25" s="7">
        <f>C48*(1+Q20)</f>
        <v>5308.8850000000011</v>
      </c>
      <c r="R25" s="7">
        <f>C48*(1+R20)</f>
        <v>5437.42</v>
      </c>
      <c r="S25" s="7">
        <f>C48*(1+S20)</f>
        <v>5565.9550000000008</v>
      </c>
      <c r="T25" s="7">
        <f>C48*(1+T20)</f>
        <v>5823.0250000000005</v>
      </c>
    </row>
    <row r="26" spans="2:20" x14ac:dyDescent="0.2">
      <c r="B26" t="s">
        <v>27</v>
      </c>
      <c r="C26" s="7">
        <f t="shared" ref="C26:L29" si="0">C25*(1+C21)</f>
        <v>2683.1681249999997</v>
      </c>
      <c r="D26" s="7">
        <f t="shared" si="0"/>
        <v>3140.9085249999998</v>
      </c>
      <c r="E26" s="7">
        <f t="shared" si="0"/>
        <v>3634.6387249999998</v>
      </c>
      <c r="F26" s="7">
        <f t="shared" si="0"/>
        <v>3895</v>
      </c>
      <c r="G26" s="7">
        <f t="shared" si="0"/>
        <v>4164.3587249999991</v>
      </c>
      <c r="H26" s="7">
        <f t="shared" si="0"/>
        <v>4442.7149000000009</v>
      </c>
      <c r="I26" s="7">
        <f t="shared" si="0"/>
        <v>4730.0685249999997</v>
      </c>
      <c r="J26" s="7">
        <f t="shared" si="0"/>
        <v>5026.4196000000011</v>
      </c>
      <c r="K26" s="7">
        <f t="shared" si="0"/>
        <v>5331.7681250000005</v>
      </c>
      <c r="L26" s="7">
        <f t="shared" si="0"/>
        <v>5646.1140999999998</v>
      </c>
      <c r="M26" s="7">
        <f t="shared" ref="M26:V29" si="1">M25*(1+M21)</f>
        <v>5969.4575250000016</v>
      </c>
      <c r="N26" s="7">
        <f t="shared" si="1"/>
        <v>6301.7984000000006</v>
      </c>
      <c r="O26" s="7">
        <f t="shared" si="1"/>
        <v>6643.1367250000012</v>
      </c>
      <c r="P26" s="7">
        <f t="shared" si="1"/>
        <v>6993.4725000000008</v>
      </c>
      <c r="Q26" s="7">
        <f t="shared" si="1"/>
        <v>7352.8057250000029</v>
      </c>
      <c r="R26" s="7">
        <f t="shared" si="1"/>
        <v>7721.1364000000012</v>
      </c>
      <c r="S26" s="7">
        <f t="shared" si="1"/>
        <v>8098.4645250000012</v>
      </c>
      <c r="T26" s="7">
        <f t="shared" si="1"/>
        <v>8880.1131250000017</v>
      </c>
    </row>
    <row r="27" spans="2:20" x14ac:dyDescent="0.2">
      <c r="B27" t="s">
        <v>28</v>
      </c>
      <c r="C27" s="7">
        <f t="shared" si="0"/>
        <v>2280.6929062499999</v>
      </c>
      <c r="D27" s="7">
        <f t="shared" si="0"/>
        <v>2858.2267577500002</v>
      </c>
      <c r="E27" s="7">
        <f t="shared" si="0"/>
        <v>3525.5995632499998</v>
      </c>
      <c r="F27" s="7">
        <f t="shared" si="0"/>
        <v>3895</v>
      </c>
      <c r="G27" s="7">
        <f t="shared" si="0"/>
        <v>4289.289486749999</v>
      </c>
      <c r="H27" s="7">
        <f t="shared" si="0"/>
        <v>4709.2777940000014</v>
      </c>
      <c r="I27" s="7">
        <f t="shared" si="0"/>
        <v>5155.77469225</v>
      </c>
      <c r="J27" s="7">
        <f t="shared" si="0"/>
        <v>5629.5899520000021</v>
      </c>
      <c r="K27" s="7">
        <f t="shared" si="0"/>
        <v>6131.5333437500003</v>
      </c>
      <c r="L27" s="7">
        <f t="shared" si="0"/>
        <v>6662.4146379999993</v>
      </c>
      <c r="M27" s="7">
        <f t="shared" si="1"/>
        <v>7223.0436052500017</v>
      </c>
      <c r="N27" s="7">
        <f t="shared" si="1"/>
        <v>7814.2300160000004</v>
      </c>
      <c r="O27" s="7">
        <f t="shared" si="1"/>
        <v>8436.7836407500017</v>
      </c>
      <c r="P27" s="7">
        <f t="shared" si="1"/>
        <v>9091.514250000002</v>
      </c>
      <c r="Q27" s="7">
        <f t="shared" si="1"/>
        <v>9779.231614250004</v>
      </c>
      <c r="R27" s="7">
        <f t="shared" si="1"/>
        <v>10500.745504</v>
      </c>
      <c r="S27" s="7">
        <f t="shared" si="1"/>
        <v>11256.865689750002</v>
      </c>
      <c r="T27" s="7">
        <f t="shared" si="1"/>
        <v>12876.164031250002</v>
      </c>
    </row>
    <row r="28" spans="2:20" x14ac:dyDescent="0.2">
      <c r="B28" t="s">
        <v>29</v>
      </c>
      <c r="C28" s="7">
        <f t="shared" si="0"/>
        <v>2007.0097575</v>
      </c>
      <c r="D28" s="7">
        <f t="shared" si="0"/>
        <v>2652.4344311920004</v>
      </c>
      <c r="E28" s="7">
        <f t="shared" si="0"/>
        <v>3440.9851737319996</v>
      </c>
      <c r="F28" s="7">
        <f t="shared" si="0"/>
        <v>3895</v>
      </c>
      <c r="G28" s="7">
        <f t="shared" si="0"/>
        <v>4392.2324344319995</v>
      </c>
      <c r="H28" s="7">
        <f t="shared" si="0"/>
        <v>4935.3231281120015</v>
      </c>
      <c r="I28" s="7">
        <f t="shared" si="0"/>
        <v>5526.9904700920006</v>
      </c>
      <c r="J28" s="7">
        <f t="shared" si="0"/>
        <v>6170.0305873920024</v>
      </c>
      <c r="K28" s="7">
        <f t="shared" si="0"/>
        <v>6867.3173450000013</v>
      </c>
      <c r="L28" s="7">
        <f t="shared" si="0"/>
        <v>7621.8023458719981</v>
      </c>
      <c r="M28" s="7">
        <f t="shared" si="1"/>
        <v>8436.5149309320022</v>
      </c>
      <c r="N28" s="7">
        <f t="shared" si="1"/>
        <v>9314.5621790719997</v>
      </c>
      <c r="O28" s="7">
        <f t="shared" si="1"/>
        <v>10259.128907152002</v>
      </c>
      <c r="P28" s="7">
        <f t="shared" si="1"/>
        <v>11273.477670000002</v>
      </c>
      <c r="Q28" s="7">
        <f t="shared" si="1"/>
        <v>12360.948760412006</v>
      </c>
      <c r="R28" s="7">
        <f t="shared" si="1"/>
        <v>13524.960209152001</v>
      </c>
      <c r="S28" s="7">
        <f t="shared" si="1"/>
        <v>14769.007784952004</v>
      </c>
      <c r="T28" s="7">
        <f t="shared" si="1"/>
        <v>17511.583082500001</v>
      </c>
    </row>
    <row r="29" spans="2:20" x14ac:dyDescent="0.2">
      <c r="B29" t="s">
        <v>30</v>
      </c>
      <c r="C29" s="7">
        <f t="shared" si="0"/>
        <v>1826.3788793250001</v>
      </c>
      <c r="D29" s="7">
        <f t="shared" si="0"/>
        <v>2509.2029719076327</v>
      </c>
      <c r="E29" s="7">
        <f t="shared" si="0"/>
        <v>3379.0474406048234</v>
      </c>
      <c r="F29" s="7">
        <f t="shared" si="0"/>
        <v>3895</v>
      </c>
      <c r="G29" s="7">
        <f t="shared" si="0"/>
        <v>4471.2926182517758</v>
      </c>
      <c r="H29" s="7">
        <f t="shared" si="0"/>
        <v>5112.9947607240338</v>
      </c>
      <c r="I29" s="7">
        <f t="shared" si="0"/>
        <v>5825.4479554769687</v>
      </c>
      <c r="J29" s="7">
        <f t="shared" si="0"/>
        <v>6614.2727896842271</v>
      </c>
      <c r="K29" s="7">
        <f t="shared" si="0"/>
        <v>7485.3759060500006</v>
      </c>
      <c r="L29" s="7">
        <f t="shared" si="0"/>
        <v>8444.9569992261731</v>
      </c>
      <c r="M29" s="7">
        <f t="shared" si="1"/>
        <v>9499.5158122294342</v>
      </c>
      <c r="N29" s="7">
        <f t="shared" si="1"/>
        <v>10655.859132858366</v>
      </c>
      <c r="O29" s="7">
        <f t="shared" si="1"/>
        <v>11921.107790110626</v>
      </c>
      <c r="P29" s="7">
        <f t="shared" si="1"/>
        <v>13302.703650600002</v>
      </c>
      <c r="Q29" s="7">
        <f t="shared" si="1"/>
        <v>14808.416614973583</v>
      </c>
      <c r="R29" s="7">
        <f t="shared" si="1"/>
        <v>16446.351614328833</v>
      </c>
      <c r="S29" s="7">
        <f t="shared" si="1"/>
        <v>18224.955606630774</v>
      </c>
      <c r="T29" s="7">
        <f t="shared" si="1"/>
        <v>22239.710514774997</v>
      </c>
    </row>
    <row r="30" spans="2:20" x14ac:dyDescent="0.2">
      <c r="B30" t="s">
        <v>31</v>
      </c>
      <c r="C30" s="7">
        <f>C25*(C50+C17*(D55-C50))</f>
        <v>-301.81075000000004</v>
      </c>
      <c r="D30" s="7">
        <f>D25*(C50+D17*(D55-C50))</f>
        <v>-272.88587000000001</v>
      </c>
      <c r="E30" s="7">
        <f>E25*(C50+E17*(D55-C50))</f>
        <v>-236.22842999999997</v>
      </c>
      <c r="F30" s="7">
        <f>F25*(C50+F17*(D55-C50))</f>
        <v>-215</v>
      </c>
      <c r="G30" s="7">
        <f>G25*(C50+G17*(D55-C50))</f>
        <v>-191.83842999999999</v>
      </c>
      <c r="H30" s="7">
        <f>H25*(C50+H17*(D55-C50))</f>
        <v>-166.74372</v>
      </c>
      <c r="I30" s="7">
        <f>I25*(C50+I17*(D55-C50))</f>
        <v>-139.71586999999994</v>
      </c>
      <c r="J30" s="7">
        <f>J25*(C50+J17*(D55-C50))</f>
        <v>-110.75487999999996</v>
      </c>
      <c r="K30" s="7">
        <f>K25*(C50+K17*(D55-C50))</f>
        <v>-79.860749999999953</v>
      </c>
      <c r="L30" s="7">
        <f>L25*(C50+L17*(D55-C50))</f>
        <v>-47.03347999999994</v>
      </c>
      <c r="M30" s="7">
        <f>M25*(C50+M17*(D55-C50))</f>
        <v>-12.27306999999996</v>
      </c>
      <c r="N30" s="7">
        <f>N25*(C50+N17*(D55-C50))</f>
        <v>24.420480000000094</v>
      </c>
      <c r="O30" s="7">
        <f>O25*(C50+O17*(D55-C50))</f>
        <v>63.047170000000079</v>
      </c>
      <c r="P30" s="7">
        <f>P25*(C50+P17*(D55-C50))</f>
        <v>103.6070000000001</v>
      </c>
      <c r="Q30" s="7">
        <f>Q25*(C50+Q17*(D55-C50))</f>
        <v>146.09997000000016</v>
      </c>
      <c r="R30" s="7">
        <f>R25*(C50+R17*(D55-C50))</f>
        <v>190.52608000000012</v>
      </c>
      <c r="S30" s="7">
        <f>S25*(C50+S17*(D55-C50))</f>
        <v>236.88533000000018</v>
      </c>
      <c r="T30" s="7">
        <f>T25*(C50+T17*(D55-C50))</f>
        <v>335.40325000000024</v>
      </c>
    </row>
    <row r="31" spans="2:20" x14ac:dyDescent="0.2">
      <c r="B31" t="s">
        <v>32</v>
      </c>
      <c r="C31" s="7">
        <f>C26*(C50+C17*(E55-C50))</f>
        <v>-316.07307187499987</v>
      </c>
      <c r="D31" s="7">
        <f>D26*(C50+D17*(E55-C50))</f>
        <v>-291.34648152499994</v>
      </c>
      <c r="E31" s="7">
        <f>E26*(C50+E17*(E55-C50))</f>
        <v>-246.13362857499996</v>
      </c>
      <c r="F31" s="7">
        <f>F26*(C50+F17*(E55-C50))</f>
        <v>-215</v>
      </c>
      <c r="G31" s="7">
        <f>G26*(C50+G17*(E55-C50))</f>
        <v>-177.73098142499998</v>
      </c>
      <c r="H31" s="7">
        <f>H26*(C50+H17*(E55-C50))</f>
        <v>-133.98863140000009</v>
      </c>
      <c r="I31" s="7">
        <f>I26*(C50+I17*(E55-C50))</f>
        <v>-83.435008475000075</v>
      </c>
      <c r="J31" s="7">
        <f>J26*(C50+J17*(E55-C50))</f>
        <v>-25.732171200000128</v>
      </c>
      <c r="K31" s="7">
        <f>K26*(C50+K17*(E55-C50))</f>
        <v>39.457821874999837</v>
      </c>
      <c r="L31" s="7">
        <f>L26*(C50+L17*(E55-C50))</f>
        <v>112.47291219999978</v>
      </c>
      <c r="M31" s="7">
        <f>M26*(C50+M17*(E55-C50))</f>
        <v>193.6510412249998</v>
      </c>
      <c r="N31" s="7">
        <f>N26*(C50+N17*(E55-C50))</f>
        <v>283.3301503999997</v>
      </c>
      <c r="O31" s="7">
        <f>O26*(C50+O17*(E55-C50))</f>
        <v>381.8481811749997</v>
      </c>
      <c r="P31" s="7">
        <f>P26*(C50+P17*(E55-C50))</f>
        <v>489.54307499999959</v>
      </c>
      <c r="Q31" s="7">
        <f>Q26*(C50+Q17*(E55-C50))</f>
        <v>606.75277332499968</v>
      </c>
      <c r="R31" s="7">
        <f>R26*(C50+R17*(E55-C50))</f>
        <v>733.81521759999953</v>
      </c>
      <c r="S31" s="7">
        <f>S26*(C50+S17*(E55-C50))</f>
        <v>871.06834927499949</v>
      </c>
      <c r="T31" s="7">
        <f>T26*(C50+T17*(E55-C50))</f>
        <v>1177.4984406249996</v>
      </c>
    </row>
    <row r="32" spans="2:20" x14ac:dyDescent="0.2">
      <c r="B32" t="s">
        <v>33</v>
      </c>
      <c r="C32" s="7">
        <f>C27*(C50+C17*(F55-C50))</f>
        <v>-314.27596921874999</v>
      </c>
      <c r="D32" s="7">
        <f>D27*(C50+D17*(F55-C50))</f>
        <v>-299.42401928075003</v>
      </c>
      <c r="E32" s="7">
        <f>E27*(C50+E17*(F55-C50))</f>
        <v>-252.85201797074998</v>
      </c>
      <c r="F32" s="7">
        <f>F27*(C50+F17*(F55-C50))</f>
        <v>-215</v>
      </c>
      <c r="G32" s="7">
        <f>G27*(C50+G17*(F55-C50))</f>
        <v>-165.90575292074996</v>
      </c>
      <c r="H32" s="7">
        <f>H27*(C50+H17*(F55-C50))</f>
        <v>-104.35372693200001</v>
      </c>
      <c r="I32" s="7">
        <f>I27*(C50+I17*(F55-C50))</f>
        <v>-29.074862930750001</v>
      </c>
      <c r="J32" s="7">
        <f>J27*(C50+J17*(F55-C50))</f>
        <v>61.253407488000043</v>
      </c>
      <c r="K32" s="7">
        <f>K27*(C50+K17*(F55-C50))</f>
        <v>168.00716203125</v>
      </c>
      <c r="L32" s="7">
        <f>L27*(C50+L17*(F55-C50))</f>
        <v>292.61598770799998</v>
      </c>
      <c r="M32" s="7">
        <f>M27*(C50+M17*(F55-C50))</f>
        <v>436.56298082925008</v>
      </c>
      <c r="N32" s="7">
        <f>N27*(C50+N17*(F55-C50))</f>
        <v>601.38474700800009</v>
      </c>
      <c r="O32" s="7">
        <f>O27*(C50+O17*(F55-C50))</f>
        <v>788.67140115925019</v>
      </c>
      <c r="P32" s="7">
        <f>P27*(C50+P17*(F55-C50))</f>
        <v>1000.0665675000002</v>
      </c>
      <c r="Q32" s="7">
        <f>Q27*(C50+Q17*(F55-C50))</f>
        <v>1237.2673795492508</v>
      </c>
      <c r="R32" s="7">
        <f>R27*(C50+R17*(F55-C50))</f>
        <v>1502.0244801279998</v>
      </c>
      <c r="S32" s="7">
        <f>S27*(C50+S17*(F55-C50))</f>
        <v>1796.1420213592507</v>
      </c>
      <c r="T32" s="7">
        <f>T27*(C50+T17*(F55-C50))</f>
        <v>2479.9425807812509</v>
      </c>
    </row>
    <row r="33" spans="2:20" x14ac:dyDescent="0.2">
      <c r="B33" t="s">
        <v>34</v>
      </c>
      <c r="C33" s="7">
        <f>C28*(C50+C17*(G55-C50))</f>
        <v>-326.73809684999998</v>
      </c>
      <c r="D33" s="7">
        <f>D28*(C50+D17*(G55-C50))</f>
        <v>-317.65200636041607</v>
      </c>
      <c r="E33" s="7">
        <f>E28*(C50+E17*(G55-C50))</f>
        <v>-263.98849540811199</v>
      </c>
      <c r="F33" s="7">
        <f>F28*(C50+F17*(G55-C50))</f>
        <v>-215</v>
      </c>
      <c r="G33" s="7">
        <f>G28*(C50+G17*(G55-C50))</f>
        <v>-147.92632881868798</v>
      </c>
      <c r="H33" s="7">
        <f>H28*(C50+H17*(G55-C50))</f>
        <v>-60.009474543615994</v>
      </c>
      <c r="I33" s="7">
        <f>I28*(C50+I17*(G55-C50))</f>
        <v>51.736603989616036</v>
      </c>
      <c r="J33" s="7">
        <f>J28*(C50+J17*(G55-C50))</f>
        <v>190.53434635468813</v>
      </c>
      <c r="K33" s="7">
        <f>K28*(C50+K17*(G55-C50))</f>
        <v>359.85095510000014</v>
      </c>
      <c r="L33" s="7">
        <f>L28*(C50+L17*(G55-C50))</f>
        <v>563.40676031411192</v>
      </c>
      <c r="M33" s="7">
        <f>M28*(C50+M17*(G55-C50))</f>
        <v>805.18358419118431</v>
      </c>
      <c r="N33" s="7">
        <f>N28*(C50+N17*(G55-C50))</f>
        <v>1089.433105596416</v>
      </c>
      <c r="O33" s="7">
        <f>O28*(C50+O17*(G55-C50))</f>
        <v>1420.6852246314886</v>
      </c>
      <c r="P33" s="7">
        <f>P28*(C50+P17*(G55-C50))</f>
        <v>1803.7564272000006</v>
      </c>
      <c r="Q33" s="7">
        <f>Q28*(C50+Q17*(G55-C50))</f>
        <v>2243.7581495729137</v>
      </c>
      <c r="R33" s="7">
        <f>R28*(C50+R17*(G55-C50))</f>
        <v>2746.1051429539848</v>
      </c>
      <c r="S33" s="7">
        <f>S28*(C50+S17*(G55-C50))</f>
        <v>3316.5238380452174</v>
      </c>
      <c r="T33" s="7">
        <f>T28*(C50+T17*(G55-C50))</f>
        <v>4686.0906410500011</v>
      </c>
    </row>
    <row r="34" spans="2:20" x14ac:dyDescent="0.2">
      <c r="B34" t="s">
        <v>35</v>
      </c>
      <c r="C34" s="7">
        <f>C29*(C50+C17*(H55-C50))</f>
        <v>-324.72735132337493</v>
      </c>
      <c r="D34" s="7">
        <f>D29*(C50+D17*(H55-C50))</f>
        <v>-323.08162476412218</v>
      </c>
      <c r="E34" s="7">
        <f>E29*(C50+E17*(H55-C50))</f>
        <v>-269.37384481258039</v>
      </c>
      <c r="F34" s="7">
        <f>F29*(C50+F17*(H55-C50))</f>
        <v>-215</v>
      </c>
      <c r="G34" s="7">
        <f>G29*(C50+G17*(H55-C50))</f>
        <v>-137.17512488266908</v>
      </c>
      <c r="H34" s="7">
        <f>H29*(C50+H17*(H55-C50))</f>
        <v>-31.491847062842087</v>
      </c>
      <c r="I34" s="7">
        <f>I29*(C50+I17*(H55-C50))</f>
        <v>106.95941220434774</v>
      </c>
      <c r="J34" s="7">
        <f>J29*(C50+J17*(H55-C50))</f>
        <v>283.62409276843613</v>
      </c>
      <c r="K34" s="7">
        <f>K29*(C50+K17*(H55-C50))</f>
        <v>504.51817964974958</v>
      </c>
      <c r="L34" s="7">
        <f>L29*(C50+L17*(H55-C50))</f>
        <v>776.26391641410623</v>
      </c>
      <c r="M34" s="7">
        <f>M29*(C50+M17*(H55-C50))</f>
        <v>1106.1265478560904</v>
      </c>
      <c r="N34" s="7">
        <f>N29*(C50+N17*(H55-C50))</f>
        <v>1502.0520919908997</v>
      </c>
      <c r="O34" s="7">
        <f>O29*(C50+O17*(H55-C50))</f>
        <v>1972.7061413547749</v>
      </c>
      <c r="P34" s="7">
        <f>P29*(C50+P17*(H55-C50))</f>
        <v>2527.5136936139988</v>
      </c>
      <c r="Q34" s="7">
        <f>Q29*(C50+Q17*(H55-C50))</f>
        <v>3176.7000114824764</v>
      </c>
      <c r="R34" s="7">
        <f>R29*(C50+R17*(H55-C50))</f>
        <v>3931.33251194788</v>
      </c>
      <c r="S34" s="7">
        <f>S29*(C50+S17*(H55-C50))</f>
        <v>4803.3636848063952</v>
      </c>
      <c r="T34" s="7">
        <f>T29*(C50+T17*(H55-C50))</f>
        <v>6952.1220872983713</v>
      </c>
    </row>
    <row r="35" spans="2:20" x14ac:dyDescent="0.2">
      <c r="B35" t="s">
        <v>36</v>
      </c>
      <c r="C35" s="7">
        <f>MAX(0,C30*(1-0.3))+D56-D57-D58</f>
        <v>-103.52820287671219</v>
      </c>
      <c r="D35" s="7">
        <f>MAX(0,D30*(1-0.3))+D56-D57-D58</f>
        <v>-103.52820287671219</v>
      </c>
      <c r="E35" s="7">
        <f>MAX(0,E30*(1-0.3))+D56-D57-D58</f>
        <v>-103.52820287671219</v>
      </c>
      <c r="F35" s="7">
        <f>MAX(0,F30*(1-0.3))+D56-D57-D58</f>
        <v>-103.52820287671219</v>
      </c>
      <c r="G35" s="7">
        <f>MAX(0,G30*(1-0.3))+D56-D57-D58</f>
        <v>-103.52820287671219</v>
      </c>
      <c r="H35" s="7">
        <f>MAX(0,H30*(1-0.3))+D56-D57-D58</f>
        <v>-103.52820287671219</v>
      </c>
      <c r="I35" s="7">
        <f>MAX(0,I30*(1-0.3))+D56-D57-D58</f>
        <v>-103.52820287671219</v>
      </c>
      <c r="J35" s="7">
        <f>MAX(0,J30*(1-0.3))+D56-D57-D58</f>
        <v>-103.52820287671219</v>
      </c>
      <c r="K35" s="7">
        <f>MAX(0,K30*(1-0.3))+D56-D57-D58</f>
        <v>-103.52820287671219</v>
      </c>
      <c r="L35" s="7">
        <f>MAX(0,L30*(1-0.3))+D56-D57-D58</f>
        <v>-103.52820287671219</v>
      </c>
      <c r="M35" s="7">
        <f>MAX(0,M30*(1-0.3))+D56-D57-D58</f>
        <v>-103.52820287671219</v>
      </c>
      <c r="N35" s="7">
        <f>MAX(0,N30*(1-0.3))+D56-D57-D58</f>
        <v>-86.433866876712131</v>
      </c>
      <c r="O35" s="7">
        <f>MAX(0,O30*(1-0.3))+D56-D57-D58</f>
        <v>-59.39518387671211</v>
      </c>
      <c r="P35" s="7">
        <f>MAX(0,P30*(1-0.3))+D56-D57-D58</f>
        <v>-31.003302876712155</v>
      </c>
      <c r="Q35" s="7">
        <f>MAX(0,Q30*(1-0.3))+D56-D57-D58</f>
        <v>-1.2582238767120657</v>
      </c>
      <c r="R35" s="7">
        <f>MAX(0,R30*(1-0.3))+D56-D57-D58</f>
        <v>29.84005312328793</v>
      </c>
      <c r="S35" s="7">
        <f>MAX(0,S30*(1-0.3))+D56-D57-D58</f>
        <v>62.29152812328789</v>
      </c>
      <c r="T35" s="7">
        <f>MAX(0,T30*(1-0.3))+D56-D57-D58</f>
        <v>131.25407212328798</v>
      </c>
    </row>
    <row r="36" spans="2:20" x14ac:dyDescent="0.2">
      <c r="B36" t="s">
        <v>37</v>
      </c>
      <c r="C36" s="7">
        <f>MAX(0,C31*(1-0.3))+E56-E57-E58</f>
        <v>-201.06925333561674</v>
      </c>
      <c r="D36" s="7">
        <f>MAX(0,D31*(1-0.3))+E56-E57-E58</f>
        <v>-201.06925333561674</v>
      </c>
      <c r="E36" s="7">
        <f>MAX(0,E31*(1-0.3))+E56-E57-E58</f>
        <v>-201.06925333561674</v>
      </c>
      <c r="F36" s="7">
        <f>MAX(0,F31*(1-0.3))+E56-E57-E58</f>
        <v>-201.06925333561674</v>
      </c>
      <c r="G36" s="7">
        <f>MAX(0,G31*(1-0.3))+E56-E57-E58</f>
        <v>-201.06925333561674</v>
      </c>
      <c r="H36" s="7">
        <f>MAX(0,H31*(1-0.3))+E56-E57-E58</f>
        <v>-201.06925333561674</v>
      </c>
      <c r="I36" s="7">
        <f>MAX(0,I31*(1-0.3))+E56-E57-E58</f>
        <v>-201.06925333561674</v>
      </c>
      <c r="J36" s="7">
        <f>MAX(0,J31*(1-0.3))+E56-E57-E58</f>
        <v>-201.06925333561674</v>
      </c>
      <c r="K36" s="7">
        <f>MAX(0,K31*(1-0.3))+E56-E57-E58</f>
        <v>-173.44877802311686</v>
      </c>
      <c r="L36" s="7">
        <f>MAX(0,L31*(1-0.3))+E56-E57-E58</f>
        <v>-122.33821479561686</v>
      </c>
      <c r="M36" s="7">
        <f>MAX(0,M31*(1-0.3))+E56-E57-E58</f>
        <v>-65.513524478116892</v>
      </c>
      <c r="N36" s="7">
        <f>MAX(0,N31*(1-0.3))+E56-E57-E58</f>
        <v>-2.738148055616989</v>
      </c>
      <c r="O36" s="7">
        <f>MAX(0,O31*(1-0.3))+E56-E57-E58</f>
        <v>66.224473486882943</v>
      </c>
      <c r="P36" s="7">
        <f>MAX(0,P31*(1-0.3))+E56-E57-E58</f>
        <v>141.61089916438297</v>
      </c>
      <c r="Q36" s="7">
        <f>MAX(0,Q31*(1-0.3))+E56-E57-E58</f>
        <v>223.65768799188297</v>
      </c>
      <c r="R36" s="7">
        <f>MAX(0,R31*(1-0.3))+E56-E57-E58</f>
        <v>312.60139898438285</v>
      </c>
      <c r="S36" s="7">
        <f>MAX(0,S31*(1-0.3))+E56-E57-E58</f>
        <v>408.67859115688282</v>
      </c>
      <c r="T36" s="7">
        <f>MAX(0,T31*(1-0.3))+E56-E57-E58</f>
        <v>623.1796551018831</v>
      </c>
    </row>
    <row r="37" spans="2:20" x14ac:dyDescent="0.2">
      <c r="B37" t="s">
        <v>38</v>
      </c>
      <c r="C37" s="7">
        <f>MAX(0,C32*(1-0.3))+F56-F57-F58</f>
        <v>-204.97388892534258</v>
      </c>
      <c r="D37" s="7">
        <f>MAX(0,D32*(1-0.3))+F56-F57-F58</f>
        <v>-204.97388892534258</v>
      </c>
      <c r="E37" s="7">
        <f>MAX(0,E32*(1-0.3))+F56-F57-F58</f>
        <v>-204.97388892534258</v>
      </c>
      <c r="F37" s="7">
        <f>MAX(0,F32*(1-0.3))+F56-F57-F58</f>
        <v>-204.97388892534258</v>
      </c>
      <c r="G37" s="7">
        <f>MAX(0,G32*(1-0.3))+F56-F57-F58</f>
        <v>-204.97388892534258</v>
      </c>
      <c r="H37" s="7">
        <f>MAX(0,H32*(1-0.3))+F56-F57-F58</f>
        <v>-204.97388892534258</v>
      </c>
      <c r="I37" s="7">
        <f>MAX(0,I32*(1-0.3))+F56-F57-F58</f>
        <v>-204.97388892534258</v>
      </c>
      <c r="J37" s="7">
        <f>MAX(0,J32*(1-0.3))+F56-F57-F58</f>
        <v>-162.09650368374253</v>
      </c>
      <c r="K37" s="7">
        <f>MAX(0,K32*(1-0.3))+F56-F57-F58</f>
        <v>-87.368875503467564</v>
      </c>
      <c r="L37" s="7">
        <f>MAX(0,L32*(1-0.3))+F56-F57-F58</f>
        <v>-0.14269752974263383</v>
      </c>
      <c r="M37" s="7">
        <f>MAX(0,M32*(1-0.3))+F56-F57-F58</f>
        <v>100.62019765513247</v>
      </c>
      <c r="N37" s="7">
        <f>MAX(0,N32*(1-0.3))+F56-F57-F58</f>
        <v>215.99543398025747</v>
      </c>
      <c r="O37" s="7">
        <f>MAX(0,O32*(1-0.3))+F56-F57-F58</f>
        <v>347.09609188613263</v>
      </c>
      <c r="P37" s="7">
        <f>MAX(0,P32*(1-0.3))+F56-F57-F58</f>
        <v>495.07270832465747</v>
      </c>
      <c r="Q37" s="7">
        <f>MAX(0,Q32*(1-0.3))+F56-F57-F58</f>
        <v>661.11327675913299</v>
      </c>
      <c r="R37" s="7">
        <f>MAX(0,R32*(1-0.3))+F56-F57-F58</f>
        <v>846.44324716425717</v>
      </c>
      <c r="S37" s="7">
        <f>MAX(0,S32*(1-0.3))+F56-F57-F58</f>
        <v>1052.3255260261328</v>
      </c>
      <c r="T37" s="7">
        <f>MAX(0,T32*(1-0.3))+F56-F57-F58</f>
        <v>1530.9859176215327</v>
      </c>
    </row>
    <row r="38" spans="2:20" x14ac:dyDescent="0.2">
      <c r="B38" t="s">
        <v>39</v>
      </c>
      <c r="C38" s="7">
        <f>MAX(0,C33*(1-0.3))+G56-G57-G58</f>
        <v>-220.85953296879461</v>
      </c>
      <c r="D38" s="7">
        <f>MAX(0,D33*(1-0.3))+G56-G57-G58</f>
        <v>-220.85953296879461</v>
      </c>
      <c r="E38" s="7">
        <f>MAX(0,E33*(1-0.3))+G56-G57-G58</f>
        <v>-220.85953296879461</v>
      </c>
      <c r="F38" s="7">
        <f>MAX(0,F33*(1-0.3))+G56-G57-G58</f>
        <v>-220.85953296879461</v>
      </c>
      <c r="G38" s="7">
        <f>MAX(0,G33*(1-0.3))+G56-G57-G58</f>
        <v>-220.85953296879461</v>
      </c>
      <c r="H38" s="7">
        <f>MAX(0,H33*(1-0.3))+G56-G57-G58</f>
        <v>-220.85953296879461</v>
      </c>
      <c r="I38" s="7">
        <f>MAX(0,I33*(1-0.3))+G56-G57-G58</f>
        <v>-184.6439101760634</v>
      </c>
      <c r="J38" s="7">
        <f>MAX(0,J33*(1-0.3))+G56-G57-G58</f>
        <v>-87.485490520512883</v>
      </c>
      <c r="K38" s="7">
        <f>MAX(0,K33*(1-0.3))+G56-G57-G58</f>
        <v>31.036135601205444</v>
      </c>
      <c r="L38" s="7">
        <f>MAX(0,L33*(1-0.3))+G56-G57-G58</f>
        <v>173.52519925108373</v>
      </c>
      <c r="M38" s="7">
        <f>MAX(0,M33*(1-0.3))+G56-G57-G58</f>
        <v>342.76897596503437</v>
      </c>
      <c r="N38" s="7">
        <f>MAX(0,N33*(1-0.3))+G56-G57-G58</f>
        <v>541.74364094869657</v>
      </c>
      <c r="O38" s="7">
        <f>MAX(0,O33*(1-0.3))+G56-G57-G58</f>
        <v>773.62012427324748</v>
      </c>
      <c r="P38" s="7">
        <f>MAX(0,P33*(1-0.3))+G56-G57-G58</f>
        <v>1041.7699660712058</v>
      </c>
      <c r="Q38" s="7">
        <f>MAX(0,Q33*(1-0.3))+G56-G57-G58</f>
        <v>1349.7711717322452</v>
      </c>
      <c r="R38" s="7">
        <f>MAX(0,R33*(1-0.3))+G56-G57-G58</f>
        <v>1701.4140670989948</v>
      </c>
      <c r="S38" s="7">
        <f>MAX(0,S33*(1-0.3))+G56-G57-G58</f>
        <v>2100.7071536628573</v>
      </c>
      <c r="T38" s="7">
        <f>MAX(0,T33*(1-0.3))+G56-G57-G58</f>
        <v>3059.403915766206</v>
      </c>
    </row>
    <row r="39" spans="2:20" x14ac:dyDescent="0.2">
      <c r="B39" t="s">
        <v>40</v>
      </c>
      <c r="C39" s="7">
        <f>MAX(0,C34*(1-0.3))+H56-H57-H58</f>
        <v>-205.26809914016394</v>
      </c>
      <c r="D39" s="7">
        <f>MAX(0,D34*(1-0.3))+H56-H57-H58</f>
        <v>-205.26809914016394</v>
      </c>
      <c r="E39" s="7">
        <f>MAX(0,E34*(1-0.3))+H56-H57-H58</f>
        <v>-205.26809914016394</v>
      </c>
      <c r="F39" s="7">
        <f>MAX(0,F34*(1-0.3))+H56-H57-H58</f>
        <v>-205.26809914016394</v>
      </c>
      <c r="G39" s="7">
        <f>MAX(0,G34*(1-0.3))+H56-H57-H58</f>
        <v>-205.26809914016394</v>
      </c>
      <c r="H39" s="7">
        <f>MAX(0,H34*(1-0.3))+H56-H57-H58</f>
        <v>-205.26809914016394</v>
      </c>
      <c r="I39" s="7">
        <f>MAX(0,I34*(1-0.3))+H56-H57-H58</f>
        <v>-130.39651059712048</v>
      </c>
      <c r="J39" s="7">
        <f>MAX(0,J34*(1-0.3))+H56-H57-H58</f>
        <v>-6.7312342022586336</v>
      </c>
      <c r="K39" s="7">
        <f>MAX(0,K34*(1-0.3))+H56-H57-H58</f>
        <v>147.89462661466075</v>
      </c>
      <c r="L39" s="7">
        <f>MAX(0,L34*(1-0.3))+H56-H57-H58</f>
        <v>338.11664234971022</v>
      </c>
      <c r="M39" s="7">
        <f>MAX(0,M34*(1-0.3))+H56-H57-H58</f>
        <v>569.02048435909933</v>
      </c>
      <c r="N39" s="7">
        <f>MAX(0,N34*(1-0.3))+H56-H57-H58</f>
        <v>846.16836525346571</v>
      </c>
      <c r="O39" s="7">
        <f>MAX(0,O34*(1-0.3))+H56-H57-H58</f>
        <v>1175.6261998081784</v>
      </c>
      <c r="P39" s="7">
        <f>MAX(0,P34*(1-0.3))+H56-H57-H58</f>
        <v>1563.9914863896352</v>
      </c>
      <c r="Q39" s="7">
        <f>MAX(0,Q34*(1-0.3))+H56-H57-H58</f>
        <v>2018.4219088975692</v>
      </c>
      <c r="R39" s="7">
        <f>MAX(0,R34*(1-0.3))+H56-H57-H58</f>
        <v>2546.6646592233519</v>
      </c>
      <c r="S39" s="7">
        <f>MAX(0,S34*(1-0.3))+H56-H57-H58</f>
        <v>3157.0864802243127</v>
      </c>
      <c r="T39" s="7">
        <f>MAX(0,T34*(1-0.3))+H56-H57-H58</f>
        <v>4661.2173619686946</v>
      </c>
    </row>
    <row r="40" spans="2:20" ht="14" x14ac:dyDescent="0.3">
      <c r="B40" s="5" t="s">
        <v>41</v>
      </c>
      <c r="C40" s="7">
        <f t="shared" ref="C40:T40" si="2">C35/(1+0.135416666666666)^(1+0)+C36/(1+0.135416666666666)^(1+1)+C37/(1+0.135416666666666)^(1+2)+C38/(1+0.135416666666666)^(1+3)+C39/(1+0.135416666666666)^(1+4)</f>
        <v>-628.85230101369689</v>
      </c>
      <c r="D40" s="7">
        <f t="shared" si="2"/>
        <v>-628.85230101369689</v>
      </c>
      <c r="E40" s="7">
        <f t="shared" si="2"/>
        <v>-628.85230101369689</v>
      </c>
      <c r="F40" s="7">
        <f t="shared" si="2"/>
        <v>-628.85230101369689</v>
      </c>
      <c r="G40" s="7">
        <f t="shared" si="2"/>
        <v>-628.85230101369689</v>
      </c>
      <c r="H40" s="7">
        <f t="shared" si="2"/>
        <v>-628.85230101369689</v>
      </c>
      <c r="I40" s="7">
        <f t="shared" si="2"/>
        <v>-567.38424133780086</v>
      </c>
      <c r="J40" s="7">
        <f t="shared" si="2"/>
        <v>-414.09653570992049</v>
      </c>
      <c r="K40" s="7">
        <f t="shared" si="2"/>
        <v>-188.36309120003369</v>
      </c>
      <c r="L40" s="7">
        <f t="shared" si="2"/>
        <v>97.415040496447645</v>
      </c>
      <c r="M40" s="7">
        <f t="shared" si="2"/>
        <v>434.53061890400346</v>
      </c>
      <c r="N40" s="7">
        <f t="shared" si="2"/>
        <v>843.69592479226594</v>
      </c>
      <c r="O40" s="7">
        <f t="shared" si="2"/>
        <v>1324.680142193962</v>
      </c>
      <c r="P40" s="7">
        <f t="shared" si="2"/>
        <v>1876.4111783155336</v>
      </c>
      <c r="Q40" s="7">
        <f t="shared" si="2"/>
        <v>2505.8301388900391</v>
      </c>
      <c r="R40" s="7">
        <f t="shared" si="2"/>
        <v>3220.3438737246015</v>
      </c>
      <c r="S40" s="7">
        <f t="shared" si="2"/>
        <v>4027.8444206259328</v>
      </c>
      <c r="T40" s="7">
        <f t="shared" si="2"/>
        <v>5955.9193781997774</v>
      </c>
    </row>
    <row r="41" spans="2:20" x14ac:dyDescent="0.2">
      <c r="B41" t="s">
        <v>42</v>
      </c>
      <c r="C41" s="7">
        <f t="shared" ref="C41:T41" si="3">C39*(1+0.015)/(0.135416666666666-0.015)</f>
        <v>-1730.2183027869969</v>
      </c>
      <c r="D41" s="7">
        <f t="shared" si="3"/>
        <v>-1730.2183027869969</v>
      </c>
      <c r="E41" s="7">
        <f t="shared" si="3"/>
        <v>-1730.2183027869969</v>
      </c>
      <c r="F41" s="7">
        <f t="shared" si="3"/>
        <v>-1730.2183027869969</v>
      </c>
      <c r="G41" s="7">
        <f t="shared" si="3"/>
        <v>-1730.2183027869969</v>
      </c>
      <c r="H41" s="7">
        <f t="shared" si="3"/>
        <v>-1730.2183027869969</v>
      </c>
      <c r="I41" s="7">
        <f t="shared" si="3"/>
        <v>-1099.1207606041082</v>
      </c>
      <c r="J41" s="7">
        <f t="shared" si="3"/>
        <v>-56.738015628727062</v>
      </c>
      <c r="K41" s="7">
        <f t="shared" si="3"/>
        <v>1246.6135309111266</v>
      </c>
      <c r="L41" s="7">
        <f t="shared" si="3"/>
        <v>2850.0074074875383</v>
      </c>
      <c r="M41" s="7">
        <f t="shared" si="3"/>
        <v>4796.3110723140953</v>
      </c>
      <c r="N41" s="7">
        <f t="shared" si="3"/>
        <v>7132.4087811676609</v>
      </c>
      <c r="O41" s="7">
        <f t="shared" si="3"/>
        <v>9909.4305284869843</v>
      </c>
      <c r="P41" s="7">
        <f t="shared" si="3"/>
        <v>13182.987061748001</v>
      </c>
      <c r="Q41" s="7">
        <f t="shared" si="3"/>
        <v>17013.410969115936</v>
      </c>
      <c r="R41" s="7">
        <f t="shared" si="3"/>
        <v>21466.003840374116</v>
      </c>
      <c r="S41" s="7">
        <f t="shared" si="3"/>
        <v>26611.289501129646</v>
      </c>
      <c r="T41" s="7">
        <f t="shared" si="3"/>
        <v>39289.707590850529</v>
      </c>
    </row>
    <row r="42" spans="2:20" x14ac:dyDescent="0.2">
      <c r="B42" t="s">
        <v>43</v>
      </c>
      <c r="C42" s="7">
        <f t="shared" ref="C42:T42" si="4">C41/(1+0.135416666666666)^(1+4)</f>
        <v>-916.90549889561646</v>
      </c>
      <c r="D42" s="7">
        <f t="shared" si="4"/>
        <v>-916.90549889561646</v>
      </c>
      <c r="E42" s="7">
        <f t="shared" si="4"/>
        <v>-916.90549889561646</v>
      </c>
      <c r="F42" s="7">
        <f t="shared" si="4"/>
        <v>-916.90549889561646</v>
      </c>
      <c r="G42" s="7">
        <f t="shared" si="4"/>
        <v>-916.90549889561646</v>
      </c>
      <c r="H42" s="7">
        <f t="shared" si="4"/>
        <v>-916.90549889561646</v>
      </c>
      <c r="I42" s="7">
        <f t="shared" si="4"/>
        <v>-582.46399759204598</v>
      </c>
      <c r="J42" s="7">
        <f t="shared" si="4"/>
        <v>-30.067534508568741</v>
      </c>
      <c r="K42" s="7">
        <f t="shared" si="4"/>
        <v>660.62577170113764</v>
      </c>
      <c r="L42" s="7">
        <f t="shared" si="4"/>
        <v>1510.3224024444198</v>
      </c>
      <c r="M42" s="7">
        <f t="shared" si="4"/>
        <v>2541.7393802475126</v>
      </c>
      <c r="N42" s="7">
        <f t="shared" si="4"/>
        <v>3779.722374506116</v>
      </c>
      <c r="O42" s="7">
        <f t="shared" si="4"/>
        <v>5251.3670256858722</v>
      </c>
      <c r="P42" s="7">
        <f t="shared" si="4"/>
        <v>6986.1434879726721</v>
      </c>
      <c r="Q42" s="7">
        <f t="shared" si="4"/>
        <v>9016.0241903728383</v>
      </c>
      <c r="R42" s="7">
        <f t="shared" si="4"/>
        <v>11375.614816263153</v>
      </c>
      <c r="S42" s="7">
        <f t="shared" si="4"/>
        <v>14102.288501390793</v>
      </c>
      <c r="T42" s="7">
        <f t="shared" si="4"/>
        <v>20821.042571346927</v>
      </c>
    </row>
    <row r="43" spans="2:20" ht="14" x14ac:dyDescent="0.3">
      <c r="B43" s="5" t="s">
        <v>44</v>
      </c>
      <c r="C43" s="7">
        <f t="shared" ref="C43:T43" si="5">C40+C42</f>
        <v>-1545.7577999093132</v>
      </c>
      <c r="D43" s="7">
        <f t="shared" si="5"/>
        <v>-1545.7577999093132</v>
      </c>
      <c r="E43" s="7">
        <f t="shared" si="5"/>
        <v>-1545.7577999093132</v>
      </c>
      <c r="F43" s="7">
        <f t="shared" si="5"/>
        <v>-1545.7577999093132</v>
      </c>
      <c r="G43" s="7">
        <f t="shared" si="5"/>
        <v>-1545.7577999093132</v>
      </c>
      <c r="H43" s="7">
        <f t="shared" si="5"/>
        <v>-1545.7577999093132</v>
      </c>
      <c r="I43" s="7">
        <f t="shared" si="5"/>
        <v>-1149.848238929847</v>
      </c>
      <c r="J43" s="7">
        <f t="shared" si="5"/>
        <v>-444.1640702184892</v>
      </c>
      <c r="K43" s="7">
        <f t="shared" si="5"/>
        <v>472.26268050110394</v>
      </c>
      <c r="L43" s="7">
        <f t="shared" si="5"/>
        <v>1607.7374429408674</v>
      </c>
      <c r="M43" s="7">
        <f t="shared" si="5"/>
        <v>2976.269999151516</v>
      </c>
      <c r="N43" s="7">
        <f t="shared" si="5"/>
        <v>4623.4182992983824</v>
      </c>
      <c r="O43" s="7">
        <f t="shared" si="5"/>
        <v>6576.047167879834</v>
      </c>
      <c r="P43" s="7">
        <f t="shared" si="5"/>
        <v>8862.5546662882061</v>
      </c>
      <c r="Q43" s="7">
        <f t="shared" si="5"/>
        <v>11521.854329262878</v>
      </c>
      <c r="R43" s="7">
        <f t="shared" si="5"/>
        <v>14595.958689987754</v>
      </c>
      <c r="S43" s="7">
        <f t="shared" si="5"/>
        <v>18130.132922016724</v>
      </c>
      <c r="T43" s="7">
        <f t="shared" si="5"/>
        <v>26776.961949546705</v>
      </c>
    </row>
    <row r="44" spans="2:20" x14ac:dyDescent="0.2">
      <c r="B44" t="s">
        <v>45</v>
      </c>
      <c r="C44" s="7">
        <f t="shared" ref="C44:T44" si="6">C43--548</f>
        <v>-997.75779990931323</v>
      </c>
      <c r="D44" s="7">
        <f t="shared" si="6"/>
        <v>-997.75779990931323</v>
      </c>
      <c r="E44" s="7">
        <f t="shared" si="6"/>
        <v>-997.75779990931323</v>
      </c>
      <c r="F44" s="7">
        <f t="shared" si="6"/>
        <v>-997.75779990931323</v>
      </c>
      <c r="G44" s="7">
        <f t="shared" si="6"/>
        <v>-997.75779990931323</v>
      </c>
      <c r="H44" s="7">
        <f t="shared" si="6"/>
        <v>-997.75779990931323</v>
      </c>
      <c r="I44" s="7">
        <f t="shared" si="6"/>
        <v>-601.84823892984696</v>
      </c>
      <c r="J44" s="7">
        <f t="shared" si="6"/>
        <v>103.8359297815108</v>
      </c>
      <c r="K44" s="7">
        <f t="shared" si="6"/>
        <v>1020.2626805011039</v>
      </c>
      <c r="L44" s="7">
        <f t="shared" si="6"/>
        <v>2155.7374429408674</v>
      </c>
      <c r="M44" s="7">
        <f t="shared" si="6"/>
        <v>3524.269999151516</v>
      </c>
      <c r="N44" s="7">
        <f t="shared" si="6"/>
        <v>5171.4182992983824</v>
      </c>
      <c r="O44" s="7">
        <f t="shared" si="6"/>
        <v>7124.047167879834</v>
      </c>
      <c r="P44" s="7">
        <f t="shared" si="6"/>
        <v>9410.5546662882061</v>
      </c>
      <c r="Q44" s="7">
        <f t="shared" si="6"/>
        <v>12069.854329262878</v>
      </c>
      <c r="R44" s="7">
        <f t="shared" si="6"/>
        <v>15143.958689987754</v>
      </c>
      <c r="S44" s="7">
        <f t="shared" si="6"/>
        <v>18678.132922016724</v>
      </c>
      <c r="T44" s="7">
        <f t="shared" si="6"/>
        <v>27324.961949546705</v>
      </c>
    </row>
    <row r="45" spans="2:20" ht="14" x14ac:dyDescent="0.3">
      <c r="B45" s="8" t="s">
        <v>46</v>
      </c>
      <c r="C45" s="9">
        <f t="shared" ref="C45:T45" si="7">C44*1000000/27115114</f>
        <v>-36.797108797304453</v>
      </c>
      <c r="D45" s="9">
        <f t="shared" si="7"/>
        <v>-36.797108797304453</v>
      </c>
      <c r="E45" s="9">
        <f t="shared" si="7"/>
        <v>-36.797108797304453</v>
      </c>
      <c r="F45" s="9">
        <f t="shared" si="7"/>
        <v>-36.797108797304453</v>
      </c>
      <c r="G45" s="9">
        <f t="shared" si="7"/>
        <v>-36.797108797304453</v>
      </c>
      <c r="H45" s="9">
        <f t="shared" si="7"/>
        <v>-36.797108797304453</v>
      </c>
      <c r="I45" s="9">
        <f t="shared" si="7"/>
        <v>-22.196043097213128</v>
      </c>
      <c r="J45" s="9">
        <f t="shared" si="7"/>
        <v>3.8294483947775695</v>
      </c>
      <c r="K45" s="9">
        <f t="shared" si="7"/>
        <v>37.627084308076441</v>
      </c>
      <c r="L45" s="9">
        <f t="shared" si="7"/>
        <v>79.503167235102438</v>
      </c>
      <c r="M45" s="9">
        <f t="shared" si="7"/>
        <v>129.97437514559283</v>
      </c>
      <c r="N45" s="9">
        <f t="shared" si="7"/>
        <v>190.72087616147891</v>
      </c>
      <c r="O45" s="9">
        <f t="shared" si="7"/>
        <v>262.73343965582569</v>
      </c>
      <c r="P45" s="9">
        <f t="shared" si="7"/>
        <v>347.05938047275794</v>
      </c>
      <c r="Q45" s="9">
        <f t="shared" si="7"/>
        <v>445.13382201759794</v>
      </c>
      <c r="R45" s="9">
        <f t="shared" si="7"/>
        <v>558.5061781406398</v>
      </c>
      <c r="S45" s="9">
        <f t="shared" si="7"/>
        <v>688.84581942073794</v>
      </c>
      <c r="T45" s="9">
        <f t="shared" si="7"/>
        <v>1007.7391505544363</v>
      </c>
    </row>
    <row r="47" spans="2:20" ht="14" x14ac:dyDescent="0.3">
      <c r="B47" s="40" t="s">
        <v>47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 spans="2:20" x14ac:dyDescent="0.2">
      <c r="B48" t="s">
        <v>48</v>
      </c>
      <c r="C48" s="7">
        <v>3895</v>
      </c>
    </row>
    <row r="49" spans="2:8" x14ac:dyDescent="0.2">
      <c r="B49" t="s">
        <v>49</v>
      </c>
      <c r="C49" s="7">
        <v>-215</v>
      </c>
    </row>
    <row r="50" spans="2:8" x14ac:dyDescent="0.2">
      <c r="B50" t="s">
        <v>50</v>
      </c>
      <c r="C50" s="6">
        <v>-5.5198973042362001E-2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3895</v>
      </c>
      <c r="D52" s="7">
        <v>5180.3500000000004</v>
      </c>
      <c r="E52" s="7">
        <v>6993.4725000000008</v>
      </c>
      <c r="F52" s="7">
        <v>9091.514250000002</v>
      </c>
      <c r="G52" s="7">
        <v>11273.47767</v>
      </c>
      <c r="H52" s="7">
        <v>13302.7036506</v>
      </c>
    </row>
    <row r="53" spans="2:8" ht="14" x14ac:dyDescent="0.3">
      <c r="B53" s="5" t="s">
        <v>58</v>
      </c>
      <c r="C53" s="7">
        <v>3895</v>
      </c>
      <c r="D53" s="7">
        <v>5180.3500000000004</v>
      </c>
      <c r="E53" s="7">
        <v>6993.4725000000008</v>
      </c>
      <c r="F53" s="7">
        <v>9091.514250000002</v>
      </c>
      <c r="G53" s="7">
        <v>11273.47767</v>
      </c>
      <c r="H53" s="7">
        <v>13302.7036506</v>
      </c>
    </row>
    <row r="54" spans="2:8" x14ac:dyDescent="0.2">
      <c r="B54" t="s">
        <v>59</v>
      </c>
      <c r="D54" s="6">
        <v>0.33000000000000013</v>
      </c>
      <c r="E54" s="6">
        <v>0.35000000000000009</v>
      </c>
      <c r="F54" s="6">
        <v>0.3</v>
      </c>
      <c r="G54" s="6">
        <v>0.24</v>
      </c>
      <c r="H54" s="6">
        <v>0.17999999999999991</v>
      </c>
    </row>
    <row r="55" spans="2:8" x14ac:dyDescent="0.2">
      <c r="B55" t="s">
        <v>60</v>
      </c>
      <c r="D55" s="6">
        <v>2.0000000000000021E-2</v>
      </c>
      <c r="E55" s="6">
        <v>6.9999999999999951E-2</v>
      </c>
      <c r="F55" s="6">
        <v>0.11</v>
      </c>
      <c r="G55" s="6">
        <v>0.16</v>
      </c>
      <c r="H55" s="6">
        <v>0.18999999999999989</v>
      </c>
    </row>
    <row r="56" spans="2:8" x14ac:dyDescent="0.2">
      <c r="B56" t="s">
        <v>61</v>
      </c>
      <c r="D56" s="7">
        <v>215.50255999999999</v>
      </c>
      <c r="E56" s="7">
        <v>290.92845599999998</v>
      </c>
      <c r="F56" s="7">
        <v>378.20699280000008</v>
      </c>
      <c r="G56" s="7">
        <v>468.97667107199999</v>
      </c>
      <c r="H56" s="7">
        <v>553.39247186496004</v>
      </c>
    </row>
    <row r="57" spans="2:8" x14ac:dyDescent="0.2">
      <c r="B57" t="s">
        <v>62</v>
      </c>
      <c r="D57" s="7">
        <v>185.45652999999999</v>
      </c>
      <c r="E57" s="7">
        <v>250.36631550000001</v>
      </c>
      <c r="F57" s="7">
        <v>325.47621014999999</v>
      </c>
      <c r="G57" s="7">
        <v>403.59050058600008</v>
      </c>
      <c r="H57" s="7">
        <v>476.23679069148011</v>
      </c>
    </row>
    <row r="58" spans="2:8" x14ac:dyDescent="0.2">
      <c r="B58" t="s">
        <v>63</v>
      </c>
      <c r="D58" s="7">
        <v>133.57423287671219</v>
      </c>
      <c r="E58" s="7">
        <v>241.63139383561671</v>
      </c>
      <c r="F58" s="7">
        <v>257.70467157534267</v>
      </c>
      <c r="G58" s="7">
        <v>286.24570345479452</v>
      </c>
      <c r="H58" s="7">
        <v>282.42378031364387</v>
      </c>
    </row>
    <row r="62" spans="2:8" ht="14.5" x14ac:dyDescent="0.35">
      <c r="B62" s="38" t="s">
        <v>64</v>
      </c>
      <c r="C62" s="39"/>
      <c r="D62" s="39"/>
      <c r="E62" s="39"/>
      <c r="F62" s="39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557</v>
      </c>
      <c r="D64" s="10">
        <f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1.1986714767231219</v>
      </c>
      <c r="E64" s="2" t="str">
        <f>IF(D64&lt;-0.3,"Deep Pessimism",IF(D64&lt;0,"Pessimistic",IF(D64&lt;0.5,"Neutral",IF(D64&lt;1,"Mild Optimism","Bullish"))))</f>
        <v>Bullish</v>
      </c>
      <c r="F64" s="2" t="str">
        <f>IF(D64&lt;-0.3,"Base growth halved or worse",IF(D64&lt;0,"Below-Base, conservative",IF(D64&lt;0.5,"0-50% of Base growth priced in",IF(D64&lt;1,"50-100% of Base priced in","Above-Base optimism"))))</f>
        <v>Above-Base optimism</v>
      </c>
    </row>
    <row r="65" spans="2:7" x14ac:dyDescent="0.2">
      <c r="B65" s="2" t="str">
        <f t="shared" si="8"/>
        <v>DCF Base PGM Target</v>
      </c>
      <c r="C65" s="3">
        <f t="shared" si="8"/>
        <v>347.05938047275572</v>
      </c>
      <c r="D65" s="10">
        <f>INDEX($C$17:$T$17,MAX(1,MIN(MATCH(C65,$C$45:$T$45,1),17)))+(C65-INDEX($C$45:$T$45,MAX(1,MIN(MATCH(C65,$C$45:$T$45,1),17))))/(INDEX($C$45:$T$45,MAX(1,MIN(MATCH(C65,$C$45:$T$45,1),17))+1)-INDEX($C$45:$T$45,MAX(1,MIN(MATCH(C65,$C$45:$T$45,1),17))))*(INDEX($C$17:$T$17,MAX(1,MIN(MATCH(C65,$C$45:$T$45,1),17))+1)-INDEX($C$17:$T$17,MAX(1,MIN(MATCH(C65,$C$45:$T$45,1),17))))</f>
        <v>0.99999999999999734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1129</v>
      </c>
      <c r="D66" s="10">
        <f>INDEX($C$17:$T$17,MAX(1,MIN(MATCH(C66,$C$45:$T$45,1),17)))+(C66-INDEX($C$45:$T$45,MAX(1,MIN(MATCH(C66,$C$45:$T$45,1),17))))/(INDEX($C$45:$T$45,MAX(1,MIN(MATCH(C66,$C$45:$T$45,1),17))+1)-INDEX($C$45:$T$45,MAX(1,MIN(MATCH(C66,$C$45:$T$45,1),17))))*(INDEX($C$17:$T$17,MAX(1,MIN(MATCH(C66,$C$45:$T$45,1),17))+1)-INDEX($C$17:$T$17,MAX(1,MIN(MATCH(C66,$C$45:$T$45,1),17))))</f>
        <v>1.5760510412773256</v>
      </c>
      <c r="E66" s="2" t="str">
        <f>IF(D66&lt;-0.3,"Deep Pessimism",IF(D66&lt;0,"Pessimistic",IF(D66&lt;0.5,"Neutral",IF(D66&lt;1,"Mild Optimism","Bullish"))))</f>
        <v>Bullish</v>
      </c>
      <c r="F66" s="2" t="str">
        <f>IF(D66&lt;-0.3,"Base growth halved or worse",IF(D66&lt;0,"Below-Base, conservative",IF(D66&lt;0.5,"0-50% of Base growth priced in",IF(D66&lt;1,"50-100% of Base priced in","Above-Base optimism"))))</f>
        <v>Above-Base optimism</v>
      </c>
    </row>
    <row r="67" spans="2:7" x14ac:dyDescent="0.2">
      <c r="B67" s="2" t="str">
        <f t="shared" si="8"/>
        <v>Recent Low</v>
      </c>
      <c r="C67" s="3">
        <f t="shared" si="8"/>
        <v>557</v>
      </c>
      <c r="D67" s="10">
        <f>INDEX($C$17:$T$17,MAX(1,MIN(MATCH(C67,$C$45:$T$45,1),17)))+(C67-INDEX($C$45:$T$45,MAX(1,MIN(MATCH(C67,$C$45:$T$45,1),17))))/(INDEX($C$45:$T$45,MAX(1,MIN(MATCH(C67,$C$45:$T$45,1),17))+1)-INDEX($C$45:$T$45,MAX(1,MIN(MATCH(C67,$C$45:$T$45,1),17))))*(INDEX($C$17:$T$17,MAX(1,MIN(MATCH(C67,$C$45:$T$45,1),17))+1)-INDEX($C$17:$T$17,MAX(1,MIN(MATCH(C67,$C$45:$T$45,1),17))))</f>
        <v>1.1986714767231219</v>
      </c>
      <c r="E67" s="2" t="str">
        <f>IF(D67&lt;-0.3,"Deep Pessimism",IF(D67&lt;0,"Pessimistic",IF(D67&lt;0.5,"Neutral",IF(D67&lt;1,"Mild Optimism","Bullish"))))</f>
        <v>Bullish</v>
      </c>
      <c r="F67" s="2" t="str">
        <f>IF(D67&lt;-0.3,"Base growth halved or worse",IF(D67&lt;0,"Below-Base, conservative",IF(D67&lt;0.5,"0-50% of Base growth priced in",IF(D67&lt;1,"50-100% of Base priced in","Above-Base optimism"))))</f>
        <v>Above-Base optimism</v>
      </c>
    </row>
    <row r="68" spans="2:7" x14ac:dyDescent="0.2">
      <c r="B68" s="2" t="str">
        <f t="shared" si="8"/>
        <v>Recent High</v>
      </c>
      <c r="C68" s="3">
        <f t="shared" si="8"/>
        <v>557</v>
      </c>
      <c r="D68" s="10">
        <f>INDEX($C$17:$T$17,MAX(1,MIN(MATCH(C68,$C$45:$T$45,1),17)))+(C68-INDEX($C$45:$T$45,MAX(1,MIN(MATCH(C68,$C$45:$T$45,1),17))))/(INDEX($C$45:$T$45,MAX(1,MIN(MATCH(C68,$C$45:$T$45,1),17))+1)-INDEX($C$45:$T$45,MAX(1,MIN(MATCH(C68,$C$45:$T$45,1),17))))*(INDEX($C$17:$T$17,MAX(1,MIN(MATCH(C68,$C$45:$T$45,1),17))+1)-INDEX($C$17:$T$17,MAX(1,MIN(MATCH(C68,$C$45:$T$45,1),17))))</f>
        <v>1.1986714767231219</v>
      </c>
      <c r="E68" s="2" t="str">
        <f>IF(D68&lt;-0.3,"Deep Pessimism",IF(D68&lt;0,"Pessimistic",IF(D68&lt;0.5,"Neutral",IF(D68&lt;1,"Mild Optimism","Bullish"))))</f>
        <v>Bullish</v>
      </c>
      <c r="F68" s="2" t="str">
        <f>IF(D68&lt;-0.3,"Base growth halved or worse",IF(D68&lt;0,"Below-Base, conservative",IF(D68&lt;0.5,"0-50% of Base growth priced in",IF(D68&lt;1,"50-100% of Base priced in","Above-Base optimism"))))</f>
        <v>Above-Base optimism</v>
      </c>
    </row>
    <row r="70" spans="2:7" ht="14.5" x14ac:dyDescent="0.35">
      <c r="B70" s="38" t="s">
        <v>68</v>
      </c>
      <c r="C70" s="39"/>
      <c r="D70" s="39"/>
      <c r="E70" s="39"/>
      <c r="F70" s="39"/>
      <c r="G70" s="39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0.27845807573197545</v>
      </c>
      <c r="E72" s="12">
        <f>C50+(AVERAGE(D55,E55,F55,G55,H55)-C50)*C72</f>
        <v>0.10999999999999997</v>
      </c>
      <c r="F72" s="13">
        <f>C72-D64</f>
        <v>-0.19867147672312191</v>
      </c>
      <c r="G72" s="2" t="str">
        <f>IF(F72&gt;0.5,"BULLISH (Buy candidate)",IF(F72&gt;0.2,"Mildly Bullish",IF(F72&gt;=-0.2,"Aligned",IF(F72&gt;=-0.5,"Mildly Bearish","BEARISH (Sell candidate)"))))</f>
        <v>Aligned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0.416851497683008</v>
      </c>
      <c r="E73" s="12">
        <f>C50+(AVERAGE(D55,E55,F55,G55,H55)-C50)*C73</f>
        <v>0.19259948652118097</v>
      </c>
      <c r="F73" s="13">
        <f>C73-D64</f>
        <v>0.30132852327687809</v>
      </c>
      <c r="G73" s="2" t="str">
        <f>IF(F73&gt;0.5,"BULLISH (Buy candidate)",IF(F73&gt;0.2,"Mildly Bullish",IF(F73&gt;=-0.2,"Aligned",IF(F73&gt;=-0.5,"Mildly Bearish","BEARISH (Sell candidate)"))))</f>
        <v>Mildly Bullish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0.2368507418041077</v>
      </c>
      <c r="E74" s="12">
        <f>C50+(AVERAGE(D55,E55,F55,G55,H55)-C50)*C74</f>
        <v>8.5220154043645677E-2</v>
      </c>
      <c r="F74" s="13">
        <f>C74-D64</f>
        <v>-0.34867147672312193</v>
      </c>
      <c r="G74" s="2" t="str">
        <f>IF(F74&gt;0.5,"BULLISH (Buy candidate)",IF(F74&gt;0.2,"Mildly Bullish",IF(F74&gt;=-0.2,"Aligned",IF(F74&gt;=-0.5,"Mildly Bearish","BEARISH (Sell candidate)"))))</f>
        <v>Mildly Bearish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0.11171874394955639</v>
      </c>
      <c r="E75" s="12">
        <f>C50+(AVERAGE(D55,E55,F55,G55,H55)-C50)*C75</f>
        <v>1.0880616174582788E-2</v>
      </c>
      <c r="F75" s="13">
        <f>C75-D64</f>
        <v>-0.79867147672312189</v>
      </c>
      <c r="G75" s="2" t="str">
        <f>IF(F75&gt;0.5,"BULLISH (Buy candidate)",IF(F75&gt;0.2,"Mildly Bullish",IF(F75&gt;=-0.2,"Aligned",IF(F75&gt;=-0.5,"Mildly Bearish","BEARISH (Sell candidate)"))))</f>
        <v>BEARISH (Sell candidate)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4.1957985405912002E-2</v>
      </c>
      <c r="E76" s="12">
        <f>C50+(AVERAGE(D55,E55,F55,G55,H55)-C50)*C76</f>
        <v>-3.0419127086007705E-2</v>
      </c>
      <c r="F76" s="13">
        <f>C76-D64</f>
        <v>-1.048671476723122</v>
      </c>
      <c r="G76" s="2" t="str">
        <f>IF(F76&gt;0.5,"BULLISH (Buy candidate)",IF(F76&gt;0.2,"Mildly Bullish",IF(F76&gt;=-0.2,"Aligned",IF(F76&gt;=-0.5,"Mildly Bearish","BEARISH (Sell candidate)"))))</f>
        <v>BEARISH (Sell candidate)</v>
      </c>
    </row>
    <row r="78" spans="2:7" ht="14.5" x14ac:dyDescent="0.35">
      <c r="B78" s="38" t="s">
        <v>80</v>
      </c>
      <c r="C78" s="39"/>
      <c r="D78" s="39"/>
      <c r="E78" s="39"/>
      <c r="F78" s="39"/>
      <c r="G78" s="39"/>
    </row>
    <row r="79" spans="2:7" x14ac:dyDescent="0.2">
      <c r="B79" s="2" t="s">
        <v>81</v>
      </c>
      <c r="C79" s="10">
        <f>D64</f>
        <v>1.1986714767231219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-0.19867147672312191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HOLD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3"/>
  <sheetViews>
    <sheetView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1" t="s">
        <v>96</v>
      </c>
      <c r="C2" s="39"/>
      <c r="D2" s="39"/>
      <c r="E2" s="39"/>
      <c r="F2" s="39"/>
      <c r="G2" s="39"/>
      <c r="H2" s="39"/>
    </row>
    <row r="3" spans="2:8" ht="14" x14ac:dyDescent="0.3">
      <c r="B3" s="17" t="s">
        <v>97</v>
      </c>
    </row>
    <row r="5" spans="2:8" ht="14.5" x14ac:dyDescent="0.35">
      <c r="B5" s="38" t="s">
        <v>98</v>
      </c>
      <c r="C5" s="39"/>
      <c r="D5" s="39"/>
      <c r="E5" s="39"/>
      <c r="F5" s="39"/>
      <c r="G5" s="39"/>
      <c r="H5" s="39"/>
    </row>
    <row r="6" spans="2:8" x14ac:dyDescent="0.2">
      <c r="B6" s="2" t="s">
        <v>99</v>
      </c>
      <c r="C6" s="18">
        <v>557</v>
      </c>
    </row>
    <row r="7" spans="2:8" x14ac:dyDescent="0.2">
      <c r="B7" s="2" t="s">
        <v>100</v>
      </c>
      <c r="C7" s="18">
        <v>27115114</v>
      </c>
    </row>
    <row r="8" spans="2:8" x14ac:dyDescent="0.2">
      <c r="B8" s="2" t="s">
        <v>101</v>
      </c>
      <c r="C8" s="19">
        <v>-548</v>
      </c>
    </row>
    <row r="9" spans="2:8" x14ac:dyDescent="0.2">
      <c r="B9" s="2" t="s">
        <v>102</v>
      </c>
      <c r="C9" s="18">
        <v>3895</v>
      </c>
    </row>
    <row r="10" spans="2:8" x14ac:dyDescent="0.2">
      <c r="B10" s="2" t="s">
        <v>103</v>
      </c>
      <c r="C10" s="18" t="s">
        <v>104</v>
      </c>
    </row>
    <row r="11" spans="2:8" x14ac:dyDescent="0.2">
      <c r="B11" s="2" t="s">
        <v>105</v>
      </c>
      <c r="C11" s="20">
        <v>0.3</v>
      </c>
    </row>
    <row r="12" spans="2:8" x14ac:dyDescent="0.2">
      <c r="B12" s="2" t="s">
        <v>106</v>
      </c>
      <c r="C12" s="20">
        <v>1</v>
      </c>
    </row>
    <row r="14" spans="2:8" ht="14" x14ac:dyDescent="0.3">
      <c r="B14" s="40" t="s">
        <v>107</v>
      </c>
      <c r="C14" s="39"/>
      <c r="D14" s="39"/>
      <c r="E14" s="39"/>
      <c r="F14" s="39"/>
      <c r="G14" s="39"/>
      <c r="H14" s="39"/>
    </row>
    <row r="15" spans="2:8" ht="14" x14ac:dyDescent="0.3">
      <c r="C15" s="21" t="s">
        <v>108</v>
      </c>
      <c r="D15" s="21" t="s">
        <v>109</v>
      </c>
      <c r="E15" s="21" t="s">
        <v>110</v>
      </c>
      <c r="F15" s="21" t="s">
        <v>111</v>
      </c>
      <c r="G15" s="21" t="s">
        <v>112</v>
      </c>
    </row>
    <row r="16" spans="2:8" x14ac:dyDescent="0.2">
      <c r="B16" s="2" t="s">
        <v>113</v>
      </c>
      <c r="C16" s="22">
        <v>0.69855872431769395</v>
      </c>
      <c r="D16" s="22">
        <v>1.5946230274693161</v>
      </c>
      <c r="E16" s="22">
        <v>3.0371666666666668</v>
      </c>
      <c r="F16" s="22">
        <v>5.2407267221801668</v>
      </c>
      <c r="G16" s="22">
        <v>7.225900681596884</v>
      </c>
    </row>
    <row r="18" spans="2:8" x14ac:dyDescent="0.2">
      <c r="B18" s="2" t="s">
        <v>114</v>
      </c>
      <c r="C18" s="23">
        <f>C6*C7/1000000</f>
        <v>15103.118498</v>
      </c>
    </row>
    <row r="19" spans="2:8" x14ac:dyDescent="0.2">
      <c r="B19" s="2" t="s">
        <v>5</v>
      </c>
      <c r="C19" s="23">
        <f>C18+C8</f>
        <v>14555.118498</v>
      </c>
    </row>
    <row r="20" spans="2:8" x14ac:dyDescent="0.2">
      <c r="B20" s="2" t="s">
        <v>115</v>
      </c>
      <c r="C20" s="24">
        <f>C19/C9</f>
        <v>3.7368725283697048</v>
      </c>
    </row>
    <row r="21" spans="2:8" x14ac:dyDescent="0.2">
      <c r="B21" s="2" t="s">
        <v>116</v>
      </c>
      <c r="C21" s="24" t="str">
        <f>IFERROR(C19/C10,"-")</f>
        <v>-</v>
      </c>
    </row>
    <row r="23" spans="2:8" ht="14.5" x14ac:dyDescent="0.35">
      <c r="B23" s="38" t="s">
        <v>117</v>
      </c>
      <c r="C23" s="39"/>
      <c r="D23" s="39"/>
      <c r="E23" s="39"/>
      <c r="F23" s="39"/>
      <c r="G23" s="39"/>
      <c r="H23" s="39"/>
    </row>
    <row r="24" spans="2:8" x14ac:dyDescent="0.2">
      <c r="B24" s="2" t="s">
        <v>118</v>
      </c>
      <c r="C24" s="25">
        <f>C20/E16-1</f>
        <v>0.23038112112265963</v>
      </c>
    </row>
    <row r="25" spans="2:8" x14ac:dyDescent="0.2">
      <c r="B25" s="2" t="s">
        <v>119</v>
      </c>
      <c r="C25" s="25">
        <f>C20/C16-1</f>
        <v>4.3494035623413554</v>
      </c>
    </row>
    <row r="26" spans="2:8" x14ac:dyDescent="0.2">
      <c r="B26" s="2" t="s">
        <v>120</v>
      </c>
      <c r="C26" s="26">
        <f>(C20-E16)/(F16-D16)</f>
        <v>0.19190509110260706</v>
      </c>
    </row>
    <row r="27" spans="2:8" ht="14.5" x14ac:dyDescent="0.35">
      <c r="B27" s="2" t="s">
        <v>121</v>
      </c>
      <c r="C27" s="43" t="str">
        <f>IF(C26&lt;-C12,"割安（分布下限以下）",IF(C26&lt;-C11,"やや割安",IF(C26&lt;=C11,"中立（中央値近傍）",IF(C26&lt;=C12,"やや割高","割高（分布上限以上）"))))</f>
        <v>中立（中央値近傍）</v>
      </c>
      <c r="D27" s="44"/>
      <c r="E27" s="44"/>
    </row>
    <row r="29" spans="2:8" ht="14.5" x14ac:dyDescent="0.35">
      <c r="B29" s="38" t="s">
        <v>122</v>
      </c>
      <c r="C29" s="39"/>
      <c r="D29" s="39"/>
      <c r="E29" s="39"/>
      <c r="F29" s="39"/>
      <c r="G29" s="39"/>
      <c r="H29" s="39"/>
    </row>
    <row r="30" spans="2:8" ht="14" x14ac:dyDescent="0.3">
      <c r="C30" s="1" t="s">
        <v>123</v>
      </c>
      <c r="D30" s="1" t="s">
        <v>124</v>
      </c>
      <c r="E30" s="1" t="s">
        <v>125</v>
      </c>
    </row>
    <row r="31" spans="2:8" x14ac:dyDescent="0.2">
      <c r="B31" s="2" t="s">
        <v>108</v>
      </c>
      <c r="C31" s="27">
        <f>C16</f>
        <v>0.69855872431769395</v>
      </c>
      <c r="D31" s="3">
        <f>(C16*C9-C8)*1000000/C7</f>
        <v>120.5558726847845</v>
      </c>
      <c r="E31" s="28">
        <f>D31/C6-1</f>
        <v>-0.78356216753180519</v>
      </c>
    </row>
    <row r="32" spans="2:8" x14ac:dyDescent="0.2">
      <c r="B32" s="2" t="s">
        <v>109</v>
      </c>
      <c r="C32" s="27">
        <f>D16</f>
        <v>1.5946230274693161</v>
      </c>
      <c r="D32" s="3">
        <f>(D16*C9-C8)*1000000/C7</f>
        <v>249.27266365145968</v>
      </c>
      <c r="E32" s="28">
        <f>D32/C6-1</f>
        <v>-0.55247277620922852</v>
      </c>
    </row>
    <row r="33" spans="2:8" x14ac:dyDescent="0.2">
      <c r="B33" s="2" t="s">
        <v>110</v>
      </c>
      <c r="C33" s="27">
        <f>E16</f>
        <v>3.0371666666666668</v>
      </c>
      <c r="D33" s="29">
        <f>(E16*C9-C8)*1000000/C7</f>
        <v>456.48947545146473</v>
      </c>
      <c r="E33" s="28">
        <f>D33/C6-1</f>
        <v>-0.18044977477295376</v>
      </c>
    </row>
    <row r="34" spans="2:8" x14ac:dyDescent="0.2">
      <c r="B34" s="2" t="s">
        <v>111</v>
      </c>
      <c r="C34" s="27">
        <f>F16</f>
        <v>5.2407267221801668</v>
      </c>
      <c r="D34" s="3">
        <f>(F16*C9-C8)*1000000/C7</f>
        <v>773.02387822864216</v>
      </c>
      <c r="E34" s="28">
        <f>D34/C6-1</f>
        <v>0.38783461082341497</v>
      </c>
    </row>
    <row r="35" spans="2:8" x14ac:dyDescent="0.2">
      <c r="B35" s="2" t="s">
        <v>112</v>
      </c>
      <c r="C35" s="27">
        <f>G16</f>
        <v>7.225900681596884</v>
      </c>
      <c r="D35" s="3">
        <f>(G16*C9-C8)*1000000/C7</f>
        <v>1058.1878119642008</v>
      </c>
      <c r="E35" s="28">
        <f>D35/C6-1</f>
        <v>0.89979858521400513</v>
      </c>
    </row>
    <row r="37" spans="2:8" ht="14" x14ac:dyDescent="0.3">
      <c r="B37" s="40" t="s">
        <v>126</v>
      </c>
      <c r="C37" s="39"/>
      <c r="D37" s="39"/>
      <c r="E37" s="39"/>
      <c r="F37" s="39"/>
      <c r="G37" s="39"/>
      <c r="H37" s="39"/>
    </row>
    <row r="38" spans="2:8" x14ac:dyDescent="0.2">
      <c r="B38" s="2" t="s">
        <v>127</v>
      </c>
      <c r="C38" s="22">
        <v>0.69855872431769395</v>
      </c>
    </row>
    <row r="39" spans="2:8" x14ac:dyDescent="0.2">
      <c r="B39" s="2" t="s">
        <v>128</v>
      </c>
      <c r="C39" s="22">
        <v>3.0371666666666668</v>
      </c>
    </row>
    <row r="40" spans="2:8" x14ac:dyDescent="0.2">
      <c r="B40" s="2" t="s">
        <v>129</v>
      </c>
      <c r="C40" s="22">
        <v>7.225900681596884</v>
      </c>
    </row>
    <row r="41" spans="2:8" x14ac:dyDescent="0.2">
      <c r="B41" s="2" t="s">
        <v>130</v>
      </c>
      <c r="C41" s="22">
        <v>1.5946230274693161</v>
      </c>
    </row>
    <row r="42" spans="2:8" x14ac:dyDescent="0.2">
      <c r="B42" s="2" t="s">
        <v>131</v>
      </c>
      <c r="C42" s="22">
        <v>5.2407267221801668</v>
      </c>
    </row>
    <row r="45" spans="2:8" ht="14.5" x14ac:dyDescent="0.35">
      <c r="B45" s="38" t="s">
        <v>132</v>
      </c>
      <c r="C45" s="39"/>
      <c r="D45" s="39"/>
      <c r="E45" s="39"/>
      <c r="F45" s="39"/>
      <c r="G45" s="39"/>
      <c r="H45" s="39"/>
    </row>
    <row r="46" spans="2:8" x14ac:dyDescent="0.2">
      <c r="B46" s="2" t="s">
        <v>133</v>
      </c>
      <c r="C46" s="19">
        <v>-700</v>
      </c>
    </row>
    <row r="47" spans="2:8" x14ac:dyDescent="0.2">
      <c r="B47" s="2" t="s">
        <v>134</v>
      </c>
      <c r="C47" s="19" t="s">
        <v>104</v>
      </c>
    </row>
    <row r="48" spans="2:8" x14ac:dyDescent="0.2">
      <c r="B48" s="2" t="s">
        <v>135</v>
      </c>
      <c r="C48" s="27">
        <f>IFERROR(C18/C46,"n/a")</f>
        <v>-21.575883568571427</v>
      </c>
    </row>
    <row r="49" spans="2:8" x14ac:dyDescent="0.2">
      <c r="B49" s="2" t="s">
        <v>136</v>
      </c>
      <c r="C49" s="27" t="str">
        <f>IFERROR(C19/C47,"n/a")</f>
        <v>n/a</v>
      </c>
    </row>
    <row r="51" spans="2:8" x14ac:dyDescent="0.2">
      <c r="B51" s="42" t="s">
        <v>137</v>
      </c>
      <c r="C51" s="39"/>
      <c r="D51" s="39"/>
      <c r="E51" s="39"/>
      <c r="F51" s="39"/>
      <c r="G51" s="39"/>
      <c r="H51" s="39"/>
    </row>
    <row r="52" spans="2:8" ht="30" customHeight="1" x14ac:dyDescent="0.2">
      <c r="B52" s="45" t="s">
        <v>138</v>
      </c>
      <c r="C52" s="39"/>
      <c r="D52" s="39"/>
      <c r="E52" s="39"/>
      <c r="F52" s="39"/>
      <c r="G52" s="39"/>
      <c r="H52" s="39"/>
    </row>
    <row r="53" spans="2:8" ht="30" customHeight="1" x14ac:dyDescent="0.2">
      <c r="B53" s="45" t="s">
        <v>139</v>
      </c>
      <c r="C53" s="39"/>
      <c r="D53" s="39"/>
      <c r="E53" s="39"/>
      <c r="F53" s="39"/>
      <c r="G53" s="39"/>
      <c r="H53" s="39"/>
    </row>
  </sheetData>
  <mergeCells count="11">
    <mergeCell ref="B2:H2"/>
    <mergeCell ref="B29:H29"/>
    <mergeCell ref="B5:H5"/>
    <mergeCell ref="B37:H37"/>
    <mergeCell ref="B45:H45"/>
    <mergeCell ref="B23:H23"/>
    <mergeCell ref="B14:H14"/>
    <mergeCell ref="B51:H51"/>
    <mergeCell ref="C27:E27"/>
    <mergeCell ref="B52:H52"/>
    <mergeCell ref="B53:H5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/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1" t="s">
        <v>140</v>
      </c>
      <c r="C2" s="39"/>
      <c r="D2" s="39"/>
      <c r="E2" s="39"/>
      <c r="F2" s="39"/>
      <c r="G2" s="39"/>
    </row>
    <row r="5" spans="2:7" ht="14.5" x14ac:dyDescent="0.35">
      <c r="B5" s="38" t="s">
        <v>141</v>
      </c>
      <c r="C5" s="39"/>
      <c r="D5" s="39"/>
      <c r="E5" s="39"/>
      <c r="F5" s="39"/>
      <c r="G5" s="39"/>
    </row>
    <row r="6" spans="2:7" ht="14" x14ac:dyDescent="0.3"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74</v>
      </c>
    </row>
    <row r="7" spans="2:7" x14ac:dyDescent="0.2">
      <c r="B7" s="2" t="s">
        <v>147</v>
      </c>
      <c r="C7" s="10">
        <f>1-'Implied Growth Analysis'!C79</f>
        <v>-0.19867147672312191</v>
      </c>
      <c r="D7" s="2">
        <f>IF(C7&gt;=1,2,IF(C7&gt;=0.5,1,IF(C7&gt;=-0.2,0,IF(C7&gt;=-0.5,-1,-2))))</f>
        <v>0</v>
      </c>
      <c r="E7" s="30">
        <v>0.4</v>
      </c>
      <c r="F7" s="13">
        <f>D7*E7</f>
        <v>0</v>
      </c>
      <c r="G7" s="2" t="str">
        <f>IF(D7=2,"市場大幅悲観 = 強気",IF(D7=1,"市場やや悲観 = 買い候補",IF(D7=0,"市場と認識一致",IF(D7=-1,"市場やや楽観 = 警戒","市場大幅楽観 = 失望リスク"))))</f>
        <v>市場と認識一致</v>
      </c>
    </row>
    <row r="8" spans="2:7" x14ac:dyDescent="0.2">
      <c r="B8" s="2" t="s">
        <v>148</v>
      </c>
      <c r="C8" s="31">
        <f>IFERROR((C19-C20)/C20,0)</f>
        <v>0</v>
      </c>
      <c r="D8" s="2">
        <f>IF(C8&lt;=-0.2,2,IF(C8&lt;=-0.1,1,IF(C8&lt;=0.1,0,IF(C8&lt;=0.2,-1,-2))))</f>
        <v>0</v>
      </c>
      <c r="E8" s="30">
        <v>0.25</v>
      </c>
      <c r="F8" s="13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149</v>
      </c>
      <c r="C9" s="11">
        <f>IFERROR(C34/C33,0)</f>
        <v>0.2</v>
      </c>
      <c r="D9" s="2">
        <f>IF(AND(C36&lt;=1,C34/C35&gt;=0.5),2,IF(AND(C36&lt;=3,C34/C35&gt;=0.3),1,IF(AND(C36&lt;=10,C34/C35&gt;=0.1),0,IF(AND(C36&lt;=20,C34/C35&gt;=0.05),-1,-2))))</f>
        <v>0</v>
      </c>
      <c r="E9" s="30">
        <v>0.2</v>
      </c>
      <c r="F9" s="13">
        <f>D9*E9</f>
        <v>0</v>
      </c>
      <c r="G9" s="2" t="str">
        <f>IF(D9=2,"踏み上げ余地大",IF(D9=1,"需給良好",IF(D9=0,"ニュートラル",IF(D9=-1,"戻り売り圧力","需給最悪"))))</f>
        <v>ニュートラル</v>
      </c>
    </row>
    <row r="10" spans="2:7" x14ac:dyDescent="0.2">
      <c r="B10" s="2" t="s">
        <v>150</v>
      </c>
      <c r="C10" s="31">
        <f>AVERAGE(E44:E45)</f>
        <v>3.4883720925193984E-6</v>
      </c>
      <c r="D10" s="2">
        <f>ROUND(AVERAGE(F44:F45),0)</f>
        <v>0</v>
      </c>
      <c r="E10" s="30">
        <v>0.15</v>
      </c>
      <c r="F10" s="13">
        <f>D10*E10</f>
        <v>0</v>
      </c>
      <c r="G10" s="2" t="str">
        <f>IF(D10=2,"会社予想を大幅上回る",IF(D10=1,"会社予想を上回る",IF(D10=0,"会社予想と一致",IF(D10=-1,"会社予想を下回る","会社予想を大幅下回る"))))</f>
        <v>会社予想と一致</v>
      </c>
    </row>
    <row r="12" spans="2:7" ht="15.5" x14ac:dyDescent="0.35">
      <c r="B12" s="32" t="s">
        <v>151</v>
      </c>
      <c r="C12" s="2"/>
      <c r="D12" s="2"/>
      <c r="E12" s="2"/>
      <c r="F12" s="33">
        <f>SUM(F7:F10)</f>
        <v>0</v>
      </c>
      <c r="G12" s="34" t="str">
        <f>IF(F12&gt;=1,"STRONG BUY",IF(F12&gt;=0.5,"BUY",IF(F12&gt;=-0.5,"HOLD",IF(F12&gt;=-1,"CAUTION","AVOID"))))</f>
        <v>HOLD</v>
      </c>
    </row>
    <row r="17" spans="2:7" ht="14.5" x14ac:dyDescent="0.35">
      <c r="B17" s="38" t="s">
        <v>152</v>
      </c>
      <c r="C17" s="39"/>
      <c r="D17" s="39"/>
      <c r="E17" s="39"/>
      <c r="F17" s="39"/>
      <c r="G17" s="39"/>
    </row>
    <row r="19" spans="2:7" x14ac:dyDescent="0.2">
      <c r="B19" s="2" t="s">
        <v>8</v>
      </c>
      <c r="C19" s="18">
        <v>557</v>
      </c>
    </row>
    <row r="20" spans="2:7" x14ac:dyDescent="0.2">
      <c r="B20" s="2" t="s">
        <v>153</v>
      </c>
      <c r="C20" s="18">
        <v>557</v>
      </c>
    </row>
    <row r="21" spans="2:7" x14ac:dyDescent="0.2">
      <c r="B21" s="2" t="s">
        <v>154</v>
      </c>
      <c r="C21" s="18">
        <v>557</v>
      </c>
    </row>
    <row r="22" spans="2:7" x14ac:dyDescent="0.2">
      <c r="B22" s="2" t="s">
        <v>16</v>
      </c>
      <c r="C22" s="18">
        <v>557</v>
      </c>
    </row>
    <row r="23" spans="2:7" x14ac:dyDescent="0.2">
      <c r="B23" s="2" t="s">
        <v>14</v>
      </c>
      <c r="C23" s="18">
        <v>557</v>
      </c>
    </row>
    <row r="25" spans="2:7" ht="14" x14ac:dyDescent="0.3">
      <c r="B25" s="5" t="s">
        <v>155</v>
      </c>
    </row>
    <row r="26" spans="2:7" x14ac:dyDescent="0.2">
      <c r="B26" t="s">
        <v>156</v>
      </c>
      <c r="C26" s="35">
        <f>IFERROR((C19-C20)/C20,"")</f>
        <v>0</v>
      </c>
    </row>
    <row r="27" spans="2:7" x14ac:dyDescent="0.2">
      <c r="B27" t="s">
        <v>157</v>
      </c>
      <c r="C27" s="35">
        <f>IFERROR((C19-C21)/C21,"")</f>
        <v>0</v>
      </c>
    </row>
    <row r="28" spans="2:7" x14ac:dyDescent="0.2">
      <c r="B28" t="s">
        <v>158</v>
      </c>
      <c r="C28" s="35">
        <f>IFERROR((C19-C22)/C22,"")</f>
        <v>0</v>
      </c>
    </row>
    <row r="31" spans="2:7" ht="14.5" x14ac:dyDescent="0.35">
      <c r="B31" s="38" t="s">
        <v>159</v>
      </c>
      <c r="C31" s="39"/>
      <c r="D31" s="39"/>
      <c r="E31" s="39"/>
      <c r="F31" s="39"/>
      <c r="G31" s="39"/>
    </row>
    <row r="33" spans="2:7" x14ac:dyDescent="0.2">
      <c r="B33" s="2" t="s">
        <v>160</v>
      </c>
      <c r="C33" s="18">
        <v>1000</v>
      </c>
    </row>
    <row r="34" spans="2:7" x14ac:dyDescent="0.2">
      <c r="B34" s="2" t="s">
        <v>161</v>
      </c>
      <c r="C34" s="18">
        <v>200</v>
      </c>
    </row>
    <row r="35" spans="2:7" x14ac:dyDescent="0.2">
      <c r="B35" s="2" t="s">
        <v>162</v>
      </c>
      <c r="C35" s="18">
        <v>400</v>
      </c>
    </row>
    <row r="36" spans="2:7" x14ac:dyDescent="0.2">
      <c r="B36" s="2" t="s">
        <v>163</v>
      </c>
      <c r="C36" s="26">
        <f>IFERROR(C33/C34,99)</f>
        <v>5</v>
      </c>
    </row>
    <row r="37" spans="2:7" x14ac:dyDescent="0.2">
      <c r="B37" s="2" t="s">
        <v>164</v>
      </c>
      <c r="C37" s="26">
        <f>IFERROR(C34/C35,0)</f>
        <v>0.5</v>
      </c>
    </row>
    <row r="41" spans="2:7" ht="14.5" x14ac:dyDescent="0.35">
      <c r="B41" s="38" t="s">
        <v>165</v>
      </c>
      <c r="C41" s="39"/>
      <c r="D41" s="39"/>
      <c r="E41" s="39"/>
      <c r="F41" s="39"/>
      <c r="G41" s="39"/>
    </row>
    <row r="43" spans="2:7" ht="14" x14ac:dyDescent="0.3">
      <c r="B43" s="1" t="s">
        <v>166</v>
      </c>
      <c r="C43" s="1" t="s">
        <v>167</v>
      </c>
      <c r="D43" s="1" t="s">
        <v>168</v>
      </c>
      <c r="E43" s="1" t="s">
        <v>169</v>
      </c>
      <c r="F43" s="1" t="s">
        <v>170</v>
      </c>
    </row>
    <row r="44" spans="2:7" x14ac:dyDescent="0.2">
      <c r="B44" s="2" t="s">
        <v>171</v>
      </c>
      <c r="C44" s="36">
        <v>-1.481893023255815</v>
      </c>
      <c r="D44" s="37">
        <v>-1.4819</v>
      </c>
      <c r="E44" s="31">
        <f>C44-D44</f>
        <v>6.9767441850387968E-6</v>
      </c>
      <c r="F44" s="2">
        <f>IF(E44&gt;=0.1,2,IF(E44&gt;=0.05,1,IF(E44&gt;=-0.05,0,IF(E44&gt;=-0.1,-1,-2))))</f>
        <v>0</v>
      </c>
    </row>
    <row r="45" spans="2:7" x14ac:dyDescent="0.2">
      <c r="B45" s="2" t="s">
        <v>172</v>
      </c>
      <c r="C45" s="36">
        <v>0.33000000000000013</v>
      </c>
      <c r="D45" s="37">
        <v>0.33</v>
      </c>
      <c r="E45" s="31">
        <f>C45-D45</f>
        <v>0</v>
      </c>
      <c r="F45" s="2">
        <f>IF(E45&gt;=0.1,2,IF(E45&gt;=0.05,1,IF(E45&gt;=-0.05,0,IF(E45&gt;=-0.1,-1,-2))))</f>
        <v>0</v>
      </c>
    </row>
    <row r="53" spans="2:7" ht="14.5" x14ac:dyDescent="0.35">
      <c r="B53" s="38" t="s">
        <v>173</v>
      </c>
      <c r="C53" s="39"/>
      <c r="D53" s="39"/>
      <c r="E53" s="39"/>
      <c r="F53" s="39"/>
      <c r="G53" s="39"/>
    </row>
    <row r="55" spans="2:7" ht="14" x14ac:dyDescent="0.3">
      <c r="B55" s="5" t="s">
        <v>174</v>
      </c>
      <c r="C55" s="45" t="s">
        <v>175</v>
      </c>
      <c r="D55" s="39"/>
      <c r="E55" s="39"/>
      <c r="F55" s="39"/>
      <c r="G55" s="39"/>
    </row>
    <row r="56" spans="2:7" ht="14" x14ac:dyDescent="0.3">
      <c r="B56" s="5" t="s">
        <v>176</v>
      </c>
      <c r="C56" s="45" t="s">
        <v>177</v>
      </c>
      <c r="D56" s="39"/>
      <c r="E56" s="39"/>
      <c r="F56" s="39"/>
      <c r="G56" s="39"/>
    </row>
    <row r="57" spans="2:7" ht="14" x14ac:dyDescent="0.3">
      <c r="B57" s="5" t="s">
        <v>178</v>
      </c>
      <c r="C57" s="45" t="s">
        <v>179</v>
      </c>
      <c r="D57" s="39"/>
      <c r="E57" s="39"/>
      <c r="F57" s="39"/>
      <c r="G57" s="39"/>
    </row>
    <row r="58" spans="2:7" ht="14" x14ac:dyDescent="0.3">
      <c r="B58" s="5" t="s">
        <v>180</v>
      </c>
      <c r="C58" s="45" t="s">
        <v>181</v>
      </c>
      <c r="D58" s="39"/>
      <c r="E58" s="39"/>
      <c r="F58" s="39"/>
      <c r="G58" s="39"/>
    </row>
    <row r="59" spans="2:7" ht="14" x14ac:dyDescent="0.3">
      <c r="B59" s="5" t="s">
        <v>182</v>
      </c>
      <c r="C59" s="45" t="s">
        <v>183</v>
      </c>
      <c r="D59" s="39"/>
      <c r="E59" s="39"/>
      <c r="F59" s="39"/>
      <c r="G59" s="39"/>
    </row>
    <row r="62" spans="2:7" ht="14" x14ac:dyDescent="0.3">
      <c r="B62" s="5" t="s">
        <v>184</v>
      </c>
    </row>
    <row r="63" spans="2:7" x14ac:dyDescent="0.2">
      <c r="B63" t="s">
        <v>185</v>
      </c>
    </row>
    <row r="64" spans="2:7" x14ac:dyDescent="0.2">
      <c r="B64" t="s">
        <v>186</v>
      </c>
    </row>
    <row r="65" spans="2:2" x14ac:dyDescent="0.2">
      <c r="B65" t="s">
        <v>187</v>
      </c>
    </row>
    <row r="66" spans="2:2" x14ac:dyDescent="0.2">
      <c r="B66" t="s">
        <v>188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Implied Growth Analysis</vt:lpstr>
      <vt:lpstr>Implied Multiple Analysis</vt:lpstr>
      <vt:lpstr>Market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2026-06-12T13:18:39Z</dcterms:created>
  <dcterms:modified xsi:type="dcterms:W3CDTF">2026-06-12T13:18:46Z</dcterms:modified>
</cp:coreProperties>
</file>