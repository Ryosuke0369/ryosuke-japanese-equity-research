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44DFF88C-BC4D-4BE8-9ED1-FF7F90C5505B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81029"/>
</workbook>
</file>

<file path=xl/calcChain.xml><?xml version="1.0" encoding="utf-8"?>
<calcChain xmlns="http://schemas.openxmlformats.org/spreadsheetml/2006/main">
  <c r="E45" i="3" l="1"/>
  <c r="F45" i="3" s="1"/>
  <c r="D10" i="3" s="1"/>
  <c r="F44" i="3"/>
  <c r="E44" i="3"/>
  <c r="C37" i="3"/>
  <c r="C36" i="3"/>
  <c r="D9" i="3" s="1"/>
  <c r="F9" i="3" s="1"/>
  <c r="C28" i="3"/>
  <c r="C27" i="3"/>
  <c r="C26" i="3"/>
  <c r="C10" i="3"/>
  <c r="C9" i="3"/>
  <c r="C8" i="3"/>
  <c r="D8" i="3" s="1"/>
  <c r="D35" i="2"/>
  <c r="E35" i="2" s="1"/>
  <c r="C35" i="2"/>
  <c r="D34" i="2"/>
  <c r="E34" i="2" s="1"/>
  <c r="C34" i="2"/>
  <c r="D33" i="2"/>
  <c r="E33" i="2" s="1"/>
  <c r="C33" i="2"/>
  <c r="E32" i="2"/>
  <c r="D32" i="2"/>
  <c r="C32" i="2"/>
  <c r="D31" i="2"/>
  <c r="E31" i="2" s="1"/>
  <c r="C31" i="2"/>
  <c r="C19" i="2"/>
  <c r="C18" i="2"/>
  <c r="C48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I30" i="1"/>
  <c r="I35" i="1" s="1"/>
  <c r="H30" i="1"/>
  <c r="H35" i="1" s="1"/>
  <c r="Q26" i="1"/>
  <c r="P26" i="1"/>
  <c r="S25" i="1"/>
  <c r="R25" i="1"/>
  <c r="O25" i="1"/>
  <c r="N25" i="1"/>
  <c r="K25" i="1"/>
  <c r="J25" i="1"/>
  <c r="G25" i="1"/>
  <c r="F25" i="1"/>
  <c r="C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T26" i="1" s="1"/>
  <c r="S20" i="1"/>
  <c r="R20" i="1"/>
  <c r="Q20" i="1"/>
  <c r="Q25" i="1" s="1"/>
  <c r="Q30" i="1" s="1"/>
  <c r="Q35" i="1" s="1"/>
  <c r="P20" i="1"/>
  <c r="P25" i="1" s="1"/>
  <c r="P30" i="1" s="1"/>
  <c r="P35" i="1" s="1"/>
  <c r="O20" i="1"/>
  <c r="N20" i="1"/>
  <c r="M20" i="1"/>
  <c r="M25" i="1" s="1"/>
  <c r="M26" i="1" s="1"/>
  <c r="L20" i="1"/>
  <c r="L25" i="1" s="1"/>
  <c r="L30" i="1" s="1"/>
  <c r="L35" i="1" s="1"/>
  <c r="K20" i="1"/>
  <c r="J20" i="1"/>
  <c r="I20" i="1"/>
  <c r="I25" i="1" s="1"/>
  <c r="I26" i="1" s="1"/>
  <c r="H20" i="1"/>
  <c r="H25" i="1" s="1"/>
  <c r="H26" i="1" s="1"/>
  <c r="G20" i="1"/>
  <c r="F20" i="1"/>
  <c r="E20" i="1"/>
  <c r="E25" i="1" s="1"/>
  <c r="E30" i="1" s="1"/>
  <c r="E35" i="1" s="1"/>
  <c r="D20" i="1"/>
  <c r="D25" i="1" s="1"/>
  <c r="D26" i="1" s="1"/>
  <c r="C20" i="1"/>
  <c r="D11" i="1"/>
  <c r="E11" i="1" s="1"/>
  <c r="F11" i="1" s="1"/>
  <c r="D10" i="1"/>
  <c r="E10" i="1" s="1"/>
  <c r="F10" i="1" s="1"/>
  <c r="F9" i="1"/>
  <c r="E9" i="1"/>
  <c r="D9" i="1"/>
  <c r="F8" i="1"/>
  <c r="E8" i="1"/>
  <c r="D8" i="1"/>
  <c r="D7" i="1"/>
  <c r="E7" i="1" s="1"/>
  <c r="F7" i="1" s="1"/>
  <c r="H31" i="1" l="1"/>
  <c r="H36" i="1" s="1"/>
  <c r="H27" i="1"/>
  <c r="I31" i="1"/>
  <c r="I36" i="1" s="1"/>
  <c r="I27" i="1"/>
  <c r="T31" i="1"/>
  <c r="T36" i="1" s="1"/>
  <c r="T27" i="1"/>
  <c r="D31" i="1"/>
  <c r="D36" i="1" s="1"/>
  <c r="D27" i="1"/>
  <c r="M31" i="1"/>
  <c r="M36" i="1" s="1"/>
  <c r="M27" i="1"/>
  <c r="R30" i="1"/>
  <c r="R35" i="1" s="1"/>
  <c r="R26" i="1"/>
  <c r="G8" i="3"/>
  <c r="F8" i="3"/>
  <c r="P31" i="1"/>
  <c r="P36" i="1" s="1"/>
  <c r="P27" i="1"/>
  <c r="K30" i="1"/>
  <c r="K35" i="1" s="1"/>
  <c r="K26" i="1"/>
  <c r="N30" i="1"/>
  <c r="N35" i="1" s="1"/>
  <c r="N26" i="1"/>
  <c r="L26" i="1"/>
  <c r="D30" i="1"/>
  <c r="D35" i="1" s="1"/>
  <c r="T30" i="1"/>
  <c r="T35" i="1" s="1"/>
  <c r="C30" i="1"/>
  <c r="C35" i="1" s="1"/>
  <c r="C26" i="1"/>
  <c r="S30" i="1"/>
  <c r="S35" i="1" s="1"/>
  <c r="S26" i="1"/>
  <c r="Q31" i="1"/>
  <c r="Q36" i="1" s="1"/>
  <c r="Q27" i="1"/>
  <c r="F30" i="1"/>
  <c r="F35" i="1" s="1"/>
  <c r="F26" i="1"/>
  <c r="G30" i="1"/>
  <c r="G35" i="1" s="1"/>
  <c r="G26" i="1"/>
  <c r="E26" i="1"/>
  <c r="M30" i="1"/>
  <c r="M35" i="1" s="1"/>
  <c r="J30" i="1"/>
  <c r="J35" i="1" s="1"/>
  <c r="J26" i="1"/>
  <c r="O30" i="1"/>
  <c r="O35" i="1" s="1"/>
  <c r="O26" i="1"/>
  <c r="C21" i="2"/>
  <c r="C20" i="2"/>
  <c r="C49" i="2"/>
  <c r="G10" i="3"/>
  <c r="F10" i="3"/>
  <c r="G9" i="3"/>
  <c r="T28" i="1" l="1"/>
  <c r="T32" i="1"/>
  <c r="T37" i="1" s="1"/>
  <c r="J31" i="1"/>
  <c r="J36" i="1" s="1"/>
  <c r="J27" i="1"/>
  <c r="Q32" i="1"/>
  <c r="Q37" i="1" s="1"/>
  <c r="Q28" i="1"/>
  <c r="L31" i="1"/>
  <c r="L36" i="1" s="1"/>
  <c r="L27" i="1"/>
  <c r="M28" i="1"/>
  <c r="M32" i="1"/>
  <c r="M37" i="1" s="1"/>
  <c r="P28" i="1"/>
  <c r="P32" i="1"/>
  <c r="P37" i="1" s="1"/>
  <c r="N31" i="1"/>
  <c r="N36" i="1" s="1"/>
  <c r="N27" i="1"/>
  <c r="I28" i="1"/>
  <c r="I32" i="1"/>
  <c r="I37" i="1" s="1"/>
  <c r="F31" i="1"/>
  <c r="F36" i="1" s="1"/>
  <c r="F27" i="1"/>
  <c r="D28" i="1"/>
  <c r="D32" i="1"/>
  <c r="D37" i="1" s="1"/>
  <c r="K27" i="1"/>
  <c r="K31" i="1"/>
  <c r="K36" i="1" s="1"/>
  <c r="H32" i="1"/>
  <c r="H37" i="1" s="1"/>
  <c r="H28" i="1"/>
  <c r="O31" i="1"/>
  <c r="O36" i="1" s="1"/>
  <c r="O27" i="1"/>
  <c r="S31" i="1"/>
  <c r="S36" i="1" s="1"/>
  <c r="S27" i="1"/>
  <c r="E31" i="1"/>
  <c r="E36" i="1" s="1"/>
  <c r="E27" i="1"/>
  <c r="G31" i="1"/>
  <c r="G36" i="1" s="1"/>
  <c r="G27" i="1"/>
  <c r="C31" i="1"/>
  <c r="C36" i="1" s="1"/>
  <c r="C27" i="1"/>
  <c r="R27" i="1"/>
  <c r="R31" i="1"/>
  <c r="R36" i="1" s="1"/>
  <c r="C26" i="2"/>
  <c r="C27" i="2" s="1"/>
  <c r="C25" i="2"/>
  <c r="C24" i="2"/>
  <c r="P40" i="1" l="1"/>
  <c r="P43" i="1" s="1"/>
  <c r="P44" i="1" s="1"/>
  <c r="P45" i="1" s="1"/>
  <c r="M40" i="1"/>
  <c r="M43" i="1" s="1"/>
  <c r="M44" i="1" s="1"/>
  <c r="M45" i="1" s="1"/>
  <c r="J32" i="1"/>
  <c r="J37" i="1" s="1"/>
  <c r="J28" i="1"/>
  <c r="S32" i="1"/>
  <c r="S37" i="1" s="1"/>
  <c r="S28" i="1"/>
  <c r="K32" i="1"/>
  <c r="K37" i="1" s="1"/>
  <c r="K28" i="1"/>
  <c r="C32" i="1"/>
  <c r="C37" i="1" s="1"/>
  <c r="C28" i="1"/>
  <c r="N32" i="1"/>
  <c r="N37" i="1" s="1"/>
  <c r="N28" i="1"/>
  <c r="M33" i="1"/>
  <c r="M38" i="1" s="1"/>
  <c r="M29" i="1"/>
  <c r="M34" i="1" s="1"/>
  <c r="M39" i="1" s="1"/>
  <c r="M41" i="1" s="1"/>
  <c r="M42" i="1" s="1"/>
  <c r="G32" i="1"/>
  <c r="G37" i="1" s="1"/>
  <c r="G28" i="1"/>
  <c r="O32" i="1"/>
  <c r="O37" i="1" s="1"/>
  <c r="O28" i="1"/>
  <c r="D33" i="1"/>
  <c r="D38" i="1" s="1"/>
  <c r="D29" i="1"/>
  <c r="D34" i="1" s="1"/>
  <c r="D39" i="1" s="1"/>
  <c r="D41" i="1" s="1"/>
  <c r="D42" i="1" s="1"/>
  <c r="L32" i="1"/>
  <c r="L37" i="1" s="1"/>
  <c r="L28" i="1"/>
  <c r="F32" i="1"/>
  <c r="F37" i="1" s="1"/>
  <c r="F28" i="1"/>
  <c r="P33" i="1"/>
  <c r="P38" i="1" s="1"/>
  <c r="P29" i="1"/>
  <c r="P34" i="1" s="1"/>
  <c r="P39" i="1" s="1"/>
  <c r="P41" i="1" s="1"/>
  <c r="P42" i="1" s="1"/>
  <c r="R32" i="1"/>
  <c r="R37" i="1" s="1"/>
  <c r="R28" i="1"/>
  <c r="I33" i="1"/>
  <c r="I38" i="1" s="1"/>
  <c r="I29" i="1"/>
  <c r="I34" i="1" s="1"/>
  <c r="I39" i="1" s="1"/>
  <c r="I41" i="1" s="1"/>
  <c r="I42" i="1" s="1"/>
  <c r="T33" i="1"/>
  <c r="T38" i="1" s="1"/>
  <c r="T40" i="1" s="1"/>
  <c r="T43" i="1" s="1"/>
  <c r="T44" i="1" s="1"/>
  <c r="T45" i="1" s="1"/>
  <c r="T29" i="1"/>
  <c r="T34" i="1" s="1"/>
  <c r="T39" i="1" s="1"/>
  <c r="T41" i="1" s="1"/>
  <c r="T42" i="1" s="1"/>
  <c r="E32" i="1"/>
  <c r="E37" i="1" s="1"/>
  <c r="E28" i="1"/>
  <c r="H33" i="1"/>
  <c r="H38" i="1" s="1"/>
  <c r="H40" i="1" s="1"/>
  <c r="H43" i="1" s="1"/>
  <c r="H44" i="1" s="1"/>
  <c r="H45" i="1" s="1"/>
  <c r="H29" i="1"/>
  <c r="H34" i="1" s="1"/>
  <c r="H39" i="1" s="1"/>
  <c r="H41" i="1" s="1"/>
  <c r="H42" i="1" s="1"/>
  <c r="Q33" i="1"/>
  <c r="Q38" i="1" s="1"/>
  <c r="Q40" i="1" s="1"/>
  <c r="Q43" i="1" s="1"/>
  <c r="Q44" i="1" s="1"/>
  <c r="Q45" i="1" s="1"/>
  <c r="Q29" i="1"/>
  <c r="Q34" i="1" s="1"/>
  <c r="Q39" i="1" s="1"/>
  <c r="Q41" i="1" s="1"/>
  <c r="Q42" i="1" s="1"/>
  <c r="L33" i="1" l="1"/>
  <c r="L38" i="1" s="1"/>
  <c r="L40" i="1" s="1"/>
  <c r="L43" i="1" s="1"/>
  <c r="L44" i="1" s="1"/>
  <c r="L45" i="1" s="1"/>
  <c r="L29" i="1"/>
  <c r="L34" i="1" s="1"/>
  <c r="L39" i="1" s="1"/>
  <c r="L41" i="1" s="1"/>
  <c r="L42" i="1" s="1"/>
  <c r="S33" i="1"/>
  <c r="S38" i="1" s="1"/>
  <c r="S40" i="1" s="1"/>
  <c r="S43" i="1" s="1"/>
  <c r="S44" i="1" s="1"/>
  <c r="S45" i="1" s="1"/>
  <c r="S29" i="1"/>
  <c r="S34" i="1" s="1"/>
  <c r="S39" i="1" s="1"/>
  <c r="S41" i="1" s="1"/>
  <c r="S42" i="1" s="1"/>
  <c r="N29" i="1"/>
  <c r="N34" i="1" s="1"/>
  <c r="N39" i="1" s="1"/>
  <c r="N41" i="1" s="1"/>
  <c r="N42" i="1" s="1"/>
  <c r="N33" i="1"/>
  <c r="N38" i="1" s="1"/>
  <c r="J33" i="1"/>
  <c r="J38" i="1" s="1"/>
  <c r="J40" i="1" s="1"/>
  <c r="J43" i="1" s="1"/>
  <c r="J44" i="1" s="1"/>
  <c r="J45" i="1" s="1"/>
  <c r="J29" i="1"/>
  <c r="J34" i="1" s="1"/>
  <c r="J39" i="1" s="1"/>
  <c r="J41" i="1" s="1"/>
  <c r="J42" i="1" s="1"/>
  <c r="D40" i="1"/>
  <c r="D43" i="1" s="1"/>
  <c r="D44" i="1" s="1"/>
  <c r="D45" i="1" s="1"/>
  <c r="E33" i="1"/>
  <c r="E38" i="1" s="1"/>
  <c r="E40" i="1" s="1"/>
  <c r="E43" i="1" s="1"/>
  <c r="E44" i="1" s="1"/>
  <c r="E45" i="1" s="1"/>
  <c r="E29" i="1"/>
  <c r="E34" i="1" s="1"/>
  <c r="E39" i="1" s="1"/>
  <c r="E41" i="1" s="1"/>
  <c r="E42" i="1" s="1"/>
  <c r="O33" i="1"/>
  <c r="O38" i="1" s="1"/>
  <c r="O29" i="1"/>
  <c r="O34" i="1" s="1"/>
  <c r="O39" i="1" s="1"/>
  <c r="O41" i="1" s="1"/>
  <c r="O42" i="1" s="1"/>
  <c r="C29" i="1"/>
  <c r="C34" i="1" s="1"/>
  <c r="C39" i="1" s="1"/>
  <c r="C41" i="1" s="1"/>
  <c r="C42" i="1" s="1"/>
  <c r="C33" i="1"/>
  <c r="C38" i="1" s="1"/>
  <c r="C40" i="1" s="1"/>
  <c r="C43" i="1" s="1"/>
  <c r="C44" i="1" s="1"/>
  <c r="C45" i="1" s="1"/>
  <c r="G29" i="1"/>
  <c r="G34" i="1" s="1"/>
  <c r="G39" i="1" s="1"/>
  <c r="G41" i="1" s="1"/>
  <c r="G42" i="1" s="1"/>
  <c r="G33" i="1"/>
  <c r="G38" i="1" s="1"/>
  <c r="G40" i="1" s="1"/>
  <c r="G43" i="1" s="1"/>
  <c r="G44" i="1" s="1"/>
  <c r="G45" i="1" s="1"/>
  <c r="K29" i="1"/>
  <c r="K34" i="1" s="1"/>
  <c r="K39" i="1" s="1"/>
  <c r="K41" i="1" s="1"/>
  <c r="K42" i="1" s="1"/>
  <c r="K33" i="1"/>
  <c r="K38" i="1" s="1"/>
  <c r="K40" i="1" s="1"/>
  <c r="K43" i="1" s="1"/>
  <c r="K44" i="1" s="1"/>
  <c r="K45" i="1" s="1"/>
  <c r="I40" i="1"/>
  <c r="I43" i="1" s="1"/>
  <c r="I44" i="1" s="1"/>
  <c r="I45" i="1" s="1"/>
  <c r="R29" i="1"/>
  <c r="R34" i="1" s="1"/>
  <c r="R39" i="1" s="1"/>
  <c r="R41" i="1" s="1"/>
  <c r="R42" i="1" s="1"/>
  <c r="R33" i="1"/>
  <c r="R38" i="1" s="1"/>
  <c r="R40" i="1" s="1"/>
  <c r="R43" i="1" s="1"/>
  <c r="R44" i="1" s="1"/>
  <c r="R45" i="1" s="1"/>
  <c r="N40" i="1"/>
  <c r="N43" i="1" s="1"/>
  <c r="N44" i="1" s="1"/>
  <c r="N45" i="1" s="1"/>
  <c r="F33" i="1"/>
  <c r="F38" i="1" s="1"/>
  <c r="F40" i="1" s="1"/>
  <c r="F43" i="1" s="1"/>
  <c r="F44" i="1" s="1"/>
  <c r="F45" i="1" s="1"/>
  <c r="F29" i="1"/>
  <c r="F34" i="1" s="1"/>
  <c r="F39" i="1" s="1"/>
  <c r="F41" i="1" s="1"/>
  <c r="F42" i="1" s="1"/>
  <c r="O40" i="1"/>
  <c r="O43" i="1" s="1"/>
  <c r="O44" i="1" s="1"/>
  <c r="O45" i="1" s="1"/>
  <c r="D67" i="1" l="1"/>
  <c r="D64" i="1"/>
  <c r="D68" i="1"/>
  <c r="D65" i="1"/>
  <c r="D66" i="1"/>
  <c r="F66" i="1" l="1"/>
  <c r="E66" i="1"/>
  <c r="E65" i="1"/>
  <c r="F65" i="1"/>
  <c r="F68" i="1"/>
  <c r="E68" i="1"/>
  <c r="F76" i="1"/>
  <c r="G76" i="1" s="1"/>
  <c r="F74" i="1"/>
  <c r="G74" i="1" s="1"/>
  <c r="F72" i="1"/>
  <c r="G72" i="1" s="1"/>
  <c r="E64" i="1"/>
  <c r="F75" i="1"/>
  <c r="G75" i="1" s="1"/>
  <c r="F73" i="1"/>
  <c r="G73" i="1" s="1"/>
  <c r="C79" i="1"/>
  <c r="F64" i="1"/>
  <c r="F67" i="1"/>
  <c r="E67" i="1"/>
  <c r="C81" i="1" l="1"/>
  <c r="C82" i="1" s="1"/>
  <c r="C7" i="3"/>
  <c r="D7" i="3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<sst xmlns="http://schemas.openxmlformats.org/spreadsheetml/2006/main" count="249" uniqueCount="233">
  <si>
    <t>Implied Growth Analysis - 株式会社タイミー (215A.T)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</si>
  <si>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</si>
  <si>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</si>
  <si>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</si>
  <si>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</si>
  <si>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</si>
  <si>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</si>
  <si>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</si>
  <si>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</si>
  <si>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</si>
  <si>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</si>
  <si>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</si>
  <si>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</si>
  <si>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</si>
  <si>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</si>
  <si>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</si>
  <si>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</si>
  <si>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</si>
  <si>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</si>
  <si>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</si>
  <si>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</si>
  <si>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</si>
  <si>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</si>
  <si>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</si>
  <si>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</si>
  <si>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</si>
  <si>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</si>
  <si>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</si>
  <si>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</si>
  <si>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</si>
  <si>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</si>
  <si>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</si>
  <si>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</si>
  <si>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</si>
  <si>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</si>
  <si>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</si>
  <si>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</si>
  <si>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</si>
  <si>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</si>
  <si>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</si>
  <si>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</si>
  <si>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</si>
  <si>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</si>
  <si>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</si>
  <si>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</si>
  <si>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</si>
  <si>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</si>
  <si>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</si>
  <si>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[F]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</si>
  <si>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</si>
  <si>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</si>
  <si>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</si>
  <si>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</si>
  <si>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</si>
  <si>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</si>
  <si>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</si>
  <si>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</si>
  <si>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</si>
  <si>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</si>
  <si>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</si>
  <si>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</si>
  <si>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</si>
  <si>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</si>
  <si>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</si>
  <si>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</si>
  <si>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</si>
  <si>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</si>
  <si>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</si>
  <si>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</si>
  <si>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</si>
  <si>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</si>
  <si>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</si>
  <si>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</si>
  <si>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</si>
  <si>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</si>
  <si>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</si>
  <si>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</si>
  <si>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</si>
  <si>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</si>
  <si>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</si>
  <si>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</si>
  <si>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</si>
  <si>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</si>
  <si>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</si>
  <si>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</si>
  <si>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</si>
  <si>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</si>
  <si>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</si>
  <si>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</si>
  <si>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</si>
  <si>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</si>
  <si>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</si>
  <si>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</si>
  <si>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</si>
  <si>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</si>
  <si>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</si>
  <si>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株式会社タイミー (215A.T)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</si>
  <si>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</si>
  <si>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</si>
  <si>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</si>
  <si>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</si>
  <si>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</si>
  <si>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</si>
  <si>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</si>
  <si>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</si>
  <si>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</si>
  <si>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</si>
  <si>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</si>
  <si>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</si>
  <si>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</si>
  <si>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</si>
  <si>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</si>
  <si>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</si>
  <si>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</si>
  <si>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</si>
  <si>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</si>
  <si>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</si>
  <si>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</si>
  <si>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</si>
  <si>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</si>
  <si>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</si>
  <si>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</si>
  <si>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</si>
  <si>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</si>
  <si>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</si>
  <si>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</si>
  <si>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タイミー</t>
  </si>
  <si>
    <t>ビジョナル</t>
  </si>
  <si>
    <t>エス・エム・エス</t>
  </si>
  <si>
    <t>クラウドワークス</t>
  </si>
  <si>
    <t>ウォンテッドリー</t>
  </si>
  <si>
    <t>参考: 他倍率 (EV/EBITDA・PER)</t>
  </si>
  <si>
    <t>対象 Net Income (JPY mn)</t>
  </si>
  <si>
    <t>対象 EBITDA (JPY mn, 任意)</t>
  </si>
  <si>
    <t>-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</si>
  <si>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</si>
  <si>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</si>
  <si>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</si>
  <si>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</si>
  <si>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Market Scorecard - 株式会社タイミー (215A.T)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</si>
  <si>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</si>
  <si>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</si>
  <si>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</si>
  <si>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</si>
  <si>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</si>
  <si>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</si>
  <si>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</si>
  <si>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</si>
  <si>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</si>
  <si>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</si>
  <si>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</si>
  <si>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</si>
  <si>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</si>
  <si>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</si>
  <si>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</si>
  <si>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</si>
  <si>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</si>
  <si>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</si>
  <si>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</si>
  <si>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</si>
  <si>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</si>
  <si>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</si>
  <si>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</si>
  <si>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</si>
  <si>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</si>
  <si>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</si>
  <si>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</si>
  <si>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</si>
  <si>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</si>
  <si>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</si>
  <si>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</si>
  <si>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</si>
  <si>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</si>
  <si>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</si>
  <si>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</si>
  <si>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</si>
  <si>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</si>
  <si>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</si>
  <si>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</si>
  <si>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</si>
  <si>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</si>
  <si>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</si>
  <si>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</si>
  <si>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</si>
  <si>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</si>
  <si>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C79 行近くで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</si>
  <si>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</si>
  <si>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</si>
  <si>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株式会社タイミー (215A.T)</t>
  </si>
  <si>
    <t>2026-06-17</t>
  </si>
  <si>
    <t>6軸スコア (0/+1/+2)</t>
  </si>
  <si>
    <t>軸 (Axis)</t>
  </si>
  <si>
    <t>根拠 (Note)</t>
  </si>
  <si>
    <t>Axis</t>
  </si>
  <si>
    <t>軸1: ラベル現状 (火種/置換)</t>
  </si>
  <si>
    <t>スポットワーク国内最大手、ブランド認知は確立済み</t>
  </si>
  <si>
    <t>軸1 ラベル現状</t>
  </si>
  <si>
    <t>軸2A: 触媒ポテンシャル (燃料)</t>
  </si>
  <si>
    <t>物流・介護福祉への新業界進出、スキマワークスM&amp;A</t>
  </si>
  <si>
    <t>軸2A 触媒ポテンシャル</t>
  </si>
  <si>
    <t>軸2B: 触媒実現度 (発火)</t>
  </si>
  <si>
    <t>決算期変更で短期は見えにくいが新業界展開は着手済み</t>
  </si>
  <si>
    <t>軸2B 触媒実現度</t>
  </si>
  <si>
    <t>軸3: 拡散進行度 (到達/Stage本体)</t>
  </si>
  <si>
    <t>既に発見済み。機関・個人とも注目、セルサイドカバレッジあり</t>
  </si>
  <si>
    <t>軸3 拡散進行度</t>
  </si>
  <si>
    <t>軸4: 業績寄与の現実性</t>
  </si>
  <si>
    <t>営業利益率約20%、黒字大（寄与極大）。粗利92%</t>
  </si>
  <si>
    <t>軸4 業績寄与</t>
  </si>
  <si>
    <t>軸5: 物語持続性</t>
  </si>
  <si>
    <t>人手不足は構造的追い風。但しメルカリハロ・リクルート等競争激化</t>
  </si>
  <si>
    <t>軸5 物語持続性</t>
  </si>
  <si>
    <t>Total</t>
  </si>
  <si>
    <t>Stage 判定</t>
  </si>
  <si>
    <t>Stage</t>
  </si>
  <si>
    <t>Stage 4 (定着期)</t>
  </si>
  <si>
    <t>律速軸 (Rate-limiting)</t>
  </si>
  <si>
    <t>全軸最大</t>
  </si>
  <si>
    <t>理由 (Reason)</t>
  </si>
  <si>
    <t>全軸=2、ピアグループ書き換え達成(炎が全域に定着)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</si>
  <si>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</si>
  <si>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</si>
  <si>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</si>
  <si>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</si>
  <si>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</si>
  <si>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</si>
  <si>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</si>
  <si>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軸1(置換)=2 = 軸3(到達)=2: 置換と到達が歩調を揃えている</t>
  </si>
  <si>
    <t>業績インパクト (補助評価)</t>
  </si>
  <si>
    <t>営業利益インパクト ≈ 400.0億円 / 現状営利 67億円 = 5.97倍化余地</t>
  </si>
  <si>
    <t>最終 Verdict (Block2-4 × Stage)</t>
  </si>
  <si>
    <t>N/A</t>
  </si>
  <si>
    <t>未定義の組み合わせ: ('OBSERVE', '3-4')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</si>
</sst>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8-4077-8D2D-FEF2A1CDB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workbookViewId="0"/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6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5" spans="2:20" ht="14.5" x14ac:dyDescent="0.35">
      <c r="B5" s="43" t="s">
        <v>1</v>
      </c>
      <c r="C5" s="44"/>
      <c r="D5" s="44"/>
      <c r="E5" s="44"/>
      <c r="F5" s="44"/>
      <c r="G5" s="44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1459</v>
      </c>
      <c r="D7" s="3">
        <f>C7*99735797/1000000</f>
        <v>145514.52782300001</v>
      </c>
      <c r="E7" s="3">
        <f>D7+-2300</f>
        <v>143214.52782300001</v>
      </c>
      <c r="F7" s="3">
        <f>E7</f>
        <v>143214.52782300001</v>
      </c>
      <c r="G7" s="2" t="s">
        <v>9</v>
      </c>
    </row>
    <row r="8" spans="2:20" x14ac:dyDescent="0.2">
      <c r="B8" s="2" t="s">
        <v>10</v>
      </c>
      <c r="C8" s="3">
        <v>926.08483325592363</v>
      </c>
      <c r="D8" s="3">
        <f>C8*99735797/1000000</f>
        <v>92363.808934391651</v>
      </c>
      <c r="E8" s="3">
        <f>D8+-2300</f>
        <v>90063.808934391651</v>
      </c>
      <c r="F8" s="3">
        <f>E8</f>
        <v>90063.808934391651</v>
      </c>
      <c r="G8" s="2" t="s">
        <v>11</v>
      </c>
    </row>
    <row r="9" spans="2:20" x14ac:dyDescent="0.2">
      <c r="B9" s="2" t="s">
        <v>12</v>
      </c>
      <c r="C9" s="3">
        <v>1631</v>
      </c>
      <c r="D9" s="3">
        <f>C9*99735797/1000000</f>
        <v>162669.08490700001</v>
      </c>
      <c r="E9" s="3">
        <f>D9+-2300</f>
        <v>160369.08490700001</v>
      </c>
      <c r="F9" s="3">
        <f>E9</f>
        <v>160369.08490700001</v>
      </c>
      <c r="G9" s="2" t="s">
        <v>13</v>
      </c>
    </row>
    <row r="10" spans="2:20" x14ac:dyDescent="0.2">
      <c r="B10" s="2" t="s">
        <v>14</v>
      </c>
      <c r="C10" s="3">
        <v>1820</v>
      </c>
      <c r="D10" s="3">
        <f>C10*99735797/1000000</f>
        <v>181519.15054</v>
      </c>
      <c r="E10" s="3">
        <f>D10+-2300</f>
        <v>179219.15054</v>
      </c>
      <c r="F10" s="3">
        <f>E10</f>
        <v>179219.15054</v>
      </c>
      <c r="G10" s="2" t="s">
        <v>15</v>
      </c>
    </row>
    <row r="11" spans="2:20" x14ac:dyDescent="0.2">
      <c r="B11" s="2" t="s">
        <v>16</v>
      </c>
      <c r="C11" s="3">
        <v>6540</v>
      </c>
      <c r="D11" s="3">
        <f>C11*99735797/1000000</f>
        <v>652272.11237999995</v>
      </c>
      <c r="E11" s="3">
        <f>D11+-2300</f>
        <v>649972.11237999995</v>
      </c>
      <c r="F11" s="3">
        <f>E11</f>
        <v>649972.11237999995</v>
      </c>
      <c r="G11" s="2" t="s">
        <v>15</v>
      </c>
    </row>
    <row r="14" spans="2:20" ht="14.5" x14ac:dyDescent="0.35">
      <c r="B14" s="43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-0.125</v>
      </c>
      <c r="D20" s="6">
        <f>D17*D54</f>
        <v>-7.4999999999999997E-2</v>
      </c>
      <c r="E20" s="6">
        <f>E17*D54</f>
        <v>-2.5000000000000001E-2</v>
      </c>
      <c r="F20" s="6">
        <f>F17*D54</f>
        <v>0</v>
      </c>
      <c r="G20" s="6">
        <f>G17*D54</f>
        <v>2.5000000000000001E-2</v>
      </c>
      <c r="H20" s="6">
        <f>H17*D54</f>
        <v>0.05</v>
      </c>
      <c r="I20" s="6">
        <f>I17*D54</f>
        <v>7.4999999999999997E-2</v>
      </c>
      <c r="J20" s="6">
        <f>J17*D54</f>
        <v>0.1</v>
      </c>
      <c r="K20" s="6">
        <f>K17*D54</f>
        <v>0.125</v>
      </c>
      <c r="L20" s="6">
        <f>L17*D54</f>
        <v>0.15</v>
      </c>
      <c r="M20" s="6">
        <f>M17*D54</f>
        <v>0.17499999999999999</v>
      </c>
      <c r="N20" s="6">
        <f>N17*D54</f>
        <v>0.2</v>
      </c>
      <c r="O20" s="6">
        <f>O17*D54</f>
        <v>0.22500000000000001</v>
      </c>
      <c r="P20" s="6">
        <f>P17*D54</f>
        <v>0.25</v>
      </c>
      <c r="Q20" s="6">
        <f>Q17*D54</f>
        <v>0.27500000000000002</v>
      </c>
      <c r="R20" s="6">
        <f>R17*D54</f>
        <v>0.3</v>
      </c>
      <c r="S20" s="6">
        <f>S17*D54</f>
        <v>0.32500000000000001</v>
      </c>
      <c r="T20" s="6">
        <f>T17*D54</f>
        <v>0.375</v>
      </c>
    </row>
    <row r="21" spans="2:20" x14ac:dyDescent="0.2">
      <c r="B21" t="s">
        <v>22</v>
      </c>
      <c r="C21" s="6">
        <f>C17*E54</f>
        <v>-0.11</v>
      </c>
      <c r="D21" s="6">
        <f>D17*E54</f>
        <v>-6.6000000000000003E-2</v>
      </c>
      <c r="E21" s="6">
        <f>E17*E54</f>
        <v>-2.2000000000000002E-2</v>
      </c>
      <c r="F21" s="6">
        <f>F17*E54</f>
        <v>0</v>
      </c>
      <c r="G21" s="6">
        <f>G17*E54</f>
        <v>2.2000000000000002E-2</v>
      </c>
      <c r="H21" s="6">
        <f>H17*E54</f>
        <v>4.4000000000000004E-2</v>
      </c>
      <c r="I21" s="6">
        <f>I17*E54</f>
        <v>6.6000000000000003E-2</v>
      </c>
      <c r="J21" s="6">
        <f>J17*E54</f>
        <v>8.8000000000000009E-2</v>
      </c>
      <c r="K21" s="6">
        <f>K17*E54</f>
        <v>0.11</v>
      </c>
      <c r="L21" s="6">
        <f>L17*E54</f>
        <v>0.13200000000000001</v>
      </c>
      <c r="M21" s="6">
        <f>M17*E54</f>
        <v>0.154</v>
      </c>
      <c r="N21" s="6">
        <f>N17*E54</f>
        <v>0.17600000000000002</v>
      </c>
      <c r="O21" s="6">
        <f>O17*E54</f>
        <v>0.19800000000000001</v>
      </c>
      <c r="P21" s="6">
        <f>P17*E54</f>
        <v>0.22</v>
      </c>
      <c r="Q21" s="6">
        <f>Q17*E54</f>
        <v>0.24200000000000002</v>
      </c>
      <c r="R21" s="6">
        <f>R17*E54</f>
        <v>0.26400000000000001</v>
      </c>
      <c r="S21" s="6">
        <f>S17*E54</f>
        <v>0.28600000000000003</v>
      </c>
      <c r="T21" s="6">
        <f>T17*E54</f>
        <v>0.33</v>
      </c>
    </row>
    <row r="22" spans="2:20" x14ac:dyDescent="0.2">
      <c r="B22" t="s">
        <v>23</v>
      </c>
      <c r="C22" s="6">
        <f>C17*F54</f>
        <v>-0.1</v>
      </c>
      <c r="D22" s="6">
        <f>D17*F54</f>
        <v>-0.06</v>
      </c>
      <c r="E22" s="6">
        <f>E17*F54</f>
        <v>-2.0000000000000004E-2</v>
      </c>
      <c r="F22" s="6">
        <f>F17*F54</f>
        <v>0</v>
      </c>
      <c r="G22" s="6">
        <f>G17*F54</f>
        <v>2.0000000000000004E-2</v>
      </c>
      <c r="H22" s="6">
        <f>H17*F54</f>
        <v>4.0000000000000008E-2</v>
      </c>
      <c r="I22" s="6">
        <f>I17*F54</f>
        <v>0.06</v>
      </c>
      <c r="J22" s="6">
        <f>J17*F54</f>
        <v>8.0000000000000016E-2</v>
      </c>
      <c r="K22" s="6">
        <f>K17*F54</f>
        <v>0.1</v>
      </c>
      <c r="L22" s="6">
        <f>L17*F54</f>
        <v>0.12</v>
      </c>
      <c r="M22" s="6">
        <f>M17*F54</f>
        <v>0.13999999999999999</v>
      </c>
      <c r="N22" s="6">
        <f>N17*F54</f>
        <v>0.16000000000000003</v>
      </c>
      <c r="O22" s="6">
        <f>O17*F54</f>
        <v>0.18000000000000002</v>
      </c>
      <c r="P22" s="6">
        <f>P17*F54</f>
        <v>0.2</v>
      </c>
      <c r="Q22" s="6">
        <f>Q17*F54</f>
        <v>0.22000000000000003</v>
      </c>
      <c r="R22" s="6">
        <f>R17*F54</f>
        <v>0.24</v>
      </c>
      <c r="S22" s="6">
        <f>S17*F54</f>
        <v>0.26</v>
      </c>
      <c r="T22" s="6">
        <f>T17*F54</f>
        <v>0.30000000000000004</v>
      </c>
    </row>
    <row r="23" spans="2:20" x14ac:dyDescent="0.2">
      <c r="B23" t="s">
        <v>24</v>
      </c>
      <c r="C23" s="6">
        <f>C17*G54</f>
        <v>-8.9999999999999955E-2</v>
      </c>
      <c r="D23" s="6">
        <f>D17*G54</f>
        <v>-5.3999999999999972E-2</v>
      </c>
      <c r="E23" s="6">
        <f>E17*G54</f>
        <v>-1.7999999999999992E-2</v>
      </c>
      <c r="F23" s="6">
        <f>F17*G54</f>
        <v>0</v>
      </c>
      <c r="G23" s="6">
        <f>G17*G54</f>
        <v>1.7999999999999992E-2</v>
      </c>
      <c r="H23" s="6">
        <f>H17*G54</f>
        <v>3.5999999999999983E-2</v>
      </c>
      <c r="I23" s="6">
        <f>I17*G54</f>
        <v>5.3999999999999972E-2</v>
      </c>
      <c r="J23" s="6">
        <f>J17*G54</f>
        <v>7.1999999999999967E-2</v>
      </c>
      <c r="K23" s="6">
        <f>K17*G54</f>
        <v>8.9999999999999955E-2</v>
      </c>
      <c r="L23" s="6">
        <f>L17*G54</f>
        <v>0.10799999999999994</v>
      </c>
      <c r="M23" s="6">
        <f>M17*G54</f>
        <v>0.12599999999999992</v>
      </c>
      <c r="N23" s="6">
        <f>N17*G54</f>
        <v>0.14399999999999993</v>
      </c>
      <c r="O23" s="6">
        <f>O17*G54</f>
        <v>0.16199999999999992</v>
      </c>
      <c r="P23" s="6">
        <f>P17*G54</f>
        <v>0.17999999999999991</v>
      </c>
      <c r="Q23" s="6">
        <f>Q17*G54</f>
        <v>0.19799999999999993</v>
      </c>
      <c r="R23" s="6">
        <f>R17*G54</f>
        <v>0.21599999999999989</v>
      </c>
      <c r="S23" s="6">
        <f>S17*G54</f>
        <v>0.2339999999999999</v>
      </c>
      <c r="T23" s="6">
        <f>T17*G54</f>
        <v>0.26999999999999985</v>
      </c>
    </row>
    <row r="24" spans="2:20" x14ac:dyDescent="0.2">
      <c r="B24" t="s">
        <v>25</v>
      </c>
      <c r="C24" s="6">
        <f>C17*H54</f>
        <v>-7.9999999999999946E-2</v>
      </c>
      <c r="D24" s="6">
        <f>D17*H54</f>
        <v>-4.7999999999999966E-2</v>
      </c>
      <c r="E24" s="6">
        <f>E17*H54</f>
        <v>-1.599999999999999E-2</v>
      </c>
      <c r="F24" s="6">
        <f>F17*H54</f>
        <v>0</v>
      </c>
      <c r="G24" s="6">
        <f>G17*H54</f>
        <v>1.599999999999999E-2</v>
      </c>
      <c r="H24" s="6">
        <f>H17*H54</f>
        <v>3.199999999999998E-2</v>
      </c>
      <c r="I24" s="6">
        <f>I17*H54</f>
        <v>4.7999999999999966E-2</v>
      </c>
      <c r="J24" s="6">
        <f>J17*H54</f>
        <v>6.399999999999996E-2</v>
      </c>
      <c r="K24" s="6">
        <f>K17*H54</f>
        <v>7.9999999999999946E-2</v>
      </c>
      <c r="L24" s="6">
        <f>L17*H54</f>
        <v>9.5999999999999933E-2</v>
      </c>
      <c r="M24" s="6">
        <f>M17*H54</f>
        <v>0.11199999999999992</v>
      </c>
      <c r="N24" s="6">
        <f>N17*H54</f>
        <v>0.12799999999999992</v>
      </c>
      <c r="O24" s="6">
        <f>O17*H54</f>
        <v>0.14399999999999991</v>
      </c>
      <c r="P24" s="6">
        <f>P17*H54</f>
        <v>0.15999999999999989</v>
      </c>
      <c r="Q24" s="6">
        <f>Q17*H54</f>
        <v>0.17599999999999991</v>
      </c>
      <c r="R24" s="6">
        <f>R17*H54</f>
        <v>0.19199999999999987</v>
      </c>
      <c r="S24" s="6">
        <f>S17*H54</f>
        <v>0.20799999999999988</v>
      </c>
      <c r="T24" s="6">
        <f>T17*H54</f>
        <v>0.23999999999999982</v>
      </c>
    </row>
    <row r="25" spans="2:20" x14ac:dyDescent="0.2">
      <c r="B25" t="s">
        <v>26</v>
      </c>
      <c r="C25" s="7">
        <f>C48*(1+C20)</f>
        <v>30002.875</v>
      </c>
      <c r="D25" s="7">
        <f>C48*(1+D20)</f>
        <v>31717.325000000001</v>
      </c>
      <c r="E25" s="7">
        <f>C48*(1+E20)</f>
        <v>33431.775000000001</v>
      </c>
      <c r="F25" s="7">
        <f>C48*(1+F20)</f>
        <v>34289</v>
      </c>
      <c r="G25" s="7">
        <f>C48*(1+G20)</f>
        <v>35146.224999999999</v>
      </c>
      <c r="H25" s="7">
        <f>C48*(1+H20)</f>
        <v>36003.450000000004</v>
      </c>
      <c r="I25" s="7">
        <f>C48*(1+I20)</f>
        <v>36860.674999999996</v>
      </c>
      <c r="J25" s="7">
        <f>C48*(1+J20)</f>
        <v>37717.9</v>
      </c>
      <c r="K25" s="7">
        <f>C48*(1+K20)</f>
        <v>38575.125</v>
      </c>
      <c r="L25" s="7">
        <f>C48*(1+L20)</f>
        <v>39432.35</v>
      </c>
      <c r="M25" s="7">
        <f>C48*(1+M20)</f>
        <v>40289.575000000004</v>
      </c>
      <c r="N25" s="7">
        <f>C48*(1+N20)</f>
        <v>41146.799999999996</v>
      </c>
      <c r="O25" s="7">
        <f>C48*(1+O20)</f>
        <v>42004.025000000001</v>
      </c>
      <c r="P25" s="7">
        <f>C48*(1+P20)</f>
        <v>42861.25</v>
      </c>
      <c r="Q25" s="7">
        <f>C48*(1+Q20)</f>
        <v>43718.474999999999</v>
      </c>
      <c r="R25" s="7">
        <f>C48*(1+R20)</f>
        <v>44575.700000000004</v>
      </c>
      <c r="S25" s="7">
        <f>C48*(1+S20)</f>
        <v>45432.924999999996</v>
      </c>
      <c r="T25" s="7">
        <f>C48*(1+T20)</f>
        <v>47147.375</v>
      </c>
    </row>
    <row r="26" spans="2:20" x14ac:dyDescent="0.2">
      <c r="B26" t="s">
        <v>27</v>
      </c>
      <c r="C26" s="7">
        <f t="shared" ref="C26:L29" si="0">C25*(1+C21)</f>
        <v>26702.55875</v>
      </c>
      <c r="D26" s="7">
        <f t="shared" si="0"/>
        <v>29623.98155</v>
      </c>
      <c r="E26" s="7">
        <f t="shared" si="0"/>
        <v>32696.275949999999</v>
      </c>
      <c r="F26" s="7">
        <f t="shared" si="0"/>
        <v>34289</v>
      </c>
      <c r="G26" s="7">
        <f t="shared" si="0"/>
        <v>35919.44195</v>
      </c>
      <c r="H26" s="7">
        <f t="shared" si="0"/>
        <v>37587.601800000004</v>
      </c>
      <c r="I26" s="7">
        <f t="shared" si="0"/>
        <v>39293.479549999996</v>
      </c>
      <c r="J26" s="7">
        <f t="shared" si="0"/>
        <v>41037.075200000007</v>
      </c>
      <c r="K26" s="7">
        <f t="shared" si="0"/>
        <v>42818.388750000006</v>
      </c>
      <c r="L26" s="7">
        <f t="shared" si="0"/>
        <v>44637.4202</v>
      </c>
      <c r="M26" s="7">
        <f t="shared" ref="M26:V29" si="1">M25*(1+M21)</f>
        <v>46494.169549999999</v>
      </c>
      <c r="N26" s="7">
        <f t="shared" si="1"/>
        <v>48388.636799999993</v>
      </c>
      <c r="O26" s="7">
        <f t="shared" si="1"/>
        <v>50320.821949999998</v>
      </c>
      <c r="P26" s="7">
        <f t="shared" si="1"/>
        <v>52290.724999999999</v>
      </c>
      <c r="Q26" s="7">
        <f t="shared" si="1"/>
        <v>54298.345949999995</v>
      </c>
      <c r="R26" s="7">
        <f t="shared" si="1"/>
        <v>56343.684800000003</v>
      </c>
      <c r="S26" s="7">
        <f t="shared" si="1"/>
        <v>58426.741549999999</v>
      </c>
      <c r="T26" s="7">
        <f t="shared" si="1"/>
        <v>62706.008750000001</v>
      </c>
    </row>
    <row r="27" spans="2:20" x14ac:dyDescent="0.2">
      <c r="B27" t="s">
        <v>28</v>
      </c>
      <c r="C27" s="7">
        <f t="shared" si="0"/>
        <v>24032.302875000001</v>
      </c>
      <c r="D27" s="7">
        <f t="shared" si="0"/>
        <v>27846.542656999998</v>
      </c>
      <c r="E27" s="7">
        <f t="shared" si="0"/>
        <v>32042.350430999999</v>
      </c>
      <c r="F27" s="7">
        <f t="shared" si="0"/>
        <v>34289</v>
      </c>
      <c r="G27" s="7">
        <f t="shared" si="0"/>
        <v>36637.830789</v>
      </c>
      <c r="H27" s="7">
        <f t="shared" si="0"/>
        <v>39091.105872000007</v>
      </c>
      <c r="I27" s="7">
        <f t="shared" si="0"/>
        <v>41651.088322999996</v>
      </c>
      <c r="J27" s="7">
        <f t="shared" si="0"/>
        <v>44320.041216000012</v>
      </c>
      <c r="K27" s="7">
        <f t="shared" si="0"/>
        <v>47100.227625000007</v>
      </c>
      <c r="L27" s="7">
        <f t="shared" si="0"/>
        <v>49993.910624000004</v>
      </c>
      <c r="M27" s="7">
        <f t="shared" si="1"/>
        <v>53003.353286999991</v>
      </c>
      <c r="N27" s="7">
        <f t="shared" si="1"/>
        <v>56130.818687999999</v>
      </c>
      <c r="O27" s="7">
        <f t="shared" si="1"/>
        <v>59378.569900999995</v>
      </c>
      <c r="P27" s="7">
        <f t="shared" si="1"/>
        <v>62748.869999999995</v>
      </c>
      <c r="Q27" s="7">
        <f t="shared" si="1"/>
        <v>66243.982058999987</v>
      </c>
      <c r="R27" s="7">
        <f t="shared" si="1"/>
        <v>69866.169152000002</v>
      </c>
      <c r="S27" s="7">
        <f t="shared" si="1"/>
        <v>73617.694352999999</v>
      </c>
      <c r="T27" s="7">
        <f t="shared" si="1"/>
        <v>81517.811375000005</v>
      </c>
    </row>
    <row r="28" spans="2:20" x14ac:dyDescent="0.2">
      <c r="B28" t="s">
        <v>29</v>
      </c>
      <c r="C28" s="7">
        <f t="shared" si="0"/>
        <v>21869.395616250004</v>
      </c>
      <c r="D28" s="7">
        <f t="shared" si="0"/>
        <v>26342.829353522</v>
      </c>
      <c r="E28" s="7">
        <f t="shared" si="0"/>
        <v>31465.588123242</v>
      </c>
      <c r="F28" s="7">
        <f t="shared" si="0"/>
        <v>34289</v>
      </c>
      <c r="G28" s="7">
        <f t="shared" si="0"/>
        <v>37297.311743202001</v>
      </c>
      <c r="H28" s="7">
        <f t="shared" si="0"/>
        <v>40498.385683392007</v>
      </c>
      <c r="I28" s="7">
        <f t="shared" si="0"/>
        <v>43900.247092441998</v>
      </c>
      <c r="J28" s="7">
        <f t="shared" si="0"/>
        <v>47511.084183552019</v>
      </c>
      <c r="K28" s="7">
        <f t="shared" si="0"/>
        <v>51339.248111250003</v>
      </c>
      <c r="L28" s="7">
        <f t="shared" si="0"/>
        <v>55393.252971392001</v>
      </c>
      <c r="M28" s="7">
        <f t="shared" si="1"/>
        <v>59681.775801161981</v>
      </c>
      <c r="N28" s="7">
        <f t="shared" si="1"/>
        <v>64213.656579071991</v>
      </c>
      <c r="O28" s="7">
        <f t="shared" si="1"/>
        <v>68997.898224961988</v>
      </c>
      <c r="P28" s="7">
        <f t="shared" si="1"/>
        <v>74043.666599999997</v>
      </c>
      <c r="Q28" s="7">
        <f t="shared" si="1"/>
        <v>79360.29050668198</v>
      </c>
      <c r="R28" s="7">
        <f t="shared" si="1"/>
        <v>84957.261688832004</v>
      </c>
      <c r="S28" s="7">
        <f t="shared" si="1"/>
        <v>90844.234831601992</v>
      </c>
      <c r="T28" s="7">
        <f t="shared" si="1"/>
        <v>103527.62044624999</v>
      </c>
    </row>
    <row r="29" spans="2:20" x14ac:dyDescent="0.2">
      <c r="B29" t="s">
        <v>30</v>
      </c>
      <c r="C29" s="7">
        <f t="shared" si="0"/>
        <v>20119.843966950004</v>
      </c>
      <c r="D29" s="7">
        <f t="shared" si="0"/>
        <v>25078.373544552946</v>
      </c>
      <c r="E29" s="7">
        <f t="shared" si="0"/>
        <v>30962.138713270127</v>
      </c>
      <c r="F29" s="7">
        <f t="shared" si="0"/>
        <v>34289</v>
      </c>
      <c r="G29" s="7">
        <f t="shared" si="0"/>
        <v>37894.068731093234</v>
      </c>
      <c r="H29" s="7">
        <f t="shared" si="0"/>
        <v>41794.334025260556</v>
      </c>
      <c r="I29" s="7">
        <f t="shared" si="0"/>
        <v>46007.458952879213</v>
      </c>
      <c r="J29" s="7">
        <f t="shared" si="0"/>
        <v>50551.793571299349</v>
      </c>
      <c r="K29" s="7">
        <f t="shared" si="0"/>
        <v>55446.387960149994</v>
      </c>
      <c r="L29" s="7">
        <f t="shared" si="0"/>
        <v>60711.005256645629</v>
      </c>
      <c r="M29" s="7">
        <f t="shared" si="1"/>
        <v>66366.134690892111</v>
      </c>
      <c r="N29" s="7">
        <f t="shared" si="1"/>
        <v>72433.004621193191</v>
      </c>
      <c r="O29" s="7">
        <f t="shared" si="1"/>
        <v>78933.595569356505</v>
      </c>
      <c r="P29" s="7">
        <f t="shared" si="1"/>
        <v>85890.653255999991</v>
      </c>
      <c r="Q29" s="7">
        <f t="shared" si="1"/>
        <v>93327.701635858</v>
      </c>
      <c r="R29" s="7">
        <f t="shared" si="1"/>
        <v>101269.05593308774</v>
      </c>
      <c r="S29" s="7">
        <f t="shared" si="1"/>
        <v>109739.83567657521</v>
      </c>
      <c r="T29" s="7">
        <f t="shared" si="1"/>
        <v>128374.24935334997</v>
      </c>
    </row>
    <row r="30" spans="2:20" x14ac:dyDescent="0.2">
      <c r="B30" t="s">
        <v>31</v>
      </c>
      <c r="C30" s="7">
        <f>C25*(C50+C17*(D55-C50))</f>
        <v>5795.1442499999976</v>
      </c>
      <c r="D30" s="7">
        <f>D25*(C50+D17*(D55-C50))</f>
        <v>6172.1672099999978</v>
      </c>
      <c r="E30" s="7">
        <f>E25*(C50+E17*(D55-C50))</f>
        <v>6554.1492899999976</v>
      </c>
      <c r="F30" s="7">
        <f>F25*(C50+F17*(D55-C50))</f>
        <v>6746.9999999999982</v>
      </c>
      <c r="G30" s="7">
        <f>G25*(C50+G17*(D55-C50))</f>
        <v>6941.0904899999978</v>
      </c>
      <c r="H30" s="7">
        <f>H25*(C50+H17*(D55-C50))</f>
        <v>7136.4207599999991</v>
      </c>
      <c r="I30" s="7">
        <f>I25*(C50+I17*(D55-C50))</f>
        <v>7332.9908099999966</v>
      </c>
      <c r="J30" s="7">
        <f>J25*(C50+J17*(D55-C50))</f>
        <v>7530.8006399999986</v>
      </c>
      <c r="K30" s="7">
        <f>K25*(C50+K17*(D55-C50))</f>
        <v>7729.8502499999986</v>
      </c>
      <c r="L30" s="7">
        <f>L25*(C50+L17*(D55-C50))</f>
        <v>7930.1396399999985</v>
      </c>
      <c r="M30" s="7">
        <f>M25*(C50+M17*(D55-C50))</f>
        <v>8131.6688100000001</v>
      </c>
      <c r="N30" s="7">
        <f>N25*(C50+N17*(D55-C50))</f>
        <v>8334.4377599999971</v>
      </c>
      <c r="O30" s="7">
        <f>O25*(C50+O17*(D55-C50))</f>
        <v>8538.4464899999984</v>
      </c>
      <c r="P30" s="7">
        <f>P25*(C50+P17*(D55-C50))</f>
        <v>8743.6949999999997</v>
      </c>
      <c r="Q30" s="7">
        <f>Q25*(C50+Q17*(D55-C50))</f>
        <v>8950.183289999999</v>
      </c>
      <c r="R30" s="7">
        <f>R25*(C50+R17*(D55-C50))</f>
        <v>9157.9113600000019</v>
      </c>
      <c r="S30" s="7">
        <f>S25*(C50+S17*(D55-C50))</f>
        <v>9366.8792099999991</v>
      </c>
      <c r="T30" s="7">
        <f>T25*(C50+T17*(D55-C50))</f>
        <v>9788.5342500000006</v>
      </c>
    </row>
    <row r="31" spans="2:20" x14ac:dyDescent="0.2">
      <c r="B31" t="s">
        <v>32</v>
      </c>
      <c r="C31" s="7">
        <f>C26*(C50+C17*(E55-C50))</f>
        <v>5077.5707062499987</v>
      </c>
      <c r="D31" s="7">
        <f>D26*(C50+D17*(E55-C50))</f>
        <v>5711.4810073499984</v>
      </c>
      <c r="E31" s="7">
        <f>E26*(C50+E17*(E55-C50))</f>
        <v>6390.3402400499981</v>
      </c>
      <c r="F31" s="7">
        <f>F26*(C50+F17*(E55-C50))</f>
        <v>6746.9999999999982</v>
      </c>
      <c r="G31" s="7">
        <f>G26*(C50+G17*(E55-C50))</f>
        <v>7115.3461459499977</v>
      </c>
      <c r="H31" s="7">
        <f>H26*(C50+H17*(E55-C50))</f>
        <v>7495.5283955999985</v>
      </c>
      <c r="I31" s="7">
        <f>I26*(C50+I17*(E55-C50))</f>
        <v>7887.6964666499971</v>
      </c>
      <c r="J31" s="7">
        <f>J26*(C50+J17*(E55-C50))</f>
        <v>8292.0000767999991</v>
      </c>
      <c r="K31" s="7">
        <f>K26*(C50+K17*(E55-C50))</f>
        <v>8708.5889437499991</v>
      </c>
      <c r="L31" s="7">
        <f>L26*(C50+L17*(E55-C50))</f>
        <v>9137.6127851999954</v>
      </c>
      <c r="M31" s="7">
        <f>M26*(C50+M17*(E55-C50))</f>
        <v>9579.2213188499954</v>
      </c>
      <c r="N31" s="7">
        <f>N26*(C50+N17*(E55-C50))</f>
        <v>10033.564262399994</v>
      </c>
      <c r="O31" s="7">
        <f>O26*(C50+O17*(E55-C50))</f>
        <v>10500.791333549994</v>
      </c>
      <c r="P31" s="7">
        <f>P26*(C50+P17*(E55-C50))</f>
        <v>10981.052249999995</v>
      </c>
      <c r="Q31" s="7">
        <f>Q26*(C50+Q17*(E55-C50))</f>
        <v>11474.496729449995</v>
      </c>
      <c r="R31" s="7">
        <f>R26*(C50+R17*(E55-C50))</f>
        <v>11981.274489599995</v>
      </c>
      <c r="S31" s="7">
        <f>S26*(C50+S17*(E55-C50))</f>
        <v>12501.535248149994</v>
      </c>
      <c r="T31" s="7">
        <f>T26*(C50+T17*(E55-C50))</f>
        <v>13583.104631249993</v>
      </c>
    </row>
    <row r="32" spans="2:20" x14ac:dyDescent="0.2">
      <c r="B32" t="s">
        <v>33</v>
      </c>
      <c r="C32" s="7">
        <f>C27*(C50+C17*(F55-C50))</f>
        <v>4509.7328784374986</v>
      </c>
      <c r="D32" s="7">
        <f>D27*(C50+D17*(F55-C50))</f>
        <v>5327.0223329234968</v>
      </c>
      <c r="E32" s="7">
        <f>E27*(C50+E17*(F55-C50))</f>
        <v>6246.512260033498</v>
      </c>
      <c r="F32" s="7">
        <f>F27*(C50+F17*(F55-C50))</f>
        <v>6746.9999999999982</v>
      </c>
      <c r="G32" s="7">
        <f>G27*(C50+G17*(F55-C50))</f>
        <v>7275.9719842634977</v>
      </c>
      <c r="H32" s="7">
        <f>H27*(C50+H17*(F55-C50))</f>
        <v>7834.4406372959993</v>
      </c>
      <c r="I32" s="7">
        <f>I27*(C50+I17*(F55-C50))</f>
        <v>8423.4348871334987</v>
      </c>
      <c r="J32" s="7">
        <f>J27*(C50+J17*(F55-C50))</f>
        <v>9044.000165376001</v>
      </c>
      <c r="K32" s="7">
        <f>K27*(C50+K17*(F55-C50))</f>
        <v>9697.1984071874995</v>
      </c>
      <c r="L32" s="7">
        <f>L27*(C50+L17*(F55-C50))</f>
        <v>10384.108051296</v>
      </c>
      <c r="M32" s="7">
        <f>M27*(C50+M17*(F55-C50))</f>
        <v>11105.824039993497</v>
      </c>
      <c r="N32" s="7">
        <f>N27*(C50+N17*(F55-C50))</f>
        <v>11863.457819136</v>
      </c>
      <c r="O32" s="7">
        <f>O27*(C50+O17*(F55-C50))</f>
        <v>12658.137338143499</v>
      </c>
      <c r="P32" s="7">
        <f>P27*(C50+P17*(F55-C50))</f>
        <v>13491.007049999998</v>
      </c>
      <c r="Q32" s="7">
        <f>Q27*(C50+Q17*(F55-C50))</f>
        <v>14363.227911253496</v>
      </c>
      <c r="R32" s="7">
        <f>R27*(C50+R17*(F55-C50))</f>
        <v>15275.977382016001</v>
      </c>
      <c r="S32" s="7">
        <f>S27*(C50+S17*(F55-C50))</f>
        <v>16230.449425963501</v>
      </c>
      <c r="T32" s="7">
        <f>T27*(C50+T17*(F55-C50))</f>
        <v>18269.419605937503</v>
      </c>
    </row>
    <row r="33" spans="2:20" x14ac:dyDescent="0.2">
      <c r="B33" t="s">
        <v>34</v>
      </c>
      <c r="C33" s="7">
        <f>C28*(C50+C17*(G55-C50))</f>
        <v>4049.1834303374985</v>
      </c>
      <c r="D33" s="7">
        <f>D28*(C50+D17*(G55-C50))</f>
        <v>4999.8488829153457</v>
      </c>
      <c r="E33" s="7">
        <f>E28*(C50+E17*(G55-C50))</f>
        <v>6118.3422452912737</v>
      </c>
      <c r="F33" s="7">
        <f>F28*(C50+F17*(G55-C50))</f>
        <v>6746.9999999999982</v>
      </c>
      <c r="G33" s="7">
        <f>G28*(C50+G17*(G55-C50))</f>
        <v>7425.5881358518418</v>
      </c>
      <c r="H33" s="7">
        <f>H28*(C50+H17*(G55-C50))</f>
        <v>8156.9788859220471</v>
      </c>
      <c r="I33" s="7">
        <f>I28*(C50+I17*(G55-C50))</f>
        <v>8944.1507416773711</v>
      </c>
      <c r="J33" s="7">
        <f>J28*(C50+J17*(G55-C50))</f>
        <v>9790.1903456501786</v>
      </c>
      <c r="K33" s="7">
        <f>K28*(C50+K17*(G55-C50))</f>
        <v>10698.2943841125</v>
      </c>
      <c r="L33" s="7">
        <f>L28*(C50+L17*(G55-C50))</f>
        <v>11671.771479750143</v>
      </c>
      <c r="M33" s="7">
        <f>M28*(C50+M17*(G55-C50))</f>
        <v>12714.044084336741</v>
      </c>
      <c r="N33" s="7">
        <f>N28*(C50+N17*(G55-C50))</f>
        <v>13828.65037140787</v>
      </c>
      <c r="O33" s="7">
        <f>O28*(C50+O17*(G55-C50))</f>
        <v>15019.246128935074</v>
      </c>
      <c r="P33" s="7">
        <f>P28*(C50+P17*(G55-C50))</f>
        <v>16289.606651999999</v>
      </c>
      <c r="Q33" s="7">
        <f>Q28*(C50+Q17*(G55-C50))</f>
        <v>17643.628635468438</v>
      </c>
      <c r="R33" s="7">
        <f>R28*(C50+R17*(G55-C50))</f>
        <v>19085.33206666445</v>
      </c>
      <c r="S33" s="7">
        <f>S28*(C50+S17*(G55-C50))</f>
        <v>20618.862118044373</v>
      </c>
      <c r="T33" s="7">
        <f>T28*(C50+T17*(G55-C50))</f>
        <v>23978.620052887502</v>
      </c>
    </row>
    <row r="34" spans="2:20" x14ac:dyDescent="0.2">
      <c r="B34" t="s">
        <v>35</v>
      </c>
      <c r="C34" s="7">
        <f>C29*(C50+C17*(H55-C50))</f>
        <v>3674.9491459931237</v>
      </c>
      <c r="D34" s="7">
        <f>D29*(C50+D17*(H55-C50))</f>
        <v>4722.2385762185795</v>
      </c>
      <c r="E34" s="7">
        <f>E29*(C50+E17*(H55-C50))</f>
        <v>6004.9677000099782</v>
      </c>
      <c r="F34" s="7">
        <f>F29*(C50+F17*(H55-C50))</f>
        <v>6746.9999999999982</v>
      </c>
      <c r="G34" s="7">
        <f>G29*(C50+G17*(H55-C50))</f>
        <v>7563.3445803910181</v>
      </c>
      <c r="H34" s="7">
        <f>H29*(C50+H17*(H55-C50))</f>
        <v>8459.7965442968143</v>
      </c>
      <c r="I34" s="7">
        <f>I29*(C50+I17*(H55-C50))</f>
        <v>9442.4811657072023</v>
      </c>
      <c r="J34" s="7">
        <f>J29*(C50+J17*(H55-C50))</f>
        <v>10517.866114914388</v>
      </c>
      <c r="K34" s="7">
        <f>K29*(C50+K17*(H55-C50))</f>
        <v>11692.773904741873</v>
      </c>
      <c r="L34" s="7">
        <f>L29*(C50+L17*(H55-C50))</f>
        <v>12974.394557576092</v>
      </c>
      <c r="M34" s="7">
        <f>M29*(C50+M17*(H55-C50))</f>
        <v>14370.298493200578</v>
      </c>
      <c r="N34" s="7">
        <f>N29*(C50+N17*(H55-C50))</f>
        <v>15888.449637432846</v>
      </c>
      <c r="O34" s="7">
        <f>O29*(C50+O17*(H55-C50))</f>
        <v>17537.218751563825</v>
      </c>
      <c r="P34" s="7">
        <f>P29*(C50+P17*(H55-C50))</f>
        <v>19325.396982599999</v>
      </c>
      <c r="Q34" s="7">
        <f>Q29*(C50+Q17*(H55-C50))</f>
        <v>21262.209634308103</v>
      </c>
      <c r="R34" s="7">
        <f>R29*(C50+R17*(H55-C50))</f>
        <v>23357.330159062549</v>
      </c>
      <c r="S34" s="7">
        <f>S29*(C50+S17*(H55-C50))</f>
        <v>25620.894370495342</v>
      </c>
      <c r="T34" s="7">
        <f>T29*(C50+T17*(H55-C50))</f>
        <v>30696.295735730622</v>
      </c>
    </row>
    <row r="35" spans="2:20" x14ac:dyDescent="0.2">
      <c r="B35" t="s">
        <v>36</v>
      </c>
      <c r="C35" s="7">
        <f>MAX(0,C30*(1-0.3062))+D56-D57-D58</f>
        <v>378.94069366369695</v>
      </c>
      <c r="D35" s="7">
        <f>MAX(0,D30*(1-0.3062))+D56-D57-D58</f>
        <v>640.51922331169681</v>
      </c>
      <c r="E35" s="7">
        <f>MAX(0,E30*(1-0.3062))+D56-D57-D58</f>
        <v>905.53839041569609</v>
      </c>
      <c r="F35" s="7">
        <f>MAX(0,F30*(1-0.3062))+D56-D57-D58</f>
        <v>1039.338213013697</v>
      </c>
      <c r="G35" s="7">
        <f>MAX(0,G30*(1-0.3062))+D56-D57-D58</f>
        <v>1173.9981949756966</v>
      </c>
      <c r="H35" s="7">
        <f>MAX(0,H30*(1-0.3062))+D56-D57-D58</f>
        <v>1309.5183363016977</v>
      </c>
      <c r="I35" s="7">
        <f>MAX(0,I30*(1-0.3062))+D56-D57-D58</f>
        <v>1445.8986369916956</v>
      </c>
      <c r="J35" s="7">
        <f>MAX(0,J30*(1-0.3062))+D56-D57-D58</f>
        <v>1583.1390970456969</v>
      </c>
      <c r="K35" s="7">
        <f>MAX(0,K30*(1-0.3062))+D56-D57-D58</f>
        <v>1721.2397164636968</v>
      </c>
      <c r="L35" s="7">
        <f>MAX(0,L30*(1-0.3062))+D56-D57-D58</f>
        <v>1860.2004952456973</v>
      </c>
      <c r="M35" s="7">
        <f>MAX(0,M30*(1-0.3062))+D56-D57-D58</f>
        <v>2000.0214333916983</v>
      </c>
      <c r="N35" s="7">
        <f>MAX(0,N30*(1-0.3062))+D56-D57-D58</f>
        <v>2140.7025309016963</v>
      </c>
      <c r="O35" s="7">
        <f>MAX(0,O30*(1-0.3062))+D56-D57-D58</f>
        <v>2282.2437877756965</v>
      </c>
      <c r="P35" s="7">
        <f>MAX(0,P30*(1-0.3062))+D56-D57-D58</f>
        <v>2424.6452040136983</v>
      </c>
      <c r="Q35" s="7">
        <f>MAX(0,Q30*(1-0.3062))+D56-D57-D58</f>
        <v>2567.9067796156978</v>
      </c>
      <c r="R35" s="7">
        <f>MAX(0,R30*(1-0.3062))+D56-D57-D58</f>
        <v>2712.0285145816997</v>
      </c>
      <c r="S35" s="7">
        <f>MAX(0,S30*(1-0.3062))+D56-D57-D58</f>
        <v>2857.0104089116976</v>
      </c>
      <c r="T35" s="7">
        <f>MAX(0,T30*(1-0.3062))+D56-D57-D58</f>
        <v>3149.5546756636986</v>
      </c>
    </row>
    <row r="36" spans="2:20" x14ac:dyDescent="0.2">
      <c r="B36" t="s">
        <v>37</v>
      </c>
      <c r="C36" s="7">
        <f>MAX(0,C31*(1-0.3062))+E56-E57-E58</f>
        <v>2242.6716208592625</v>
      </c>
      <c r="D36" s="7">
        <f>MAX(0,D31*(1-0.3062))+E56-E57-E58</f>
        <v>2682.4785877624417</v>
      </c>
      <c r="E36" s="7">
        <f>MAX(0,E31*(1-0.3062))+E56-E57-E58</f>
        <v>3153.4711234097012</v>
      </c>
      <c r="F36" s="7">
        <f>MAX(0,F31*(1-0.3062))+E56-E57-E58</f>
        <v>3400.9216648630118</v>
      </c>
      <c r="G36" s="7">
        <f>MAX(0,G31*(1-0.3062))+E56-E57-E58</f>
        <v>3656.4802209231211</v>
      </c>
      <c r="H36" s="7">
        <f>MAX(0,H31*(1-0.3062))+E56-E57-E58</f>
        <v>3920.250665730292</v>
      </c>
      <c r="I36" s="7">
        <f>MAX(0,I31*(1-0.3062))+E56-E57-E58</f>
        <v>4192.3368734247806</v>
      </c>
      <c r="J36" s="7">
        <f>MAX(0,J31*(1-0.3062))+E56-E57-E58</f>
        <v>4472.8427181468523</v>
      </c>
      <c r="K36" s="7">
        <f>MAX(0,K31*(1-0.3062))+E56-E57-E58</f>
        <v>4761.8720740367626</v>
      </c>
      <c r="L36" s="7">
        <f>MAX(0,L31*(1-0.3062))+E56-E57-E58</f>
        <v>5059.5288152347694</v>
      </c>
      <c r="M36" s="7">
        <f>MAX(0,M31*(1-0.3062))+E56-E57-E58</f>
        <v>5365.9168158811399</v>
      </c>
      <c r="N36" s="7">
        <f>MAX(0,N31*(1-0.3062))+E56-E57-E58</f>
        <v>5681.1399501161286</v>
      </c>
      <c r="O36" s="7">
        <f>MAX(0,O31*(1-0.3062))+E56-E57-E58</f>
        <v>6005.3020920799991</v>
      </c>
      <c r="P36" s="7">
        <f>MAX(0,P31*(1-0.3062))+E56-E57-E58</f>
        <v>6338.5071159130093</v>
      </c>
      <c r="Q36" s="7">
        <f>MAX(0,Q31*(1-0.3062))+E56-E57-E58</f>
        <v>6680.8588957554184</v>
      </c>
      <c r="R36" s="7">
        <f>MAX(0,R31*(1-0.3062))+E56-E57-E58</f>
        <v>7032.461305747489</v>
      </c>
      <c r="S36" s="7">
        <f>MAX(0,S31*(1-0.3062))+E56-E57-E58</f>
        <v>7393.4182200294781</v>
      </c>
      <c r="T36" s="7">
        <f>MAX(0,T31*(1-0.3062))+E56-E57-E58</f>
        <v>8143.8110580242574</v>
      </c>
    </row>
    <row r="37" spans="2:20" x14ac:dyDescent="0.2">
      <c r="B37" t="s">
        <v>38</v>
      </c>
      <c r="C37" s="7">
        <f>MAX(0,C32*(1-0.3062))+F56-F57-F58</f>
        <v>1685.2848316352793</v>
      </c>
      <c r="D37" s="7">
        <f>MAX(0,D32*(1-0.3062))+F56-F57-F58</f>
        <v>2252.3202551576651</v>
      </c>
      <c r="E37" s="7">
        <f>MAX(0,E32*(1-0.3062))+F56-F57-F58</f>
        <v>2890.262366586584</v>
      </c>
      <c r="F37" s="7">
        <f>MAX(0,F32*(1-0.3062))+F56-F57-F58</f>
        <v>3237.5007605753417</v>
      </c>
      <c r="G37" s="7">
        <f>MAX(0,G32*(1-0.3062))+F56-F57-F58</f>
        <v>3604.5015232573578</v>
      </c>
      <c r="H37" s="7">
        <f>MAX(0,H32*(1-0.3062))+F56-F57-F58</f>
        <v>3991.9670747313075</v>
      </c>
      <c r="I37" s="7">
        <f>MAX(0,I32*(1-0.3062))+F56-F57-F58</f>
        <v>4400.6112852685637</v>
      </c>
      <c r="J37" s="7">
        <f>MAX(0,J32*(1-0.3062))+F56-F57-F58</f>
        <v>4831.1594753132122</v>
      </c>
      <c r="K37" s="7">
        <f>MAX(0,K32*(1-0.3062))+F56-F57-F58</f>
        <v>5284.3484154820298</v>
      </c>
      <c r="L37" s="7">
        <f>MAX(0,L32*(1-0.3062))+F56-F57-F58</f>
        <v>5760.9263265645077</v>
      </c>
      <c r="M37" s="7">
        <f>MAX(0,M32*(1-0.3062))+F56-F57-F58</f>
        <v>6261.6528795228305</v>
      </c>
      <c r="N37" s="7">
        <f>MAX(0,N32*(1-0.3062))+F56-F57-F58</f>
        <v>6787.2991954919007</v>
      </c>
      <c r="O37" s="7">
        <f>MAX(0,O32*(1-0.3062))+F56-F57-F58</f>
        <v>7338.6478457793028</v>
      </c>
      <c r="P37" s="7">
        <f>MAX(0,P32*(1-0.3062))+F56-F57-F58</f>
        <v>7916.4928518653423</v>
      </c>
      <c r="Q37" s="7">
        <f>MAX(0,Q32*(1-0.3062))+F56-F57-F58</f>
        <v>8521.6396854030208</v>
      </c>
      <c r="R37" s="7">
        <f>MAX(0,R32*(1-0.3062))+F56-F57-F58</f>
        <v>9154.9052682180445</v>
      </c>
      <c r="S37" s="7">
        <f>MAX(0,S32*(1-0.3062))+F56-F57-F58</f>
        <v>9817.1179723088208</v>
      </c>
      <c r="T37" s="7">
        <f>MAX(0,T32*(1-0.3062))+F56-F57-F58</f>
        <v>11231.755483174784</v>
      </c>
    </row>
    <row r="38" spans="2:20" x14ac:dyDescent="0.2">
      <c r="B38" t="s">
        <v>39</v>
      </c>
      <c r="C38" s="7">
        <f>MAX(0,C33*(1-0.3062))+G56-G57-G58</f>
        <v>1218.8957623895262</v>
      </c>
      <c r="D38" s="7">
        <f>MAX(0,D33*(1-0.3062))+G56-G57-G58</f>
        <v>1878.4674533880366</v>
      </c>
      <c r="E38" s="7">
        <f>MAX(0,E33*(1-0.3062))+G56-G57-G58</f>
        <v>2654.4781482044555</v>
      </c>
      <c r="F38" s="7">
        <f>MAX(0,F33*(1-0.3062))+G56-G57-G58</f>
        <v>3090.640898421369</v>
      </c>
      <c r="G38" s="7">
        <f>MAX(0,G33*(1-0.3062))+G56-G57-G58</f>
        <v>3561.4453470753783</v>
      </c>
      <c r="H38" s="7">
        <f>MAX(0,H33*(1-0.3062))+G56-G57-G58</f>
        <v>4068.8842494740861</v>
      </c>
      <c r="I38" s="7">
        <f>MAX(0,I33*(1-0.3062))+G56-G57-G58</f>
        <v>4615.0240829971299</v>
      </c>
      <c r="J38" s="7">
        <f>MAX(0,J33*(1-0.3062))+G56-G57-G58</f>
        <v>5202.0063602334649</v>
      </c>
      <c r="K38" s="7">
        <f>MAX(0,K33*(1-0.3062))+G56-G57-G58</f>
        <v>5832.048942118623</v>
      </c>
      <c r="L38" s="7">
        <f>MAX(0,L33*(1-0.3062))+G56-G57-G58</f>
        <v>6507.44735107202</v>
      </c>
      <c r="M38" s="7">
        <f>MAX(0,M33*(1-0.3062))+G56-G57-G58</f>
        <v>7230.5760841342017</v>
      </c>
      <c r="N38" s="7">
        <f>MAX(0,N33*(1-0.3062))+G56-G57-G58</f>
        <v>8003.8899261041515</v>
      </c>
      <c r="O38" s="7">
        <f>MAX(0,O33*(1-0.3062))+G56-G57-G58</f>
        <v>8829.9252626765265</v>
      </c>
      <c r="P38" s="7">
        <f>MAX(0,P33*(1-0.3062))+G56-G57-G58</f>
        <v>9711.3013935789695</v>
      </c>
      <c r="Q38" s="7">
        <f>MAX(0,Q33*(1-0.3062))+G56-G57-G58</f>
        <v>10650.721845709373</v>
      </c>
      <c r="R38" s="7">
        <f>MAX(0,R33*(1-0.3062))+G56-G57-G58</f>
        <v>11650.975686273167</v>
      </c>
      <c r="S38" s="7">
        <f>MAX(0,S33*(1-0.3062))+G56-G57-G58</f>
        <v>12714.938835920557</v>
      </c>
      <c r="T38" s="7">
        <f>MAX(0,T33*(1-0.3062))+G56-G57-G58</f>
        <v>15045.938891114718</v>
      </c>
    </row>
    <row r="39" spans="2:20" x14ac:dyDescent="0.2">
      <c r="B39" t="s">
        <v>40</v>
      </c>
      <c r="C39" s="7">
        <f>MAX(0,C34*(1-0.3062))+H56-H57-H58</f>
        <v>840.3624023897778</v>
      </c>
      <c r="D39" s="7">
        <f>MAX(0,D34*(1-0.3062))+H56-H57-H58</f>
        <v>1566.9718090801994</v>
      </c>
      <c r="E39" s="7">
        <f>MAX(0,E34*(1-0.3062))+H56-H57-H58</f>
        <v>2456.9292751666721</v>
      </c>
      <c r="F39" s="7">
        <f>MAX(0,F34*(1-0.3062))+H56-H57-H58</f>
        <v>2971.7512848997485</v>
      </c>
      <c r="G39" s="7">
        <f>MAX(0,G34*(1-0.3062))+H56-H57-H58</f>
        <v>3538.1311547750374</v>
      </c>
      <c r="H39" s="7">
        <f>MAX(0,H34*(1-0.3062))+H56-H57-H58</f>
        <v>4160.0895273328788</v>
      </c>
      <c r="I39" s="7">
        <f>MAX(0,I34*(1-0.3062))+H56-H57-H58</f>
        <v>4841.8761176674052</v>
      </c>
      <c r="J39" s="7">
        <f>MAX(0,J34*(1-0.3062))+H56-H57-H58</f>
        <v>5587.9781954273512</v>
      </c>
      <c r="K39" s="7">
        <f>MAX(0,K34*(1-0.3062))+H56-H57-H58</f>
        <v>6403.1292200096595</v>
      </c>
      <c r="L39" s="7">
        <f>MAX(0,L34*(1-0.3062))+H56-H57-H58</f>
        <v>7292.3176289460407</v>
      </c>
      <c r="M39" s="7">
        <f>MAX(0,M34*(1-0.3062))+H56-H57-H58</f>
        <v>8260.7957794823087</v>
      </c>
      <c r="N39" s="7">
        <f>MAX(0,N34*(1-0.3062))+H56-H57-H58</f>
        <v>9314.0890433506556</v>
      </c>
      <c r="O39" s="7">
        <f>MAX(0,O34*(1-0.3062))+H56-H57-H58</f>
        <v>10458.005054734729</v>
      </c>
      <c r="P39" s="7">
        <f>MAX(0,P34*(1-0.3062))+H56-H57-H58</f>
        <v>11698.643111427627</v>
      </c>
      <c r="Q39" s="7">
        <f>MAX(0,Q34*(1-0.3062))+H56-H57-H58</f>
        <v>13042.40372918271</v>
      </c>
      <c r="R39" s="7">
        <f>MAX(0,R34*(1-0.3062))+H56-H57-H58</f>
        <v>14495.998349257343</v>
      </c>
      <c r="S39" s="7">
        <f>MAX(0,S34*(1-0.3062))+H56-H57-H58</f>
        <v>16066.45919914942</v>
      </c>
      <c r="T39" s="7">
        <f>MAX(0,T34*(1-0.3062))+H56-H57-H58</f>
        <v>19587.772666349658</v>
      </c>
    </row>
    <row r="40" spans="2:20" ht="14" x14ac:dyDescent="0.3">
      <c r="B40" s="5" t="s">
        <v>41</v>
      </c>
      <c r="C40" s="7">
        <f t="shared" ref="C40:T40" si="2">C35/(1+0.119761904761904)^(1+0)+C36/(1+0.119761904761904)^(1+1)+C37/(1+0.119761904761904)^(1+2)+C38/(1+0.119761904761904)^(1+3)+C39/(1+0.119761904761904)^(1+4)</f>
        <v>4579.9748241806219</v>
      </c>
      <c r="D40" s="7">
        <f t="shared" si="2"/>
        <v>6400.4619782622303</v>
      </c>
      <c r="E40" s="7">
        <f t="shared" si="2"/>
        <v>8466.2441912051072</v>
      </c>
      <c r="F40" s="7">
        <f t="shared" si="2"/>
        <v>9600.2584798540774</v>
      </c>
      <c r="G40" s="7">
        <f t="shared" si="2"/>
        <v>10806.903365027038</v>
      </c>
      <c r="H40" s="7">
        <f t="shared" si="2"/>
        <v>12090.313334092076</v>
      </c>
      <c r="I40" s="7">
        <f t="shared" si="2"/>
        <v>13454.808041362714</v>
      </c>
      <c r="J40" s="7">
        <f t="shared" si="2"/>
        <v>14904.897961364517</v>
      </c>
      <c r="K40" s="7">
        <f t="shared" si="2"/>
        <v>16445.290129119763</v>
      </c>
      <c r="L40" s="7">
        <f t="shared" si="2"/>
        <v>18080.89396745048</v>
      </c>
      <c r="M40" s="7">
        <f t="shared" si="2"/>
        <v>19816.827201299529</v>
      </c>
      <c r="N40" s="7">
        <f t="shared" si="2"/>
        <v>21658.421859070018</v>
      </c>
      <c r="O40" s="7">
        <f t="shared" si="2"/>
        <v>23611.23036098278</v>
      </c>
      <c r="P40" s="7">
        <f t="shared" si="2"/>
        <v>25681.031694452195</v>
      </c>
      <c r="Q40" s="7">
        <f t="shared" si="2"/>
        <v>27873.837676480078</v>
      </c>
      <c r="R40" s="7">
        <f t="shared" si="2"/>
        <v>30195.899303067919</v>
      </c>
      <c r="S40" s="7">
        <f t="shared" si="2"/>
        <v>32653.713185647124</v>
      </c>
      <c r="T40" s="7">
        <f t="shared" si="2"/>
        <v>38003.851469364752</v>
      </c>
    </row>
    <row r="41" spans="2:20" x14ac:dyDescent="0.2">
      <c r="B41" t="s">
        <v>42</v>
      </c>
      <c r="C41" s="7">
        <f t="shared" ref="C41:T41" si="3">C39*(1+0.015)/(0.119761904761904-0.015)</f>
        <v>8141.9657304264729</v>
      </c>
      <c r="D41" s="7">
        <f t="shared" si="3"/>
        <v>15181.820050247587</v>
      </c>
      <c r="E41" s="7">
        <f t="shared" si="3"/>
        <v>23804.294318262724</v>
      </c>
      <c r="F41" s="7">
        <f t="shared" si="3"/>
        <v>28792.217562562997</v>
      </c>
      <c r="G41" s="7">
        <f t="shared" si="3"/>
        <v>34279.666165468392</v>
      </c>
      <c r="H41" s="7">
        <f t="shared" si="3"/>
        <v>40305.594670500432</v>
      </c>
      <c r="I41" s="7">
        <f t="shared" si="3"/>
        <v>46911.177021855219</v>
      </c>
      <c r="J41" s="7">
        <f t="shared" si="3"/>
        <v>54139.888743424926</v>
      </c>
      <c r="K41" s="7">
        <f t="shared" si="3"/>
        <v>62037.590602048578</v>
      </c>
      <c r="L41" s="7">
        <f t="shared" si="3"/>
        <v>70652.613754993625</v>
      </c>
      <c r="M41" s="7">
        <f t="shared" si="3"/>
        <v>80035.846381666663</v>
      </c>
      <c r="N41" s="7">
        <f t="shared" si="3"/>
        <v>90240.821799554848</v>
      </c>
      <c r="O41" s="7">
        <f t="shared" si="3"/>
        <v>101323.80806439652</v>
      </c>
      <c r="P41" s="7">
        <f t="shared" si="3"/>
        <v>113343.89905458257</v>
      </c>
      <c r="Q41" s="7">
        <f t="shared" si="3"/>
        <v>126363.10703978702</v>
      </c>
      <c r="R41" s="7">
        <f t="shared" si="3"/>
        <v>140446.45673382838</v>
      </c>
      <c r="S41" s="7">
        <f t="shared" si="3"/>
        <v>155662.08083176016</v>
      </c>
      <c r="T41" s="7">
        <f t="shared" si="3"/>
        <v>189778.80653783906</v>
      </c>
    </row>
    <row r="42" spans="2:20" x14ac:dyDescent="0.2">
      <c r="B42" t="s">
        <v>43</v>
      </c>
      <c r="C42" s="7">
        <f t="shared" ref="C42:T42" si="4">C41/(1+0.119761904761904)^(1+4)</f>
        <v>4624.8838295640107</v>
      </c>
      <c r="D42" s="7">
        <f t="shared" si="4"/>
        <v>8623.7349036426076</v>
      </c>
      <c r="E42" s="7">
        <f t="shared" si="4"/>
        <v>13521.562176969413</v>
      </c>
      <c r="F42" s="7">
        <f t="shared" si="4"/>
        <v>16354.854077162965</v>
      </c>
      <c r="G42" s="7">
        <f t="shared" si="4"/>
        <v>19471.891553051661</v>
      </c>
      <c r="H42" s="7">
        <f t="shared" si="4"/>
        <v>22894.801968516123</v>
      </c>
      <c r="I42" s="7">
        <f t="shared" si="4"/>
        <v>26646.973374429665</v>
      </c>
      <c r="J42" s="7">
        <f t="shared" si="4"/>
        <v>30753.101188838486</v>
      </c>
      <c r="K42" s="7">
        <f t="shared" si="4"/>
        <v>35239.235720229219</v>
      </c>
      <c r="L42" s="7">
        <f t="shared" si="4"/>
        <v>40132.830533884633</v>
      </c>
      <c r="M42" s="7">
        <f t="shared" si="4"/>
        <v>45462.791661326577</v>
      </c>
      <c r="N42" s="7">
        <f t="shared" si="4"/>
        <v>51259.527652847042</v>
      </c>
      <c r="O42" s="7">
        <f t="shared" si="4"/>
        <v>57555.000473126456</v>
      </c>
      <c r="P42" s="7">
        <f t="shared" si="4"/>
        <v>64382.777239940187</v>
      </c>
      <c r="Q42" s="7">
        <f t="shared" si="4"/>
        <v>71778.082805952305</v>
      </c>
      <c r="R42" s="7">
        <f t="shared" si="4"/>
        <v>79777.853183597384</v>
      </c>
      <c r="S42" s="7">
        <f t="shared" si="4"/>
        <v>88420.789813049792</v>
      </c>
      <c r="T42" s="7">
        <f t="shared" si="4"/>
        <v>107800.12623620253</v>
      </c>
    </row>
    <row r="43" spans="2:20" ht="14" x14ac:dyDescent="0.3">
      <c r="B43" s="5" t="s">
        <v>44</v>
      </c>
      <c r="C43" s="7">
        <f t="shared" ref="C43:T43" si="5">C40+C42</f>
        <v>9204.8586537446317</v>
      </c>
      <c r="D43" s="7">
        <f t="shared" si="5"/>
        <v>15024.196881904838</v>
      </c>
      <c r="E43" s="7">
        <f t="shared" si="5"/>
        <v>21987.806368174519</v>
      </c>
      <c r="F43" s="7">
        <f t="shared" si="5"/>
        <v>25955.112557017041</v>
      </c>
      <c r="G43" s="7">
        <f t="shared" si="5"/>
        <v>30278.794918078696</v>
      </c>
      <c r="H43" s="7">
        <f t="shared" si="5"/>
        <v>34985.115302608203</v>
      </c>
      <c r="I43" s="7">
        <f t="shared" si="5"/>
        <v>40101.781415792379</v>
      </c>
      <c r="J43" s="7">
        <f t="shared" si="5"/>
        <v>45657.999150203003</v>
      </c>
      <c r="K43" s="7">
        <f t="shared" si="5"/>
        <v>51684.525849348982</v>
      </c>
      <c r="L43" s="7">
        <f t="shared" si="5"/>
        <v>58213.724501335113</v>
      </c>
      <c r="M43" s="7">
        <f t="shared" si="5"/>
        <v>65279.618862626106</v>
      </c>
      <c r="N43" s="7">
        <f t="shared" si="5"/>
        <v>72917.949511917061</v>
      </c>
      <c r="O43" s="7">
        <f t="shared" si="5"/>
        <v>81166.230834109243</v>
      </c>
      <c r="P43" s="7">
        <f t="shared" si="5"/>
        <v>90063.808934392378</v>
      </c>
      <c r="Q43" s="7">
        <f t="shared" si="5"/>
        <v>99651.920482432382</v>
      </c>
      <c r="R43" s="7">
        <f t="shared" si="5"/>
        <v>109973.7524866653</v>
      </c>
      <c r="S43" s="7">
        <f t="shared" si="5"/>
        <v>121074.50299869692</v>
      </c>
      <c r="T43" s="7">
        <f t="shared" si="5"/>
        <v>145803.97770556729</v>
      </c>
    </row>
    <row r="44" spans="2:20" x14ac:dyDescent="0.2">
      <c r="B44" t="s">
        <v>45</v>
      </c>
      <c r="C44" s="7">
        <f t="shared" ref="C44:T44" si="6">C43--2300</f>
        <v>11504.858653744632</v>
      </c>
      <c r="D44" s="7">
        <f t="shared" si="6"/>
        <v>17324.196881904838</v>
      </c>
      <c r="E44" s="7">
        <f t="shared" si="6"/>
        <v>24287.806368174519</v>
      </c>
      <c r="F44" s="7">
        <f t="shared" si="6"/>
        <v>28255.112557017041</v>
      </c>
      <c r="G44" s="7">
        <f t="shared" si="6"/>
        <v>32578.794918078696</v>
      </c>
      <c r="H44" s="7">
        <f t="shared" si="6"/>
        <v>37285.115302608203</v>
      </c>
      <c r="I44" s="7">
        <f t="shared" si="6"/>
        <v>42401.781415792379</v>
      </c>
      <c r="J44" s="7">
        <f t="shared" si="6"/>
        <v>47957.999150203003</v>
      </c>
      <c r="K44" s="7">
        <f t="shared" si="6"/>
        <v>53984.525849348982</v>
      </c>
      <c r="L44" s="7">
        <f t="shared" si="6"/>
        <v>60513.724501335113</v>
      </c>
      <c r="M44" s="7">
        <f t="shared" si="6"/>
        <v>67579.618862626114</v>
      </c>
      <c r="N44" s="7">
        <f t="shared" si="6"/>
        <v>75217.949511917061</v>
      </c>
      <c r="O44" s="7">
        <f t="shared" si="6"/>
        <v>83466.230834109243</v>
      </c>
      <c r="P44" s="7">
        <f t="shared" si="6"/>
        <v>92363.808934392378</v>
      </c>
      <c r="Q44" s="7">
        <f t="shared" si="6"/>
        <v>101951.92048243238</v>
      </c>
      <c r="R44" s="7">
        <f t="shared" si="6"/>
        <v>112273.7524866653</v>
      </c>
      <c r="S44" s="7">
        <f t="shared" si="6"/>
        <v>123374.50299869692</v>
      </c>
      <c r="T44" s="7">
        <f t="shared" si="6"/>
        <v>148103.97770556729</v>
      </c>
    </row>
    <row r="45" spans="2:20" ht="14" x14ac:dyDescent="0.3">
      <c r="B45" s="8" t="s">
        <v>46</v>
      </c>
      <c r="C45" s="9">
        <f t="shared" ref="C45:T45" si="7">C44*1000000/99735797</f>
        <v>115.35335355814755</v>
      </c>
      <c r="D45" s="9">
        <f t="shared" si="7"/>
        <v>173.70089178617422</v>
      </c>
      <c r="E45" s="9">
        <f t="shared" si="7"/>
        <v>243.52145467062863</v>
      </c>
      <c r="F45" s="9">
        <f t="shared" si="7"/>
        <v>283.29961164311987</v>
      </c>
      <c r="G45" s="9">
        <f t="shared" si="7"/>
        <v>326.65097084528935</v>
      </c>
      <c r="H45" s="9">
        <f t="shared" si="7"/>
        <v>373.83884647363072</v>
      </c>
      <c r="I45" s="9">
        <f t="shared" si="7"/>
        <v>425.1410495651063</v>
      </c>
      <c r="J45" s="9">
        <f t="shared" si="7"/>
        <v>480.85041271794324</v>
      </c>
      <c r="K45" s="9">
        <f t="shared" si="7"/>
        <v>541.27532413812253</v>
      </c>
      <c r="L45" s="9">
        <f t="shared" si="7"/>
        <v>606.74027101157185</v>
      </c>
      <c r="M45" s="9">
        <f t="shared" si="7"/>
        <v>677.58639220205077</v>
      </c>
      <c r="N45" s="9">
        <f t="shared" si="7"/>
        <v>754.17204027473758</v>
      </c>
      <c r="O45" s="9">
        <f t="shared" si="7"/>
        <v>836.87335284551079</v>
      </c>
      <c r="P45" s="9">
        <f t="shared" si="7"/>
        <v>926.08483325593102</v>
      </c>
      <c r="Q45" s="9">
        <f t="shared" si="7"/>
        <v>1022.2199405739184</v>
      </c>
      <c r="R45" s="9">
        <f t="shared" si="7"/>
        <v>1125.7116889201307</v>
      </c>
      <c r="S45" s="9">
        <f t="shared" si="7"/>
        <v>1237.013256120036</v>
      </c>
      <c r="T45" s="9">
        <f t="shared" si="7"/>
        <v>1484.9630940991758</v>
      </c>
    </row>
    <row r="47" spans="2:20" ht="14" x14ac:dyDescent="0.3">
      <c r="B47" s="45" t="s">
        <v>47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2:20" x14ac:dyDescent="0.2">
      <c r="B48" t="s">
        <v>48</v>
      </c>
      <c r="C48" s="7">
        <v>34289</v>
      </c>
    </row>
    <row r="49" spans="2:8" x14ac:dyDescent="0.2">
      <c r="B49" t="s">
        <v>49</v>
      </c>
      <c r="C49" s="7">
        <v>6747</v>
      </c>
    </row>
    <row r="50" spans="2:8" x14ac:dyDescent="0.2">
      <c r="B50" t="s">
        <v>50</v>
      </c>
      <c r="C50" s="6">
        <v>0.19676864300504529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34289</v>
      </c>
      <c r="D52" s="7">
        <v>42861.25</v>
      </c>
      <c r="E52" s="7">
        <v>52290.724999999999</v>
      </c>
      <c r="F52" s="7">
        <v>62748.87</v>
      </c>
      <c r="G52" s="7">
        <v>74043.666599999997</v>
      </c>
      <c r="H52" s="7">
        <v>85890.653255999991</v>
      </c>
    </row>
    <row r="53" spans="2:8" ht="14" x14ac:dyDescent="0.3">
      <c r="B53" s="5" t="s">
        <v>58</v>
      </c>
      <c r="C53" s="7">
        <v>34289</v>
      </c>
      <c r="D53" s="7">
        <v>42861.25</v>
      </c>
      <c r="E53" s="7">
        <v>52290.724999999999</v>
      </c>
      <c r="F53" s="7">
        <v>62748.87</v>
      </c>
      <c r="G53" s="7">
        <v>74043.666599999997</v>
      </c>
      <c r="H53" s="7">
        <v>85890.653255999991</v>
      </c>
    </row>
    <row r="54" spans="2:8" x14ac:dyDescent="0.2">
      <c r="B54" t="s">
        <v>59</v>
      </c>
      <c r="D54" s="6">
        <v>0.25</v>
      </c>
      <c r="E54" s="6">
        <v>0.22</v>
      </c>
      <c r="F54" s="6">
        <v>0.2</v>
      </c>
      <c r="G54" s="6">
        <v>0.17999999999999991</v>
      </c>
      <c r="H54" s="6">
        <v>0.15999999999999989</v>
      </c>
    </row>
    <row r="55" spans="2:8" x14ac:dyDescent="0.2">
      <c r="B55" t="s">
        <v>60</v>
      </c>
      <c r="D55" s="6">
        <v>0.20399999999999999</v>
      </c>
      <c r="E55" s="6">
        <v>0.20999999999999991</v>
      </c>
      <c r="F55" s="6">
        <v>0.215</v>
      </c>
      <c r="G55" s="6">
        <v>0.22</v>
      </c>
      <c r="H55" s="6">
        <v>0.22500000000000001</v>
      </c>
    </row>
    <row r="56" spans="2:8" x14ac:dyDescent="0.2">
      <c r="B56" t="s">
        <v>61</v>
      </c>
      <c r="D56" s="7">
        <v>214.30625000000001</v>
      </c>
      <c r="E56" s="7">
        <v>261.45362499999999</v>
      </c>
      <c r="F56" s="7">
        <v>313.74435</v>
      </c>
      <c r="G56" s="7">
        <v>370.21833299999997</v>
      </c>
      <c r="H56" s="7">
        <v>429.45326627999998</v>
      </c>
    </row>
    <row r="57" spans="2:8" x14ac:dyDescent="0.2">
      <c r="B57" t="s">
        <v>62</v>
      </c>
      <c r="D57" s="7">
        <v>428.61250000000001</v>
      </c>
      <c r="E57" s="7">
        <v>522.90724999999998</v>
      </c>
      <c r="F57" s="7">
        <v>627.48869999999999</v>
      </c>
      <c r="G57" s="7">
        <v>740.43666599999995</v>
      </c>
      <c r="H57" s="7">
        <v>858.90653255999996</v>
      </c>
    </row>
    <row r="58" spans="2:8" x14ac:dyDescent="0.2">
      <c r="B58" t="s">
        <v>63</v>
      </c>
      <c r="D58" s="7">
        <v>3427.4241369863012</v>
      </c>
      <c r="E58" s="7">
        <v>1018.693310136987</v>
      </c>
      <c r="F58" s="7">
        <v>1129.8234894246571</v>
      </c>
      <c r="G58" s="7">
        <v>1220.2093685786299</v>
      </c>
      <c r="H58" s="7">
        <v>1279.8640488202509</v>
      </c>
    </row>
    <row r="62" spans="2:8" ht="14.5" x14ac:dyDescent="0.35">
      <c r="B62" s="43" t="s">
        <v>64</v>
      </c>
      <c r="C62" s="44"/>
      <c r="D62" s="44"/>
      <c r="E62" s="44"/>
      <c r="F62" s="44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1459</v>
      </c>
      <c r="D64" s="10">
        <f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1.4790577849852355</v>
      </c>
      <c r="E64" s="2" t="str">
        <f>IF(D64&lt;-0.3,"Deep Pessimism",IF(D64&lt;0,"Pessimistic",IF(D64&lt;0.5,"Neutral",IF(D64&lt;1,"Mild Optimism","Bullish"))))</f>
        <v>Bullish</v>
      </c>
      <c r="F64" s="2" t="str">
        <f>IF(D64&lt;-0.3,"Base growth halved or worse",IF(D64&lt;0,"Below-Base, conservative",IF(D64&lt;0.5,"0-50% of Base growth priced in",IF(D64&lt;1,"50-100% of Base priced in","Above-Base optimism"))))</f>
        <v>Above-Base optimism</v>
      </c>
    </row>
    <row r="65" spans="2:7" x14ac:dyDescent="0.2">
      <c r="B65" s="2" t="str">
        <f t="shared" si="8"/>
        <v>DCF Base PGM Target</v>
      </c>
      <c r="C65" s="3">
        <f t="shared" si="8"/>
        <v>926.08483325592363</v>
      </c>
      <c r="D65" s="10">
        <f>INDEX($C$17:$T$17,MAX(1,MIN(MATCH(C65,$C$45:$T$45,1),17)))+(C65-INDEX($C$45:$T$45,MAX(1,MIN(MATCH(C65,$C$45:$T$45,1),17))))/(INDEX($C$45:$T$45,MAX(1,MIN(MATCH(C65,$C$45:$T$45,1),17))+1)-INDEX($C$45:$T$45,MAX(1,MIN(MATCH(C65,$C$45:$T$45,1),17))))*(INDEX($C$17:$T$17,MAX(1,MIN(MATCH(C65,$C$45:$T$45,1),17))+1)-INDEX($C$17:$T$17,MAX(1,MIN(MATCH(C65,$C$45:$T$45,1),17))))</f>
        <v>0.99999999999999167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1631</v>
      </c>
      <c r="D66" s="10">
        <f>INDEX($C$17:$T$17,MAX(1,MIN(MATCH(C66,$C$45:$T$45,1),17)))+(C66-INDEX($C$45:$T$45,MAX(1,MIN(MATCH(C66,$C$45:$T$45,1),17))))/(INDEX($C$45:$T$45,MAX(1,MIN(MATCH(C66,$C$45:$T$45,1),17))+1)-INDEX($C$45:$T$45,MAX(1,MIN(MATCH(C66,$C$45:$T$45,1),17))))*(INDEX($C$17:$T$17,MAX(1,MIN(MATCH(C66,$C$45:$T$45,1),17))+1)-INDEX($C$17:$T$17,MAX(1,MIN(MATCH(C66,$C$45:$T$45,1),17))))</f>
        <v>1.6177955243617546</v>
      </c>
      <c r="E66" s="2" t="str">
        <f>IF(D66&lt;-0.3,"Deep Pessimism",IF(D66&lt;0,"Pessimistic",IF(D66&lt;0.5,"Neutral",IF(D66&lt;1,"Mild Optimism","Bullish"))))</f>
        <v>Bullish</v>
      </c>
      <c r="F66" s="2" t="str">
        <f>IF(D66&lt;-0.3,"Base growth halved or worse",IF(D66&lt;0,"Below-Base, conservative",IF(D66&lt;0.5,"0-50% of Base growth priced in",IF(D66&lt;1,"50-100% of Base priced in","Above-Base optimism"))))</f>
        <v>Above-Base optimism</v>
      </c>
    </row>
    <row r="67" spans="2:7" x14ac:dyDescent="0.2">
      <c r="B67" s="2" t="str">
        <f t="shared" si="8"/>
        <v>Recent Low</v>
      </c>
      <c r="C67" s="3">
        <f t="shared" si="8"/>
        <v>1820</v>
      </c>
      <c r="D67" s="10">
        <f>INDEX($C$17:$T$17,MAX(1,MIN(MATCH(C67,$C$45:$T$45,1),17)))+(C67-INDEX($C$45:$T$45,MAX(1,MIN(MATCH(C67,$C$45:$T$45,1),17))))/(INDEX($C$45:$T$45,MAX(1,MIN(MATCH(C67,$C$45:$T$45,1),17))+1)-INDEX($C$45:$T$45,MAX(1,MIN(MATCH(C67,$C$45:$T$45,1),17))))*(INDEX($C$17:$T$17,MAX(1,MIN(MATCH(C67,$C$45:$T$45,1),17))+1)-INDEX($C$17:$T$17,MAX(1,MIN(MATCH(C67,$C$45:$T$45,1),17))))</f>
        <v>1.7702457147231618</v>
      </c>
      <c r="E67" s="2" t="str">
        <f>IF(D67&lt;-0.3,"Deep Pessimism",IF(D67&lt;0,"Pessimistic",IF(D67&lt;0.5,"Neutral",IF(D67&lt;1,"Mild Optimism","Bullish"))))</f>
        <v>Bullish</v>
      </c>
      <c r="F67" s="2" t="str">
        <f>IF(D67&lt;-0.3,"Base growth halved or worse",IF(D67&lt;0,"Below-Base, conservative",IF(D67&lt;0.5,"0-50% of Base growth priced in",IF(D67&lt;1,"50-100% of Base priced in","Above-Base optimism"))))</f>
        <v>Above-Base optimism</v>
      </c>
    </row>
    <row r="68" spans="2:7" x14ac:dyDescent="0.2">
      <c r="B68" s="2" t="str">
        <f t="shared" si="8"/>
        <v>Recent High</v>
      </c>
      <c r="C68" s="3">
        <f t="shared" si="8"/>
        <v>6540</v>
      </c>
      <c r="D68" s="10">
        <f>INDEX($C$17:$T$17,MAX(1,MIN(MATCH(C68,$C$45:$T$45,1),17)))+(C68-INDEX($C$45:$T$45,MAX(1,MIN(MATCH(C68,$C$45:$T$45,1),17))))/(INDEX($C$45:$T$45,MAX(1,MIN(MATCH(C68,$C$45:$T$45,1),17))+1)-INDEX($C$45:$T$45,MAX(1,MIN(MATCH(C68,$C$45:$T$45,1),17))))*(INDEX($C$17:$T$17,MAX(1,MIN(MATCH(C68,$C$45:$T$45,1),17))+1)-INDEX($C$17:$T$17,MAX(1,MIN(MATCH(C68,$C$45:$T$45,1),17))))</f>
        <v>5.5774673999392625</v>
      </c>
      <c r="E68" s="2" t="str">
        <f>IF(D68&lt;-0.3,"Deep Pessimism",IF(D68&lt;0,"Pessimistic",IF(D68&lt;0.5,"Neutral",IF(D68&lt;1,"Mild Optimism","Bullish"))))</f>
        <v>Bullish</v>
      </c>
      <c r="F68" s="2" t="str">
        <f>IF(D68&lt;-0.3,"Base growth halved or worse",IF(D68&lt;0,"Below-Base, conservative",IF(D68&lt;0.5,"0-50% of Base growth priced in",IF(D68&lt;1,"50-100% of Base priced in","Above-Base optimism"))))</f>
        <v>Above-Base optimism</v>
      </c>
    </row>
    <row r="70" spans="2:7" ht="14.5" x14ac:dyDescent="0.35">
      <c r="B70" s="43" t="s">
        <v>68</v>
      </c>
      <c r="C70" s="44"/>
      <c r="D70" s="44"/>
      <c r="E70" s="44"/>
      <c r="F70" s="44"/>
      <c r="G70" s="44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0.2015952898118536</v>
      </c>
      <c r="E72" s="12">
        <f>C50+(AVERAGE(D55,E55,F55,G55,H55)-C50)*C72</f>
        <v>0.21479999999999996</v>
      </c>
      <c r="F72" s="13">
        <f>C72-D64</f>
        <v>-0.47905778498523555</v>
      </c>
      <c r="G72" s="2" t="str">
        <f>IF(F72&gt;0.5,"BULLISH (Buy candidate)",IF(F72&gt;0.2,"Mildly Bullish",IF(F72&gt;=-0.2,"Aligned",IF(F72&gt;=-0.5,"Mildly Bearish","BEARISH (Sell candidate)"))))</f>
        <v>Mildly Bearish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0.30216080666274459</v>
      </c>
      <c r="E73" s="12">
        <f>C50+(AVERAGE(D55,E55,F55,G55,H55)-C50)*C73</f>
        <v>0.2238156784974773</v>
      </c>
      <c r="F73" s="13">
        <f>C73-D64</f>
        <v>2.0942215014764454E-2</v>
      </c>
      <c r="G73" s="2" t="str">
        <f>IF(F73&gt;0.5,"BULLISH (Buy candidate)",IF(F73&gt;0.2,"Mildly Bullish",IF(F73&gt;=-0.2,"Aligned",IF(F73&gt;=-0.5,"Mildly Bearish","BEARISH (Sell candidate)"))))</f>
        <v>Aligned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0.17139992889247391</v>
      </c>
      <c r="E74" s="12">
        <f>C50+(AVERAGE(D55,E55,F55,G55,H55)-C50)*C74</f>
        <v>0.21209529645075675</v>
      </c>
      <c r="F74" s="13">
        <f>C74-D64</f>
        <v>-0.62905778498523557</v>
      </c>
      <c r="G74" s="2" t="str">
        <f>IF(F74&gt;0.5,"BULLISH (Buy candidate)",IF(F74&gt;0.2,"Mildly Bullish",IF(F74&gt;=-0.2,"Aligned",IF(F74&gt;=-0.5,"Mildly Bearish","BEARISH (Sell candidate)"))))</f>
        <v>BEARISH (Sell candidate)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8.0727866491342004E-2</v>
      </c>
      <c r="E75" s="12">
        <f>C50+(AVERAGE(D55,E55,F55,G55,H55)-C50)*C75</f>
        <v>0.20398118580302715</v>
      </c>
      <c r="F75" s="13">
        <f>C75-D64</f>
        <v>-1.0790577849852356</v>
      </c>
      <c r="G75" s="2" t="str">
        <f>IF(F75&gt;0.5,"BULLISH (Buy candidate)",IF(F75&gt;0.2,"Mildly Bullish",IF(F75&gt;=-0.2,"Aligned",IF(F75&gt;=-0.5,"Mildly Bearish","BEARISH (Sell candidate)"))))</f>
        <v>BEARISH (Sell candidate)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3.0289349477383487E-2</v>
      </c>
      <c r="E76" s="12">
        <f>C50+(AVERAGE(D55,E55,F55,G55,H55)-C50)*C76</f>
        <v>0.1994733465542885</v>
      </c>
      <c r="F76" s="13">
        <f>C76-D64</f>
        <v>-1.3290577849852356</v>
      </c>
      <c r="G76" s="2" t="str">
        <f>IF(F76&gt;0.5,"BULLISH (Buy candidate)",IF(F76&gt;0.2,"Mildly Bullish",IF(F76&gt;=-0.2,"Aligned",IF(F76&gt;=-0.5,"Mildly Bearish","BEARISH (Sell candidate)"))))</f>
        <v>BEARISH (Sell candidate)</v>
      </c>
    </row>
    <row r="78" spans="2:7" ht="14.5" x14ac:dyDescent="0.35">
      <c r="B78" s="43" t="s">
        <v>80</v>
      </c>
      <c r="C78" s="44"/>
      <c r="D78" s="44"/>
      <c r="E78" s="44"/>
      <c r="F78" s="44"/>
      <c r="G78" s="44"/>
    </row>
    <row r="79" spans="2:7" x14ac:dyDescent="0.2">
      <c r="B79" s="2" t="s">
        <v>81</v>
      </c>
      <c r="C79" s="10">
        <f>D64</f>
        <v>1.4790577849852355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-0.47905778498523555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HOLD/SELL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topLeftCell="A35"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6" t="s">
        <v>96</v>
      </c>
      <c r="C2" s="44"/>
      <c r="D2" s="44"/>
      <c r="E2" s="44"/>
      <c r="F2" s="44"/>
      <c r="G2" s="44"/>
      <c r="H2" s="44"/>
    </row>
    <row r="3" spans="2:8" ht="14" x14ac:dyDescent="0.3">
      <c r="B3" s="17" t="s">
        <v>97</v>
      </c>
    </row>
    <row r="5" spans="2:8" ht="14.5" x14ac:dyDescent="0.35">
      <c r="B5" s="43" t="s">
        <v>98</v>
      </c>
      <c r="C5" s="44"/>
      <c r="D5" s="44"/>
      <c r="E5" s="44"/>
      <c r="F5" s="44"/>
      <c r="G5" s="44"/>
      <c r="H5" s="44"/>
    </row>
    <row r="6" spans="2:8" x14ac:dyDescent="0.2">
      <c r="B6" s="2" t="s">
        <v>99</v>
      </c>
      <c r="C6" s="18">
        <v>1459</v>
      </c>
    </row>
    <row r="7" spans="2:8" x14ac:dyDescent="0.2">
      <c r="B7" s="2" t="s">
        <v>100</v>
      </c>
      <c r="C7" s="18">
        <v>99735797</v>
      </c>
    </row>
    <row r="8" spans="2:8" x14ac:dyDescent="0.2">
      <c r="B8" s="2" t="s">
        <v>101</v>
      </c>
      <c r="C8" s="19">
        <v>-2300</v>
      </c>
    </row>
    <row r="9" spans="2:8" x14ac:dyDescent="0.2">
      <c r="B9" s="2" t="s">
        <v>102</v>
      </c>
      <c r="C9" s="18">
        <v>34289</v>
      </c>
    </row>
    <row r="10" spans="2:8" x14ac:dyDescent="0.2">
      <c r="B10" s="2" t="s">
        <v>103</v>
      </c>
      <c r="C10" s="18">
        <v>42861</v>
      </c>
    </row>
    <row r="11" spans="2:8" x14ac:dyDescent="0.2">
      <c r="B11" s="2" t="s">
        <v>104</v>
      </c>
      <c r="C11" s="20">
        <v>0.3</v>
      </c>
    </row>
    <row r="12" spans="2:8" x14ac:dyDescent="0.2">
      <c r="B12" s="2" t="s">
        <v>105</v>
      </c>
      <c r="C12" s="20">
        <v>1</v>
      </c>
    </row>
    <row r="14" spans="2:8" ht="14" x14ac:dyDescent="0.3">
      <c r="B14" s="45" t="s">
        <v>106</v>
      </c>
      <c r="C14" s="44"/>
      <c r="D14" s="44"/>
      <c r="E14" s="44"/>
      <c r="F14" s="44"/>
      <c r="G14" s="44"/>
      <c r="H14" s="44"/>
    </row>
    <row r="15" spans="2:8" ht="14" x14ac:dyDescent="0.3">
      <c r="C15" s="21" t="s">
        <v>107</v>
      </c>
      <c r="D15" s="21" t="s">
        <v>108</v>
      </c>
      <c r="E15" s="21" t="s">
        <v>109</v>
      </c>
      <c r="F15" s="21" t="s">
        <v>110</v>
      </c>
      <c r="G15" s="21" t="s">
        <v>111</v>
      </c>
    </row>
    <row r="16" spans="2:8" x14ac:dyDescent="0.2">
      <c r="B16" s="2" t="s">
        <v>112</v>
      </c>
      <c r="C16" s="22">
        <v>0.57815262815024049</v>
      </c>
      <c r="D16" s="22">
        <v>1.1014726386965381</v>
      </c>
      <c r="E16" s="22">
        <v>2.9319037563984769</v>
      </c>
      <c r="F16" s="22">
        <v>3.0751910116889758</v>
      </c>
      <c r="G16" s="22">
        <v>4.1766901562600252</v>
      </c>
    </row>
    <row r="18" spans="2:8" x14ac:dyDescent="0.2">
      <c r="B18" s="2" t="s">
        <v>113</v>
      </c>
      <c r="C18" s="23">
        <f>C6*C7/1000000</f>
        <v>145514.52782300001</v>
      </c>
    </row>
    <row r="19" spans="2:8" x14ac:dyDescent="0.2">
      <c r="B19" s="2" t="s">
        <v>5</v>
      </c>
      <c r="C19" s="23">
        <f>C18+C8</f>
        <v>143214.52782300001</v>
      </c>
    </row>
    <row r="20" spans="2:8" x14ac:dyDescent="0.2">
      <c r="B20" s="2" t="s">
        <v>114</v>
      </c>
      <c r="C20" s="24">
        <f>C19/C9</f>
        <v>4.1766901287001668</v>
      </c>
    </row>
    <row r="21" spans="2:8" x14ac:dyDescent="0.2">
      <c r="B21" s="2" t="s">
        <v>115</v>
      </c>
      <c r="C21" s="24">
        <f>IFERROR(C19/C10,"-")</f>
        <v>3.341371592426682</v>
      </c>
    </row>
    <row r="23" spans="2:8" ht="14.5" x14ac:dyDescent="0.35">
      <c r="B23" s="43" t="s">
        <v>116</v>
      </c>
      <c r="C23" s="44"/>
      <c r="D23" s="44"/>
      <c r="E23" s="44"/>
      <c r="F23" s="44"/>
      <c r="G23" s="44"/>
      <c r="H23" s="44"/>
    </row>
    <row r="24" spans="2:8" x14ac:dyDescent="0.2">
      <c r="B24" s="2" t="s">
        <v>117</v>
      </c>
      <c r="C24" s="25">
        <f>C20/E16-1</f>
        <v>0.42456590520241821</v>
      </c>
    </row>
    <row r="25" spans="2:8" x14ac:dyDescent="0.2">
      <c r="B25" s="2" t="s">
        <v>118</v>
      </c>
      <c r="C25" s="25">
        <f>C20/C16-1</f>
        <v>6.2241998485126651</v>
      </c>
    </row>
    <row r="26" spans="2:8" x14ac:dyDescent="0.2">
      <c r="B26" s="2" t="s">
        <v>119</v>
      </c>
      <c r="C26" s="26">
        <f>(C20-E16)/(F16-D16)</f>
        <v>0.63068084552226</v>
      </c>
    </row>
    <row r="27" spans="2:8" ht="14.5" x14ac:dyDescent="0.35">
      <c r="B27" s="2" t="s">
        <v>120</v>
      </c>
      <c r="C27" s="48" t="str">
        <f>IF(C26&lt;-C12,"割安（分布下限以下）",IF(C26&lt;-C11,"やや割安",IF(C26&lt;=C11,"中立（中央値近傍）",IF(C26&lt;=C12,"やや割高","割高（分布上限以上）"))))</f>
        <v>やや割高</v>
      </c>
      <c r="D27" s="49"/>
      <c r="E27" s="49"/>
    </row>
    <row r="29" spans="2:8" ht="14.5" x14ac:dyDescent="0.35">
      <c r="B29" s="43" t="s">
        <v>121</v>
      </c>
      <c r="C29" s="44"/>
      <c r="D29" s="44"/>
      <c r="E29" s="44"/>
      <c r="F29" s="44"/>
      <c r="G29" s="44"/>
      <c r="H29" s="44"/>
    </row>
    <row r="30" spans="2:8" ht="14" x14ac:dyDescent="0.3">
      <c r="C30" s="1" t="s">
        <v>122</v>
      </c>
      <c r="D30" s="1" t="s">
        <v>123</v>
      </c>
      <c r="E30" s="1" t="s">
        <v>124</v>
      </c>
    </row>
    <row r="31" spans="2:8" x14ac:dyDescent="0.2">
      <c r="B31" s="2" t="s">
        <v>107</v>
      </c>
      <c r="C31" s="27">
        <f>C16</f>
        <v>0.57815262815024049</v>
      </c>
      <c r="D31" s="3">
        <f>(C16*C9-C8)*1000000/C7</f>
        <v>221.82883309834679</v>
      </c>
      <c r="E31" s="28">
        <f>D31/C6-1</f>
        <v>-0.84795830493601998</v>
      </c>
    </row>
    <row r="32" spans="2:8" x14ac:dyDescent="0.2">
      <c r="B32" s="2" t="s">
        <v>108</v>
      </c>
      <c r="C32" s="27">
        <f>D16</f>
        <v>1.1014726386965381</v>
      </c>
      <c r="D32" s="3">
        <f>(D16*C9-C8)*1000000/C7</f>
        <v>401.74537641951758</v>
      </c>
      <c r="E32" s="28">
        <f>D32/C6-1</f>
        <v>-0.72464333350272958</v>
      </c>
    </row>
    <row r="33" spans="2:8" x14ac:dyDescent="0.2">
      <c r="B33" s="2" t="s">
        <v>109</v>
      </c>
      <c r="C33" s="27">
        <f>E16</f>
        <v>2.9319037563984769</v>
      </c>
      <c r="D33" s="29">
        <f>(E16*C9-C8)*1000000/C7</f>
        <v>1031.0445296100395</v>
      </c>
      <c r="E33" s="28">
        <f>D33/C6-1</f>
        <v>-0.293321090054805</v>
      </c>
    </row>
    <row r="34" spans="2:8" x14ac:dyDescent="0.2">
      <c r="B34" s="2" t="s">
        <v>110</v>
      </c>
      <c r="C34" s="27">
        <f>F16</f>
        <v>3.0751910116889758</v>
      </c>
      <c r="D34" s="3">
        <f>(F16*C9-C8)*1000000/C7</f>
        <v>1080.3064480429557</v>
      </c>
      <c r="E34" s="28">
        <f>D34/C6-1</f>
        <v>-0.25955692389105156</v>
      </c>
    </row>
    <row r="35" spans="2:8" x14ac:dyDescent="0.2">
      <c r="B35" s="2" t="s">
        <v>111</v>
      </c>
      <c r="C35" s="27">
        <f>G16</f>
        <v>4.1766901562600252</v>
      </c>
      <c r="D35" s="3">
        <f>(G16*C9-C8)*1000000/C7</f>
        <v>1459.0000094750333</v>
      </c>
      <c r="E35" s="28">
        <f>D35/C6-1</f>
        <v>6.494196957973486E-9</v>
      </c>
    </row>
    <row r="37" spans="2:8" ht="14" x14ac:dyDescent="0.3">
      <c r="B37" s="45" t="s">
        <v>125</v>
      </c>
      <c r="C37" s="44"/>
      <c r="D37" s="44"/>
      <c r="E37" s="44"/>
      <c r="F37" s="44"/>
      <c r="G37" s="44"/>
      <c r="H37" s="44"/>
    </row>
    <row r="38" spans="2:8" x14ac:dyDescent="0.2">
      <c r="B38" s="2" t="s">
        <v>126</v>
      </c>
      <c r="C38" s="22">
        <v>4.1766901562600252</v>
      </c>
    </row>
    <row r="39" spans="2:8" x14ac:dyDescent="0.2">
      <c r="B39" s="2" t="s">
        <v>127</v>
      </c>
      <c r="C39" s="22">
        <v>3.0751910116889758</v>
      </c>
    </row>
    <row r="40" spans="2:8" x14ac:dyDescent="0.2">
      <c r="B40" s="2" t="s">
        <v>128</v>
      </c>
      <c r="C40" s="22">
        <v>2.9319037563984769</v>
      </c>
    </row>
    <row r="41" spans="2:8" x14ac:dyDescent="0.2">
      <c r="B41" s="2" t="s">
        <v>129</v>
      </c>
      <c r="C41" s="22">
        <v>0.57815262815024049</v>
      </c>
    </row>
    <row r="42" spans="2:8" x14ac:dyDescent="0.2">
      <c r="B42" s="2" t="s">
        <v>130</v>
      </c>
      <c r="C42" s="22">
        <v>1.1014726386965381</v>
      </c>
    </row>
    <row r="45" spans="2:8" ht="14.5" x14ac:dyDescent="0.35">
      <c r="B45" s="43" t="s">
        <v>131</v>
      </c>
      <c r="C45" s="44"/>
      <c r="D45" s="44"/>
      <c r="E45" s="44"/>
      <c r="F45" s="44"/>
      <c r="G45" s="44"/>
      <c r="H45" s="44"/>
    </row>
    <row r="46" spans="2:8" x14ac:dyDescent="0.2">
      <c r="B46" s="2" t="s">
        <v>132</v>
      </c>
      <c r="C46" s="19">
        <v>5310.2309999999998</v>
      </c>
    </row>
    <row r="47" spans="2:8" x14ac:dyDescent="0.2">
      <c r="B47" s="2" t="s">
        <v>133</v>
      </c>
      <c r="C47" s="19" t="s">
        <v>134</v>
      </c>
    </row>
    <row r="48" spans="2:8" x14ac:dyDescent="0.2">
      <c r="B48" s="2" t="s">
        <v>135</v>
      </c>
      <c r="C48" s="27">
        <f>IFERROR(C18/C46,"n/a")</f>
        <v>27.40267378631928</v>
      </c>
    </row>
    <row r="49" spans="2:8" x14ac:dyDescent="0.2">
      <c r="B49" s="2" t="s">
        <v>136</v>
      </c>
      <c r="C49" s="27" t="str">
        <f>IFERROR(C19/C47,"n/a")</f>
        <v>n/a</v>
      </c>
    </row>
    <row r="51" spans="2:8" x14ac:dyDescent="0.2">
      <c r="B51" s="47" t="s">
        <v>137</v>
      </c>
      <c r="C51" s="44"/>
      <c r="D51" s="44"/>
      <c r="E51" s="44"/>
      <c r="F51" s="44"/>
      <c r="G51" s="44"/>
      <c r="H51" s="44"/>
    </row>
    <row r="52" spans="2:8" ht="30" customHeight="1" x14ac:dyDescent="0.2">
      <c r="B52" s="50" t="s">
        <v>138</v>
      </c>
      <c r="C52" s="44"/>
      <c r="D52" s="44"/>
      <c r="E52" s="44"/>
      <c r="F52" s="44"/>
      <c r="G52" s="44"/>
      <c r="H52" s="44"/>
    </row>
  </sheetData>
  <mergeCells count="10">
    <mergeCell ref="B14:H14"/>
    <mergeCell ref="B51:H51"/>
    <mergeCell ref="C27:E27"/>
    <mergeCell ref="B52:H52"/>
    <mergeCell ref="B2:H2"/>
    <mergeCell ref="B29:H29"/>
    <mergeCell ref="B5:H5"/>
    <mergeCell ref="B37:H37"/>
    <mergeCell ref="B45:H45"/>
    <mergeCell ref="B23:H2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>
      <selection activeCell="D35" sqref="D35"/>
    </sheetView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6" t="s">
        <v>139</v>
      </c>
      <c r="C2" s="44"/>
      <c r="D2" s="44"/>
      <c r="E2" s="44"/>
      <c r="F2" s="44"/>
      <c r="G2" s="44"/>
    </row>
    <row r="5" spans="2:7" ht="14.5" x14ac:dyDescent="0.35">
      <c r="B5" s="43" t="s">
        <v>140</v>
      </c>
      <c r="C5" s="44"/>
      <c r="D5" s="44"/>
      <c r="E5" s="44"/>
      <c r="F5" s="44"/>
      <c r="G5" s="44"/>
    </row>
    <row r="6" spans="2:7" ht="14" x14ac:dyDescent="0.3"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74</v>
      </c>
    </row>
    <row r="7" spans="2:7" x14ac:dyDescent="0.2">
      <c r="B7" s="2" t="s">
        <v>146</v>
      </c>
      <c r="C7" s="10">
        <f>1-'Implied Growth Analysis'!C79</f>
        <v>-0.47905778498523555</v>
      </c>
      <c r="D7" s="2">
        <f>IF(C7&gt;=1,2,IF(C7&gt;=0.5,1,IF(C7&gt;=-0.2,0,IF(C7&gt;=-0.5,-1,-2))))</f>
        <v>-1</v>
      </c>
      <c r="E7" s="30">
        <v>0.4</v>
      </c>
      <c r="F7" s="13">
        <f>D7*E7</f>
        <v>-0.4</v>
      </c>
      <c r="G7" s="2" t="str">
        <f>IF(D7=2,"市場大幅悲観 = 強気",IF(D7=1,"市場やや悲観 = 買い候補",IF(D7=0,"市場と認識一致",IF(D7=-1,"市場やや楽観 = 警戒","市場大幅楽観 = 失望リスク"))))</f>
        <v>市場やや楽観 = 警戒</v>
      </c>
    </row>
    <row r="8" spans="2:7" x14ac:dyDescent="0.2">
      <c r="B8" s="2" t="s">
        <v>147</v>
      </c>
      <c r="C8" s="31">
        <f>IFERROR((C19-C20)/C20,0)</f>
        <v>0</v>
      </c>
      <c r="D8" s="2">
        <f>IF(C8&lt;=-0.2,2,IF(C8&lt;=-0.1,1,IF(C8&lt;=0.1,0,IF(C8&lt;=0.2,-1,-2))))</f>
        <v>0</v>
      </c>
      <c r="E8" s="30">
        <v>0.25</v>
      </c>
      <c r="F8" s="13">
        <f>D8*E8</f>
        <v>0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期待ニュートラル</v>
      </c>
    </row>
    <row r="9" spans="2:7" x14ac:dyDescent="0.2">
      <c r="B9" s="2" t="s">
        <v>148</v>
      </c>
      <c r="C9" s="11">
        <f>IFERROR(C34/C33,0)</f>
        <v>0.49772204429608913</v>
      </c>
      <c r="D9" s="2">
        <f>IF(AND(C36&lt;=1,C34/C35&gt;=0.5),2,IF(AND(C36&lt;=3,C34/C35&gt;=0.3),1,IF(AND(C36&lt;=10,C34/C35&gt;=0.1),0,IF(AND(C36&lt;=20,C34/C35&gt;=0.05),-1,-2))))</f>
        <v>1</v>
      </c>
      <c r="E9" s="30">
        <v>0.2</v>
      </c>
      <c r="F9" s="13">
        <f>D9*E9</f>
        <v>0.2</v>
      </c>
      <c r="G9" s="2" t="str">
        <f>IF(D9=2,"踏み上げ余地大",IF(D9=1,"需給良好",IF(D9=0,"ニュートラル",IF(D9=-1,"戻り売り圧力","需給最悪"))))</f>
        <v>需給良好</v>
      </c>
    </row>
    <row r="10" spans="2:7" x14ac:dyDescent="0.2">
      <c r="B10" s="2" t="s">
        <v>149</v>
      </c>
      <c r="C10" s="31">
        <f>AVERAGE(E44:E45)</f>
        <v>1.2969097376611699E-2</v>
      </c>
      <c r="D10" s="2">
        <f>ROUND(AVERAGE(F44:F45),0)</f>
        <v>0</v>
      </c>
      <c r="E10" s="30">
        <v>0.15</v>
      </c>
      <c r="F10" s="13">
        <f>D10*E10</f>
        <v>0</v>
      </c>
      <c r="G10" s="2" t="str">
        <f>IF(D10=2,"会社予想を大幅上回る",IF(D10=1,"会社予想を上回る",IF(D10=0,"会社予想と一致",IF(D10=-1,"会社予想を下回る","会社予想を大幅下回る"))))</f>
        <v>会社予想と一致</v>
      </c>
    </row>
    <row r="12" spans="2:7" ht="15.5" x14ac:dyDescent="0.35">
      <c r="B12" s="32" t="s">
        <v>150</v>
      </c>
      <c r="C12" s="2"/>
      <c r="D12" s="2"/>
      <c r="E12" s="2"/>
      <c r="F12" s="33">
        <f>SUM(F7:F10)</f>
        <v>-0.2</v>
      </c>
      <c r="G12" s="34" t="str">
        <f>IF(F12&gt;=1,"STRONG BUY",IF(F12&gt;=0.5,"BUY",IF(F12&gt;=-0.5,"HOLD",IF(F12&gt;=-1,"CAUTION","AVOID"))))</f>
        <v>HOLD</v>
      </c>
    </row>
    <row r="17" spans="2:7" ht="14.5" x14ac:dyDescent="0.35">
      <c r="B17" s="43" t="s">
        <v>151</v>
      </c>
      <c r="C17" s="44"/>
      <c r="D17" s="44"/>
      <c r="E17" s="44"/>
      <c r="F17" s="44"/>
      <c r="G17" s="44"/>
    </row>
    <row r="19" spans="2:7" x14ac:dyDescent="0.2">
      <c r="B19" s="2" t="s">
        <v>8</v>
      </c>
      <c r="C19" s="18">
        <v>1459</v>
      </c>
    </row>
    <row r="20" spans="2:7" x14ac:dyDescent="0.2">
      <c r="B20" s="2" t="s">
        <v>152</v>
      </c>
      <c r="C20" s="18">
        <v>1459</v>
      </c>
    </row>
    <row r="21" spans="2:7" x14ac:dyDescent="0.2">
      <c r="B21" s="2" t="s">
        <v>153</v>
      </c>
      <c r="C21" s="18">
        <v>1459</v>
      </c>
    </row>
    <row r="22" spans="2:7" x14ac:dyDescent="0.2">
      <c r="B22" s="2" t="s">
        <v>16</v>
      </c>
      <c r="C22" s="18">
        <v>6540</v>
      </c>
    </row>
    <row r="23" spans="2:7" x14ac:dyDescent="0.2">
      <c r="B23" s="2" t="s">
        <v>14</v>
      </c>
      <c r="C23" s="18">
        <v>1820</v>
      </c>
    </row>
    <row r="25" spans="2:7" ht="14" x14ac:dyDescent="0.3">
      <c r="B25" s="5" t="s">
        <v>154</v>
      </c>
    </row>
    <row r="26" spans="2:7" x14ac:dyDescent="0.2">
      <c r="B26" t="s">
        <v>155</v>
      </c>
      <c r="C26" s="35">
        <f>IFERROR((C19-C20)/C20,"")</f>
        <v>0</v>
      </c>
    </row>
    <row r="27" spans="2:7" x14ac:dyDescent="0.2">
      <c r="B27" t="s">
        <v>156</v>
      </c>
      <c r="C27" s="35">
        <f>IFERROR((C19-C21)/C21,"")</f>
        <v>0</v>
      </c>
    </row>
    <row r="28" spans="2:7" x14ac:dyDescent="0.2">
      <c r="B28" t="s">
        <v>157</v>
      </c>
      <c r="C28" s="35">
        <f>IFERROR((C19-C22)/C22,"")</f>
        <v>-0.77691131498470944</v>
      </c>
    </row>
    <row r="31" spans="2:7" ht="14.5" x14ac:dyDescent="0.35">
      <c r="B31" s="43" t="s">
        <v>158</v>
      </c>
      <c r="C31" s="44"/>
      <c r="D31" s="44"/>
      <c r="E31" s="44"/>
      <c r="F31" s="44"/>
      <c r="G31" s="44"/>
    </row>
    <row r="33" spans="2:7" x14ac:dyDescent="0.2">
      <c r="B33" s="2" t="s">
        <v>159</v>
      </c>
      <c r="C33" s="18">
        <v>4433800</v>
      </c>
    </row>
    <row r="34" spans="2:7" x14ac:dyDescent="0.2">
      <c r="B34" s="2" t="s">
        <v>160</v>
      </c>
      <c r="C34" s="18">
        <v>2206800</v>
      </c>
    </row>
    <row r="35" spans="2:7" x14ac:dyDescent="0.2">
      <c r="B35" s="2" t="s">
        <v>161</v>
      </c>
      <c r="C35" s="18">
        <v>4433800</v>
      </c>
    </row>
    <row r="36" spans="2:7" x14ac:dyDescent="0.2">
      <c r="B36" s="2" t="s">
        <v>162</v>
      </c>
      <c r="C36" s="26">
        <f>IFERROR(C33/C34,99)</f>
        <v>2.009153525466739</v>
      </c>
    </row>
    <row r="37" spans="2:7" x14ac:dyDescent="0.2">
      <c r="B37" s="2" t="s">
        <v>163</v>
      </c>
      <c r="C37" s="26">
        <f>IFERROR(C34/C35,0)</f>
        <v>0.49772204429608913</v>
      </c>
    </row>
    <row r="41" spans="2:7" ht="14.5" x14ac:dyDescent="0.35">
      <c r="B41" s="43" t="s">
        <v>164</v>
      </c>
      <c r="C41" s="44"/>
      <c r="D41" s="44"/>
      <c r="E41" s="44"/>
      <c r="F41" s="44"/>
      <c r="G41" s="44"/>
    </row>
    <row r="43" spans="2:7" ht="14" x14ac:dyDescent="0.3">
      <c r="B43" s="1" t="s">
        <v>165</v>
      </c>
      <c r="C43" s="1" t="s">
        <v>166</v>
      </c>
      <c r="D43" s="1" t="s">
        <v>167</v>
      </c>
      <c r="E43" s="1" t="s">
        <v>168</v>
      </c>
      <c r="F43" s="1" t="s">
        <v>169</v>
      </c>
    </row>
    <row r="44" spans="2:7" x14ac:dyDescent="0.2">
      <c r="B44" s="2" t="s">
        <v>170</v>
      </c>
      <c r="C44" s="36">
        <v>0.29593819475322342</v>
      </c>
      <c r="D44" s="37">
        <v>0.27</v>
      </c>
      <c r="E44" s="31">
        <f>C44-D44</f>
        <v>2.5938194753223398E-2</v>
      </c>
      <c r="F44" s="2">
        <f>IF(E44&gt;=0.1,2,IF(E44&gt;=0.05,1,IF(E44&gt;=-0.05,0,IF(E44&gt;=-0.1,-1,-2))))</f>
        <v>0</v>
      </c>
    </row>
    <row r="45" spans="2:7" x14ac:dyDescent="0.2">
      <c r="B45" s="2" t="s">
        <v>171</v>
      </c>
      <c r="C45" s="36">
        <v>0.25</v>
      </c>
      <c r="D45" s="37">
        <v>0.25</v>
      </c>
      <c r="E45" s="31">
        <f>C45-D45</f>
        <v>0</v>
      </c>
      <c r="F45" s="2">
        <f>IF(E45&gt;=0.1,2,IF(E45&gt;=0.05,1,IF(E45&gt;=-0.05,0,IF(E45&gt;=-0.1,-1,-2))))</f>
        <v>0</v>
      </c>
    </row>
    <row r="53" spans="2:7" ht="14.5" x14ac:dyDescent="0.35">
      <c r="B53" s="43" t="s">
        <v>172</v>
      </c>
      <c r="C53" s="44"/>
      <c r="D53" s="44"/>
      <c r="E53" s="44"/>
      <c r="F53" s="44"/>
      <c r="G53" s="44"/>
    </row>
    <row r="55" spans="2:7" ht="14" x14ac:dyDescent="0.3">
      <c r="B55" s="5" t="s">
        <v>173</v>
      </c>
      <c r="C55" s="50" t="s">
        <v>174</v>
      </c>
      <c r="D55" s="44"/>
      <c r="E55" s="44"/>
      <c r="F55" s="44"/>
      <c r="G55" s="44"/>
    </row>
    <row r="56" spans="2:7" ht="14" x14ac:dyDescent="0.3">
      <c r="B56" s="5" t="s">
        <v>175</v>
      </c>
      <c r="C56" s="50" t="s">
        <v>176</v>
      </c>
      <c r="D56" s="44"/>
      <c r="E56" s="44"/>
      <c r="F56" s="44"/>
      <c r="G56" s="44"/>
    </row>
    <row r="57" spans="2:7" ht="14" x14ac:dyDescent="0.3">
      <c r="B57" s="5" t="s">
        <v>177</v>
      </c>
      <c r="C57" s="50" t="s">
        <v>178</v>
      </c>
      <c r="D57" s="44"/>
      <c r="E57" s="44"/>
      <c r="F57" s="44"/>
      <c r="G57" s="44"/>
    </row>
    <row r="58" spans="2:7" ht="14" x14ac:dyDescent="0.3">
      <c r="B58" s="5" t="s">
        <v>179</v>
      </c>
      <c r="C58" s="50" t="s">
        <v>180</v>
      </c>
      <c r="D58" s="44"/>
      <c r="E58" s="44"/>
      <c r="F58" s="44"/>
      <c r="G58" s="44"/>
    </row>
    <row r="59" spans="2:7" ht="14" x14ac:dyDescent="0.3">
      <c r="B59" s="5" t="s">
        <v>181</v>
      </c>
      <c r="C59" s="50" t="s">
        <v>182</v>
      </c>
      <c r="D59" s="44"/>
      <c r="E59" s="44"/>
      <c r="F59" s="44"/>
      <c r="G59" s="44"/>
    </row>
    <row r="62" spans="2:7" ht="14" x14ac:dyDescent="0.3">
      <c r="B62" s="5" t="s">
        <v>183</v>
      </c>
    </row>
    <row r="63" spans="2:7" x14ac:dyDescent="0.2">
      <c r="B63" t="s">
        <v>184</v>
      </c>
    </row>
    <row r="64" spans="2:7" x14ac:dyDescent="0.2">
      <c r="B64" t="s">
        <v>185</v>
      </c>
    </row>
    <row r="65" spans="2:2" x14ac:dyDescent="0.2">
      <c r="B65" t="s">
        <v>186</v>
      </c>
    </row>
    <row r="66" spans="2:2" x14ac:dyDescent="0.2">
      <c r="B66" t="s">
        <v>187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29"/>
  <sheetViews>
    <sheetView tabSelected="1" topLeftCell="A14"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6" t="s">
        <v>188</v>
      </c>
      <c r="C2" s="44"/>
      <c r="D2" s="44"/>
      <c r="E2" s="44"/>
      <c r="F2" s="44"/>
    </row>
    <row r="3" spans="2:8" ht="14" x14ac:dyDescent="0.3">
      <c r="B3" s="17" t="s">
        <v>189</v>
      </c>
    </row>
    <row r="5" spans="2:8" ht="14.5" x14ac:dyDescent="0.35">
      <c r="B5" s="43" t="s">
        <v>190</v>
      </c>
      <c r="C5" s="44"/>
      <c r="D5" s="44"/>
      <c r="E5" s="44"/>
      <c r="F5" s="44"/>
    </row>
    <row r="6" spans="2:8" ht="14" x14ac:dyDescent="0.3">
      <c r="B6" s="1" t="s">
        <v>191</v>
      </c>
      <c r="C6" s="1" t="s">
        <v>169</v>
      </c>
      <c r="D6" s="1" t="s">
        <v>192</v>
      </c>
      <c r="G6" t="s">
        <v>193</v>
      </c>
      <c r="H6" t="s">
        <v>169</v>
      </c>
    </row>
    <row r="7" spans="2:8" x14ac:dyDescent="0.2">
      <c r="B7" s="2" t="s">
        <v>194</v>
      </c>
      <c r="C7" s="38">
        <v>2</v>
      </c>
      <c r="D7" s="39" t="s">
        <v>195</v>
      </c>
      <c r="G7" t="s">
        <v>196</v>
      </c>
      <c r="H7">
        <v>2</v>
      </c>
    </row>
    <row r="8" spans="2:8" x14ac:dyDescent="0.2">
      <c r="B8" s="2" t="s">
        <v>197</v>
      </c>
      <c r="C8" s="38">
        <v>2</v>
      </c>
      <c r="D8" s="39" t="s">
        <v>198</v>
      </c>
      <c r="G8" t="s">
        <v>199</v>
      </c>
      <c r="H8">
        <v>2</v>
      </c>
    </row>
    <row r="9" spans="2:8" ht="26" x14ac:dyDescent="0.2">
      <c r="B9" s="2" t="s">
        <v>200</v>
      </c>
      <c r="C9" s="38">
        <v>2</v>
      </c>
      <c r="D9" s="39" t="s">
        <v>201</v>
      </c>
      <c r="G9" t="s">
        <v>202</v>
      </c>
      <c r="H9">
        <v>2</v>
      </c>
    </row>
    <row r="10" spans="2:8" ht="26" x14ac:dyDescent="0.2">
      <c r="B10" s="2" t="s">
        <v>203</v>
      </c>
      <c r="C10" s="38">
        <v>2</v>
      </c>
      <c r="D10" s="39" t="s">
        <v>204</v>
      </c>
      <c r="G10" t="s">
        <v>205</v>
      </c>
      <c r="H10">
        <v>2</v>
      </c>
    </row>
    <row r="11" spans="2:8" x14ac:dyDescent="0.2">
      <c r="B11" s="2" t="s">
        <v>206</v>
      </c>
      <c r="C11" s="38">
        <v>2</v>
      </c>
      <c r="D11" s="39" t="s">
        <v>207</v>
      </c>
      <c r="G11" t="s">
        <v>208</v>
      </c>
      <c r="H11">
        <v>2</v>
      </c>
    </row>
    <row r="12" spans="2:8" ht="26" x14ac:dyDescent="0.2">
      <c r="B12" s="2" t="s">
        <v>209</v>
      </c>
      <c r="C12" s="38">
        <v>2</v>
      </c>
      <c r="D12" s="39" t="s">
        <v>210</v>
      </c>
      <c r="G12" t="s">
        <v>211</v>
      </c>
      <c r="H12">
        <v>2</v>
      </c>
    </row>
    <row r="13" spans="2:8" ht="14.5" x14ac:dyDescent="0.35">
      <c r="B13" s="5" t="s">
        <v>212</v>
      </c>
      <c r="C13" s="40">
        <v>12</v>
      </c>
    </row>
    <row r="15" spans="2:8" ht="14.5" x14ac:dyDescent="0.35">
      <c r="B15" s="43" t="s">
        <v>213</v>
      </c>
      <c r="C15" s="44"/>
      <c r="D15" s="44"/>
      <c r="E15" s="44"/>
      <c r="F15" s="44"/>
    </row>
    <row r="16" spans="2:8" ht="14" x14ac:dyDescent="0.3">
      <c r="B16" s="5" t="s">
        <v>214</v>
      </c>
      <c r="C16" s="51" t="s">
        <v>215</v>
      </c>
      <c r="D16" s="44"/>
      <c r="E16" s="44"/>
      <c r="F16" s="44"/>
    </row>
    <row r="17" spans="2:6" ht="14" x14ac:dyDescent="0.3">
      <c r="B17" s="5" t="s">
        <v>216</v>
      </c>
      <c r="C17" s="51" t="s">
        <v>217</v>
      </c>
      <c r="D17" s="44"/>
      <c r="E17" s="44"/>
      <c r="F17" s="44"/>
    </row>
    <row r="18" spans="2:6" ht="14" x14ac:dyDescent="0.3">
      <c r="B18" s="5" t="s">
        <v>218</v>
      </c>
      <c r="C18" s="51" t="s">
        <v>219</v>
      </c>
      <c r="D18" s="44"/>
      <c r="E18" s="44"/>
      <c r="F18" s="44"/>
    </row>
    <row r="19" spans="2:6" ht="14" x14ac:dyDescent="0.3">
      <c r="B19" s="5" t="s">
        <v>220</v>
      </c>
      <c r="C19" s="51" t="s">
        <v>221</v>
      </c>
      <c r="D19" s="44"/>
      <c r="E19" s="44"/>
      <c r="F19" s="44"/>
    </row>
    <row r="21" spans="2:6" ht="14.5" x14ac:dyDescent="0.35">
      <c r="B21" s="43" t="s">
        <v>222</v>
      </c>
      <c r="C21" s="44"/>
      <c r="D21" s="44"/>
      <c r="E21" s="44"/>
      <c r="F21" s="44"/>
    </row>
    <row r="22" spans="2:6" ht="14.5" x14ac:dyDescent="0.35">
      <c r="B22" s="5" t="s">
        <v>223</v>
      </c>
      <c r="C22" s="41" t="s">
        <v>224</v>
      </c>
      <c r="D22" s="44" t="s">
        <v>225</v>
      </c>
      <c r="E22" s="44"/>
      <c r="F22" s="44"/>
    </row>
    <row r="23" spans="2:6" ht="14" x14ac:dyDescent="0.3">
      <c r="B23" s="5" t="s">
        <v>226</v>
      </c>
      <c r="C23" s="50" t="s">
        <v>227</v>
      </c>
      <c r="D23" s="44"/>
      <c r="E23" s="44"/>
      <c r="F23" s="44"/>
    </row>
    <row r="25" spans="2:6" ht="14.5" x14ac:dyDescent="0.35">
      <c r="B25" s="43" t="s">
        <v>228</v>
      </c>
      <c r="C25" s="44"/>
      <c r="D25" s="44"/>
      <c r="E25" s="44"/>
      <c r="F25" s="44"/>
    </row>
    <row r="26" spans="2:6" x14ac:dyDescent="0.2">
      <c r="B26" s="50" t="s">
        <v>229</v>
      </c>
      <c r="C26" s="44"/>
      <c r="D26" s="44"/>
      <c r="E26" s="44"/>
      <c r="F26" s="44"/>
    </row>
    <row r="28" spans="2:6" ht="14.5" x14ac:dyDescent="0.35">
      <c r="B28" s="43" t="s">
        <v>230</v>
      </c>
      <c r="C28" s="44"/>
      <c r="D28" s="44"/>
      <c r="E28" s="44"/>
      <c r="F28" s="44"/>
    </row>
    <row r="29" spans="2:6" ht="15.5" x14ac:dyDescent="0.35">
      <c r="B29" s="5" t="s">
        <v>74</v>
      </c>
      <c r="C29" s="42" t="s">
        <v>231</v>
      </c>
      <c r="D29" s="50" t="s">
        <v>232</v>
      </c>
      <c r="E29" s="44"/>
      <c r="F29" s="44"/>
    </row>
  </sheetData>
  <mergeCells count="14">
    <mergeCell ref="B2:F2"/>
    <mergeCell ref="B15:F15"/>
    <mergeCell ref="B25:F25"/>
    <mergeCell ref="B28:F28"/>
    <mergeCell ref="D22:F22"/>
    <mergeCell ref="B5:F5"/>
    <mergeCell ref="C16:F16"/>
    <mergeCell ref="C19:F19"/>
    <mergeCell ref="B26:F26"/>
    <mergeCell ref="B21:F21"/>
    <mergeCell ref="C18:F18"/>
    <mergeCell ref="C17:F17"/>
    <mergeCell ref="C23:F23"/>
    <mergeCell ref="D29:F29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2026-06-18T03:18:57Z</dcterms:created>
  <dcterms:modified xsi:type="dcterms:W3CDTF">2026-06-18T03:24:55Z</dcterms:modified>
</cp:coreProperties>
</file>