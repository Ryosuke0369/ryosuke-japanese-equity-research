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reports\"/>
    </mc:Choice>
  </mc:AlternateContent>
  <xr:revisionPtr revIDLastSave="0" documentId="13_ncr:1_{14482976-615C-4BAB-8470-52759A8771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ied Growth Analysis" sheetId="1" r:id="rId1"/>
    <sheet name="Market Scorecard" sheetId="2" r:id="rId2"/>
  </sheets>
  <calcPr calcId="181029"/>
</workbook>
</file>

<file path=xl/calcChain.xml><?xml version="1.0" encoding="utf-8"?>
<calcChain xmlns="http://schemas.openxmlformats.org/spreadsheetml/2006/main">
  <c r="F45" i="2" l="1"/>
  <c r="E45" i="2"/>
  <c r="E44" i="2"/>
  <c r="F44" i="2" s="1"/>
  <c r="D10" i="2" s="1"/>
  <c r="C37" i="2"/>
  <c r="C36" i="2"/>
  <c r="C28" i="2"/>
  <c r="C27" i="2"/>
  <c r="C26" i="2"/>
  <c r="C10" i="2"/>
  <c r="D9" i="2"/>
  <c r="F9" i="2" s="1"/>
  <c r="C9" i="2"/>
  <c r="D8" i="2"/>
  <c r="F8" i="2" s="1"/>
  <c r="C8" i="2"/>
  <c r="E83" i="1"/>
  <c r="D83" i="1"/>
  <c r="E82" i="1"/>
  <c r="D82" i="1"/>
  <c r="E81" i="1"/>
  <c r="D81" i="1"/>
  <c r="E80" i="1"/>
  <c r="D80" i="1"/>
  <c r="E79" i="1"/>
  <c r="D79" i="1"/>
  <c r="C72" i="1"/>
  <c r="C71" i="1"/>
  <c r="C70" i="1"/>
  <c r="C69" i="1"/>
  <c r="C68" i="1"/>
  <c r="M35" i="1"/>
  <c r="M30" i="1"/>
  <c r="E30" i="1"/>
  <c r="E35" i="1" s="1"/>
  <c r="M26" i="1"/>
  <c r="M31" i="1" s="1"/>
  <c r="M36" i="1" s="1"/>
  <c r="J26" i="1"/>
  <c r="J27" i="1" s="1"/>
  <c r="M25" i="1"/>
  <c r="J25" i="1"/>
  <c r="J30" i="1" s="1"/>
  <c r="J35" i="1" s="1"/>
  <c r="H25" i="1"/>
  <c r="H30" i="1" s="1"/>
  <c r="H35" i="1" s="1"/>
  <c r="E25" i="1"/>
  <c r="E26" i="1" s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S20" i="1"/>
  <c r="S25" i="1" s="1"/>
  <c r="S26" i="1" s="1"/>
  <c r="R20" i="1"/>
  <c r="R25" i="1" s="1"/>
  <c r="R26" i="1" s="1"/>
  <c r="Q20" i="1"/>
  <c r="Q25" i="1" s="1"/>
  <c r="P20" i="1"/>
  <c r="P25" i="1" s="1"/>
  <c r="O20" i="1"/>
  <c r="O25" i="1" s="1"/>
  <c r="N20" i="1"/>
  <c r="N25" i="1" s="1"/>
  <c r="M20" i="1"/>
  <c r="L20" i="1"/>
  <c r="L25" i="1" s="1"/>
  <c r="K20" i="1"/>
  <c r="K25" i="1" s="1"/>
  <c r="K30" i="1" s="1"/>
  <c r="K35" i="1" s="1"/>
  <c r="J20" i="1"/>
  <c r="I20" i="1"/>
  <c r="I25" i="1" s="1"/>
  <c r="H20" i="1"/>
  <c r="G20" i="1"/>
  <c r="G25" i="1" s="1"/>
  <c r="F20" i="1"/>
  <c r="F25" i="1" s="1"/>
  <c r="E20" i="1"/>
  <c r="D20" i="1"/>
  <c r="D25" i="1" s="1"/>
  <c r="C20" i="1"/>
  <c r="C25" i="1" s="1"/>
  <c r="C26" i="1" s="1"/>
  <c r="E11" i="1"/>
  <c r="F11" i="1" s="1"/>
  <c r="D11" i="1"/>
  <c r="E10" i="1"/>
  <c r="F10" i="1" s="1"/>
  <c r="D10" i="1"/>
  <c r="E9" i="1"/>
  <c r="F9" i="1" s="1"/>
  <c r="D9" i="1"/>
  <c r="F8" i="1"/>
  <c r="E8" i="1"/>
  <c r="D8" i="1"/>
  <c r="F7" i="1"/>
  <c r="D7" i="1"/>
  <c r="E7" i="1" s="1"/>
  <c r="J32" i="1" l="1"/>
  <c r="J37" i="1" s="1"/>
  <c r="J28" i="1"/>
  <c r="R31" i="1"/>
  <c r="R36" i="1" s="1"/>
  <c r="R27" i="1"/>
  <c r="S27" i="1"/>
  <c r="S31" i="1"/>
  <c r="S36" i="1" s="1"/>
  <c r="Q30" i="1"/>
  <c r="Q35" i="1" s="1"/>
  <c r="Q26" i="1"/>
  <c r="D30" i="1"/>
  <c r="D35" i="1" s="1"/>
  <c r="D26" i="1"/>
  <c r="L26" i="1"/>
  <c r="L30" i="1"/>
  <c r="L35" i="1" s="1"/>
  <c r="T30" i="1"/>
  <c r="T35" i="1" s="1"/>
  <c r="T26" i="1"/>
  <c r="I30" i="1"/>
  <c r="I35" i="1" s="1"/>
  <c r="I26" i="1"/>
  <c r="C31" i="1"/>
  <c r="C36" i="1" s="1"/>
  <c r="C27" i="1"/>
  <c r="E27" i="1"/>
  <c r="E31" i="1"/>
  <c r="E36" i="1" s="1"/>
  <c r="F26" i="1"/>
  <c r="F30" i="1"/>
  <c r="F35" i="1" s="1"/>
  <c r="N30" i="1"/>
  <c r="N35" i="1" s="1"/>
  <c r="N26" i="1"/>
  <c r="G30" i="1"/>
  <c r="G35" i="1" s="1"/>
  <c r="G26" i="1"/>
  <c r="O26" i="1"/>
  <c r="O30" i="1"/>
  <c r="O35" i="1" s="1"/>
  <c r="P26" i="1"/>
  <c r="P30" i="1"/>
  <c r="P35" i="1" s="1"/>
  <c r="K26" i="1"/>
  <c r="M27" i="1"/>
  <c r="C30" i="1"/>
  <c r="C35" i="1" s="1"/>
  <c r="R30" i="1"/>
  <c r="R35" i="1" s="1"/>
  <c r="J31" i="1"/>
  <c r="J36" i="1" s="1"/>
  <c r="G8" i="2"/>
  <c r="G10" i="2"/>
  <c r="F10" i="2"/>
  <c r="S30" i="1"/>
  <c r="S35" i="1" s="1"/>
  <c r="H26" i="1"/>
  <c r="G9" i="2"/>
  <c r="Q27" i="1" l="1"/>
  <c r="Q31" i="1"/>
  <c r="Q36" i="1" s="1"/>
  <c r="G31" i="1"/>
  <c r="G36" i="1" s="1"/>
  <c r="G27" i="1"/>
  <c r="O31" i="1"/>
  <c r="O36" i="1" s="1"/>
  <c r="O27" i="1"/>
  <c r="E32" i="1"/>
  <c r="E37" i="1" s="1"/>
  <c r="E28" i="1"/>
  <c r="C28" i="1"/>
  <c r="C32" i="1"/>
  <c r="C37" i="1" s="1"/>
  <c r="L31" i="1"/>
  <c r="L36" i="1" s="1"/>
  <c r="L27" i="1"/>
  <c r="S28" i="1"/>
  <c r="S32" i="1"/>
  <c r="S37" i="1" s="1"/>
  <c r="M32" i="1"/>
  <c r="M37" i="1" s="1"/>
  <c r="M28" i="1"/>
  <c r="N27" i="1"/>
  <c r="N31" i="1"/>
  <c r="N36" i="1" s="1"/>
  <c r="D27" i="1"/>
  <c r="D31" i="1"/>
  <c r="D36" i="1" s="1"/>
  <c r="R28" i="1"/>
  <c r="R32" i="1"/>
  <c r="R37" i="1" s="1"/>
  <c r="K27" i="1"/>
  <c r="K31" i="1"/>
  <c r="K36" i="1" s="1"/>
  <c r="T27" i="1"/>
  <c r="T31" i="1"/>
  <c r="T36" i="1" s="1"/>
  <c r="I27" i="1"/>
  <c r="I31" i="1"/>
  <c r="I36" i="1" s="1"/>
  <c r="H27" i="1"/>
  <c r="H31" i="1"/>
  <c r="H36" i="1" s="1"/>
  <c r="J33" i="1"/>
  <c r="J38" i="1" s="1"/>
  <c r="J40" i="1" s="1"/>
  <c r="J43" i="1" s="1"/>
  <c r="J44" i="1" s="1"/>
  <c r="J45" i="1" s="1"/>
  <c r="J29" i="1"/>
  <c r="J34" i="1" s="1"/>
  <c r="J39" i="1" s="1"/>
  <c r="J41" i="1" s="1"/>
  <c r="J42" i="1" s="1"/>
  <c r="P27" i="1"/>
  <c r="P31" i="1"/>
  <c r="P36" i="1" s="1"/>
  <c r="F31" i="1"/>
  <c r="F36" i="1" s="1"/>
  <c r="F27" i="1"/>
  <c r="P32" i="1" l="1"/>
  <c r="P37" i="1" s="1"/>
  <c r="P28" i="1"/>
  <c r="M29" i="1"/>
  <c r="M34" i="1" s="1"/>
  <c r="M39" i="1" s="1"/>
  <c r="M41" i="1" s="1"/>
  <c r="M42" i="1" s="1"/>
  <c r="M33" i="1"/>
  <c r="M38" i="1" s="1"/>
  <c r="M40" i="1" s="1"/>
  <c r="M43" i="1" s="1"/>
  <c r="M44" i="1" s="1"/>
  <c r="M45" i="1" s="1"/>
  <c r="I28" i="1"/>
  <c r="I32" i="1"/>
  <c r="I37" i="1" s="1"/>
  <c r="K28" i="1"/>
  <c r="K32" i="1"/>
  <c r="K37" i="1" s="1"/>
  <c r="R33" i="1"/>
  <c r="R38" i="1" s="1"/>
  <c r="R29" i="1"/>
  <c r="R34" i="1" s="1"/>
  <c r="R39" i="1" s="1"/>
  <c r="R41" i="1" s="1"/>
  <c r="R42" i="1" s="1"/>
  <c r="L32" i="1"/>
  <c r="L37" i="1" s="1"/>
  <c r="L28" i="1"/>
  <c r="H28" i="1"/>
  <c r="H32" i="1"/>
  <c r="H37" i="1" s="1"/>
  <c r="G32" i="1"/>
  <c r="G37" i="1" s="1"/>
  <c r="G28" i="1"/>
  <c r="S33" i="1"/>
  <c r="S38" i="1" s="1"/>
  <c r="S40" i="1" s="1"/>
  <c r="S43" i="1" s="1"/>
  <c r="S44" i="1" s="1"/>
  <c r="S45" i="1" s="1"/>
  <c r="S29" i="1"/>
  <c r="S34" i="1" s="1"/>
  <c r="S39" i="1" s="1"/>
  <c r="S41" i="1" s="1"/>
  <c r="S42" i="1" s="1"/>
  <c r="E29" i="1"/>
  <c r="E34" i="1" s="1"/>
  <c r="E39" i="1" s="1"/>
  <c r="E41" i="1" s="1"/>
  <c r="E42" i="1" s="1"/>
  <c r="E33" i="1"/>
  <c r="E38" i="1" s="1"/>
  <c r="E40" i="1" s="1"/>
  <c r="E43" i="1" s="1"/>
  <c r="E44" i="1" s="1"/>
  <c r="E45" i="1" s="1"/>
  <c r="Q32" i="1"/>
  <c r="Q37" i="1" s="1"/>
  <c r="Q28" i="1"/>
  <c r="F32" i="1"/>
  <c r="F37" i="1" s="1"/>
  <c r="F28" i="1"/>
  <c r="T28" i="1"/>
  <c r="T32" i="1"/>
  <c r="T37" i="1" s="1"/>
  <c r="D32" i="1"/>
  <c r="D37" i="1" s="1"/>
  <c r="D28" i="1"/>
  <c r="O28" i="1"/>
  <c r="O32" i="1"/>
  <c r="O37" i="1" s="1"/>
  <c r="N28" i="1"/>
  <c r="N32" i="1"/>
  <c r="N37" i="1" s="1"/>
  <c r="C33" i="1"/>
  <c r="C38" i="1" s="1"/>
  <c r="C40" i="1" s="1"/>
  <c r="C43" i="1" s="1"/>
  <c r="C44" i="1" s="1"/>
  <c r="C45" i="1" s="1"/>
  <c r="C29" i="1"/>
  <c r="C34" i="1" s="1"/>
  <c r="C39" i="1" s="1"/>
  <c r="C41" i="1" s="1"/>
  <c r="C42" i="1" s="1"/>
  <c r="N33" i="1" l="1"/>
  <c r="N38" i="1" s="1"/>
  <c r="N40" i="1" s="1"/>
  <c r="N43" i="1" s="1"/>
  <c r="N44" i="1" s="1"/>
  <c r="N45" i="1" s="1"/>
  <c r="N29" i="1"/>
  <c r="N34" i="1" s="1"/>
  <c r="N39" i="1" s="1"/>
  <c r="N41" i="1" s="1"/>
  <c r="N42" i="1" s="1"/>
  <c r="Q29" i="1"/>
  <c r="Q34" i="1" s="1"/>
  <c r="Q39" i="1" s="1"/>
  <c r="Q41" i="1" s="1"/>
  <c r="Q42" i="1" s="1"/>
  <c r="Q33" i="1"/>
  <c r="Q38" i="1" s="1"/>
  <c r="Q40" i="1" s="1"/>
  <c r="Q43" i="1" s="1"/>
  <c r="Q44" i="1" s="1"/>
  <c r="Q45" i="1" s="1"/>
  <c r="O33" i="1"/>
  <c r="O38" i="1" s="1"/>
  <c r="O40" i="1" s="1"/>
  <c r="O43" i="1" s="1"/>
  <c r="O44" i="1" s="1"/>
  <c r="O45" i="1" s="1"/>
  <c r="O29" i="1"/>
  <c r="O34" i="1" s="1"/>
  <c r="O39" i="1" s="1"/>
  <c r="O41" i="1" s="1"/>
  <c r="O42" i="1" s="1"/>
  <c r="H33" i="1"/>
  <c r="H38" i="1" s="1"/>
  <c r="H29" i="1"/>
  <c r="H34" i="1" s="1"/>
  <c r="H39" i="1" s="1"/>
  <c r="H41" i="1" s="1"/>
  <c r="H42" i="1" s="1"/>
  <c r="I33" i="1"/>
  <c r="I38" i="1" s="1"/>
  <c r="I40" i="1" s="1"/>
  <c r="I43" i="1" s="1"/>
  <c r="I44" i="1" s="1"/>
  <c r="I45" i="1" s="1"/>
  <c r="I29" i="1"/>
  <c r="I34" i="1" s="1"/>
  <c r="I39" i="1" s="1"/>
  <c r="I41" i="1" s="1"/>
  <c r="I42" i="1" s="1"/>
  <c r="K33" i="1"/>
  <c r="K38" i="1" s="1"/>
  <c r="K40" i="1" s="1"/>
  <c r="K43" i="1" s="1"/>
  <c r="K44" i="1" s="1"/>
  <c r="K45" i="1" s="1"/>
  <c r="K29" i="1"/>
  <c r="K34" i="1" s="1"/>
  <c r="K39" i="1" s="1"/>
  <c r="K41" i="1" s="1"/>
  <c r="K42" i="1" s="1"/>
  <c r="D33" i="1"/>
  <c r="D38" i="1" s="1"/>
  <c r="D40" i="1" s="1"/>
  <c r="D43" i="1" s="1"/>
  <c r="D44" i="1" s="1"/>
  <c r="D45" i="1" s="1"/>
  <c r="D29" i="1"/>
  <c r="D34" i="1" s="1"/>
  <c r="D39" i="1" s="1"/>
  <c r="D41" i="1" s="1"/>
  <c r="D42" i="1" s="1"/>
  <c r="L29" i="1"/>
  <c r="L34" i="1" s="1"/>
  <c r="L39" i="1" s="1"/>
  <c r="L41" i="1" s="1"/>
  <c r="L42" i="1" s="1"/>
  <c r="L33" i="1"/>
  <c r="L38" i="1" s="1"/>
  <c r="L40" i="1" s="1"/>
  <c r="L43" i="1" s="1"/>
  <c r="L44" i="1" s="1"/>
  <c r="L45" i="1" s="1"/>
  <c r="T33" i="1"/>
  <c r="T38" i="1" s="1"/>
  <c r="T40" i="1" s="1"/>
  <c r="T43" i="1" s="1"/>
  <c r="T44" i="1" s="1"/>
  <c r="T45" i="1" s="1"/>
  <c r="T29" i="1"/>
  <c r="T34" i="1" s="1"/>
  <c r="T39" i="1" s="1"/>
  <c r="T41" i="1" s="1"/>
  <c r="T42" i="1" s="1"/>
  <c r="R40" i="1"/>
  <c r="R43" i="1" s="1"/>
  <c r="R44" i="1" s="1"/>
  <c r="R45" i="1" s="1"/>
  <c r="P29" i="1"/>
  <c r="P34" i="1" s="1"/>
  <c r="P39" i="1" s="1"/>
  <c r="P41" i="1" s="1"/>
  <c r="P42" i="1" s="1"/>
  <c r="P33" i="1"/>
  <c r="P38" i="1" s="1"/>
  <c r="P40" i="1" s="1"/>
  <c r="P43" i="1" s="1"/>
  <c r="P44" i="1" s="1"/>
  <c r="P45" i="1" s="1"/>
  <c r="F29" i="1"/>
  <c r="F34" i="1" s="1"/>
  <c r="F39" i="1" s="1"/>
  <c r="F41" i="1" s="1"/>
  <c r="F42" i="1" s="1"/>
  <c r="F33" i="1"/>
  <c r="F38" i="1" s="1"/>
  <c r="F40" i="1" s="1"/>
  <c r="F43" i="1" s="1"/>
  <c r="F44" i="1" s="1"/>
  <c r="F45" i="1" s="1"/>
  <c r="G29" i="1"/>
  <c r="G34" i="1" s="1"/>
  <c r="G39" i="1" s="1"/>
  <c r="G41" i="1" s="1"/>
  <c r="G42" i="1" s="1"/>
  <c r="G33" i="1"/>
  <c r="G38" i="1" s="1"/>
  <c r="G40" i="1" s="1"/>
  <c r="G43" i="1" s="1"/>
  <c r="G44" i="1" s="1"/>
  <c r="G45" i="1" s="1"/>
  <c r="D70" i="1" l="1"/>
  <c r="D69" i="1"/>
  <c r="H40" i="1"/>
  <c r="H43" i="1" s="1"/>
  <c r="H44" i="1" s="1"/>
  <c r="H45" i="1" s="1"/>
  <c r="D71" i="1" s="1"/>
  <c r="E71" i="1" l="1"/>
  <c r="F71" i="1"/>
  <c r="D72" i="1"/>
  <c r="E69" i="1"/>
  <c r="F69" i="1"/>
  <c r="F70" i="1"/>
  <c r="E70" i="1"/>
  <c r="D68" i="1"/>
  <c r="F72" i="1" l="1"/>
  <c r="E72" i="1"/>
  <c r="F83" i="1"/>
  <c r="G83" i="1" s="1"/>
  <c r="F81" i="1"/>
  <c r="G81" i="1" s="1"/>
  <c r="F79" i="1"/>
  <c r="G79" i="1" s="1"/>
  <c r="C90" i="1"/>
  <c r="F68" i="1"/>
  <c r="F80" i="1"/>
  <c r="G80" i="1" s="1"/>
  <c r="F82" i="1"/>
  <c r="G82" i="1" s="1"/>
  <c r="E68" i="1"/>
  <c r="C92" i="1" l="1"/>
  <c r="C93" i="1" s="1"/>
  <c r="C7" i="2"/>
  <c r="D7" i="2" s="1"/>
  <c r="F7" i="2" l="1"/>
  <c r="F12" i="2" s="1"/>
  <c r="G12" i="2" s="1"/>
  <c r="G7" i="2"/>
</calcChain>
</file>

<file path=xl/sharedStrings.xml><?xml version="1.0" encoding="utf-8"?>
<sst xmlns="http://schemas.openxmlformats.org/spreadsheetml/2006/main" count="152" uniqueCount="146">
  <si>
    <t>Implied Growth Analysis - 株式会社コア (2359.T)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</si>
  <si>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</si>
  <si>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</si>
  <si>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</si>
  <si>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</si>
  <si>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</si>
  <si>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</si>
  <si>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</si>
  <si>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</si>
  <si>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</si>
  <si>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</si>
  <si>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</si>
  <si>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</si>
  <si>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</si>
  <si>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</si>
  <si>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</si>
  <si>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</si>
  <si>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</si>
  <si>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</si>
  <si>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</si>
  <si>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</si>
  <si>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</si>
  <si>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</si>
  <si>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</si>
  <si>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</si>
  <si>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</si>
  <si>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</si>
  <si>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</si>
  <si>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</si>
  <si>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</si>
  <si>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</si>
  <si>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</si>
  <si>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</si>
  <si>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</si>
  <si>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</si>
  <si>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</si>
  <si>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</si>
  <si>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</si>
  <si>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</si>
  <si>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</si>
  <si>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</si>
  <si>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</si>
  <si>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</si>
  <si>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</si>
  <si>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</si>
  <si>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</si>
  <si>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</si>
  <si>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</si>
  <si>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[F]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</si>
  <si>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</si>
  <si>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</si>
  <si>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</si>
  <si>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</si>
  <si>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</si>
  <si>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</si>
  <si>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</si>
  <si>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</si>
  <si>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未来社会ソリューション</t>
  </si>
  <si>
    <t>産業技術ソリューション</t>
  </si>
  <si>
    <t>顧客共創ビジネス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</si>
  <si>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</si>
  <si>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</si>
  <si>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</si>
  <si>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</si>
  <si>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</si>
  <si>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</si>
  <si>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── How to use ──</t>
  </si>
  <si>
    <t>1. Block 1: market reference price points</t>
  </si>
  <si>
    <t>2. Block 2: alpha-scan implied share prices</t>
  </si>
  <si>
    <t>Implied alpha</t>
  </si>
  <si>
    <t>Interpretation</t>
  </si>
  <si>
    <t>Market Pricing</t>
  </si>
  <si>
    <t>3. Block 3: implied alpha per price (FORECAST)</t>
  </si>
  <si>
    <t>4. Block 4: 5-scenario comparison</t>
  </si>
  <si>
    <t>5. Block 5: final verdict (edit C91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</si>
  <si>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</si>
  <si>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</si>
  <si>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</si>
  <si>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</si>
  <si>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</si>
  <si>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</si>
  <si>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</si>
  <si>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</si>
  <si>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</si>
  <si>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</si>
  <si>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</si>
  <si>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</si>
  <si>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</si>
  <si>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</si>
  <si>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</si>
  <si>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</si>
  <si>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</si>
  <si>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</si>
  <si>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</si>
  <si>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</si>
  <si>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</si>
  <si>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</si>
  <si>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Market Scorecard - 株式会社コア (2359.T)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</si>
  <si>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</si>
  <si>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</si>
  <si>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</si>
  <si>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</si>
  <si>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</si>
  <si>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</si>
  <si>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</si>
  <si>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</si>
  <si>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</si>
  <si>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</si>
  <si>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</si>
  <si>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</si>
  <si>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</si>
  <si>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</si>
  <si>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</si>
  <si>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</si>
  <si>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</si>
  <si>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</si>
  <si>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</si>
  <si>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</si>
  <si>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</si>
  <si>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</si>
  <si>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</si>
  <si>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</si>
  <si>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</si>
  <si>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</si>
  <si>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</si>
  <si>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</si>
  <si>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</si>
  <si>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</si>
  <si>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</si>
  <si>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</si>
  <si>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</si>
  <si>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</si>
  <si>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</si>
  <si>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</si>
  <si>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</si>
  <si>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</si>
  <si>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</si>
  <si>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</si>
  <si>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</si>
  <si>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</si>
  <si>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</si>
  <si>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</si>
  <si>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</si>
  <si>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C91 に自分の View alpha を入力する。</t>
  </si>
  <si>
    <t>3. Block 1 (this sheet) Total Score と判定を確認する。</t>
  </si>
  <si>
    <t>4. 複数銘柄で同じテンプレートを使用し、横比較で買い候補を絞り込む。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</si>
</sst>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\+0.00;\-0.00;0.00"/>
    <numFmt numFmtId="178" formatCode="\+0.000;\-0.000;0.000"/>
    <numFmt numFmtId="179" formatCode="\+0.00%;\-0.00%;0.00%"/>
  </numFmts>
  <fonts count="7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0" fontId="3" fillId="0" borderId="1" xfId="0" applyFon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9" fontId="0" fillId="0" borderId="1" xfId="0" applyNumberFormat="1" applyBorder="1"/>
    <xf numFmtId="179" fontId="0" fillId="0" borderId="1" xfId="0" applyNumberFormat="1" applyBorder="1"/>
    <xf numFmtId="177" fontId="5" fillId="5" borderId="1" xfId="0" applyNumberFormat="1" applyFont="1" applyFill="1" applyBorder="1"/>
    <xf numFmtId="0" fontId="5" fillId="8" borderId="1" xfId="0" applyFont="1" applyFill="1" applyBorder="1"/>
    <xf numFmtId="3" fontId="0" fillId="7" borderId="1" xfId="0" applyNumberFormat="1" applyFill="1" applyBorder="1"/>
    <xf numFmtId="179" fontId="0" fillId="0" borderId="0" xfId="0" applyNumberFormat="1"/>
    <xf numFmtId="2" fontId="0" fillId="6" borderId="1" xfId="0" applyNumberFormat="1" applyFill="1" applyBorder="1"/>
    <xf numFmtId="179" fontId="0" fillId="6" borderId="1" xfId="0" applyNumberFormat="1" applyFill="1" applyBorder="1"/>
    <xf numFmtId="179" fontId="0" fillId="7" borderId="1" xfId="0" applyNumberFormat="1" applyFill="1" applyBorder="1"/>
    <xf numFmtId="0" fontId="2" fillId="3" borderId="0" xfId="0" applyFont="1" applyFill="1"/>
    <xf numFmtId="0" fontId="0" fillId="0" borderId="0" xfId="0"/>
    <xf numFmtId="0" fontId="3" fillId="4" borderId="0" xfId="0" applyFont="1" applyFill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93"/>
  <sheetViews>
    <sheetView tabSelected="1" topLeftCell="A83" workbookViewId="0">
      <selection activeCell="C91" sqref="C91"/>
    </sheetView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30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5" spans="2:20" ht="14.5" x14ac:dyDescent="0.35">
      <c r="B5" s="27" t="s">
        <v>1</v>
      </c>
      <c r="C5" s="28"/>
      <c r="D5" s="28"/>
      <c r="E5" s="28"/>
      <c r="F5" s="28"/>
      <c r="G5" s="28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2006</v>
      </c>
      <c r="D7" s="3">
        <f>C7*14366101/1000000</f>
        <v>28818.398605999999</v>
      </c>
      <c r="E7" s="3">
        <f>D7+-7296.8</f>
        <v>21521.598606</v>
      </c>
      <c r="F7" s="3">
        <f>E7</f>
        <v>21521.598606</v>
      </c>
      <c r="G7" s="2" t="s">
        <v>9</v>
      </c>
    </row>
    <row r="8" spans="2:20" x14ac:dyDescent="0.2">
      <c r="B8" s="2" t="s">
        <v>10</v>
      </c>
      <c r="C8" s="3">
        <v>3290.2729790835629</v>
      </c>
      <c r="D8" s="3">
        <f>C8*14366101/1000000</f>
        <v>47268.393935085347</v>
      </c>
      <c r="E8" s="3">
        <f>D8+-7296.8</f>
        <v>39971.593935085344</v>
      </c>
      <c r="F8" s="3">
        <f>E8</f>
        <v>39971.593935085344</v>
      </c>
      <c r="G8" s="2" t="s">
        <v>11</v>
      </c>
    </row>
    <row r="9" spans="2:20" x14ac:dyDescent="0.2">
      <c r="B9" s="2" t="s">
        <v>12</v>
      </c>
      <c r="C9" s="3">
        <v>3629</v>
      </c>
      <c r="D9" s="3">
        <f>C9*14366101/1000000</f>
        <v>52134.580528999999</v>
      </c>
      <c r="E9" s="3">
        <f>D9+-7296.8</f>
        <v>44837.780528999996</v>
      </c>
      <c r="F9" s="3">
        <f>E9</f>
        <v>44837.780528999996</v>
      </c>
      <c r="G9" s="2" t="s">
        <v>13</v>
      </c>
    </row>
    <row r="10" spans="2:20" x14ac:dyDescent="0.2">
      <c r="B10" s="2" t="s">
        <v>14</v>
      </c>
      <c r="C10" s="3">
        <v>1960</v>
      </c>
      <c r="D10" s="3">
        <f>C10*14366101/1000000</f>
        <v>28157.557959999998</v>
      </c>
      <c r="E10" s="3">
        <f>D10+-7296.8</f>
        <v>20860.757959999999</v>
      </c>
      <c r="F10" s="3">
        <f>E10</f>
        <v>20860.757959999999</v>
      </c>
      <c r="G10" s="2" t="s">
        <v>15</v>
      </c>
    </row>
    <row r="11" spans="2:20" x14ac:dyDescent="0.2">
      <c r="B11" s="2" t="s">
        <v>16</v>
      </c>
      <c r="C11" s="3">
        <v>2330</v>
      </c>
      <c r="D11" s="3">
        <f>C11*14366101/1000000</f>
        <v>33473.015330000002</v>
      </c>
      <c r="E11" s="3">
        <f>D11+-7296.8</f>
        <v>26176.215330000003</v>
      </c>
      <c r="F11" s="3">
        <f>E11</f>
        <v>26176.215330000003</v>
      </c>
      <c r="G11" s="2" t="s">
        <v>15</v>
      </c>
    </row>
    <row r="14" spans="2:20" ht="14.5" x14ac:dyDescent="0.35">
      <c r="B14" s="27" t="s">
        <v>17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C17*D56</f>
        <v>-4.5199208443271743E-2</v>
      </c>
      <c r="D20" s="6">
        <f>D17*D56</f>
        <v>-2.7119525065963046E-2</v>
      </c>
      <c r="E20" s="6">
        <f>E17*D56</f>
        <v>-9.0398416886543487E-3</v>
      </c>
      <c r="F20" s="6">
        <f>F17*D56</f>
        <v>0</v>
      </c>
      <c r="G20" s="6">
        <f>G17*D56</f>
        <v>9.0398416886543487E-3</v>
      </c>
      <c r="H20" s="6">
        <f>H17*D56</f>
        <v>1.8079683377308697E-2</v>
      </c>
      <c r="I20" s="6">
        <f>I17*D56</f>
        <v>2.7119525065963046E-2</v>
      </c>
      <c r="J20" s="6">
        <f>J17*D56</f>
        <v>3.6159366754617395E-2</v>
      </c>
      <c r="K20" s="6">
        <f>K17*D56</f>
        <v>4.5199208443271743E-2</v>
      </c>
      <c r="L20" s="6">
        <f>L17*D56</f>
        <v>5.4239050131926092E-2</v>
      </c>
      <c r="M20" s="6">
        <f>M17*D56</f>
        <v>6.3278891820580441E-2</v>
      </c>
      <c r="N20" s="6">
        <f>N17*D56</f>
        <v>7.2318733509234789E-2</v>
      </c>
      <c r="O20" s="6">
        <f>O17*D56</f>
        <v>8.1358575197889138E-2</v>
      </c>
      <c r="P20" s="6">
        <f>P17*D56</f>
        <v>9.0398416886543487E-2</v>
      </c>
      <c r="Q20" s="6">
        <f>Q17*D56</f>
        <v>9.9438258575197849E-2</v>
      </c>
      <c r="R20" s="6">
        <f>R17*D56</f>
        <v>0.10847810026385218</v>
      </c>
      <c r="S20" s="6">
        <f>S17*D56</f>
        <v>0.11751794195250653</v>
      </c>
      <c r="T20" s="6">
        <f>T17*D56</f>
        <v>0.13559762532981523</v>
      </c>
    </row>
    <row r="21" spans="2:20" x14ac:dyDescent="0.2">
      <c r="B21" t="s">
        <v>22</v>
      </c>
      <c r="C21" s="6">
        <f>C17*E56</f>
        <v>-4.3962279804495741E-2</v>
      </c>
      <c r="D21" s="6">
        <f>D17*E56</f>
        <v>-2.6377367882697445E-2</v>
      </c>
      <c r="E21" s="6">
        <f>E17*E56</f>
        <v>-8.7924559608991478E-3</v>
      </c>
      <c r="F21" s="6">
        <f>F17*E56</f>
        <v>0</v>
      </c>
      <c r="G21" s="6">
        <f>G17*E56</f>
        <v>8.7924559608991478E-3</v>
      </c>
      <c r="H21" s="6">
        <f>H17*E56</f>
        <v>1.7584911921798296E-2</v>
      </c>
      <c r="I21" s="6">
        <f>I17*E56</f>
        <v>2.6377367882697445E-2</v>
      </c>
      <c r="J21" s="6">
        <f>J17*E56</f>
        <v>3.5169823843596591E-2</v>
      </c>
      <c r="K21" s="6">
        <f>K17*E56</f>
        <v>4.3962279804495741E-2</v>
      </c>
      <c r="L21" s="6">
        <f>L17*E56</f>
        <v>5.275473576539489E-2</v>
      </c>
      <c r="M21" s="6">
        <f>M17*E56</f>
        <v>6.1547191726294033E-2</v>
      </c>
      <c r="N21" s="6">
        <f>N17*E56</f>
        <v>7.0339647687193183E-2</v>
      </c>
      <c r="O21" s="6">
        <f>O17*E56</f>
        <v>7.9132103648092339E-2</v>
      </c>
      <c r="P21" s="6">
        <f>P17*E56</f>
        <v>8.7924559608991482E-2</v>
      </c>
      <c r="Q21" s="6">
        <f>Q17*E56</f>
        <v>9.6717015569890638E-2</v>
      </c>
      <c r="R21" s="6">
        <f>R17*E56</f>
        <v>0.10550947153078978</v>
      </c>
      <c r="S21" s="6">
        <f>S17*E56</f>
        <v>0.11430192749168892</v>
      </c>
      <c r="T21" s="6">
        <f>T17*E56</f>
        <v>0.13188683941348722</v>
      </c>
    </row>
    <row r="22" spans="2:20" x14ac:dyDescent="0.2">
      <c r="B22" t="s">
        <v>23</v>
      </c>
      <c r="C22" s="6">
        <f>C17*F56</f>
        <v>-3.8665521710605444E-2</v>
      </c>
      <c r="D22" s="6">
        <f>D17*F56</f>
        <v>-2.3199313026363265E-2</v>
      </c>
      <c r="E22" s="6">
        <f>E17*F56</f>
        <v>-7.7331043421210895E-3</v>
      </c>
      <c r="F22" s="6">
        <f>F17*F56</f>
        <v>0</v>
      </c>
      <c r="G22" s="6">
        <f>G17*F56</f>
        <v>7.7331043421210895E-3</v>
      </c>
      <c r="H22" s="6">
        <f>H17*F56</f>
        <v>1.5466208684242179E-2</v>
      </c>
      <c r="I22" s="6">
        <f>I17*F56</f>
        <v>2.3199313026363265E-2</v>
      </c>
      <c r="J22" s="6">
        <f>J17*F56</f>
        <v>3.0932417368484358E-2</v>
      </c>
      <c r="K22" s="6">
        <f>K17*F56</f>
        <v>3.8665521710605444E-2</v>
      </c>
      <c r="L22" s="6">
        <f>L17*F56</f>
        <v>4.639862605272653E-2</v>
      </c>
      <c r="M22" s="6">
        <f>M17*F56</f>
        <v>5.4131730394847616E-2</v>
      </c>
      <c r="N22" s="6">
        <f>N17*F56</f>
        <v>6.1864834736968716E-2</v>
      </c>
      <c r="O22" s="6">
        <f>O17*F56</f>
        <v>6.9597939079089802E-2</v>
      </c>
      <c r="P22" s="6">
        <f>P17*F56</f>
        <v>7.7331043421210888E-2</v>
      </c>
      <c r="Q22" s="6">
        <f>Q17*F56</f>
        <v>8.5064147763331988E-2</v>
      </c>
      <c r="R22" s="6">
        <f>R17*F56</f>
        <v>9.279725210545306E-2</v>
      </c>
      <c r="S22" s="6">
        <f>S17*F56</f>
        <v>0.10053035644757416</v>
      </c>
      <c r="T22" s="6">
        <f>T17*F56</f>
        <v>0.11599656513181633</v>
      </c>
    </row>
    <row r="23" spans="2:20" x14ac:dyDescent="0.2">
      <c r="B23" t="s">
        <v>24</v>
      </c>
      <c r="C23" s="6">
        <f>C17*G56</f>
        <v>-2.8280095259814338E-2</v>
      </c>
      <c r="D23" s="6">
        <f>D17*G56</f>
        <v>-1.6968057155888602E-2</v>
      </c>
      <c r="E23" s="6">
        <f>E17*G56</f>
        <v>-5.656019051962868E-3</v>
      </c>
      <c r="F23" s="6">
        <f>F17*G56</f>
        <v>0</v>
      </c>
      <c r="G23" s="6">
        <f>G17*G56</f>
        <v>5.656019051962868E-3</v>
      </c>
      <c r="H23" s="6">
        <f>H17*G56</f>
        <v>1.1312038103925736E-2</v>
      </c>
      <c r="I23" s="6">
        <f>I17*G56</f>
        <v>1.6968057155888602E-2</v>
      </c>
      <c r="J23" s="6">
        <f>J17*G56</f>
        <v>2.2624076207851472E-2</v>
      </c>
      <c r="K23" s="6">
        <f>K17*G56</f>
        <v>2.8280095259814338E-2</v>
      </c>
      <c r="L23" s="6">
        <f>L17*G56</f>
        <v>3.3936114311777205E-2</v>
      </c>
      <c r="M23" s="6">
        <f>M17*G56</f>
        <v>3.9592133363740074E-2</v>
      </c>
      <c r="N23" s="6">
        <f>N17*G56</f>
        <v>4.5248152415702944E-2</v>
      </c>
      <c r="O23" s="6">
        <f>O17*G56</f>
        <v>5.0904171467665807E-2</v>
      </c>
      <c r="P23" s="6">
        <f>P17*G56</f>
        <v>5.6560190519628677E-2</v>
      </c>
      <c r="Q23" s="6">
        <f>Q17*G56</f>
        <v>6.2216209571591546E-2</v>
      </c>
      <c r="R23" s="6">
        <f>R17*G56</f>
        <v>6.7872228623554409E-2</v>
      </c>
      <c r="S23" s="6">
        <f>S17*G56</f>
        <v>7.3528247675517286E-2</v>
      </c>
      <c r="T23" s="6">
        <f>T17*G56</f>
        <v>8.4840285779443012E-2</v>
      </c>
    </row>
    <row r="24" spans="2:20" x14ac:dyDescent="0.2">
      <c r="B24" t="s">
        <v>25</v>
      </c>
      <c r="C24" s="6">
        <f>C17*H56</f>
        <v>-2.1113396179353924E-2</v>
      </c>
      <c r="D24" s="6">
        <f>D17*H56</f>
        <v>-1.2668037707612354E-2</v>
      </c>
      <c r="E24" s="6">
        <f>E17*H56</f>
        <v>-4.2226792358707847E-3</v>
      </c>
      <c r="F24" s="6">
        <f>F17*H56</f>
        <v>0</v>
      </c>
      <c r="G24" s="6">
        <f>G17*H56</f>
        <v>4.2226792358707847E-3</v>
      </c>
      <c r="H24" s="6">
        <f>H17*H56</f>
        <v>8.4453584717415695E-3</v>
      </c>
      <c r="I24" s="6">
        <f>I17*H56</f>
        <v>1.2668037707612354E-2</v>
      </c>
      <c r="J24" s="6">
        <f>J17*H56</f>
        <v>1.6890716943483139E-2</v>
      </c>
      <c r="K24" s="6">
        <f>K17*H56</f>
        <v>2.1113396179353924E-2</v>
      </c>
      <c r="L24" s="6">
        <f>L17*H56</f>
        <v>2.5336075415224708E-2</v>
      </c>
      <c r="M24" s="6">
        <f>M17*H56</f>
        <v>2.955875465109549E-2</v>
      </c>
      <c r="N24" s="6">
        <f>N17*H56</f>
        <v>3.3781433886966278E-2</v>
      </c>
      <c r="O24" s="6">
        <f>O17*H56</f>
        <v>3.8004113122837066E-2</v>
      </c>
      <c r="P24" s="6">
        <f>P17*H56</f>
        <v>4.2226792358707847E-2</v>
      </c>
      <c r="Q24" s="6">
        <f>Q17*H56</f>
        <v>4.6449471594578635E-2</v>
      </c>
      <c r="R24" s="6">
        <f>R17*H56</f>
        <v>5.0672150830449417E-2</v>
      </c>
      <c r="S24" s="6">
        <f>S17*H56</f>
        <v>5.4894830066320205E-2</v>
      </c>
      <c r="T24" s="6">
        <f>T17*H56</f>
        <v>6.3340188538061767E-2</v>
      </c>
    </row>
    <row r="25" spans="2:20" x14ac:dyDescent="0.2">
      <c r="B25" t="s">
        <v>26</v>
      </c>
      <c r="C25" s="7">
        <f>C48*(1+C20)</f>
        <v>25330.865000000002</v>
      </c>
      <c r="D25" s="7">
        <f>C48*(1+D20)</f>
        <v>25810.519</v>
      </c>
      <c r="E25" s="7">
        <f>C48*(1+E20)</f>
        <v>26290.172999999999</v>
      </c>
      <c r="F25" s="7">
        <f>C48*(1+F20)</f>
        <v>26530</v>
      </c>
      <c r="G25" s="7">
        <f>C48*(1+G20)</f>
        <v>26769.827000000001</v>
      </c>
      <c r="H25" s="7">
        <f>C48*(1+H20)</f>
        <v>27009.653999999999</v>
      </c>
      <c r="I25" s="7">
        <f>C48*(1+I20)</f>
        <v>27249.481</v>
      </c>
      <c r="J25" s="7">
        <f>C48*(1+J20)</f>
        <v>27489.308000000001</v>
      </c>
      <c r="K25" s="7">
        <f>C48*(1+K20)</f>
        <v>27729.134999999998</v>
      </c>
      <c r="L25" s="7">
        <f>C48*(1+L20)</f>
        <v>27968.962</v>
      </c>
      <c r="M25" s="7">
        <f>C48*(1+M20)</f>
        <v>28208.789000000001</v>
      </c>
      <c r="N25" s="7">
        <f>C48*(1+N20)</f>
        <v>28448.615999999998</v>
      </c>
      <c r="O25" s="7">
        <f>C48*(1+O20)</f>
        <v>28688.442999999999</v>
      </c>
      <c r="P25" s="7">
        <f>C48*(1+P20)</f>
        <v>28928.27</v>
      </c>
      <c r="Q25" s="7">
        <f>C48*(1+Q20)</f>
        <v>29168.096999999998</v>
      </c>
      <c r="R25" s="7">
        <f>C48*(1+R20)</f>
        <v>29407.923999999999</v>
      </c>
      <c r="S25" s="7">
        <f>C48*(1+S20)</f>
        <v>29647.750999999997</v>
      </c>
      <c r="T25" s="7">
        <f>C48*(1+T20)</f>
        <v>30127.404999999999</v>
      </c>
    </row>
    <row r="26" spans="2:20" x14ac:dyDescent="0.2">
      <c r="B26" t="s">
        <v>27</v>
      </c>
      <c r="C26" s="7">
        <f t="shared" ref="C26:L29" si="0">C25*(1+C21)</f>
        <v>24217.262425180095</v>
      </c>
      <c r="D26" s="7">
        <f t="shared" si="0"/>
        <v>25129.705445093648</v>
      </c>
      <c r="E26" s="7">
        <f t="shared" si="0"/>
        <v>26059.01781169308</v>
      </c>
      <c r="F26" s="7">
        <f t="shared" si="0"/>
        <v>26530</v>
      </c>
      <c r="G26" s="7">
        <f t="shared" si="0"/>
        <v>27005.19952497839</v>
      </c>
      <c r="H26" s="7">
        <f t="shared" si="0"/>
        <v>27484.616386628248</v>
      </c>
      <c r="I26" s="7">
        <f t="shared" si="0"/>
        <v>27968.250584949576</v>
      </c>
      <c r="J26" s="7">
        <f t="shared" si="0"/>
        <v>28456.102119942374</v>
      </c>
      <c r="K26" s="7">
        <f t="shared" si="0"/>
        <v>28948.170991606632</v>
      </c>
      <c r="L26" s="7">
        <f t="shared" si="0"/>
        <v>29444.457199942368</v>
      </c>
      <c r="M26" s="7">
        <f t="shared" ref="M26:V29" si="1">M25*(1+M21)</f>
        <v>29944.960744949574</v>
      </c>
      <c r="N26" s="7">
        <f t="shared" si="1"/>
        <v>30449.681626628244</v>
      </c>
      <c r="O26" s="7">
        <f t="shared" si="1"/>
        <v>30958.619844978388</v>
      </c>
      <c r="P26" s="7">
        <f t="shared" si="1"/>
        <v>31471.775400000002</v>
      </c>
      <c r="Q26" s="7">
        <f t="shared" si="1"/>
        <v>31989.14829169308</v>
      </c>
      <c r="R26" s="7">
        <f t="shared" si="1"/>
        <v>32510.738520057628</v>
      </c>
      <c r="S26" s="7">
        <f t="shared" si="1"/>
        <v>33036.546085093643</v>
      </c>
      <c r="T26" s="7">
        <f t="shared" si="1"/>
        <v>34100.813225180093</v>
      </c>
    </row>
    <row r="27" spans="2:20" x14ac:dyDescent="0.2">
      <c r="B27" t="s">
        <v>28</v>
      </c>
      <c r="C27" s="7">
        <f t="shared" si="0"/>
        <v>23280.889339107864</v>
      </c>
      <c r="D27" s="7">
        <f t="shared" si="0"/>
        <v>24546.713542212616</v>
      </c>
      <c r="E27" s="7">
        <f t="shared" si="0"/>
        <v>25857.500707902065</v>
      </c>
      <c r="F27" s="7">
        <f t="shared" si="0"/>
        <v>26530</v>
      </c>
      <c r="G27" s="7">
        <f t="shared" si="0"/>
        <v>27214.03355068485</v>
      </c>
      <c r="H27" s="7">
        <f t="shared" si="0"/>
        <v>27909.699199270181</v>
      </c>
      <c r="I27" s="7">
        <f t="shared" si="0"/>
        <v>28617.094785069588</v>
      </c>
      <c r="J27" s="7">
        <f t="shared" si="0"/>
        <v>29336.318147396647</v>
      </c>
      <c r="K27" s="7">
        <f t="shared" si="0"/>
        <v>30067.467125564915</v>
      </c>
      <c r="L27" s="7">
        <f t="shared" si="0"/>
        <v>30810.639558888004</v>
      </c>
      <c r="M27" s="7">
        <f t="shared" si="1"/>
        <v>31565.933286679479</v>
      </c>
      <c r="N27" s="7">
        <f t="shared" si="1"/>
        <v>32333.446148252915</v>
      </c>
      <c r="O27" s="7">
        <f t="shared" si="1"/>
        <v>33113.275982921892</v>
      </c>
      <c r="P27" s="7">
        <f t="shared" si="1"/>
        <v>33905.520629999999</v>
      </c>
      <c r="Q27" s="7">
        <f t="shared" si="1"/>
        <v>34710.277928800802</v>
      </c>
      <c r="R27" s="7">
        <f t="shared" si="1"/>
        <v>35527.645718637876</v>
      </c>
      <c r="S27" s="7">
        <f t="shared" si="1"/>
        <v>36357.721838824815</v>
      </c>
      <c r="T27" s="7">
        <f t="shared" si="1"/>
        <v>38056.3904275026</v>
      </c>
    </row>
    <row r="28" spans="2:20" x14ac:dyDescent="0.2">
      <c r="B28" t="s">
        <v>29</v>
      </c>
      <c r="C28" s="7">
        <f t="shared" si="0"/>
        <v>22622.503570864697</v>
      </c>
      <c r="D28" s="7">
        <f t="shared" si="0"/>
        <v>24130.20350383913</v>
      </c>
      <c r="E28" s="7">
        <f t="shared" si="0"/>
        <v>25711.250191262028</v>
      </c>
      <c r="F28" s="7">
        <f t="shared" si="0"/>
        <v>26530</v>
      </c>
      <c r="G28" s="7">
        <f t="shared" si="0"/>
        <v>27367.956642928279</v>
      </c>
      <c r="H28" s="7">
        <f t="shared" si="0"/>
        <v>28225.414780081432</v>
      </c>
      <c r="I28" s="7">
        <f t="shared" si="0"/>
        <v>29102.671285018128</v>
      </c>
      <c r="J28" s="7">
        <f t="shared" si="0"/>
        <v>30000.025244821129</v>
      </c>
      <c r="K28" s="7">
        <f t="shared" si="0"/>
        <v>30917.777960097228</v>
      </c>
      <c r="L28" s="7">
        <f t="shared" si="0"/>
        <v>31856.23294497739</v>
      </c>
      <c r="M28" s="7">
        <f t="shared" si="1"/>
        <v>32815.69592711662</v>
      </c>
      <c r="N28" s="7">
        <f t="shared" si="1"/>
        <v>33796.474847693986</v>
      </c>
      <c r="O28" s="7">
        <f t="shared" si="1"/>
        <v>34798.879861412694</v>
      </c>
      <c r="P28" s="7">
        <f t="shared" si="1"/>
        <v>35823.223336499999</v>
      </c>
      <c r="Q28" s="7">
        <f t="shared" si="1"/>
        <v>36869.819854707261</v>
      </c>
      <c r="R28" s="7">
        <f t="shared" si="1"/>
        <v>37938.986211309908</v>
      </c>
      <c r="S28" s="7">
        <f t="shared" si="1"/>
        <v>39031.041415107487</v>
      </c>
      <c r="T28" s="7">
        <f t="shared" si="1"/>
        <v>41285.105467105983</v>
      </c>
    </row>
    <row r="29" spans="2:20" x14ac:dyDescent="0.2">
      <c r="B29" t="s">
        <v>30</v>
      </c>
      <c r="C29" s="7">
        <f t="shared" si="0"/>
        <v>22144.865690404182</v>
      </c>
      <c r="D29" s="7">
        <f t="shared" si="0"/>
        <v>23824.521175960133</v>
      </c>
      <c r="E29" s="7">
        <f t="shared" si="0"/>
        <v>25602.679828951106</v>
      </c>
      <c r="F29" s="7">
        <f t="shared" si="0"/>
        <v>26530</v>
      </c>
      <c r="G29" s="7">
        <f t="shared" si="0"/>
        <v>27483.522745172584</v>
      </c>
      <c r="H29" s="7">
        <f t="shared" si="0"/>
        <v>28463.788525912816</v>
      </c>
      <c r="I29" s="7">
        <f t="shared" si="0"/>
        <v>29471.345022248985</v>
      </c>
      <c r="J29" s="7">
        <f t="shared" si="0"/>
        <v>30506.747179528749</v>
      </c>
      <c r="K29" s="7">
        <f t="shared" si="0"/>
        <v>31570.557255154057</v>
      </c>
      <c r="L29" s="7">
        <f t="shared" si="0"/>
        <v>32663.344865316303</v>
      </c>
      <c r="M29" s="7">
        <f t="shared" si="1"/>
        <v>33785.687031731213</v>
      </c>
      <c r="N29" s="7">
        <f t="shared" si="1"/>
        <v>34938.168228373877</v>
      </c>
      <c r="O29" s="7">
        <f t="shared" si="1"/>
        <v>36121.380428213837</v>
      </c>
      <c r="P29" s="7">
        <f t="shared" si="1"/>
        <v>37335.923149950002</v>
      </c>
      <c r="Q29" s="7">
        <f t="shared" si="1"/>
        <v>38582.403504745722</v>
      </c>
      <c r="R29" s="7">
        <f t="shared" si="1"/>
        <v>39861.436242963748</v>
      </c>
      <c r="S29" s="7">
        <f t="shared" si="1"/>
        <v>41173.643800901315</v>
      </c>
      <c r="T29" s="7">
        <f t="shared" si="1"/>
        <v>43900.111831206239</v>
      </c>
    </row>
    <row r="30" spans="2:20" x14ac:dyDescent="0.2">
      <c r="B30" t="s">
        <v>31</v>
      </c>
      <c r="C30" s="7">
        <f>C25*(C50+C17*(D57-C50))</f>
        <v>3525.5663930495575</v>
      </c>
      <c r="D30" s="7">
        <f>D25*(C50+D17*(D57-C50))</f>
        <v>3641.9563363857687</v>
      </c>
      <c r="E30" s="7">
        <f>E25*(C50+E17*(D57-C50))</f>
        <v>3760.1909456472677</v>
      </c>
      <c r="F30" s="7">
        <f>F25*(C50+F17*(D57-C50))</f>
        <v>3819.9999999999991</v>
      </c>
      <c r="G30" s="7">
        <f>G25*(C50+G17*(D57-C50))</f>
        <v>3880.270220834052</v>
      </c>
      <c r="H30" s="7">
        <f>H25*(C50+H17*(D57-C50))</f>
        <v>3941.0016081494268</v>
      </c>
      <c r="I30" s="7">
        <f>I25*(C50+I17*(D57-C50))</f>
        <v>4002.1941619461231</v>
      </c>
      <c r="J30" s="7">
        <f>J25*(C50+J17*(D57-C50))</f>
        <v>4063.8478822241409</v>
      </c>
      <c r="K30" s="7">
        <f>K25*(C50+K17*(D57-C50))</f>
        <v>4125.9627689834797</v>
      </c>
      <c r="L30" s="7">
        <f>L25*(C50+L17*(D57-C50))</f>
        <v>4188.5388222241418</v>
      </c>
      <c r="M30" s="7">
        <f>M25*(C50+M17*(D57-C50))</f>
        <v>4251.576041946124</v>
      </c>
      <c r="N30" s="7">
        <f>N25*(C50+N17*(D57-C50))</f>
        <v>4315.0744281494271</v>
      </c>
      <c r="O30" s="7">
        <f>O25*(C50+O17*(D57-C50))</f>
        <v>4379.0339808340541</v>
      </c>
      <c r="P30" s="7">
        <f>P25*(C50+P17*(D57-C50))</f>
        <v>4443.4547000000011</v>
      </c>
      <c r="Q30" s="7">
        <f>Q25*(C50+Q17*(D57-C50))</f>
        <v>4508.3365856472692</v>
      </c>
      <c r="R30" s="7">
        <f>R25*(C50+R17*(D57-C50))</f>
        <v>4573.6796377758601</v>
      </c>
      <c r="S30" s="7">
        <f>S25*(C50+S17*(D57-C50))</f>
        <v>4639.483856385772</v>
      </c>
      <c r="T30" s="7">
        <f>T25*(C50+T17*(D57-C50))</f>
        <v>4772.4757930495607</v>
      </c>
    </row>
    <row r="31" spans="2:20" x14ac:dyDescent="0.2">
      <c r="B31" t="s">
        <v>32</v>
      </c>
      <c r="C31" s="7">
        <f>C26*(C50+C17*(E57-C50))</f>
        <v>3277.091020577443</v>
      </c>
      <c r="D31" s="7">
        <f>D26*(C50+D17*(E57-C50))</f>
        <v>3487.6877259303683</v>
      </c>
      <c r="E31" s="7">
        <f>E26*(C50+E17*(E57-C50))</f>
        <v>3707.0110368893611</v>
      </c>
      <c r="F31" s="7">
        <f>F26*(C50+F17*(E57-C50))</f>
        <v>3819.9999999999991</v>
      </c>
      <c r="G31" s="7">
        <f>G26*(C50+G17*(E57-C50))</f>
        <v>3935.2364111467928</v>
      </c>
      <c r="H31" s="7">
        <f>H26*(C50+H17*(E57-C50))</f>
        <v>4052.7422025412861</v>
      </c>
      <c r="I31" s="7">
        <f>I26*(C50+I17*(E57-C50))</f>
        <v>4172.5393063950269</v>
      </c>
      <c r="J31" s="7">
        <f>J26*(C50+J17*(E57-C50))</f>
        <v>4294.6496549195626</v>
      </c>
      <c r="K31" s="7">
        <f>K26*(C50+K17*(E57-C50))</f>
        <v>4419.0951803264352</v>
      </c>
      <c r="L31" s="7">
        <f>L26*(C50+L17*(E57-C50))</f>
        <v>4545.8978148271935</v>
      </c>
      <c r="M31" s="7">
        <f>M26*(C50+M17*(E57-C50))</f>
        <v>4675.079490633384</v>
      </c>
      <c r="N31" s="7">
        <f>N26*(C50+N17*(E57-C50))</f>
        <v>4806.6621399565502</v>
      </c>
      <c r="O31" s="7">
        <f>O26*(C50+O17*(E57-C50))</f>
        <v>4940.667695008241</v>
      </c>
      <c r="P31" s="7">
        <f>P26*(C50+P17*(E57-C50))</f>
        <v>5077.1180880000002</v>
      </c>
      <c r="Q31" s="7">
        <f>Q26*(C50+Q17*(E57-C50))</f>
        <v>5216.035251143373</v>
      </c>
      <c r="R31" s="7">
        <f>R26*(C50+R17*(E57-C50))</f>
        <v>5357.4411166499085</v>
      </c>
      <c r="S31" s="7">
        <f>S26*(C50+S17*(E57-C50))</f>
        <v>5501.3576167311503</v>
      </c>
      <c r="T31" s="7">
        <f>T26*(C50+T17*(E57-C50))</f>
        <v>5796.8102494639388</v>
      </c>
    </row>
    <row r="32" spans="2:20" x14ac:dyDescent="0.2">
      <c r="B32" t="s">
        <v>33</v>
      </c>
      <c r="C32" s="7">
        <f>C27*(C50+C17*(F57-C50))</f>
        <v>3059.6672024472136</v>
      </c>
      <c r="D32" s="7">
        <f>D27*(C50+D17*(F57-C50))</f>
        <v>3349.3883853704465</v>
      </c>
      <c r="E32" s="7">
        <f>E27*(C50+E17*(F57-C50))</f>
        <v>3658.1937169858961</v>
      </c>
      <c r="F32" s="7">
        <f>F27*(C50+F17*(F57-C50))</f>
        <v>3819.9999999999991</v>
      </c>
      <c r="G32" s="7">
        <f>G27*(C50+G17*(F57-C50))</f>
        <v>3986.8757607213302</v>
      </c>
      <c r="H32" s="7">
        <f>H27*(C50+H17*(F57-C50))</f>
        <v>4158.9225280758792</v>
      </c>
      <c r="I32" s="7">
        <f>I27*(C50+I17*(F57-C50))</f>
        <v>4336.2428143886491</v>
      </c>
      <c r="J32" s="7">
        <f>J27*(C50+J17*(F57-C50))</f>
        <v>4518.9401153836479</v>
      </c>
      <c r="K32" s="7">
        <f>K27*(C50+K17*(F57-C50))</f>
        <v>4707.1189101838909</v>
      </c>
      <c r="L32" s="7">
        <f>L27*(C50+L17*(F57-C50))</f>
        <v>4900.8846613114074</v>
      </c>
      <c r="M32" s="7">
        <f>M27*(C50+M17*(F57-C50))</f>
        <v>5100.3438146872295</v>
      </c>
      <c r="N32" s="7">
        <f>N27*(C50+N17*(F57-C50))</f>
        <v>5305.6037996314008</v>
      </c>
      <c r="O32" s="7">
        <f>O27*(C50+O17*(F57-C50))</f>
        <v>5516.77302886297</v>
      </c>
      <c r="P32" s="7">
        <f>P27*(C50+P17*(F57-C50))</f>
        <v>5733.9608985000004</v>
      </c>
      <c r="Q32" s="7">
        <f>Q27*(C50+Q17*(F57-C50))</f>
        <v>5957.2777880595577</v>
      </c>
      <c r="R32" s="7">
        <f>R27*(C50+R17*(F57-C50))</f>
        <v>6186.8350604577163</v>
      </c>
      <c r="S32" s="7">
        <f>S27*(C50+S17*(F57-C50))</f>
        <v>6422.7450620095633</v>
      </c>
      <c r="T32" s="7">
        <f>T27*(C50+T17*(F57-C50))</f>
        <v>6914.0775548297079</v>
      </c>
    </row>
    <row r="33" spans="2:20" x14ac:dyDescent="0.2">
      <c r="B33" t="s">
        <v>34</v>
      </c>
      <c r="C33" s="7">
        <f>C28*(C50+C17*(G57-C50))</f>
        <v>2929.6439279426477</v>
      </c>
      <c r="D33" s="7">
        <f>D28*(C50+D17*(G57-C50))</f>
        <v>3264.7191299937199</v>
      </c>
      <c r="E33" s="7">
        <f>E28*(C50+E17*(G57-C50))</f>
        <v>3627.6160570155166</v>
      </c>
      <c r="F33" s="7">
        <f>F28*(C50+F17*(G57-C50))</f>
        <v>3819.9999999999991</v>
      </c>
      <c r="G33" s="7">
        <f>G28*(C50+G17*(G57-C50))</f>
        <v>4019.9495123411157</v>
      </c>
      <c r="H33" s="7">
        <f>H28*(C50+H17*(G57-C50))</f>
        <v>4227.6756742999614</v>
      </c>
      <c r="I33" s="7">
        <f>I28*(C50+I17*(G57-C50))</f>
        <v>4443.3933190017497</v>
      </c>
      <c r="J33" s="7">
        <f>J28*(C50+J17*(G57-C50))</f>
        <v>4667.3210645023119</v>
      </c>
      <c r="K33" s="7">
        <f>K28*(C50+K17*(G57-C50))</f>
        <v>4899.6813458545721</v>
      </c>
      <c r="L33" s="7">
        <f>L28*(C50+L17*(G57-C50))</f>
        <v>5140.7004471750679</v>
      </c>
      <c r="M33" s="7">
        <f>M28*(C50+M17*(G57-C50))</f>
        <v>5390.6085337104205</v>
      </c>
      <c r="N33" s="7">
        <f>N28*(C50+N17*(G57-C50))</f>
        <v>5649.6396839038271</v>
      </c>
      <c r="O33" s="7">
        <f>O28*(C50+O17*(G57-C50))</f>
        <v>5918.031921461572</v>
      </c>
      <c r="P33" s="7">
        <f>P28*(C50+P17*(G57-C50))</f>
        <v>6196.027247419499</v>
      </c>
      <c r="Q33" s="7">
        <f>Q28*(C50+Q17*(G57-C50))</f>
        <v>6483.8716722095178</v>
      </c>
      <c r="R33" s="7">
        <f>R28*(C50+R17*(G57-C50))</f>
        <v>6781.8152477260846</v>
      </c>
      <c r="S33" s="7">
        <f>S28*(C50+S17*(G57-C50))</f>
        <v>7090.1120993927125</v>
      </c>
      <c r="T33" s="7">
        <f>T28*(C50+T17*(G57-C50))</f>
        <v>7738.802692914358</v>
      </c>
    </row>
    <row r="34" spans="2:20" x14ac:dyDescent="0.2">
      <c r="B34" t="s">
        <v>35</v>
      </c>
      <c r="C34" s="7">
        <f>C29*(C50+C17*(H57-C50))</f>
        <v>2820.2406772630452</v>
      </c>
      <c r="D34" s="7">
        <f>D29*(C50+D17*(H57-C50))</f>
        <v>3192.6685432168779</v>
      </c>
      <c r="E34" s="7">
        <f>E29*(C50+E17*(H57-C50))</f>
        <v>3601.3032000473104</v>
      </c>
      <c r="F34" s="7">
        <f>F29*(C50+F17*(H57-C50))</f>
        <v>3819.9999999999991</v>
      </c>
      <c r="G34" s="7">
        <f>G29*(C50+G17*(H57-C50))</f>
        <v>4048.7267608956809</v>
      </c>
      <c r="H34" s="7">
        <f>H29*(C50+H17*(H57-C50))</f>
        <v>4287.8264073786604</v>
      </c>
      <c r="I34" s="7">
        <f>I29*(C50+I17*(H57-C50))</f>
        <v>4537.6501674601295</v>
      </c>
      <c r="J34" s="7">
        <f>J29*(C50+J17*(H57-C50))</f>
        <v>4798.5576999417171</v>
      </c>
      <c r="K34" s="7">
        <f>K29*(C50+K17*(H57-C50))</f>
        <v>5070.91722277187</v>
      </c>
      <c r="L34" s="7">
        <f>L29*(C50+L17*(H57-C50))</f>
        <v>5355.1056423351311</v>
      </c>
      <c r="M34" s="7">
        <f>M29*(C50+M17*(H57-C50))</f>
        <v>5651.5086836742275</v>
      </c>
      <c r="N34" s="7">
        <f>N29*(C50+N17*(H57-C50))</f>
        <v>5960.5210216450478</v>
      </c>
      <c r="O34" s="7">
        <f>O29*(C50+O17*(H57-C50))</f>
        <v>6282.5464130044629</v>
      </c>
      <c r="P34" s="7">
        <f>P29*(C50+P17*(H57-C50))</f>
        <v>6617.9978294310031</v>
      </c>
      <c r="Q34" s="7">
        <f>Q29*(C50+Q17*(H57-C50))</f>
        <v>6967.2975914783929</v>
      </c>
      <c r="R34" s="7">
        <f>R29*(C50+R17*(H57-C50))</f>
        <v>7330.8775034619339</v>
      </c>
      <c r="S34" s="7">
        <f>S29*(C50+S17*(H57-C50))</f>
        <v>7709.1789892777715</v>
      </c>
      <c r="T34" s="7">
        <f>T29*(C50+T17*(H57-C50))</f>
        <v>8511.7612973404994</v>
      </c>
    </row>
    <row r="35" spans="2:20" x14ac:dyDescent="0.2">
      <c r="B35" t="s">
        <v>36</v>
      </c>
      <c r="C35" s="7">
        <f>MAX(0,C30*(1-0.3062))+D58-D59-D60</f>
        <v>1376.941050188193</v>
      </c>
      <c r="D35" s="7">
        <f>MAX(0,D30*(1-0.3062))+D58-D59-D60</f>
        <v>1457.6923928748561</v>
      </c>
      <c r="E35" s="7">
        <f>MAX(0,E30*(1-0.3062))+D58-D59-D60</f>
        <v>1539.7235647804841</v>
      </c>
      <c r="F35" s="7">
        <f>MAX(0,F30*(1-0.3062))+D58-D59-D60</f>
        <v>1581.2190866904093</v>
      </c>
      <c r="G35" s="7">
        <f>MAX(0,G30*(1-0.3062))+D58-D59-D60</f>
        <v>1623.0345659050749</v>
      </c>
      <c r="H35" s="7">
        <f>MAX(0,H30*(1-0.3062))+D58-D59-D60</f>
        <v>1665.1700024244824</v>
      </c>
      <c r="I35" s="7">
        <f>MAX(0,I30*(1-0.3062))+D58-D59-D60</f>
        <v>1707.6253962486303</v>
      </c>
      <c r="J35" s="7">
        <f>MAX(0,J30*(1-0.3062))+D58-D59-D60</f>
        <v>1750.4007473775187</v>
      </c>
      <c r="K35" s="7">
        <f>MAX(0,K30*(1-0.3062))+D58-D59-D60</f>
        <v>1793.4960558111479</v>
      </c>
      <c r="L35" s="7">
        <f>MAX(0,L30*(1-0.3062))+D58-D59-D60</f>
        <v>1836.9113215495195</v>
      </c>
      <c r="M35" s="7">
        <f>MAX(0,M30*(1-0.3062))+D58-D59-D60</f>
        <v>1880.6465445926306</v>
      </c>
      <c r="N35" s="7">
        <f>MAX(0,N30*(1-0.3062))+D58-D59-D60</f>
        <v>1924.7017249404826</v>
      </c>
      <c r="O35" s="7">
        <f>MAX(0,O30*(1-0.3062))+D58-D59-D60</f>
        <v>1969.0768625930764</v>
      </c>
      <c r="P35" s="7">
        <f>MAX(0,P30*(1-0.3062))+D58-D59-D60</f>
        <v>2013.7719575504107</v>
      </c>
      <c r="Q35" s="7">
        <f>MAX(0,Q30*(1-0.3062))+D58-D59-D60</f>
        <v>2058.7870098124854</v>
      </c>
      <c r="R35" s="7">
        <f>MAX(0,R30*(1-0.3062))+D58-D59-D60</f>
        <v>2104.1220193793015</v>
      </c>
      <c r="S35" s="7">
        <f>MAX(0,S30*(1-0.3062))+D58-D59-D60</f>
        <v>2149.7769862508585</v>
      </c>
      <c r="T35" s="7">
        <f>MAX(0,T30*(1-0.3062))+D58-D59-D60</f>
        <v>2242.0467919081952</v>
      </c>
    </row>
    <row r="36" spans="2:20" x14ac:dyDescent="0.2">
      <c r="B36" t="s">
        <v>37</v>
      </c>
      <c r="C36" s="7">
        <f>MAX(0,C31*(1-0.3062))+E58-E59-E60</f>
        <v>1730.0356090818241</v>
      </c>
      <c r="D36" s="7">
        <f>MAX(0,D31*(1-0.3062))+E58-E59-E60</f>
        <v>1876.1476032556834</v>
      </c>
      <c r="E36" s="7">
        <f>MAX(0,E31*(1-0.3062))+E58-E59-E60</f>
        <v>2028.3141163990326</v>
      </c>
      <c r="F36" s="7">
        <f>MAX(0,F31*(1-0.3062))+E58-E59-E60</f>
        <v>2106.7058590051934</v>
      </c>
      <c r="G36" s="7">
        <f>MAX(0,G31*(1-0.3062))+E58-E59-E60</f>
        <v>2186.6568810588387</v>
      </c>
      <c r="H36" s="7">
        <f>MAX(0,H31*(1-0.3062))+E58-E59-E60</f>
        <v>2268.1823991283381</v>
      </c>
      <c r="I36" s="7">
        <f>MAX(0,I31*(1-0.3062))+E58-E59-E60</f>
        <v>2351.2976297820637</v>
      </c>
      <c r="J36" s="7">
        <f>MAX(0,J31*(1-0.3062))+E58-E59-E60</f>
        <v>2436.0177895883867</v>
      </c>
      <c r="K36" s="7">
        <f>MAX(0,K31*(1-0.3062))+E58-E59-E60</f>
        <v>2522.3580951156746</v>
      </c>
      <c r="L36" s="7">
        <f>MAX(0,L31*(1-0.3062))+E58-E59-E60</f>
        <v>2610.3337629323009</v>
      </c>
      <c r="M36" s="7">
        <f>MAX(0,M31*(1-0.3062))+E58-E59-E60</f>
        <v>2699.9600096066356</v>
      </c>
      <c r="N36" s="7">
        <f>MAX(0,N31*(1-0.3062))+E58-E59-E60</f>
        <v>2791.2520517070484</v>
      </c>
      <c r="O36" s="7">
        <f>MAX(0,O31*(1-0.3062))+E58-E59-E60</f>
        <v>2884.2251058019115</v>
      </c>
      <c r="P36" s="7">
        <f>MAX(0,P31*(1-0.3062))+E58-E59-E60</f>
        <v>2978.8943884595942</v>
      </c>
      <c r="Q36" s="7">
        <f>MAX(0,Q31*(1-0.3062))+E58-E59-E60</f>
        <v>3075.275116248466</v>
      </c>
      <c r="R36" s="7">
        <f>MAX(0,R31*(1-0.3062))+E58-E59-E60</f>
        <v>3173.3825057369004</v>
      </c>
      <c r="S36" s="7">
        <f>MAX(0,S31*(1-0.3062))+E58-E59-E60</f>
        <v>3273.2317734932658</v>
      </c>
      <c r="T36" s="7">
        <f>MAX(0,T31*(1-0.3062))+E58-E59-E60</f>
        <v>3478.216810083275</v>
      </c>
    </row>
    <row r="37" spans="2:20" x14ac:dyDescent="0.2">
      <c r="B37" t="s">
        <v>38</v>
      </c>
      <c r="C37" s="7">
        <f>MAX(0,C32*(1-0.3062))+F58-F59-F60</f>
        <v>1408.7764224281004</v>
      </c>
      <c r="D37" s="7">
        <f>MAX(0,D32*(1-0.3062))+F58-F59-F60</f>
        <v>1609.7849791402396</v>
      </c>
      <c r="E37" s="7">
        <f>MAX(0,E32*(1-0.3062))+F58-F59-F60</f>
        <v>1824.0341182150382</v>
      </c>
      <c r="F37" s="7">
        <f>MAX(0,F32*(1-0.3062))+F58-F59-F60</f>
        <v>1936.2953173702231</v>
      </c>
      <c r="G37" s="7">
        <f>MAX(0,G32*(1-0.3062))+F58-F59-F60</f>
        <v>2052.0737201586826</v>
      </c>
      <c r="H37" s="7">
        <f>MAX(0,H32*(1-0.3062))+F58-F59-F60</f>
        <v>2171.4397673492685</v>
      </c>
      <c r="I37" s="7">
        <f>MAX(0,I32*(1-0.3062))+F58-F59-F60</f>
        <v>2294.4645819930684</v>
      </c>
      <c r="J37" s="7">
        <f>MAX(0,J32*(1-0.3062))+F58-F59-F60</f>
        <v>2421.2199694233987</v>
      </c>
      <c r="K37" s="7">
        <f>MAX(0,K32*(1-0.3062))+F58-F59-F60</f>
        <v>2551.7784172558072</v>
      </c>
      <c r="L37" s="7">
        <f>MAX(0,L32*(1-0.3062))+F58-F59-F60</f>
        <v>2686.2130953880778</v>
      </c>
      <c r="M37" s="7">
        <f>MAX(0,M32*(1-0.3062))+F58-F59-F60</f>
        <v>2824.5978560002236</v>
      </c>
      <c r="N37" s="7">
        <f>MAX(0,N32*(1-0.3062))+F58-F59-F60</f>
        <v>2967.0072335544896</v>
      </c>
      <c r="O37" s="7">
        <f>MAX(0,O32*(1-0.3062))+F58-F59-F60</f>
        <v>3113.5164447953521</v>
      </c>
      <c r="P37" s="7">
        <f>MAX(0,P32*(1-0.3062))+F58-F59-F60</f>
        <v>3264.2013887495241</v>
      </c>
      <c r="Q37" s="7">
        <f>MAX(0,Q32*(1-0.3062))+F58-F59-F60</f>
        <v>3419.1386467259445</v>
      </c>
      <c r="R37" s="7">
        <f>MAX(0,R32*(1-0.3062))+F58-F59-F60</f>
        <v>3578.4054823157867</v>
      </c>
      <c r="S37" s="7">
        <f>MAX(0,S32*(1-0.3062))+F58-F59-F60</f>
        <v>3742.0798413924585</v>
      </c>
      <c r="T37" s="7">
        <f>MAX(0,T32*(1-0.3062))+F58-F59-F60</f>
        <v>4082.9663249110745</v>
      </c>
    </row>
    <row r="38" spans="2:20" x14ac:dyDescent="0.2">
      <c r="B38" t="s">
        <v>39</v>
      </c>
      <c r="C38" s="7">
        <f>MAX(0,C33*(1-0.3062))+G58-G59-G60</f>
        <v>1591.9691814367629</v>
      </c>
      <c r="D38" s="7">
        <f>MAX(0,D33*(1-0.3062))+G58-G59-G60</f>
        <v>1824.4443566197965</v>
      </c>
      <c r="E38" s="7">
        <f>MAX(0,E33*(1-0.3062))+G58-G59-G60</f>
        <v>2076.2222445875191</v>
      </c>
      <c r="F38" s="7">
        <f>MAX(0,F33*(1-0.3062))+G58-G59-G60</f>
        <v>2209.6982242301533</v>
      </c>
      <c r="G38" s="7">
        <f>MAX(0,G33*(1-0.3062))+G58-G59-G60</f>
        <v>2348.4231958924197</v>
      </c>
      <c r="H38" s="7">
        <f>MAX(0,H33*(1-0.3062))+G58-G59-G60</f>
        <v>2492.5436070594669</v>
      </c>
      <c r="I38" s="7">
        <f>MAX(0,I33*(1-0.3062))+G58-G59-G60</f>
        <v>2642.2085089535676</v>
      </c>
      <c r="J38" s="7">
        <f>MAX(0,J33*(1-0.3062))+G58-G59-G60</f>
        <v>2797.5695787818577</v>
      </c>
      <c r="K38" s="7">
        <f>MAX(0,K33*(1-0.3062))+G58-G59-G60</f>
        <v>2958.7811419840559</v>
      </c>
      <c r="L38" s="7">
        <f>MAX(0,L33*(1-0.3062))+G58-G59-G60</f>
        <v>3126.0001944802161</v>
      </c>
      <c r="M38" s="7">
        <f>MAX(0,M33*(1-0.3062))+G58-G59-G60</f>
        <v>3299.3864249184435</v>
      </c>
      <c r="N38" s="7">
        <f>MAX(0,N33*(1-0.3062))+G58-G59-G60</f>
        <v>3479.1022369226284</v>
      </c>
      <c r="O38" s="7">
        <f>MAX(0,O33*(1-0.3062))+G58-G59-G60</f>
        <v>3665.3127713401927</v>
      </c>
      <c r="P38" s="7">
        <f>MAX(0,P33*(1-0.3062))+G58-G59-G60</f>
        <v>3858.1859284898019</v>
      </c>
      <c r="Q38" s="7">
        <f>MAX(0,Q33*(1-0.3062))+G58-G59-G60</f>
        <v>4057.8923904091171</v>
      </c>
      <c r="R38" s="7">
        <f>MAX(0,R33*(1-0.3062))+G58-G59-G60</f>
        <v>4264.6056431025108</v>
      </c>
      <c r="S38" s="7">
        <f>MAX(0,S33*(1-0.3062))+G58-G59-G60</f>
        <v>4478.5019987888181</v>
      </c>
      <c r="T38" s="7">
        <f>MAX(0,T33*(1-0.3062))+G58-G59-G60</f>
        <v>4928.563532574135</v>
      </c>
    </row>
    <row r="39" spans="2:20" x14ac:dyDescent="0.2">
      <c r="B39" t="s">
        <v>40</v>
      </c>
      <c r="C39" s="7">
        <f>MAX(0,C34*(1-0.3062))+H58-H59-H60</f>
        <v>1656.2142946092013</v>
      </c>
      <c r="D39" s="7">
        <f>MAX(0,D34*(1-0.3062))+H58-H59-H60</f>
        <v>1914.6047480079706</v>
      </c>
      <c r="E39" s="7">
        <f>MAX(0,E34*(1-0.3062))+H58-H59-H60</f>
        <v>2198.1154729169243</v>
      </c>
      <c r="F39" s="7">
        <f>MAX(0,F34*(1-0.3062))+H58-H59-H60</f>
        <v>2349.8473127241</v>
      </c>
      <c r="G39" s="7">
        <f>MAX(0,G34*(1-0.3062))+H58-H59-H60</f>
        <v>2508.5379394335241</v>
      </c>
      <c r="H39" s="7">
        <f>MAX(0,H34*(1-0.3062))+H58-H59-H60</f>
        <v>2674.425274163415</v>
      </c>
      <c r="I39" s="7">
        <f>MAX(0,I34*(1-0.3062))+H58-H59-H60</f>
        <v>2847.7529989079385</v>
      </c>
      <c r="J39" s="7">
        <f>MAX(0,J34*(1-0.3062))+H58-H59-H60</f>
        <v>3028.7706449436637</v>
      </c>
      <c r="K39" s="7">
        <f>MAX(0,K34*(1-0.3062))+H58-H59-H60</f>
        <v>3217.7336818832241</v>
      </c>
      <c r="L39" s="7">
        <f>MAX(0,L34*(1-0.3062))+H58-H59-H60</f>
        <v>3414.9036073762145</v>
      </c>
      <c r="M39" s="7">
        <f>MAX(0,M34*(1-0.3062))+H58-H59-H60</f>
        <v>3620.5480374572799</v>
      </c>
      <c r="N39" s="7">
        <f>MAX(0,N34*(1-0.3062))+H58-H59-H60</f>
        <v>3834.9407975414342</v>
      </c>
      <c r="O39" s="7">
        <f>MAX(0,O34*(1-0.3062))+H58-H59-H60</f>
        <v>4058.3620140665971</v>
      </c>
      <c r="P39" s="7">
        <f>MAX(0,P34*(1-0.3062))+H58-H59-H60</f>
        <v>4291.0982067833302</v>
      </c>
      <c r="Q39" s="7">
        <f>MAX(0,Q34*(1-0.3062))+H58-H59-H60</f>
        <v>4533.4423816918097</v>
      </c>
      <c r="R39" s="7">
        <f>MAX(0,R34*(1-0.3062))+H58-H59-H60</f>
        <v>4785.6941246259903</v>
      </c>
      <c r="S39" s="7">
        <f>MAX(0,S34*(1-0.3062))+H58-H59-H60</f>
        <v>5048.1596954850183</v>
      </c>
      <c r="T39" s="7">
        <f>MAX(0,T34*(1-0.3062))+H58-H59-H60</f>
        <v>5604.9913008189387</v>
      </c>
    </row>
    <row r="40" spans="2:20" ht="14" x14ac:dyDescent="0.3">
      <c r="B40" s="5" t="s">
        <v>41</v>
      </c>
      <c r="C40" s="7">
        <f t="shared" ref="C40:T40" si="2">C35/(1+0.1215)^(0+0)+C36/(1+0.1215)^(0+1)+C37/(1+0.1215)^(0+2)+C38/(1+0.1215)^(0+3)+C39/(1+0.1215)^(0+4)</f>
        <v>6215.1413560602905</v>
      </c>
      <c r="D40" s="7">
        <f t="shared" si="2"/>
        <v>6914.1329911933171</v>
      </c>
      <c r="E40" s="7">
        <f t="shared" si="2"/>
        <v>7659.8935240216833</v>
      </c>
      <c r="F40" s="7">
        <f t="shared" si="2"/>
        <v>8051.0811031648391</v>
      </c>
      <c r="G40" s="7">
        <f t="shared" si="2"/>
        <v>8454.8953692672676</v>
      </c>
      <c r="H40" s="7">
        <f t="shared" si="2"/>
        <v>8871.6601118067047</v>
      </c>
      <c r="I40" s="7">
        <f t="shared" si="2"/>
        <v>9301.7051501734823</v>
      </c>
      <c r="J40" s="7">
        <f t="shared" si="2"/>
        <v>9745.3664053264838</v>
      </c>
      <c r="K40" s="7">
        <f t="shared" si="2"/>
        <v>10202.985971858232</v>
      </c>
      <c r="L40" s="7">
        <f t="shared" si="2"/>
        <v>10674.912190469098</v>
      </c>
      <c r="M40" s="7">
        <f t="shared" si="2"/>
        <v>11161.499720850617</v>
      </c>
      <c r="N40" s="7">
        <f t="shared" si="2"/>
        <v>11663.109614977926</v>
      </c>
      <c r="O40" s="7">
        <f t="shared" si="2"/>
        <v>12180.109390811354</v>
      </c>
      <c r="P40" s="7">
        <f t="shared" si="2"/>
        <v>12712.873106407087</v>
      </c>
      <c r="Q40" s="7">
        <f t="shared" si="2"/>
        <v>13261.78143443698</v>
      </c>
      <c r="R40" s="7">
        <f t="shared" si="2"/>
        <v>13827.221737117501</v>
      </c>
      <c r="S40" s="7">
        <f t="shared" si="2"/>
        <v>14409.588141547771</v>
      </c>
      <c r="T40" s="7">
        <f t="shared" si="2"/>
        <v>15626.710043359435</v>
      </c>
    </row>
    <row r="41" spans="2:20" x14ac:dyDescent="0.2">
      <c r="B41" t="s">
        <v>42</v>
      </c>
      <c r="C41" s="7">
        <f t="shared" ref="C41:T41" si="3">C39*(1+0.02)/(0.1215-0.02)</f>
        <v>16643.729857156508</v>
      </c>
      <c r="D41" s="7">
        <f t="shared" si="3"/>
        <v>19240.362984907686</v>
      </c>
      <c r="E41" s="7">
        <f t="shared" si="3"/>
        <v>22089.436279559242</v>
      </c>
      <c r="F41" s="7">
        <f t="shared" si="3"/>
        <v>23614.229152498345</v>
      </c>
      <c r="G41" s="7">
        <f t="shared" si="3"/>
        <v>25208.952691844283</v>
      </c>
      <c r="H41" s="7">
        <f t="shared" si="3"/>
        <v>26875.997829031367</v>
      </c>
      <c r="I41" s="7">
        <f t="shared" si="3"/>
        <v>28617.813388040369</v>
      </c>
      <c r="J41" s="7">
        <f t="shared" si="3"/>
        <v>30436.906973818099</v>
      </c>
      <c r="K41" s="7">
        <f t="shared" si="3"/>
        <v>32335.845867200878</v>
      </c>
      <c r="L41" s="7">
        <f t="shared" si="3"/>
        <v>34317.257926342252</v>
      </c>
      <c r="M41" s="7">
        <f t="shared" si="3"/>
        <v>36383.832494644586</v>
      </c>
      <c r="N41" s="7">
        <f t="shared" si="3"/>
        <v>38538.321315194713</v>
      </c>
      <c r="O41" s="7">
        <f t="shared" si="3"/>
        <v>40783.539451703735</v>
      </c>
      <c r="P41" s="7">
        <f t="shared" si="3"/>
        <v>43122.366215950708</v>
      </c>
      <c r="Q41" s="7">
        <f t="shared" si="3"/>
        <v>45557.746101730503</v>
      </c>
      <c r="R41" s="7">
        <f t="shared" si="3"/>
        <v>48092.689725305521</v>
      </c>
      <c r="S41" s="7">
        <f t="shared" si="3"/>
        <v>50730.274772361765</v>
      </c>
      <c r="T41" s="7">
        <f t="shared" si="3"/>
        <v>56326.020954042542</v>
      </c>
    </row>
    <row r="42" spans="2:20" x14ac:dyDescent="0.2">
      <c r="B42" t="s">
        <v>43</v>
      </c>
      <c r="C42" s="7">
        <f t="shared" ref="C42:T42" si="4">C41/(1+0.1215)^(0+4)</f>
        <v>10520.915838712728</v>
      </c>
      <c r="D42" s="7">
        <f t="shared" si="4"/>
        <v>12162.312258598557</v>
      </c>
      <c r="E42" s="7">
        <f t="shared" si="4"/>
        <v>13963.282390210272</v>
      </c>
      <c r="F42" s="7">
        <f t="shared" si="4"/>
        <v>14927.141911203604</v>
      </c>
      <c r="G42" s="7">
        <f t="shared" si="4"/>
        <v>15935.206346727862</v>
      </c>
      <c r="H42" s="7">
        <f t="shared" si="4"/>
        <v>16988.987064043413</v>
      </c>
      <c r="I42" s="7">
        <f t="shared" si="4"/>
        <v>18090.032025729957</v>
      </c>
      <c r="J42" s="7">
        <f t="shared" si="4"/>
        <v>19239.926351278649</v>
      </c>
      <c r="K42" s="7">
        <f t="shared" si="4"/>
        <v>20440.292882795507</v>
      </c>
      <c r="L42" s="7">
        <f t="shared" si="4"/>
        <v>21692.792754816281</v>
      </c>
      <c r="M42" s="7">
        <f t="shared" si="4"/>
        <v>22999.125968232634</v>
      </c>
      <c r="N42" s="7">
        <f t="shared" si="4"/>
        <v>24361.031968329651</v>
      </c>
      <c r="O42" s="7">
        <f t="shared" si="4"/>
        <v>25780.290226934823</v>
      </c>
      <c r="P42" s="7">
        <f t="shared" si="4"/>
        <v>27258.720828678266</v>
      </c>
      <c r="Q42" s="7">
        <f t="shared" si="4"/>
        <v>28798.18506136442</v>
      </c>
      <c r="R42" s="7">
        <f t="shared" si="4"/>
        <v>30400.586010454965</v>
      </c>
      <c r="S42" s="7">
        <f t="shared" si="4"/>
        <v>32067.869157663339</v>
      </c>
      <c r="T42" s="7">
        <f t="shared" si="4"/>
        <v>35605.079574891271</v>
      </c>
    </row>
    <row r="43" spans="2:20" ht="14" x14ac:dyDescent="0.3">
      <c r="B43" s="5" t="s">
        <v>44</v>
      </c>
      <c r="C43" s="7">
        <f t="shared" ref="C43:T43" si="5">C40+C42</f>
        <v>16736.05719477302</v>
      </c>
      <c r="D43" s="7">
        <f t="shared" si="5"/>
        <v>19076.445249791876</v>
      </c>
      <c r="E43" s="7">
        <f t="shared" si="5"/>
        <v>21623.175914231957</v>
      </c>
      <c r="F43" s="7">
        <f t="shared" si="5"/>
        <v>22978.223014368443</v>
      </c>
      <c r="G43" s="7">
        <f t="shared" si="5"/>
        <v>24390.10171599513</v>
      </c>
      <c r="H43" s="7">
        <f t="shared" si="5"/>
        <v>25860.647175850117</v>
      </c>
      <c r="I43" s="7">
        <f t="shared" si="5"/>
        <v>27391.737175903439</v>
      </c>
      <c r="J43" s="7">
        <f t="shared" si="5"/>
        <v>28985.292756605133</v>
      </c>
      <c r="K43" s="7">
        <f t="shared" si="5"/>
        <v>30643.278854653741</v>
      </c>
      <c r="L43" s="7">
        <f t="shared" si="5"/>
        <v>32367.704945285379</v>
      </c>
      <c r="M43" s="7">
        <f t="shared" si="5"/>
        <v>34160.625689083252</v>
      </c>
      <c r="N43" s="7">
        <f t="shared" si="5"/>
        <v>36024.141583307573</v>
      </c>
      <c r="O43" s="7">
        <f t="shared" si="5"/>
        <v>37960.399617746181</v>
      </c>
      <c r="P43" s="7">
        <f t="shared" si="5"/>
        <v>39971.593935085351</v>
      </c>
      <c r="Q43" s="7">
        <f t="shared" si="5"/>
        <v>42059.966495801404</v>
      </c>
      <c r="R43" s="7">
        <f t="shared" si="5"/>
        <v>44227.807747572464</v>
      </c>
      <c r="S43" s="7">
        <f t="shared" si="5"/>
        <v>46477.457299211106</v>
      </c>
      <c r="T43" s="7">
        <f t="shared" si="5"/>
        <v>51231.78961825071</v>
      </c>
    </row>
    <row r="44" spans="2:20" x14ac:dyDescent="0.2">
      <c r="B44" t="s">
        <v>45</v>
      </c>
      <c r="C44" s="7">
        <f t="shared" ref="C44:T44" si="6">C43--7296.8</f>
        <v>24032.85719477302</v>
      </c>
      <c r="D44" s="7">
        <f t="shared" si="6"/>
        <v>26373.245249791875</v>
      </c>
      <c r="E44" s="7">
        <f t="shared" si="6"/>
        <v>28919.975914231956</v>
      </c>
      <c r="F44" s="7">
        <f t="shared" si="6"/>
        <v>30275.023014368442</v>
      </c>
      <c r="G44" s="7">
        <f t="shared" si="6"/>
        <v>31686.901715995129</v>
      </c>
      <c r="H44" s="7">
        <f t="shared" si="6"/>
        <v>33157.447175850117</v>
      </c>
      <c r="I44" s="7">
        <f t="shared" si="6"/>
        <v>34688.537175903439</v>
      </c>
      <c r="J44" s="7">
        <f t="shared" si="6"/>
        <v>36282.092756605132</v>
      </c>
      <c r="K44" s="7">
        <f t="shared" si="6"/>
        <v>37940.078854653744</v>
      </c>
      <c r="L44" s="7">
        <f t="shared" si="6"/>
        <v>39664.504945285378</v>
      </c>
      <c r="M44" s="7">
        <f t="shared" si="6"/>
        <v>41457.425689083255</v>
      </c>
      <c r="N44" s="7">
        <f t="shared" si="6"/>
        <v>43320.941583307576</v>
      </c>
      <c r="O44" s="7">
        <f t="shared" si="6"/>
        <v>45257.199617746184</v>
      </c>
      <c r="P44" s="7">
        <f t="shared" si="6"/>
        <v>47268.393935085354</v>
      </c>
      <c r="Q44" s="7">
        <f t="shared" si="6"/>
        <v>49356.766495801407</v>
      </c>
      <c r="R44" s="7">
        <f t="shared" si="6"/>
        <v>51524.607747572467</v>
      </c>
      <c r="S44" s="7">
        <f t="shared" si="6"/>
        <v>53774.257299211109</v>
      </c>
      <c r="T44" s="7">
        <f t="shared" si="6"/>
        <v>58528.589618250713</v>
      </c>
    </row>
    <row r="45" spans="2:20" ht="14" x14ac:dyDescent="0.3">
      <c r="B45" s="8" t="s">
        <v>46</v>
      </c>
      <c r="C45" s="9">
        <f t="shared" ref="C45:T45" si="7">C44*1000000/14366101</f>
        <v>1672.8865538932948</v>
      </c>
      <c r="D45" s="9">
        <f t="shared" si="7"/>
        <v>1835.7970092088224</v>
      </c>
      <c r="E45" s="9">
        <f t="shared" si="7"/>
        <v>2013.07062467624</v>
      </c>
      <c r="F45" s="9">
        <f t="shared" si="7"/>
        <v>2107.3931621647685</v>
      </c>
      <c r="G45" s="9">
        <f t="shared" si="7"/>
        <v>2205.6716513405499</v>
      </c>
      <c r="H45" s="9">
        <f t="shared" si="7"/>
        <v>2308.0338343611893</v>
      </c>
      <c r="I45" s="9">
        <f t="shared" si="7"/>
        <v>2414.6104204546136</v>
      </c>
      <c r="J45" s="9">
        <f t="shared" si="7"/>
        <v>2525.535129998399</v>
      </c>
      <c r="K45" s="9">
        <f t="shared" si="7"/>
        <v>2640.9447389137626</v>
      </c>
      <c r="L45" s="9">
        <f t="shared" si="7"/>
        <v>2760.9791233742112</v>
      </c>
      <c r="M45" s="9">
        <f t="shared" si="7"/>
        <v>2885.7813048288644</v>
      </c>
      <c r="N45" s="9">
        <f t="shared" si="7"/>
        <v>3015.4974953404253</v>
      </c>
      <c r="O45" s="9">
        <f t="shared" si="7"/>
        <v>3150.2771432378336</v>
      </c>
      <c r="P45" s="9">
        <f t="shared" si="7"/>
        <v>3290.2729790835633</v>
      </c>
      <c r="Q45" s="9">
        <f t="shared" si="7"/>
        <v>3435.6410619556</v>
      </c>
      <c r="R45" s="9">
        <f t="shared" si="7"/>
        <v>3586.5408260440645</v>
      </c>
      <c r="S45" s="9">
        <f t="shared" si="7"/>
        <v>3743.1351275625243</v>
      </c>
      <c r="T45" s="9">
        <f t="shared" si="7"/>
        <v>4074.0761615312817</v>
      </c>
    </row>
    <row r="47" spans="2:20" ht="14" x14ac:dyDescent="0.3">
      <c r="B47" s="29" t="s">
        <v>47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2:20" x14ac:dyDescent="0.2">
      <c r="B48" t="s">
        <v>48</v>
      </c>
      <c r="C48" s="7">
        <v>26530</v>
      </c>
    </row>
    <row r="49" spans="2:8" x14ac:dyDescent="0.2">
      <c r="B49" t="s">
        <v>49</v>
      </c>
      <c r="C49" s="7">
        <v>3820</v>
      </c>
    </row>
    <row r="50" spans="2:8" x14ac:dyDescent="0.2">
      <c r="B50" t="s">
        <v>50</v>
      </c>
      <c r="C50" s="6">
        <v>0.14398793818318881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5084</v>
      </c>
      <c r="D52" s="7">
        <v>5999.12</v>
      </c>
      <c r="E52" s="7">
        <v>7018.9703999999992</v>
      </c>
      <c r="F52" s="7">
        <v>8071.8159599999981</v>
      </c>
      <c r="G52" s="7">
        <v>8878.9975559999984</v>
      </c>
      <c r="H52" s="7">
        <v>9500.5273849199984</v>
      </c>
    </row>
    <row r="53" spans="2:8" x14ac:dyDescent="0.2">
      <c r="B53" t="s">
        <v>58</v>
      </c>
      <c r="C53" s="7">
        <v>13695</v>
      </c>
      <c r="D53" s="7">
        <v>14790.6</v>
      </c>
      <c r="E53" s="7">
        <v>15825.941999999999</v>
      </c>
      <c r="F53" s="7">
        <v>16775.498520000001</v>
      </c>
      <c r="G53" s="7">
        <v>17614.273445999999</v>
      </c>
      <c r="H53" s="7">
        <v>18318.844383840009</v>
      </c>
    </row>
    <row r="54" spans="2:8" x14ac:dyDescent="0.2">
      <c r="B54" t="s">
        <v>59</v>
      </c>
      <c r="C54" s="7">
        <v>7751</v>
      </c>
      <c r="D54" s="7">
        <v>8138.55</v>
      </c>
      <c r="E54" s="7">
        <v>8626.8630000000012</v>
      </c>
      <c r="F54" s="7">
        <v>9058.2061500000018</v>
      </c>
      <c r="G54" s="7">
        <v>9329.9523345000016</v>
      </c>
      <c r="H54" s="7">
        <v>9516.5513811900018</v>
      </c>
    </row>
    <row r="55" spans="2:8" ht="14" x14ac:dyDescent="0.3">
      <c r="B55" s="5" t="s">
        <v>60</v>
      </c>
      <c r="C55" s="7">
        <v>26530</v>
      </c>
      <c r="D55" s="7">
        <v>28928.27</v>
      </c>
      <c r="E55" s="7">
        <v>31471.775399999999</v>
      </c>
      <c r="F55" s="7">
        <v>33905.520629999999</v>
      </c>
      <c r="G55" s="7">
        <v>35823.223336499999</v>
      </c>
      <c r="H55" s="7">
        <v>37335.923149950002</v>
      </c>
    </row>
    <row r="56" spans="2:8" x14ac:dyDescent="0.2">
      <c r="B56" t="s">
        <v>61</v>
      </c>
      <c r="D56" s="6">
        <v>9.0398416886543487E-2</v>
      </c>
      <c r="E56" s="6">
        <v>8.7924559608991482E-2</v>
      </c>
      <c r="F56" s="6">
        <v>7.7331043421210888E-2</v>
      </c>
      <c r="G56" s="6">
        <v>5.6560190519628677E-2</v>
      </c>
      <c r="H56" s="6">
        <v>4.2226792358707847E-2</v>
      </c>
    </row>
    <row r="57" spans="2:8" x14ac:dyDescent="0.2">
      <c r="B57" t="s">
        <v>62</v>
      </c>
      <c r="D57" s="6">
        <v>0.1536025037100387</v>
      </c>
      <c r="E57" s="6">
        <v>0.16132290039156799</v>
      </c>
      <c r="F57" s="6">
        <v>0.16911584874548499</v>
      </c>
      <c r="G57" s="6">
        <v>0.17296118747378089</v>
      </c>
      <c r="H57" s="6">
        <v>0.17725550277279981</v>
      </c>
    </row>
    <row r="58" spans="2:8" x14ac:dyDescent="0.2">
      <c r="B58" t="s">
        <v>63</v>
      </c>
      <c r="D58" s="7">
        <v>210</v>
      </c>
      <c r="E58" s="7">
        <v>210</v>
      </c>
      <c r="F58" s="7">
        <v>215</v>
      </c>
      <c r="G58" s="7">
        <v>220</v>
      </c>
      <c r="H58" s="7">
        <v>220</v>
      </c>
    </row>
    <row r="59" spans="2:8" x14ac:dyDescent="0.2">
      <c r="B59" t="s">
        <v>64</v>
      </c>
      <c r="D59" s="7">
        <v>100</v>
      </c>
      <c r="E59" s="7">
        <v>105</v>
      </c>
      <c r="F59" s="7">
        <v>105</v>
      </c>
      <c r="G59" s="7">
        <v>110</v>
      </c>
      <c r="H59" s="7">
        <v>110</v>
      </c>
    </row>
    <row r="60" spans="2:8" x14ac:dyDescent="0.2">
      <c r="B60" t="s">
        <v>65</v>
      </c>
      <c r="D60" s="7">
        <v>1179.09691330959</v>
      </c>
      <c r="E60" s="7">
        <v>648.61014099480599</v>
      </c>
      <c r="F60" s="7">
        <v>824.02068262977627</v>
      </c>
      <c r="G60" s="7">
        <v>550.61777576984605</v>
      </c>
      <c r="H60" s="7">
        <v>410.46868727589941</v>
      </c>
    </row>
    <row r="65" spans="2:7" ht="14" x14ac:dyDescent="0.3">
      <c r="B65" s="5" t="s">
        <v>66</v>
      </c>
    </row>
    <row r="66" spans="2:7" ht="14.5" x14ac:dyDescent="0.35">
      <c r="B66" s="27" t="s">
        <v>67</v>
      </c>
      <c r="C66" s="28"/>
      <c r="D66" s="28"/>
      <c r="E66" s="28"/>
      <c r="F66" s="28"/>
    </row>
    <row r="67" spans="2:7" ht="14" x14ac:dyDescent="0.3">
      <c r="B67" s="1" t="s">
        <v>68</v>
      </c>
      <c r="C67" s="1" t="s">
        <v>3</v>
      </c>
      <c r="D67" s="1" t="s">
        <v>69</v>
      </c>
      <c r="E67" s="1" t="s">
        <v>70</v>
      </c>
      <c r="F67" s="1" t="s">
        <v>71</v>
      </c>
    </row>
    <row r="68" spans="2:7" x14ac:dyDescent="0.2">
      <c r="B68" s="2" t="s">
        <v>72</v>
      </c>
      <c r="C68" s="3">
        <f>C7</f>
        <v>2006</v>
      </c>
      <c r="D68" s="10">
        <f>FORECAST(C68,C17:T17,C45:T45)</f>
        <v>-8.2847294089163359E-2</v>
      </c>
      <c r="E68" s="2" t="str">
        <f>IF(D68&lt;-0.3,"Deep Pessimism",IF(D68&lt;0,"Pessimistic",IF(D68&lt;0.5,"Neutral",IF(D68&lt;1,"Mild Optimism","Bullish"))))</f>
        <v>Pessimistic</v>
      </c>
      <c r="F68" s="2" t="str">
        <f>IF(D68&lt;-0.3,"Base growth halved or worse",IF(D68&lt;0,"Below-Base, conservative",IF(D68&lt;0.5,"0-50% of Base growth priced in",IF(D68&lt;1,"50-100% of Base priced in","Above-Base optimism"))))</f>
        <v>Below-Base, conservative</v>
      </c>
    </row>
    <row r="69" spans="2:7" x14ac:dyDescent="0.2">
      <c r="B69" s="2" t="s">
        <v>73</v>
      </c>
      <c r="C69" s="3">
        <f>C8</f>
        <v>3290.2729790835629</v>
      </c>
      <c r="D69" s="10">
        <f>FORECAST(C69,C17:T17,C45:T45)</f>
        <v>0.97722562368167765</v>
      </c>
      <c r="E69" s="2" t="str">
        <f>IF(D69&lt;-0.3,"Deep Pessimism",IF(D69&lt;0,"Pessimistic",IF(D69&lt;0.5,"Neutral",IF(D69&lt;1,"Mild Optimism","Bullish"))))</f>
        <v>Mild Optimism</v>
      </c>
      <c r="F69" s="2" t="str">
        <f>IF(D69&lt;-0.3,"Base growth halved or worse",IF(D69&lt;0,"Below-Base, conservative",IF(D69&lt;0.5,"0-50% of Base growth priced in",IF(D69&lt;1,"50-100% of Base priced in","Above-Base optimism"))))</f>
        <v>50-100% of Base priced in</v>
      </c>
    </row>
    <row r="70" spans="2:7" x14ac:dyDescent="0.2">
      <c r="B70" s="2" t="s">
        <v>74</v>
      </c>
      <c r="C70" s="3">
        <f>C9</f>
        <v>3629</v>
      </c>
      <c r="D70" s="10">
        <f>FORECAST(C70,C17:T17,C45:T45)</f>
        <v>1.2568198744670074</v>
      </c>
      <c r="E70" s="2" t="str">
        <f>IF(D70&lt;-0.3,"Deep Pessimism",IF(D70&lt;0,"Pessimistic",IF(D70&lt;0.5,"Neutral",IF(D70&lt;1,"Mild Optimism","Bullish"))))</f>
        <v>Bullish</v>
      </c>
      <c r="F70" s="2" t="str">
        <f>IF(D70&lt;-0.3,"Base growth halved or worse",IF(D70&lt;0,"Below-Base, conservative",IF(D70&lt;0.5,"0-50% of Base growth priced in",IF(D70&lt;1,"50-100% of Base priced in","Above-Base optimism"))))</f>
        <v>Above-Base optimism</v>
      </c>
    </row>
    <row r="71" spans="2:7" x14ac:dyDescent="0.2">
      <c r="B71" s="2"/>
      <c r="C71" s="3">
        <f>C10</f>
        <v>1960</v>
      </c>
      <c r="D71" s="10">
        <f>FORECAST(C71,C17:T17,C45:T45)</f>
        <v>-0.12081691192870991</v>
      </c>
      <c r="E71" s="2" t="str">
        <f>IF(D71&lt;-0.3,"Deep Pessimism",IF(D71&lt;0,"Pessimistic",IF(D71&lt;0.5,"Neutral",IF(D71&lt;1,"Mild Optimism","Bullish"))))</f>
        <v>Pessimistic</v>
      </c>
      <c r="F71" s="2" t="str">
        <f>IF(D71&lt;-0.3,"Base growth halved or worse",IF(D71&lt;0,"Below-Base, conservative",IF(D71&lt;0.5,"0-50% of Base growth priced in",IF(D71&lt;1,"50-100% of Base priced in","Above-Base optimism"))))</f>
        <v>Below-Base, conservative</v>
      </c>
    </row>
    <row r="72" spans="2:7" ht="14" x14ac:dyDescent="0.3">
      <c r="B72" s="11" t="s">
        <v>75</v>
      </c>
      <c r="C72" s="3">
        <f>C11</f>
        <v>2330</v>
      </c>
      <c r="D72" s="10">
        <f>FORECAST(C72,C17:T17,C45:T45)</f>
        <v>0.184590883737207</v>
      </c>
      <c r="E72" s="2" t="str">
        <f>IF(D72&lt;-0.3,"Deep Pessimism",IF(D72&lt;0,"Pessimistic",IF(D72&lt;0.5,"Neutral",IF(D72&lt;1,"Mild Optimism","Bullish"))))</f>
        <v>Neutral</v>
      </c>
      <c r="F72" s="2" t="str">
        <f>IF(D72&lt;-0.3,"Base growth halved or worse",IF(D72&lt;0,"Below-Base, conservative",IF(D72&lt;0.5,"0-50% of Base growth priced in",IF(D72&lt;1,"50-100% of Base priced in","Above-Base optimism"))))</f>
        <v>0-50% of Base growth priced in</v>
      </c>
    </row>
    <row r="73" spans="2:7" x14ac:dyDescent="0.2">
      <c r="B73" t="s">
        <v>76</v>
      </c>
    </row>
    <row r="74" spans="2:7" x14ac:dyDescent="0.2">
      <c r="B74" t="s">
        <v>77</v>
      </c>
    </row>
    <row r="75" spans="2:7" x14ac:dyDescent="0.2">
      <c r="B75" t="s">
        <v>78</v>
      </c>
    </row>
    <row r="76" spans="2:7" x14ac:dyDescent="0.2">
      <c r="B76" t="s">
        <v>79</v>
      </c>
    </row>
    <row r="77" spans="2:7" ht="14.5" x14ac:dyDescent="0.35">
      <c r="B77" s="27" t="s">
        <v>80</v>
      </c>
      <c r="C77" s="28"/>
      <c r="D77" s="28"/>
      <c r="E77" s="28"/>
      <c r="F77" s="28"/>
      <c r="G77" s="28"/>
    </row>
    <row r="78" spans="2:7" ht="14" x14ac:dyDescent="0.3">
      <c r="B78" s="1" t="s">
        <v>81</v>
      </c>
      <c r="C78" s="1" t="s">
        <v>82</v>
      </c>
      <c r="D78" s="1" t="s">
        <v>83</v>
      </c>
      <c r="E78" s="1" t="s">
        <v>84</v>
      </c>
      <c r="F78" s="1" t="s">
        <v>85</v>
      </c>
      <c r="G78" s="1" t="s">
        <v>86</v>
      </c>
    </row>
    <row r="79" spans="2:7" x14ac:dyDescent="0.2">
      <c r="B79" s="2" t="s">
        <v>87</v>
      </c>
      <c r="C79" s="12">
        <v>1</v>
      </c>
      <c r="D79" s="13">
        <f>((1+C79*D56)*(1+C79*E56)*(1+C79*F56)*(1+C79*G56)*(1+C79*H56))^(1/5)-1</f>
        <v>7.072496499967329E-2</v>
      </c>
      <c r="E79" s="13">
        <f>C50+(AVERAGE(D57,E57,F57,G57,H57)-C50)*C79</f>
        <v>0.16685158861873445</v>
      </c>
      <c r="F79" s="14">
        <f>C79-D68</f>
        <v>1.0828472940891634</v>
      </c>
      <c r="G79" s="2" t="str">
        <f>IF(F79&gt;0.5,"BULLISH (Buy candidate)",IF(F79&gt;0.2,"Mildly Bullish",IF(F79&gt;=-0.2,"Aligned",IF(F79&gt;=-0.5,"Mildly Bearish","BEARISH (Sell candidate)"))))</f>
        <v>BULLISH (Buy candidate)</v>
      </c>
    </row>
    <row r="80" spans="2:7" x14ac:dyDescent="0.2">
      <c r="B80" s="2" t="s">
        <v>88</v>
      </c>
      <c r="C80" s="12">
        <v>1.5</v>
      </c>
      <c r="D80" s="13">
        <f>((1+C80*D56)*(1+C80*E56)*(1+C80*F56)*(1+C80*G56)*(1+C80*H56))^(1/5)-1</f>
        <v>0.10597593012631168</v>
      </c>
      <c r="E80" s="13">
        <f>C50+(AVERAGE(D57,E57,F57,G57,H57)-C50)*C80</f>
        <v>0.17828341383650725</v>
      </c>
      <c r="F80" s="14">
        <f>C80-D68</f>
        <v>1.5828472940891634</v>
      </c>
      <c r="G80" s="2" t="str">
        <f>IF(F80&gt;0.5,"BULLISH (Buy candidate)",IF(F80&gt;0.2,"Mildly Bullish",IF(F80&gt;=-0.2,"Aligned",IF(F80&gt;=-0.5,"Mildly Bearish","BEARISH (Sell candidate)"))))</f>
        <v>BULLISH (Buy candidate)</v>
      </c>
    </row>
    <row r="81" spans="2:7" x14ac:dyDescent="0.2">
      <c r="B81" s="2" t="s">
        <v>89</v>
      </c>
      <c r="C81" s="12">
        <v>0.85</v>
      </c>
      <c r="D81" s="13">
        <f>((1+C81*D56)*(1+C81*E56)*(1+C81*F56)*(1+C81*G56)*(1+C81*H56))^(1/5)-1</f>
        <v>6.013593824209984E-2</v>
      </c>
      <c r="E81" s="13">
        <f>C50+(AVERAGE(D57,E57,F57,G57,H57)-C50)*C81</f>
        <v>0.16342204105340261</v>
      </c>
      <c r="F81" s="14">
        <f>C81-D68</f>
        <v>0.93284729408916334</v>
      </c>
      <c r="G81" s="2" t="str">
        <f>IF(F81&gt;0.5,"BULLISH (Buy candidate)",IF(F81&gt;0.2,"Mildly Bullish",IF(F81&gt;=-0.2,"Aligned",IF(F81&gt;=-0.5,"Mildly Bearish","BEARISH (Sell candidate)"))))</f>
        <v>BULLISH (Buy candidate)</v>
      </c>
    </row>
    <row r="82" spans="2:7" x14ac:dyDescent="0.2">
      <c r="B82" s="2" t="s">
        <v>90</v>
      </c>
      <c r="C82" s="12">
        <v>0.4</v>
      </c>
      <c r="D82" s="13">
        <f>((1+C82*D56)*(1+C82*E56)*(1+C82*F56)*(1+C82*G56)*(1+C82*H56))^(1/5)-1</f>
        <v>2.8328164234087128E-2</v>
      </c>
      <c r="E82" s="13">
        <f>C50+(AVERAGE(D57,E57,F57,G57,H57)-C50)*C82</f>
        <v>0.15313339835740705</v>
      </c>
      <c r="F82" s="14">
        <f>C82-D68</f>
        <v>0.48284729408916338</v>
      </c>
      <c r="G82" s="2" t="str">
        <f>IF(F82&gt;0.5,"BULLISH (Buy candidate)",IF(F82&gt;0.2,"Mildly Bullish",IF(F82&gt;=-0.2,"Aligned",IF(F82&gt;=-0.5,"Mildly Bearish","BEARISH (Sell candidate)"))))</f>
        <v>Mildly Bullish</v>
      </c>
    </row>
    <row r="83" spans="2:7" x14ac:dyDescent="0.2">
      <c r="B83" s="2" t="s">
        <v>91</v>
      </c>
      <c r="C83" s="12">
        <v>0.15</v>
      </c>
      <c r="D83" s="13">
        <f>((1+C83*D56)*(1+C83*E56)*(1+C83*F56)*(1+C83*G56)*(1+C83*H56))^(1/5)-1</f>
        <v>1.0629355068745516E-2</v>
      </c>
      <c r="E83" s="13">
        <f>C50+(AVERAGE(D57,E57,F57,G57,H57)-C50)*C83</f>
        <v>0.14741748574852065</v>
      </c>
      <c r="F83" s="14">
        <f>C83-D68</f>
        <v>0.23284729408916335</v>
      </c>
      <c r="G83" s="2" t="str">
        <f>IF(F83&gt;0.5,"BULLISH (Buy candidate)",IF(F83&gt;0.2,"Mildly Bullish",IF(F83&gt;=-0.2,"Aligned",IF(F83&gt;=-0.5,"Mildly Bearish","BEARISH (Sell candidate)"))))</f>
        <v>Mildly Bullish</v>
      </c>
    </row>
    <row r="89" spans="2:7" ht="14.5" x14ac:dyDescent="0.35">
      <c r="B89" s="27" t="s">
        <v>92</v>
      </c>
      <c r="C89" s="28"/>
      <c r="D89" s="28"/>
      <c r="E89" s="28"/>
      <c r="F89" s="28"/>
      <c r="G89" s="28"/>
    </row>
    <row r="90" spans="2:7" x14ac:dyDescent="0.2">
      <c r="B90" s="2" t="s">
        <v>93</v>
      </c>
      <c r="C90" s="10">
        <f>D68</f>
        <v>-8.2847294089163359E-2</v>
      </c>
    </row>
    <row r="91" spans="2:7" x14ac:dyDescent="0.2">
      <c r="B91" s="2" t="s">
        <v>94</v>
      </c>
      <c r="C91" s="15">
        <v>1</v>
      </c>
    </row>
    <row r="92" spans="2:7" x14ac:dyDescent="0.2">
      <c r="B92" s="2" t="s">
        <v>95</v>
      </c>
      <c r="C92" s="16">
        <f>C91-C90</f>
        <v>1.0828472940891634</v>
      </c>
    </row>
    <row r="93" spans="2:7" ht="14.5" x14ac:dyDescent="0.35">
      <c r="B93" s="2" t="s">
        <v>96</v>
      </c>
      <c r="C93" s="17" t="str">
        <f>IF(C92&gt;0.5,"BUY (upside surprise expected)",IF(C92&gt;0.2,"BUY/HOLD",IF(C92&gt;=-0.2,"HOLD",IF(C92&gt;=-0.5,"HOLD/SELL","SELL (disappointment risk)"))))</f>
        <v>BUY (upside surprise expected)</v>
      </c>
    </row>
  </sheetData>
  <mergeCells count="7">
    <mergeCell ref="B2:T2"/>
    <mergeCell ref="B77:G77"/>
    <mergeCell ref="B89:G89"/>
    <mergeCell ref="B5:G5"/>
    <mergeCell ref="B14:T14"/>
    <mergeCell ref="B66:F66"/>
    <mergeCell ref="B47:T47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30" t="s">
        <v>97</v>
      </c>
      <c r="C2" s="28"/>
      <c r="D2" s="28"/>
      <c r="E2" s="28"/>
      <c r="F2" s="28"/>
      <c r="G2" s="28"/>
    </row>
    <row r="5" spans="2:7" ht="14.5" x14ac:dyDescent="0.35">
      <c r="B5" s="27" t="s">
        <v>98</v>
      </c>
      <c r="C5" s="28"/>
      <c r="D5" s="28"/>
      <c r="E5" s="28"/>
      <c r="F5" s="28"/>
      <c r="G5" s="28"/>
    </row>
    <row r="6" spans="2:7" ht="14" x14ac:dyDescent="0.3">
      <c r="B6" s="1" t="s">
        <v>99</v>
      </c>
      <c r="C6" s="1" t="s">
        <v>100</v>
      </c>
      <c r="D6" s="1" t="s">
        <v>101</v>
      </c>
      <c r="E6" s="1" t="s">
        <v>102</v>
      </c>
      <c r="F6" s="1" t="s">
        <v>103</v>
      </c>
      <c r="G6" s="1" t="s">
        <v>86</v>
      </c>
    </row>
    <row r="7" spans="2:7" x14ac:dyDescent="0.2">
      <c r="B7" s="2" t="s">
        <v>104</v>
      </c>
      <c r="C7" s="10">
        <f>1-'Implied Growth Analysis'!C90</f>
        <v>1.0828472940891634</v>
      </c>
      <c r="D7" s="2">
        <f>IF(C7&gt;=1,2,IF(C7&gt;=0.5,1,IF(C7&gt;=-0.2,0,IF(C7&gt;=-0.5,-1,-2))))</f>
        <v>2</v>
      </c>
      <c r="E7" s="18">
        <v>0.4</v>
      </c>
      <c r="F7" s="14">
        <f>D7*E7</f>
        <v>0.8</v>
      </c>
      <c r="G7" s="2" t="str">
        <f>IF(D7=2,"市場大幅悲観 = 強気",IF(D7=1,"市場やや悲観 = 買い候補",IF(D7=0,"市場と認識一致",IF(D7=-1,"市場やや楽観 = 警戒","市場大幅楽観 = 失望リスク"))))</f>
        <v>市場大幅悲観 = 強気</v>
      </c>
    </row>
    <row r="8" spans="2:7" x14ac:dyDescent="0.2">
      <c r="B8" s="2" t="s">
        <v>105</v>
      </c>
      <c r="C8" s="19">
        <f>IFERROR((C19-C20)/C20,0)</f>
        <v>2.1384928716904276E-2</v>
      </c>
      <c r="D8" s="2">
        <f>IF(C8&lt;=-0.2,2,IF(C8&lt;=-0.1,1,IF(C8&lt;=0.1,0,IF(C8&lt;=0.2,-1,-2))))</f>
        <v>0</v>
      </c>
      <c r="E8" s="18">
        <v>0.25</v>
      </c>
      <c r="F8" s="14">
        <f>D8*E8</f>
        <v>0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x14ac:dyDescent="0.2">
      <c r="B9" s="2" t="s">
        <v>106</v>
      </c>
      <c r="C9" s="12">
        <f>IFERROR(C34/C33,0)</f>
        <v>0.10199999999999999</v>
      </c>
      <c r="D9" s="2">
        <f>IF(AND(C36&lt;=1,C34/C35&gt;=0.5),2,IF(AND(C36&lt;=3,C34/C35&gt;=0.3),1,IF(AND(C36&lt;=10,C34/C35&gt;=0.1),0,IF(AND(C36&lt;=20,C34/C35&gt;=0.05),-1,-2))))</f>
        <v>-2</v>
      </c>
      <c r="E9" s="18">
        <v>0.2</v>
      </c>
      <c r="F9" s="14">
        <f>D9*E9</f>
        <v>-0.4</v>
      </c>
      <c r="G9" s="2" t="str">
        <f>IF(D9=2,"踏み上げ余地大",IF(D9=1,"需給良好",IF(D9=0,"ニュートラル",IF(D9=-1,"戻り売り圧力","需給最悪"))))</f>
        <v>需給最悪</v>
      </c>
    </row>
    <row r="10" spans="2:7" x14ac:dyDescent="0.2">
      <c r="B10" s="2" t="s">
        <v>107</v>
      </c>
      <c r="C10" s="19">
        <f>AVERAGE(E44:E45)</f>
        <v>2.3803226767879139E-2</v>
      </c>
      <c r="D10" s="2">
        <f>ROUND(AVERAGE(F44:F45),0)</f>
        <v>1</v>
      </c>
      <c r="E10" s="18">
        <v>0.15</v>
      </c>
      <c r="F10" s="14">
        <f>D10*E10</f>
        <v>0.15</v>
      </c>
      <c r="G10" s="2" t="str">
        <f>IF(D10=2,"会社予想を大幅上回る",IF(D10=1,"会社予想を上回る",IF(D10=0,"会社予想と一致",IF(D10=-1,"会社予想を下回る","会社予想を大幅下回る"))))</f>
        <v>会社予想を上回る</v>
      </c>
    </row>
    <row r="12" spans="2:7" ht="15.5" x14ac:dyDescent="0.35">
      <c r="B12" s="11" t="s">
        <v>108</v>
      </c>
      <c r="C12" s="2"/>
      <c r="D12" s="2"/>
      <c r="E12" s="2"/>
      <c r="F12" s="20">
        <f>SUM(F7:F10)</f>
        <v>0.55000000000000004</v>
      </c>
      <c r="G12" s="21" t="str">
        <f>IF(F12&gt;=1,"STRONG BUY",IF(F12&gt;=0.5,"BUY",IF(F12&gt;=-0.5,"HOLD",IF(F12&gt;=-1,"CAUTION","AVOID"))))</f>
        <v>BUY</v>
      </c>
    </row>
    <row r="17" spans="2:7" ht="14.5" x14ac:dyDescent="0.35">
      <c r="B17" s="27" t="s">
        <v>109</v>
      </c>
      <c r="C17" s="28"/>
      <c r="D17" s="28"/>
      <c r="E17" s="28"/>
      <c r="F17" s="28"/>
      <c r="G17" s="28"/>
    </row>
    <row r="19" spans="2:7" x14ac:dyDescent="0.2">
      <c r="B19" s="2" t="s">
        <v>8</v>
      </c>
      <c r="C19" s="22">
        <v>2006</v>
      </c>
    </row>
    <row r="20" spans="2:7" x14ac:dyDescent="0.2">
      <c r="B20" s="2" t="s">
        <v>110</v>
      </c>
      <c r="C20" s="22">
        <v>1964</v>
      </c>
    </row>
    <row r="21" spans="2:7" x14ac:dyDescent="0.2">
      <c r="B21" s="2" t="s">
        <v>111</v>
      </c>
      <c r="C21" s="22">
        <v>2330</v>
      </c>
    </row>
    <row r="22" spans="2:7" x14ac:dyDescent="0.2">
      <c r="B22" s="2" t="s">
        <v>16</v>
      </c>
      <c r="C22" s="22">
        <v>2330</v>
      </c>
    </row>
    <row r="23" spans="2:7" x14ac:dyDescent="0.2">
      <c r="B23" s="2" t="s">
        <v>14</v>
      </c>
      <c r="C23" s="22">
        <v>1960</v>
      </c>
    </row>
    <row r="25" spans="2:7" ht="14" x14ac:dyDescent="0.3">
      <c r="B25" s="5" t="s">
        <v>112</v>
      </c>
    </row>
    <row r="26" spans="2:7" x14ac:dyDescent="0.2">
      <c r="B26" t="s">
        <v>113</v>
      </c>
      <c r="C26" s="23">
        <f>IFERROR((C19-C20)/C20,"")</f>
        <v>2.1384928716904276E-2</v>
      </c>
    </row>
    <row r="27" spans="2:7" x14ac:dyDescent="0.2">
      <c r="B27" t="s">
        <v>114</v>
      </c>
      <c r="C27" s="23">
        <f>IFERROR((C19-C21)/C21,"")</f>
        <v>-0.13905579399141632</v>
      </c>
    </row>
    <row r="28" spans="2:7" x14ac:dyDescent="0.2">
      <c r="B28" t="s">
        <v>115</v>
      </c>
      <c r="C28" s="23">
        <f>IFERROR((C19-C22)/C22,"")</f>
        <v>-0.13905579399141632</v>
      </c>
    </row>
    <row r="31" spans="2:7" ht="14.5" x14ac:dyDescent="0.35">
      <c r="B31" s="27" t="s">
        <v>116</v>
      </c>
      <c r="C31" s="28"/>
      <c r="D31" s="28"/>
      <c r="E31" s="28"/>
      <c r="F31" s="28"/>
      <c r="G31" s="28"/>
    </row>
    <row r="33" spans="2:7" x14ac:dyDescent="0.2">
      <c r="B33" s="2" t="s">
        <v>117</v>
      </c>
      <c r="C33" s="22">
        <v>50000</v>
      </c>
    </row>
    <row r="34" spans="2:7" x14ac:dyDescent="0.2">
      <c r="B34" s="2" t="s">
        <v>118</v>
      </c>
      <c r="C34" s="22">
        <v>5100</v>
      </c>
    </row>
    <row r="35" spans="2:7" x14ac:dyDescent="0.2">
      <c r="B35" s="2" t="s">
        <v>119</v>
      </c>
      <c r="C35" s="22">
        <v>169300</v>
      </c>
    </row>
    <row r="36" spans="2:7" x14ac:dyDescent="0.2">
      <c r="B36" s="2" t="s">
        <v>120</v>
      </c>
      <c r="C36" s="24">
        <f>IFERROR(C33/C34,99)</f>
        <v>9.8039215686274517</v>
      </c>
    </row>
    <row r="37" spans="2:7" x14ac:dyDescent="0.2">
      <c r="B37" s="2" t="s">
        <v>121</v>
      </c>
      <c r="C37" s="24">
        <f>IFERROR(C34/C35,0)</f>
        <v>3.0124040165386886E-2</v>
      </c>
    </row>
    <row r="41" spans="2:7" ht="14.5" x14ac:dyDescent="0.35">
      <c r="B41" s="27" t="s">
        <v>122</v>
      </c>
      <c r="C41" s="28"/>
      <c r="D41" s="28"/>
      <c r="E41" s="28"/>
      <c r="F41" s="28"/>
      <c r="G41" s="28"/>
    </row>
    <row r="43" spans="2:7" ht="14" x14ac:dyDescent="0.3">
      <c r="B43" s="1" t="s">
        <v>123</v>
      </c>
      <c r="C43" s="1" t="s">
        <v>124</v>
      </c>
      <c r="D43" s="1" t="s">
        <v>125</v>
      </c>
      <c r="E43" s="1" t="s">
        <v>126</v>
      </c>
      <c r="F43" s="1" t="s">
        <v>127</v>
      </c>
    </row>
    <row r="44" spans="2:7" x14ac:dyDescent="0.2">
      <c r="B44" s="2" t="s">
        <v>128</v>
      </c>
      <c r="C44" s="25">
        <v>0.16320803664921479</v>
      </c>
      <c r="D44" s="26">
        <v>0.113</v>
      </c>
      <c r="E44" s="19">
        <f>C44-D44</f>
        <v>5.0208036649214791E-2</v>
      </c>
      <c r="F44" s="2">
        <f>IF(E44&gt;=0.1,2,IF(E44&gt;=0.05,1,IF(E44&gt;=-0.05,0,IF(E44&gt;=-0.1,-1,-2))))</f>
        <v>1</v>
      </c>
    </row>
    <row r="45" spans="2:7" x14ac:dyDescent="0.2">
      <c r="B45" s="2" t="s">
        <v>129</v>
      </c>
      <c r="C45" s="25">
        <v>9.0398416886543487E-2</v>
      </c>
      <c r="D45" s="26">
        <v>9.2999999999999999E-2</v>
      </c>
      <c r="E45" s="19">
        <f>C45-D45</f>
        <v>-2.6015831134565126E-3</v>
      </c>
      <c r="F45" s="2">
        <f>IF(E45&gt;=0.1,2,IF(E45&gt;=0.05,1,IF(E45&gt;=-0.05,0,IF(E45&gt;=-0.1,-1,-2))))</f>
        <v>0</v>
      </c>
    </row>
    <row r="53" spans="2:7" ht="14.5" x14ac:dyDescent="0.35">
      <c r="B53" s="27" t="s">
        <v>130</v>
      </c>
      <c r="C53" s="28"/>
      <c r="D53" s="28"/>
      <c r="E53" s="28"/>
      <c r="F53" s="28"/>
      <c r="G53" s="28"/>
    </row>
    <row r="55" spans="2:7" ht="14" x14ac:dyDescent="0.3">
      <c r="B55" s="5" t="s">
        <v>131</v>
      </c>
      <c r="C55" s="31" t="s">
        <v>132</v>
      </c>
      <c r="D55" s="28"/>
      <c r="E55" s="28"/>
      <c r="F55" s="28"/>
      <c r="G55" s="28"/>
    </row>
    <row r="56" spans="2:7" ht="14" x14ac:dyDescent="0.3">
      <c r="B56" s="5" t="s">
        <v>133</v>
      </c>
      <c r="C56" s="31" t="s">
        <v>134</v>
      </c>
      <c r="D56" s="28"/>
      <c r="E56" s="28"/>
      <c r="F56" s="28"/>
      <c r="G56" s="28"/>
    </row>
    <row r="57" spans="2:7" ht="14" x14ac:dyDescent="0.3">
      <c r="B57" s="5" t="s">
        <v>135</v>
      </c>
      <c r="C57" s="31" t="s">
        <v>136</v>
      </c>
      <c r="D57" s="28"/>
      <c r="E57" s="28"/>
      <c r="F57" s="28"/>
      <c r="G57" s="28"/>
    </row>
    <row r="58" spans="2:7" ht="14" x14ac:dyDescent="0.3">
      <c r="B58" s="5" t="s">
        <v>137</v>
      </c>
      <c r="C58" s="31" t="s">
        <v>138</v>
      </c>
      <c r="D58" s="28"/>
      <c r="E58" s="28"/>
      <c r="F58" s="28"/>
      <c r="G58" s="28"/>
    </row>
    <row r="59" spans="2:7" ht="14" x14ac:dyDescent="0.3">
      <c r="B59" s="5" t="s">
        <v>139</v>
      </c>
      <c r="C59" s="31" t="s">
        <v>140</v>
      </c>
      <c r="D59" s="28"/>
      <c r="E59" s="28"/>
      <c r="F59" s="28"/>
      <c r="G59" s="28"/>
    </row>
    <row r="62" spans="2:7" ht="14" x14ac:dyDescent="0.3">
      <c r="B62" s="5" t="s">
        <v>141</v>
      </c>
    </row>
    <row r="63" spans="2:7" x14ac:dyDescent="0.2">
      <c r="B63" t="s">
        <v>142</v>
      </c>
    </row>
    <row r="64" spans="2:7" x14ac:dyDescent="0.2">
      <c r="B64" t="s">
        <v>143</v>
      </c>
    </row>
    <row r="65" spans="2:2" x14ac:dyDescent="0.2">
      <c r="B65" t="s">
        <v>144</v>
      </c>
    </row>
    <row r="66" spans="2:2" x14ac:dyDescent="0.2">
      <c r="B66" t="s">
        <v>145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Implied Growth Analysis</vt:lpstr>
      <vt:lpstr>Market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2026-05-09T12:39:46Z</dcterms:created>
  <dcterms:modified xsi:type="dcterms:W3CDTF">2026-05-10T06:59:43Z</dcterms:modified>
</cp:coreProperties>
</file>