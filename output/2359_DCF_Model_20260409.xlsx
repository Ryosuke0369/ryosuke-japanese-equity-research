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  <numFmt numFmtId="170" formatCode="#,##0.0;(#,##0.0)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3" fontId="5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0" fontId="6" fillId="3" borderId="0" applyAlignment="1" pivotButton="0" quotePrefix="0" xfId="0">
      <alignment horizontal="center"/>
    </xf>
    <xf numFmtId="3" fontId="5" fillId="0" borderId="2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1" fillId="0" borderId="5" pivotButton="0" quotePrefix="0" xfId="0"/>
    <xf numFmtId="0" fontId="8" fillId="0" borderId="0" pivotButton="0" quotePrefix="0" xfId="0"/>
    <xf numFmtId="165" fontId="5" fillId="0" borderId="5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7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株式会社コア (2359.T)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株式会社コア</t>
        </is>
      </c>
    </row>
    <row r="7">
      <c r="B7" s="4" t="inlineStr">
        <is>
          <t>Ticker</t>
        </is>
      </c>
      <c r="C7" t="inlineStr">
        <is>
          <t>2359.T (TSE)</t>
        </is>
      </c>
    </row>
    <row r="8">
      <c r="B8" s="4" t="inlineStr">
        <is>
          <t>Sector</t>
        </is>
      </c>
      <c r="C8" t="inlineStr">
        <is>
          <t>Information &amp; Communication</t>
        </is>
      </c>
    </row>
    <row r="9">
      <c r="B9" s="4" t="inlineStr">
        <is>
          <t>Current Price</t>
        </is>
      </c>
      <c r="C9" s="5" t="n">
        <v>2276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Defense Tech: GNSS anti-spoofing tech for JASDF; 4-layer moat (proprietary receiver + QZSS auth + security clearance + space tech track record)</t>
        </is>
      </c>
    </row>
    <row r="25">
      <c r="B25" t="inlineStr">
        <is>
          <t>2. AX Transformation: Layer 2 (solution) ratio rising 25.9% → 33.3%, structurally improving OPM</t>
        </is>
      </c>
    </row>
    <row r="26">
      <c r="B26" t="inlineStr">
        <is>
          <t>3. Earnings Surprise: Base case EPS &gt;¥200 vs consensus ~¥174; Q3 OP progress rate 82.5% implies ~¥4,050M OP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Defense contracts still in R&amp;D/validation phase — mass production orders unconfirmed</t>
        </is>
      </c>
    </row>
    <row r="30">
      <c r="B30" t="inlineStr">
        <is>
          <t>2. Key person risk in specialized GNSS/space technology division</t>
        </is>
      </c>
    </row>
    <row r="31">
      <c r="B31" t="inlineStr">
        <is>
          <t>3. Revenue concentration in Japanese domestic IT services market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" t="inlineStr">
        <is>
          <t>株式会社コア - Historical Financials (JPY mn)</t>
        </is>
      </c>
    </row>
    <row r="4">
      <c r="C4" s="10" t="inlineStr">
        <is>
          <t>FY2020</t>
        </is>
      </c>
      <c r="D4" s="10" t="inlineStr">
        <is>
          <t>FY2021</t>
        </is>
      </c>
      <c r="E4" s="10" t="inlineStr">
        <is>
          <t>FY2022</t>
        </is>
      </c>
      <c r="F4" s="10" t="inlineStr">
        <is>
          <t>FY2023</t>
        </is>
      </c>
      <c r="G4" s="10" t="inlineStr">
        <is>
          <t>FY2024</t>
        </is>
      </c>
      <c r="H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20997.367</v>
      </c>
      <c r="D6" s="5" t="n">
        <v>20785.262</v>
      </c>
      <c r="E6" s="5" t="n">
        <v>21798.077</v>
      </c>
      <c r="F6" s="5" t="n">
        <v>22848.129</v>
      </c>
      <c r="G6" s="5" t="n">
        <v>23998.562</v>
      </c>
      <c r="H6" s="5" t="n">
        <v>24599.166</v>
      </c>
    </row>
    <row r="7">
      <c r="B7" s="4" t="inlineStr">
        <is>
          <t>COGS</t>
        </is>
      </c>
      <c r="C7" s="5" t="n">
        <v>15781.969</v>
      </c>
      <c r="D7" s="5" t="n">
        <v>15524.609</v>
      </c>
      <c r="E7" s="5" t="n">
        <v>16231.035</v>
      </c>
      <c r="F7" s="5" t="n">
        <v>16853.21</v>
      </c>
      <c r="G7" s="5" t="n">
        <v>17407.88</v>
      </c>
      <c r="H7" s="5" t="n">
        <v>17821.475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</row>
    <row r="10">
      <c r="B10" s="4" t="inlineStr">
        <is>
          <t>SGA</t>
        </is>
      </c>
      <c r="C10" s="5" t="n">
        <v>3414.673</v>
      </c>
      <c r="D10" s="5" t="n">
        <v>3228.568</v>
      </c>
      <c r="E10" s="5" t="n">
        <v>3199.384</v>
      </c>
      <c r="F10" s="5" t="n">
        <v>3251.051</v>
      </c>
      <c r="G10" s="5" t="n">
        <v>3450.098</v>
      </c>
      <c r="H10" s="5" t="n">
        <v>3602.229</v>
      </c>
    </row>
    <row r="11">
      <c r="B11" s="4" t="inlineStr">
        <is>
          <t>Operating Income</t>
        </is>
      </c>
      <c r="C11" s="5" t="n">
        <v>1800.724</v>
      </c>
      <c r="D11" s="5" t="n">
        <v>2032.084</v>
      </c>
      <c r="E11" s="5" t="n">
        <v>2367.658</v>
      </c>
      <c r="F11" s="5" t="n">
        <v>2743.867</v>
      </c>
      <c r="G11" s="5" t="n">
        <v>3140.583</v>
      </c>
      <c r="H11" s="5" t="n">
        <v>3175.462</v>
      </c>
    </row>
    <row r="12">
      <c r="B12" s="4" t="inlineStr">
        <is>
          <t>Net Income</t>
        </is>
      </c>
      <c r="C12" s="5" t="n">
        <v>1172.735</v>
      </c>
      <c r="D12" s="5" t="n">
        <v>1423.358</v>
      </c>
      <c r="E12" s="5" t="n">
        <v>1622.716</v>
      </c>
      <c r="F12" s="5" t="n">
        <v>1968.404</v>
      </c>
      <c r="G12" s="5" t="n">
        <v>2270.704</v>
      </c>
      <c r="H12" s="5" t="n">
        <v>2242.34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1325.726</v>
      </c>
      <c r="D19" s="5" t="n">
        <v>1851.105</v>
      </c>
      <c r="E19" s="5" t="n">
        <v>1799.231</v>
      </c>
      <c r="F19" s="5" t="n">
        <v>1943.795</v>
      </c>
      <c r="G19" s="5" t="n">
        <v>2190.094</v>
      </c>
      <c r="H19" s="5" t="n">
        <v>2372.799</v>
      </c>
    </row>
    <row r="20">
      <c r="B20" s="4" t="inlineStr">
        <is>
          <t>Capex</t>
        </is>
      </c>
      <c r="C20" s="5" t="n">
        <v>166.493</v>
      </c>
      <c r="D20" s="5" t="n">
        <v>93.54300000000001</v>
      </c>
      <c r="E20" s="5" t="n">
        <v>72.084</v>
      </c>
      <c r="F20" s="5" t="n">
        <v>85.455</v>
      </c>
      <c r="G20" s="5" t="n">
        <v>93.40000000000001</v>
      </c>
      <c r="H20" s="5" t="n">
        <v>95.31999999999999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2658.886</v>
      </c>
      <c r="D26" s="5" t="n">
        <v>3636.219</v>
      </c>
      <c r="E26" s="5" t="n">
        <v>4700.235</v>
      </c>
      <c r="F26" s="5" t="n">
        <v>5586.934</v>
      </c>
      <c r="G26" s="5" t="n">
        <v>6300.075</v>
      </c>
      <c r="H26" s="5" t="n">
        <v>7586.071</v>
      </c>
    </row>
    <row r="27">
      <c r="B27" s="4" t="inlineStr">
        <is>
          <t>Short-term Debt</t>
        </is>
      </c>
      <c r="C27" s="5" t="n">
        <v>2592.9</v>
      </c>
      <c r="D27" s="5" t="n">
        <v>2109.7</v>
      </c>
      <c r="E27" s="5" t="n">
        <v>1963.6</v>
      </c>
      <c r="F27" s="5" t="n">
        <v>1812</v>
      </c>
      <c r="G27" s="5" t="n">
        <v>1734.8</v>
      </c>
      <c r="H27" s="5" t="n">
        <v>1412.4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株式会社コア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0.004166807931618495</v>
      </c>
    </row>
    <row r="6">
      <c r="B6" s="4" t="inlineStr">
        <is>
          <t>Effective Tax Rate</t>
        </is>
      </c>
      <c r="C6" s="7" t="n">
        <v>0.305</v>
      </c>
    </row>
    <row r="7">
      <c r="B7" s="4" t="inlineStr">
        <is>
          <t>Risk-Free Rate</t>
        </is>
      </c>
      <c r="C7" s="7" t="n">
        <v>0.022</v>
      </c>
    </row>
    <row r="8">
      <c r="B8" s="4" t="inlineStr">
        <is>
          <t>Beta</t>
        </is>
      </c>
      <c r="C8" s="12" t="n">
        <v>1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0.03</v>
      </c>
    </row>
    <row r="11">
      <c r="B11" s="4" t="inlineStr">
        <is>
          <t>After-tax Cost of Debt</t>
        </is>
      </c>
      <c r="C11" s="7" t="n">
        <v>0.005</v>
      </c>
    </row>
    <row r="12">
      <c r="B12" s="4" t="inlineStr">
        <is>
          <t>D/E Ratio</t>
        </is>
      </c>
      <c r="C12" s="13" t="n">
        <v>0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10</v>
      </c>
    </row>
    <row r="15">
      <c r="B15" s="4" t="inlineStr">
        <is>
          <t>Fully Diluted Shares</t>
        </is>
      </c>
      <c r="C15" s="15" t="n">
        <v>14368501</v>
      </c>
    </row>
    <row r="16">
      <c r="B16" s="4" t="inlineStr">
        <is>
          <t>Net Debt (JPY mn)</t>
        </is>
      </c>
      <c r="C16" s="5" t="n">
        <v>-7296.8</v>
      </c>
    </row>
    <row r="17">
      <c r="B17" s="4" t="inlineStr">
        <is>
          <t>Base Year Revenue (JPY mn)</t>
        </is>
      </c>
      <c r="C17" s="5" t="n">
        <v>24599.166</v>
      </c>
    </row>
    <row r="18">
      <c r="B18" s="4" t="inlineStr">
        <is>
          <t>D&amp;A / Revenue</t>
        </is>
      </c>
      <c r="C18" s="7" t="n">
        <v>0.008587689517603971</v>
      </c>
    </row>
    <row r="19">
      <c r="B19" s="4" t="inlineStr">
        <is>
          <t>Stub Fraction (yr remaining)</t>
        </is>
      </c>
      <c r="C19" s="12" t="n">
        <v>0.25</v>
      </c>
    </row>
    <row r="20">
      <c r="B20" s="4" t="inlineStr">
        <is>
          <t>LTM Revenue (JPY mn)</t>
        </is>
      </c>
      <c r="C20" s="5" t="n">
        <v>24599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Analysis'!F79,'Segment Analysis'!F80,'Segment Analysis'!F81,'Segment Analysis'!F82,'Segment Analysis'!F83)</f>
        <v/>
      </c>
      <c r="D31" s="18">
        <f>CHOOSE($D$27,'Segment Analysis'!G79,'Segment Analysis'!G80,'Segment Analysis'!G81,'Segment Analysis'!G82,'Segment Analysis'!G83)</f>
        <v/>
      </c>
      <c r="E31" s="18">
        <f>CHOOSE($D$27,'Segment Analysis'!H79,'Segment Analysis'!H80,'Segment Analysis'!H81,'Segment Analysis'!H82,'Segment Analysis'!H83)</f>
        <v/>
      </c>
      <c r="F31" s="18">
        <f>CHOOSE($D$27,'Segment Analysis'!I79,'Segment Analysis'!I80,'Segment Analysis'!I81,'Segment Analysis'!I82,'Segment Analysis'!I83)</f>
        <v/>
      </c>
      <c r="G31" s="18">
        <f>CHOOSE($D$27,'Segment Analysis'!J79,'Segment Analysis'!J80,'Segment Analysis'!J81,'Segment Analysis'!J82,'Segment Analysis'!J83)</f>
        <v/>
      </c>
    </row>
    <row r="32">
      <c r="B32" s="4" t="inlineStr">
        <is>
          <t>SGA % of Revenue</t>
        </is>
      </c>
      <c r="C32" s="18">
        <f>CHOOSE($D$27,'Segment Analysis'!F86,'Segment Analysis'!F87,'Segment Analysis'!F88,'Segment Analysis'!F89,'Segment Analysis'!F90)</f>
        <v/>
      </c>
      <c r="D32" s="18">
        <f>CHOOSE($D$27,'Segment Analysis'!G86,'Segment Analysis'!G87,'Segment Analysis'!G88,'Segment Analysis'!G89,'Segment Analysis'!G90)</f>
        <v/>
      </c>
      <c r="E32" s="18">
        <f>CHOOSE($D$27,'Segment Analysis'!H86,'Segment Analysis'!H87,'Segment Analysis'!H88,'Segment Analysis'!H89,'Segment Analysis'!H90)</f>
        <v/>
      </c>
      <c r="F32" s="18">
        <f>CHOOSE($D$27,'Segment Analysis'!I86,'Segment Analysis'!I87,'Segment Analysis'!I88,'Segment Analysis'!I89,'Segment Analysis'!I90)</f>
        <v/>
      </c>
      <c r="G32" s="18">
        <f>CHOOSE($D$27,'Segment Analysis'!J86,'Segment Analysis'!J87,'Segment Analysis'!J88,'Segment Analysis'!J89,'Segment Analysis'!J90)</f>
        <v/>
      </c>
    </row>
    <row r="33">
      <c r="B33" s="4" t="inlineStr">
        <is>
          <t>Revenue</t>
        </is>
      </c>
      <c r="C33" s="5">
        <f>'Segment Analysis'!F21</f>
        <v/>
      </c>
      <c r="D33" s="5">
        <f>'Segment Analysis'!G21</f>
        <v/>
      </c>
      <c r="E33" s="5">
        <f>'Segment Analysis'!H21</f>
        <v/>
      </c>
      <c r="F33" s="5">
        <f>'Segment Analysis'!I21</f>
        <v/>
      </c>
      <c r="G33" s="5">
        <f>'Segment Analysis'!J21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 t="n">
        <v>210</v>
      </c>
      <c r="D42" s="5" t="n">
        <v>210</v>
      </c>
      <c r="E42" s="5" t="n">
        <v>210</v>
      </c>
      <c r="F42" s="5" t="n">
        <v>215</v>
      </c>
      <c r="G42" s="5">
        <f>G33*C18</f>
        <v/>
      </c>
    </row>
    <row r="43">
      <c r="B43" s="4" t="inlineStr">
        <is>
          <t>Less: Capex</t>
        </is>
      </c>
      <c r="C43" s="5" t="n">
        <v>100</v>
      </c>
      <c r="D43" s="5" t="n">
        <v>100</v>
      </c>
      <c r="E43" s="5" t="n">
        <v>105</v>
      </c>
      <c r="F43" s="5" t="n">
        <v>105</v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株式会社コア</t>
        </is>
      </c>
    </row>
    <row r="4">
      <c r="B4" s="8" t="inlineStr">
        <is>
          <t>Working Capital Drivers (Days)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DSO (Days Sales Outstanding)</t>
        </is>
      </c>
      <c r="C5" s="27">
        <f>C12/C9*365</f>
        <v/>
      </c>
      <c r="D5" s="27">
        <f>CHOOSE('DCF Model'!$D$27,D25,D26,D27,D28,D29)</f>
        <v/>
      </c>
      <c r="E5" s="27">
        <f>CHOOSE('DCF Model'!$D$27,E25,E26,E27,E28,E29)</f>
        <v/>
      </c>
      <c r="F5" s="27">
        <f>CHOOSE('DCF Model'!$D$27,F25,F26,F27,F28,F29)</f>
        <v/>
      </c>
      <c r="G5" s="27">
        <f>CHOOSE('DCF Model'!$D$27,G25,G26,G27,G28,G29)</f>
        <v/>
      </c>
      <c r="H5" s="27">
        <f>CHOOSE('DCF Model'!$D$27,H25,H26,H27,H28,H29)</f>
        <v/>
      </c>
    </row>
    <row r="6">
      <c r="B6" s="26" t="inlineStr">
        <is>
          <t>DIH (Days Inventory Held)</t>
        </is>
      </c>
      <c r="C6" s="27">
        <f>C13/C10*365</f>
        <v/>
      </c>
      <c r="D6" s="27">
        <f>CHOOSE('DCF Model'!$D$27,D32,D33,D34,D35,D36)</f>
        <v/>
      </c>
      <c r="E6" s="27">
        <f>CHOOSE('DCF Model'!$D$27,E32,E33,E34,E35,E36)</f>
        <v/>
      </c>
      <c r="F6" s="27">
        <f>CHOOSE('DCF Model'!$D$27,F32,F33,F34,F35,F36)</f>
        <v/>
      </c>
      <c r="G6" s="27">
        <f>CHOOSE('DCF Model'!$D$27,G32,G33,G34,G35,G36)</f>
        <v/>
      </c>
      <c r="H6" s="27">
        <f>CHOOSE('DCF Model'!$D$27,H32,H33,H34,H35,H36)</f>
        <v/>
      </c>
    </row>
    <row r="7">
      <c r="B7" s="26" t="inlineStr">
        <is>
          <t>DPO (Days Payable Outstanding)</t>
        </is>
      </c>
      <c r="C7" s="27">
        <f>C15/C10*365</f>
        <v/>
      </c>
      <c r="D7" s="27">
        <f>CHOOSE('DCF Model'!$D$27,D39,D40,D41,D42,D43)</f>
        <v/>
      </c>
      <c r="E7" s="27">
        <f>CHOOSE('DCF Model'!$D$27,E39,E40,E41,E42,E43)</f>
        <v/>
      </c>
      <c r="F7" s="27">
        <f>CHOOSE('DCF Model'!$D$27,F39,F40,F41,F42,F43)</f>
        <v/>
      </c>
      <c r="G7" s="27">
        <f>CHOOSE('DCF Model'!$D$27,G39,G40,G41,G42,G43)</f>
        <v/>
      </c>
      <c r="H7" s="27">
        <f>CHOOSE('DCF Model'!$D$27,H39,H40,H41,H42,H43)</f>
        <v/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8" t="n">
        <v>24599.166</v>
      </c>
      <c r="D9" s="28">
        <f>'DCF Model'!C33</f>
        <v/>
      </c>
      <c r="E9" s="28">
        <f>'DCF Model'!D33</f>
        <v/>
      </c>
      <c r="F9" s="28">
        <f>'DCF Model'!E33</f>
        <v/>
      </c>
      <c r="G9" s="28">
        <f>'DCF Model'!F33</f>
        <v/>
      </c>
      <c r="H9" s="28">
        <f>'DCF Model'!G33</f>
        <v/>
      </c>
    </row>
    <row r="10">
      <c r="B10" s="26" t="inlineStr">
        <is>
          <t>COGS</t>
        </is>
      </c>
      <c r="C10" s="28" t="n">
        <v>17821.475</v>
      </c>
      <c r="D10" s="28">
        <f>'DCF Model'!C34</f>
        <v/>
      </c>
      <c r="E10" s="28">
        <f>'DCF Model'!D34</f>
        <v/>
      </c>
      <c r="F10" s="28">
        <f>'DCF Model'!E34</f>
        <v/>
      </c>
      <c r="G10" s="28">
        <f>'DCF Model'!F34</f>
        <v/>
      </c>
      <c r="H10" s="28">
        <f>'DCF Model'!G34</f>
        <v/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6" t="inlineStr">
        <is>
          <t>Accounts Receivable</t>
        </is>
      </c>
      <c r="C12" s="28" t="n">
        <v>7878</v>
      </c>
      <c r="D12" s="28">
        <f>D9*D5/365</f>
        <v/>
      </c>
      <c r="E12" s="28">
        <f>E9*E5/365</f>
        <v/>
      </c>
      <c r="F12" s="28">
        <f>F9*F5/365</f>
        <v/>
      </c>
      <c r="G12" s="28">
        <f>G9*G5/365</f>
        <v/>
      </c>
      <c r="H12" s="28">
        <f>H9*H5/365</f>
        <v/>
      </c>
    </row>
    <row r="13">
      <c r="B13" s="26" t="inlineStr">
        <is>
          <t>Inventory</t>
        </is>
      </c>
      <c r="C13" s="28" t="n">
        <v>269</v>
      </c>
      <c r="D13" s="28">
        <f>D10*D6/365</f>
        <v/>
      </c>
      <c r="E13" s="28">
        <f>E10*E6/365</f>
        <v/>
      </c>
      <c r="F13" s="28">
        <f>F10*F6/365</f>
        <v/>
      </c>
      <c r="G13" s="28">
        <f>G10*G6/365</f>
        <v/>
      </c>
      <c r="H13" s="28">
        <f>H10*H6/365</f>
        <v/>
      </c>
    </row>
    <row r="14">
      <c r="B14" s="26" t="inlineStr">
        <is>
          <t>Current Assets (AR + Inv)</t>
        </is>
      </c>
      <c r="C14" s="28">
        <f>C12+C13</f>
        <v/>
      </c>
      <c r="D14" s="28">
        <f>D12+D13</f>
        <v/>
      </c>
      <c r="E14" s="28">
        <f>E12+E13</f>
        <v/>
      </c>
      <c r="F14" s="28">
        <f>F12+F13</f>
        <v/>
      </c>
      <c r="G14" s="28">
        <f>G12+G13</f>
        <v/>
      </c>
      <c r="H14" s="28">
        <f>H12+H13</f>
        <v/>
      </c>
    </row>
    <row r="15">
      <c r="B15" s="26" t="inlineStr">
        <is>
          <t>Accounts Payable</t>
        </is>
      </c>
      <c r="C15" s="28" t="n">
        <v>1738</v>
      </c>
      <c r="D15" s="28">
        <f>D10*D7/365</f>
        <v/>
      </c>
      <c r="E15" s="28">
        <f>E10*E7/365</f>
        <v/>
      </c>
      <c r="F15" s="28">
        <f>F10*F7/365</f>
        <v/>
      </c>
      <c r="G15" s="28">
        <f>G10*G7/365</f>
        <v/>
      </c>
      <c r="H15" s="28">
        <f>H10*H7/365</f>
        <v/>
      </c>
    </row>
    <row r="16">
      <c r="B16" s="26" t="inlineStr">
        <is>
          <t>Current Liabilities (AP)</t>
        </is>
      </c>
      <c r="C16" s="28">
        <f>C15</f>
        <v/>
      </c>
      <c r="D16" s="28">
        <f>D15</f>
        <v/>
      </c>
      <c r="E16" s="28">
        <f>E15</f>
        <v/>
      </c>
      <c r="F16" s="28">
        <f>F15</f>
        <v/>
      </c>
      <c r="G16" s="28">
        <f>G15</f>
        <v/>
      </c>
      <c r="H16" s="28">
        <f>H15</f>
        <v/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>
        <f>C14-C16</f>
        <v/>
      </c>
      <c r="D18" s="20">
        <f>D14-D16</f>
        <v/>
      </c>
      <c r="E18" s="20">
        <f>E14-E16</f>
        <v/>
      </c>
      <c r="F18" s="20">
        <f>F14-F16</f>
        <v/>
      </c>
      <c r="G18" s="20">
        <f>G14-G16</f>
        <v/>
      </c>
      <c r="H18" s="20">
        <f>H14-H16</f>
        <v/>
      </c>
    </row>
    <row r="19">
      <c r="B19" s="26" t="inlineStr">
        <is>
          <t>Change in NWC</t>
        </is>
      </c>
      <c r="C19" s="29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22" t="inlineStr">
        <is>
          <t>Scenario Input Matrix (Working Capital Days)</t>
        </is>
      </c>
      <c r="C22" s="23" t="n"/>
      <c r="D22" s="23" t="n"/>
      <c r="E22" s="23" t="n"/>
      <c r="F22" s="23" t="n"/>
      <c r="G22" s="23" t="n"/>
      <c r="H22" s="23" t="n"/>
    </row>
    <row r="23">
      <c r="D23" s="30" t="inlineStr">
        <is>
          <t>FY2026(E)</t>
        </is>
      </c>
      <c r="E23" s="30" t="inlineStr">
        <is>
          <t>FY2027(E)</t>
        </is>
      </c>
      <c r="F23" s="30" t="inlineStr">
        <is>
          <t>FY2028(E)</t>
        </is>
      </c>
      <c r="G23" s="30" t="inlineStr">
        <is>
          <t>FY2029(E)</t>
        </is>
      </c>
      <c r="H23" s="30" t="inlineStr">
        <is>
          <t>FY2030(E)</t>
        </is>
      </c>
    </row>
    <row r="24">
      <c r="B24" s="3" t="inlineStr">
        <is>
          <t>DSO (Days)</t>
        </is>
      </c>
    </row>
    <row r="25">
      <c r="B25" s="4" t="inlineStr">
        <is>
          <t>Base</t>
        </is>
      </c>
      <c r="D25" s="31" t="n">
        <v>115</v>
      </c>
      <c r="E25" s="31" t="n">
        <v>114</v>
      </c>
      <c r="F25" s="31" t="n">
        <v>114</v>
      </c>
      <c r="G25" s="31" t="n">
        <v>114</v>
      </c>
      <c r="H25" s="31" t="n">
        <v>114</v>
      </c>
    </row>
    <row r="26">
      <c r="B26" s="4" t="inlineStr">
        <is>
          <t>Upside</t>
        </is>
      </c>
      <c r="D26" s="31" t="n">
        <v>113</v>
      </c>
      <c r="E26" s="31" t="n">
        <v>111</v>
      </c>
      <c r="F26" s="31" t="n">
        <v>109</v>
      </c>
      <c r="G26" s="31" t="n">
        <v>107</v>
      </c>
      <c r="H26" s="31" t="n">
        <v>107</v>
      </c>
    </row>
    <row r="27">
      <c r="B27" s="4" t="inlineStr">
        <is>
          <t>Management</t>
        </is>
      </c>
      <c r="D27" s="31" t="n">
        <v>116</v>
      </c>
      <c r="E27" s="31" t="n">
        <v>115</v>
      </c>
      <c r="F27" s="31" t="n">
        <v>115</v>
      </c>
      <c r="G27" s="31" t="n">
        <v>115</v>
      </c>
      <c r="H27" s="31" t="n">
        <v>115</v>
      </c>
    </row>
    <row r="28">
      <c r="B28" s="4" t="inlineStr">
        <is>
          <t>Downside 1</t>
        </is>
      </c>
      <c r="D28" s="31" t="n">
        <v>118</v>
      </c>
      <c r="E28" s="31" t="n">
        <v>119</v>
      </c>
      <c r="F28" s="31" t="n">
        <v>120</v>
      </c>
      <c r="G28" s="31" t="n">
        <v>120</v>
      </c>
      <c r="H28" s="31" t="n">
        <v>120</v>
      </c>
    </row>
    <row r="29">
      <c r="B29" s="4" t="inlineStr">
        <is>
          <t>Downside 2</t>
        </is>
      </c>
      <c r="D29" s="31" t="n">
        <v>120</v>
      </c>
      <c r="E29" s="31" t="n">
        <v>122</v>
      </c>
      <c r="F29" s="31" t="n">
        <v>124</v>
      </c>
      <c r="G29" s="31" t="n">
        <v>125</v>
      </c>
      <c r="H29" s="31" t="n">
        <v>125</v>
      </c>
    </row>
    <row r="31">
      <c r="B31" s="3" t="inlineStr">
        <is>
          <t>DIH (Days)</t>
        </is>
      </c>
    </row>
    <row r="32">
      <c r="B32" s="4" t="inlineStr">
        <is>
          <t>Base</t>
        </is>
      </c>
      <c r="D32" s="31" t="n">
        <v>6</v>
      </c>
      <c r="E32" s="31" t="n">
        <v>6</v>
      </c>
      <c r="F32" s="31" t="n">
        <v>6</v>
      </c>
      <c r="G32" s="31" t="n">
        <v>6</v>
      </c>
      <c r="H32" s="31" t="n">
        <v>6</v>
      </c>
    </row>
    <row r="33">
      <c r="B33" s="4" t="inlineStr">
        <is>
          <t>Upside</t>
        </is>
      </c>
      <c r="D33" s="31" t="n">
        <v>5.5</v>
      </c>
      <c r="E33" s="31" t="n">
        <v>5.5</v>
      </c>
      <c r="F33" s="31" t="n">
        <v>5.5</v>
      </c>
      <c r="G33" s="31" t="n">
        <v>5.5</v>
      </c>
      <c r="H33" s="31" t="n">
        <v>5.5</v>
      </c>
    </row>
    <row r="34">
      <c r="B34" s="4" t="inlineStr">
        <is>
          <t>Management</t>
        </is>
      </c>
      <c r="D34" s="31" t="n">
        <v>6</v>
      </c>
      <c r="E34" s="31" t="n">
        <v>6</v>
      </c>
      <c r="F34" s="31" t="n">
        <v>6</v>
      </c>
      <c r="G34" s="31" t="n">
        <v>6</v>
      </c>
      <c r="H34" s="31" t="n">
        <v>6</v>
      </c>
    </row>
    <row r="35">
      <c r="B35" s="4" t="inlineStr">
        <is>
          <t>Downside 1</t>
        </is>
      </c>
      <c r="D35" s="31" t="n">
        <v>6.5</v>
      </c>
      <c r="E35" s="31" t="n">
        <v>6.5</v>
      </c>
      <c r="F35" s="31" t="n">
        <v>7</v>
      </c>
      <c r="G35" s="31" t="n">
        <v>7</v>
      </c>
      <c r="H35" s="31" t="n">
        <v>7</v>
      </c>
    </row>
    <row r="36">
      <c r="B36" s="4" t="inlineStr">
        <is>
          <t>Downside 2</t>
        </is>
      </c>
      <c r="D36" s="31" t="n">
        <v>7</v>
      </c>
      <c r="E36" s="31" t="n">
        <v>7</v>
      </c>
      <c r="F36" s="31" t="n">
        <v>7.5</v>
      </c>
      <c r="G36" s="31" t="n">
        <v>7.5</v>
      </c>
      <c r="H36" s="31" t="n">
        <v>7.5</v>
      </c>
    </row>
    <row r="38">
      <c r="B38" s="3" t="inlineStr">
        <is>
          <t>DPO (Days)</t>
        </is>
      </c>
    </row>
    <row r="39">
      <c r="B39" s="4" t="inlineStr">
        <is>
          <t>Base</t>
        </is>
      </c>
      <c r="D39" s="31" t="n">
        <v>35</v>
      </c>
      <c r="E39" s="31" t="n">
        <v>34</v>
      </c>
      <c r="F39" s="31" t="n">
        <v>34</v>
      </c>
      <c r="G39" s="31" t="n">
        <v>34</v>
      </c>
      <c r="H39" s="31" t="n">
        <v>34</v>
      </c>
    </row>
    <row r="40">
      <c r="B40" s="4" t="inlineStr">
        <is>
          <t>Upside</t>
        </is>
      </c>
      <c r="D40" s="31" t="n">
        <v>36</v>
      </c>
      <c r="E40" s="31" t="n">
        <v>37</v>
      </c>
      <c r="F40" s="31" t="n">
        <v>38</v>
      </c>
      <c r="G40" s="31" t="n">
        <v>38</v>
      </c>
      <c r="H40" s="31" t="n">
        <v>38</v>
      </c>
    </row>
    <row r="41">
      <c r="B41" s="4" t="inlineStr">
        <is>
          <t>Management</t>
        </is>
      </c>
      <c r="D41" s="31" t="n">
        <v>35</v>
      </c>
      <c r="E41" s="31" t="n">
        <v>35</v>
      </c>
      <c r="F41" s="31" t="n">
        <v>35</v>
      </c>
      <c r="G41" s="31" t="n">
        <v>35</v>
      </c>
      <c r="H41" s="31" t="n">
        <v>35</v>
      </c>
    </row>
    <row r="42">
      <c r="B42" s="4" t="inlineStr">
        <is>
          <t>Downside 1</t>
        </is>
      </c>
      <c r="D42" s="31" t="n">
        <v>34</v>
      </c>
      <c r="E42" s="31" t="n">
        <v>33</v>
      </c>
      <c r="F42" s="31" t="n">
        <v>33</v>
      </c>
      <c r="G42" s="31" t="n">
        <v>33</v>
      </c>
      <c r="H42" s="31" t="n">
        <v>33</v>
      </c>
    </row>
    <row r="43">
      <c r="B43" s="4" t="inlineStr">
        <is>
          <t>Downside 2</t>
        </is>
      </c>
      <c r="D43" s="31" t="n">
        <v>33</v>
      </c>
      <c r="E43" s="31" t="n">
        <v>32</v>
      </c>
      <c r="F43" s="31" t="n">
        <v>32</v>
      </c>
      <c r="G43" s="31" t="n">
        <v>32</v>
      </c>
      <c r="H43" s="3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Systena</t>
        </is>
      </c>
      <c r="C5" t="inlineStr">
        <is>
          <t>2317.T</t>
        </is>
      </c>
      <c r="D5" s="32" t="n">
        <v>150488.907776</v>
      </c>
      <c r="E5" s="32" t="n">
        <v>152038.907776</v>
      </c>
      <c r="F5" s="32" t="n">
        <v>92410</v>
      </c>
      <c r="G5" s="32" t="n">
        <v>15820</v>
      </c>
      <c r="H5" s="32" t="n">
        <v>15360</v>
      </c>
      <c r="I5" s="32" t="n">
        <v>11250</v>
      </c>
      <c r="J5" s="33">
        <f>E5/G5</f>
        <v/>
      </c>
      <c r="K5" s="33">
        <f>E5/F5</f>
        <v/>
      </c>
      <c r="L5" s="33">
        <f>D5/I5</f>
        <v/>
      </c>
      <c r="M5" s="33" t="n">
        <v>4.567189917329287</v>
      </c>
      <c r="N5" s="34">
        <f>H5/F5</f>
        <v/>
      </c>
      <c r="O5" s="34" t="n">
        <v>0.3414264036418816</v>
      </c>
    </row>
    <row r="6">
      <c r="B6" s="4" t="inlineStr">
        <is>
          <t>SRA HD</t>
        </is>
      </c>
      <c r="C6" t="inlineStr">
        <is>
          <t>3817.T</t>
        </is>
      </c>
      <c r="D6" s="32" t="n">
        <v>60769.005568</v>
      </c>
      <c r="E6" s="32" t="n">
        <v>60839.005568</v>
      </c>
      <c r="F6" s="32" t="n">
        <v>54700</v>
      </c>
      <c r="G6" s="32" t="n">
        <v>8490</v>
      </c>
      <c r="H6" s="32" t="n">
        <v>8300</v>
      </c>
      <c r="I6" s="32" t="n">
        <v>5000</v>
      </c>
      <c r="J6" s="33">
        <f>E6/G6</f>
        <v/>
      </c>
      <c r="K6" s="33">
        <f>E6/F6</f>
        <v/>
      </c>
      <c r="L6" s="33">
        <f>D6/I6</f>
        <v/>
      </c>
      <c r="M6" s="33" t="n">
        <v>1.953798847956789</v>
      </c>
      <c r="N6" s="34">
        <f>H6/F6</f>
        <v/>
      </c>
      <c r="O6" s="34" t="n">
        <v>0.1607561971514002</v>
      </c>
    </row>
    <row r="7">
      <c r="B7" s="4" t="inlineStr">
        <is>
          <t>CEC</t>
        </is>
      </c>
      <c r="C7" t="inlineStr">
        <is>
          <t>9692.T</t>
        </is>
      </c>
      <c r="D7" s="32" t="n">
        <v>62701.821952</v>
      </c>
      <c r="E7" s="32" t="n">
        <v>63051.821952</v>
      </c>
      <c r="F7" s="32" t="n">
        <v>65000</v>
      </c>
      <c r="G7" s="32" t="n">
        <v>8018</v>
      </c>
      <c r="H7" s="32" t="n">
        <v>7200</v>
      </c>
      <c r="I7" s="32" t="n">
        <v>5150</v>
      </c>
      <c r="J7" s="33">
        <f>E7/G7</f>
        <v/>
      </c>
      <c r="K7" s="33">
        <f>E7/F7</f>
        <v/>
      </c>
      <c r="L7" s="33">
        <f>D7/I7</f>
        <v/>
      </c>
      <c r="M7" s="33" t="n">
        <v>1.551986880324744</v>
      </c>
      <c r="N7" s="34">
        <f>H7/F7</f>
        <v/>
      </c>
      <c r="O7" s="34" t="n">
        <v>0.1274720922749437</v>
      </c>
    </row>
    <row r="8">
      <c r="B8" s="4" t="inlineStr">
        <is>
          <t>Cresco</t>
        </is>
      </c>
      <c r="C8" t="inlineStr">
        <is>
          <t>4674.T</t>
        </is>
      </c>
      <c r="D8" s="32" t="n">
        <v>59213.135872</v>
      </c>
      <c r="E8" s="32" t="n">
        <v>56713.135872</v>
      </c>
      <c r="F8" s="32" t="n">
        <v>48000</v>
      </c>
      <c r="G8" s="32" t="n">
        <v>6800</v>
      </c>
      <c r="H8" s="32" t="n">
        <v>5200</v>
      </c>
      <c r="I8" s="32" t="n">
        <v>3600</v>
      </c>
      <c r="J8" s="33">
        <f>E8/G8</f>
        <v/>
      </c>
      <c r="K8" s="33">
        <f>E8/F8</f>
        <v/>
      </c>
      <c r="L8" s="33">
        <f>D8/I8</f>
        <v/>
      </c>
      <c r="M8" s="33" t="n">
        <v>2.691506176</v>
      </c>
      <c r="N8" s="34">
        <f>H8/F8</f>
        <v/>
      </c>
      <c r="O8" s="34" t="n">
        <v>0.1636363636363636</v>
      </c>
    </row>
    <row r="9">
      <c r="B9" s="4" t="inlineStr">
        <is>
          <t>DTS</t>
        </is>
      </c>
      <c r="C9" t="inlineStr">
        <is>
          <t>9682.T</t>
        </is>
      </c>
      <c r="D9" s="32" t="n">
        <v>169865.887744</v>
      </c>
      <c r="E9" s="32" t="n">
        <v>166865.887744</v>
      </c>
      <c r="F9" s="32" t="n">
        <v>47000</v>
      </c>
      <c r="G9" s="32" t="n">
        <v>7500</v>
      </c>
      <c r="H9" s="32" t="n">
        <v>5700</v>
      </c>
      <c r="I9" s="32" t="n">
        <v>3900</v>
      </c>
      <c r="J9" s="33">
        <f>E9/G9</f>
        <v/>
      </c>
      <c r="K9" s="33">
        <f>E9/F9</f>
        <v/>
      </c>
      <c r="L9" s="33">
        <f>D9/I9</f>
        <v/>
      </c>
      <c r="M9" s="33" t="n">
        <v>6.066638848</v>
      </c>
      <c r="N9" s="34">
        <f>H9/F9</f>
        <v/>
      </c>
      <c r="O9" s="34" t="n">
        <v>0.1392857142857143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3">
        <f>PERCENTILE(J5:J9,0.25)</f>
        <v/>
      </c>
      <c r="E15" s="33">
        <f>PERCENTILE(K5:K9,0.25)</f>
        <v/>
      </c>
      <c r="F15" s="33">
        <f>PERCENTILE(L5:L9,0.25)</f>
        <v/>
      </c>
      <c r="G15" s="33">
        <f>PERCENTILE(M5:M9,0.25)</f>
        <v/>
      </c>
      <c r="H15" s="34">
        <f>PERCENTILE(N5:N9,0.25)</f>
        <v/>
      </c>
      <c r="I15" s="34">
        <f>PERCENTILE(O5:O9,0.25)</f>
        <v/>
      </c>
    </row>
    <row r="16">
      <c r="B16" s="4" t="inlineStr">
        <is>
          <t>Median (50th)</t>
        </is>
      </c>
      <c r="D16" s="33">
        <f>MEDIAN(J5:J9)</f>
        <v/>
      </c>
      <c r="E16" s="33">
        <f>MEDIAN(K5:K9)</f>
        <v/>
      </c>
      <c r="F16" s="33">
        <f>MEDIAN(L5:L9)</f>
        <v/>
      </c>
      <c r="G16" s="33">
        <f>MEDIAN(M5:M9)</f>
        <v/>
      </c>
      <c r="H16" s="34">
        <f>MEDIAN(N5:N9)</f>
        <v/>
      </c>
      <c r="I16" s="34">
        <f>MEDIAN(O5:O9)</f>
        <v/>
      </c>
    </row>
    <row r="17">
      <c r="B17" s="4" t="inlineStr">
        <is>
          <t>75th Percentile</t>
        </is>
      </c>
      <c r="D17" s="33">
        <f>PERCENTILE(J5:J9,0.75)</f>
        <v/>
      </c>
      <c r="E17" s="33">
        <f>PERCENTILE(K5:K9,0.75)</f>
        <v/>
      </c>
      <c r="F17" s="33">
        <f>PERCENTILE(L5:L9,0.75)</f>
        <v/>
      </c>
      <c r="G17" s="33">
        <f>PERCENTILE(M5:M9,0.75)</f>
        <v/>
      </c>
      <c r="H17" s="34">
        <f>PERCENTILE(N5:N9,0.75)</f>
        <v/>
      </c>
      <c r="I17" s="34">
        <f>PERCENTILE(O5:O9,0.75)</f>
        <v/>
      </c>
    </row>
    <row r="19">
      <c r="B19" s="22" t="inlineStr">
        <is>
          <t>Implied Valuation for 株式会社コア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株式会社コア Financials</t>
        </is>
      </c>
    </row>
    <row r="21">
      <c r="B21" s="4" t="inlineStr">
        <is>
          <t>EBITDA (JPY mn)</t>
        </is>
      </c>
      <c r="C21" s="5" t="n">
        <v>3391</v>
      </c>
    </row>
    <row r="22">
      <c r="B22" s="4" t="inlineStr">
        <is>
          <t>Net Income (JPY mn)</t>
        </is>
      </c>
      <c r="C22" s="5" t="n">
        <v>2207</v>
      </c>
    </row>
    <row r="23">
      <c r="B23" s="4" t="inlineStr">
        <is>
          <t>Shares Outstanding</t>
        </is>
      </c>
      <c r="C23" s="15" t="n">
        <v>14368501</v>
      </c>
    </row>
    <row r="24">
      <c r="B24" s="4" t="inlineStr">
        <is>
          <t>Net Debt (JPY mn)</t>
        </is>
      </c>
      <c r="C24" s="5" t="n">
        <v>-7296.8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5" t="inlineStr">
        <is>
          <t>WACC \ Terminal g</t>
        </is>
      </c>
      <c r="C6" s="36">
        <f>$F$3-0.0075</f>
        <v/>
      </c>
      <c r="D6" s="36">
        <f>$F$3-0.005</f>
        <v/>
      </c>
      <c r="E6" s="36">
        <f>$F$3-0.0025</f>
        <v/>
      </c>
      <c r="F6" s="36">
        <f>$F$3</f>
        <v/>
      </c>
      <c r="G6" s="36">
        <f>$F$3+0.0025</f>
        <v/>
      </c>
      <c r="H6" s="36">
        <f>$F$3+0.005</f>
        <v/>
      </c>
      <c r="I6" s="36">
        <f>$F$3+0.0075</f>
        <v/>
      </c>
    </row>
    <row r="7">
      <c r="B7" s="34">
        <f>$C$3-0.015</f>
        <v/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4">
        <f>$C$3-0.01</f>
        <v/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4">
        <f>$C$3-0.005</f>
        <v/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4">
        <f>$C$3</f>
        <v/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4">
        <f>$C$3+0.005</f>
        <v/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4">
        <f>$C$3+0.01</f>
        <v/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4">
        <f>$C$3+0.015</f>
        <v/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5" t="inlineStr">
        <is>
          <t>WACC \ Exit Multiple</t>
        </is>
      </c>
      <c r="C17" s="37">
        <f>$I$3-3.0</f>
        <v/>
      </c>
      <c r="D17" s="37">
        <f>$I$3-2.0</f>
        <v/>
      </c>
      <c r="E17" s="37">
        <f>$I$3-1.0</f>
        <v/>
      </c>
      <c r="F17" s="37">
        <f>$I$3</f>
        <v/>
      </c>
      <c r="G17" s="37">
        <f>$I$3+1.0</f>
        <v/>
      </c>
      <c r="H17" s="37">
        <f>$I$3+2.0</f>
        <v/>
      </c>
      <c r="I17" s="37">
        <f>$I$3+3.0</f>
        <v/>
      </c>
    </row>
    <row r="18">
      <c r="B18" s="34">
        <f>$C$3-0.015</f>
        <v/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4">
        <f>$C$3-0.01</f>
        <v/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4">
        <f>$C$3-0.005</f>
        <v/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4">
        <f>$C$3</f>
        <v/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4">
        <f>$C$3+0.005</f>
        <v/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4">
        <f>$C$3+0.01</f>
        <v/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4">
        <f>$C$3+0.015</f>
        <v/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株式会社コア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Future Society Solutions (未来社会ソリューション)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38" t="inlineStr">
        <is>
          <t>—</t>
        </is>
      </c>
      <c r="D6" s="28" t="n">
        <v>4771</v>
      </c>
      <c r="E6" s="28" t="n">
        <v>4570</v>
      </c>
      <c r="F6" s="28">
        <f>E6*(1+CHOOSE('DCF Model'!$D$27,F34,F35,F36,F37,F38))</f>
        <v/>
      </c>
      <c r="G6" s="28">
        <f>F6*(1+CHOOSE('DCF Model'!$D$27,G34,G35,G36,G37,G38))</f>
        <v/>
      </c>
      <c r="H6" s="28">
        <f>G6*(1+CHOOSE('DCF Model'!$D$27,H34,H35,H36,H37,H38))</f>
        <v/>
      </c>
      <c r="I6" s="28">
        <f>H6*(1+CHOOSE('DCF Model'!$D$27,I34,I35,I36,I37,I38))</f>
        <v/>
      </c>
      <c r="J6" s="28">
        <f>I6*(1+CHOOSE('DCF Model'!$D$27,J34,J35,J36,J37,J38))</f>
        <v/>
      </c>
    </row>
    <row r="7">
      <c r="B7" s="4" t="inlineStr">
        <is>
          <t>Operating Profit</t>
        </is>
      </c>
      <c r="C7" s="38" t="inlineStr">
        <is>
          <t>—</t>
        </is>
      </c>
      <c r="D7" s="28" t="n">
        <v>675</v>
      </c>
      <c r="E7" s="28" t="n">
        <v>461</v>
      </c>
      <c r="F7" s="28">
        <f>F6*CHOOSE('DCF Model'!$D$27,F41,F42,F43,F44,F45)</f>
        <v/>
      </c>
      <c r="G7" s="28">
        <f>G6*CHOOSE('DCF Model'!$D$27,G41,G42,G43,G44,G45)</f>
        <v/>
      </c>
      <c r="H7" s="28">
        <f>H6*CHOOSE('DCF Model'!$D$27,H41,H42,H43,H44,H45)</f>
        <v/>
      </c>
      <c r="I7" s="28">
        <f>I6*CHOOSE('DCF Model'!$D$27,I41,I42,I43,I44,I45)</f>
        <v/>
      </c>
      <c r="J7" s="28">
        <f>J6*CHOOSE('DCF Model'!$D$27,J41,J42,J43,J44,J45)</f>
        <v/>
      </c>
    </row>
    <row r="8">
      <c r="B8" s="39" t="inlineStr">
        <is>
          <t>OP Margin</t>
        </is>
      </c>
      <c r="C8" s="38" t="inlineStr">
        <is>
          <t>—</t>
        </is>
      </c>
      <c r="D8" s="40">
        <f>D7/D6</f>
        <v/>
      </c>
      <c r="E8" s="40">
        <f>E7/E6</f>
        <v/>
      </c>
      <c r="F8" s="40">
        <f>CHOOSE('DCF Model'!$D$27,F41,F42,F43,F44,F45)</f>
        <v/>
      </c>
      <c r="G8" s="40">
        <f>CHOOSE('DCF Model'!$D$27,G41,G42,G43,G44,G45)</f>
        <v/>
      </c>
      <c r="H8" s="40">
        <f>CHOOSE('DCF Model'!$D$27,H41,H42,H43,H44,H45)</f>
        <v/>
      </c>
      <c r="I8" s="40">
        <f>CHOOSE('DCF Model'!$D$27,I41,I42,I43,I44,I45)</f>
        <v/>
      </c>
      <c r="J8" s="40">
        <f>CHOOSE('DCF Model'!$D$27,J41,J42,J43,J44,J45)</f>
        <v/>
      </c>
    </row>
    <row r="10">
      <c r="B10" s="8" t="inlineStr">
        <is>
          <t>Industrial Technology Solutions (産業技術ソリューション)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38" t="inlineStr">
        <is>
          <t>—</t>
        </is>
      </c>
      <c r="D11" s="28" t="n">
        <v>10546</v>
      </c>
      <c r="E11" s="28" t="n">
        <v>12035</v>
      </c>
      <c r="F11" s="28">
        <f>E11*(1+CHOOSE('DCF Model'!$D$27,F48,F49,F50,F51,F52))</f>
        <v/>
      </c>
      <c r="G11" s="28">
        <f>F11*(1+CHOOSE('DCF Model'!$D$27,G48,G49,G50,G51,G52))</f>
        <v/>
      </c>
      <c r="H11" s="28">
        <f>G11*(1+CHOOSE('DCF Model'!$D$27,H48,H49,H50,H51,H52))</f>
        <v/>
      </c>
      <c r="I11" s="28">
        <f>H11*(1+CHOOSE('DCF Model'!$D$27,I48,I49,I50,I51,I52))</f>
        <v/>
      </c>
      <c r="J11" s="28">
        <f>I11*(1+CHOOSE('DCF Model'!$D$27,J48,J49,J50,J51,J52))</f>
        <v/>
      </c>
    </row>
    <row r="12">
      <c r="B12" s="4" t="inlineStr">
        <is>
          <t>Operating Profit</t>
        </is>
      </c>
      <c r="C12" s="38" t="inlineStr">
        <is>
          <t>—</t>
        </is>
      </c>
      <c r="D12" s="28" t="n">
        <v>1641</v>
      </c>
      <c r="E12" s="28" t="n">
        <v>1884</v>
      </c>
      <c r="F12" s="28">
        <f>F11*CHOOSE('DCF Model'!$D$27,F55,F56,F57,F58,F59)</f>
        <v/>
      </c>
      <c r="G12" s="28">
        <f>G11*CHOOSE('DCF Model'!$D$27,G55,G56,G57,G58,G59)</f>
        <v/>
      </c>
      <c r="H12" s="28">
        <f>H11*CHOOSE('DCF Model'!$D$27,H55,H56,H57,H58,H59)</f>
        <v/>
      </c>
      <c r="I12" s="28">
        <f>I11*CHOOSE('DCF Model'!$D$27,I55,I56,I57,I58,I59)</f>
        <v/>
      </c>
      <c r="J12" s="28">
        <f>J11*CHOOSE('DCF Model'!$D$27,J55,J56,J57,J58,J59)</f>
        <v/>
      </c>
    </row>
    <row r="13">
      <c r="B13" s="39" t="inlineStr">
        <is>
          <t>OP Margin</t>
        </is>
      </c>
      <c r="C13" s="38" t="inlineStr">
        <is>
          <t>—</t>
        </is>
      </c>
      <c r="D13" s="40">
        <f>D12/D11</f>
        <v/>
      </c>
      <c r="E13" s="40">
        <f>E12/E11</f>
        <v/>
      </c>
      <c r="F13" s="40">
        <f>CHOOSE('DCF Model'!$D$27,F55,F56,F57,F58,F59)</f>
        <v/>
      </c>
      <c r="G13" s="40">
        <f>CHOOSE('DCF Model'!$D$27,G55,G56,G57,G58,G59)</f>
        <v/>
      </c>
      <c r="H13" s="40">
        <f>CHOOSE('DCF Model'!$D$27,H55,H56,H57,H58,H59)</f>
        <v/>
      </c>
      <c r="I13" s="40">
        <f>CHOOSE('DCF Model'!$D$27,I55,I56,I57,I58,I59)</f>
        <v/>
      </c>
      <c r="J13" s="40">
        <f>CHOOSE('DCF Model'!$D$27,J55,J56,J57,J58,J59)</f>
        <v/>
      </c>
    </row>
    <row r="15">
      <c r="B15" s="8" t="inlineStr">
        <is>
          <t>Customer Business Integration (顧客業務インテグレーション)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38" t="inlineStr">
        <is>
          <t>—</t>
        </is>
      </c>
      <c r="D16" s="28" t="n">
        <v>8680</v>
      </c>
      <c r="E16" s="28" t="n">
        <v>7993</v>
      </c>
      <c r="F16" s="28">
        <f>E16*(1+CHOOSE('DCF Model'!$D$27,F62,F63,F64,F65,F66))</f>
        <v/>
      </c>
      <c r="G16" s="28">
        <f>F16*(1+CHOOSE('DCF Model'!$D$27,G62,G63,G64,G65,G66))</f>
        <v/>
      </c>
      <c r="H16" s="28">
        <f>G16*(1+CHOOSE('DCF Model'!$D$27,H62,H63,H64,H65,H66))</f>
        <v/>
      </c>
      <c r="I16" s="28">
        <f>H16*(1+CHOOSE('DCF Model'!$D$27,I62,I63,I64,I65,I66))</f>
        <v/>
      </c>
      <c r="J16" s="28">
        <f>I16*(1+CHOOSE('DCF Model'!$D$27,J62,J63,J64,J65,J66))</f>
        <v/>
      </c>
    </row>
    <row r="17">
      <c r="B17" s="4" t="inlineStr">
        <is>
          <t>Operating Profit</t>
        </is>
      </c>
      <c r="C17" s="38" t="inlineStr">
        <is>
          <t>—</t>
        </is>
      </c>
      <c r="D17" s="28" t="n">
        <v>823</v>
      </c>
      <c r="E17" s="28" t="n">
        <v>829</v>
      </c>
      <c r="F17" s="28">
        <f>F16*CHOOSE('DCF Model'!$D$27,F69,F70,F71,F72,F73)</f>
        <v/>
      </c>
      <c r="G17" s="28">
        <f>G16*CHOOSE('DCF Model'!$D$27,G69,G70,G71,G72,G73)</f>
        <v/>
      </c>
      <c r="H17" s="28">
        <f>H16*CHOOSE('DCF Model'!$D$27,H69,H70,H71,H72,H73)</f>
        <v/>
      </c>
      <c r="I17" s="28">
        <f>I16*CHOOSE('DCF Model'!$D$27,I69,I70,I71,I72,I73)</f>
        <v/>
      </c>
      <c r="J17" s="28">
        <f>J16*CHOOSE('DCF Model'!$D$27,J69,J70,J71,J72,J73)</f>
        <v/>
      </c>
    </row>
    <row r="18">
      <c r="B18" s="39" t="inlineStr">
        <is>
          <t>OP Margin</t>
        </is>
      </c>
      <c r="C18" s="38" t="inlineStr">
        <is>
          <t>—</t>
        </is>
      </c>
      <c r="D18" s="40">
        <f>D17/D16</f>
        <v/>
      </c>
      <c r="E18" s="40">
        <f>E17/E16</f>
        <v/>
      </c>
      <c r="F18" s="40">
        <f>CHOOSE('DCF Model'!$D$27,F69,F70,F71,F72,F73)</f>
        <v/>
      </c>
      <c r="G18" s="40">
        <f>CHOOSE('DCF Model'!$D$27,G69,G70,G71,G72,G73)</f>
        <v/>
      </c>
      <c r="H18" s="40">
        <f>CHOOSE('DCF Model'!$D$27,H69,H70,H71,H72,H73)</f>
        <v/>
      </c>
      <c r="I18" s="40">
        <f>CHOOSE('DCF Model'!$D$27,I69,I70,I71,I72,I73)</f>
        <v/>
      </c>
      <c r="J18" s="40">
        <f>CHOOSE('DCF Model'!$D$27,J69,J70,J71,J72,J73)</f>
        <v/>
      </c>
    </row>
    <row r="20">
      <c r="B20" s="22" t="inlineStr">
        <is>
          <t>Consolidated Total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>
      <c r="B21" s="4" t="inlineStr">
        <is>
          <t>Total Revenue</t>
        </is>
      </c>
      <c r="C21" s="20">
        <f>C6+C11+C16</f>
        <v/>
      </c>
      <c r="D21" s="20">
        <f>D6+D11+D16</f>
        <v/>
      </c>
      <c r="E21" s="20">
        <f>E6+E11+E16</f>
        <v/>
      </c>
      <c r="F21" s="20">
        <f>F6+F11+F16</f>
        <v/>
      </c>
      <c r="G21" s="20">
        <f>G6+G11+G16</f>
        <v/>
      </c>
      <c r="H21" s="20">
        <f>H6+H11+H16</f>
        <v/>
      </c>
      <c r="I21" s="20">
        <f>I6+I11+I16</f>
        <v/>
      </c>
      <c r="J21" s="20">
        <f>J6+J11+J16</f>
        <v/>
      </c>
    </row>
    <row r="22">
      <c r="B22" s="4" t="inlineStr">
        <is>
          <t>Total Operating Profit</t>
        </is>
      </c>
      <c r="C22" s="20">
        <f>C7+C12+C17</f>
        <v/>
      </c>
      <c r="D22" s="20">
        <f>D7+D12+D17</f>
        <v/>
      </c>
      <c r="E22" s="20">
        <f>E7+E12+E17</f>
        <v/>
      </c>
      <c r="F22" s="20">
        <f>F7+F12+F17</f>
        <v/>
      </c>
      <c r="G22" s="20">
        <f>G7+G12+G17</f>
        <v/>
      </c>
      <c r="H22" s="20">
        <f>H7+H12+H17</f>
        <v/>
      </c>
      <c r="I22" s="20">
        <f>I7+I12+I17</f>
        <v/>
      </c>
      <c r="J22" s="20">
        <f>J7+J12+J17</f>
        <v/>
      </c>
    </row>
    <row r="23">
      <c r="B23" s="39" t="inlineStr">
        <is>
          <t>Total OP Margin</t>
        </is>
      </c>
      <c r="C23" s="40">
        <f>IFERROR(C22/C21,"—")</f>
        <v/>
      </c>
      <c r="D23" s="40">
        <f>IFERROR(D22/D21,"—")</f>
        <v/>
      </c>
      <c r="E23" s="40">
        <f>IFERROR(E22/E21,"—")</f>
        <v/>
      </c>
      <c r="F23" s="40">
        <f>IFERROR(F22/F21,"—")</f>
        <v/>
      </c>
      <c r="G23" s="40">
        <f>IFERROR(G22/G21,"—")</f>
        <v/>
      </c>
      <c r="H23" s="40">
        <f>IFERROR(H22/H21,"—")</f>
        <v/>
      </c>
      <c r="I23" s="40">
        <f>IFERROR(I22/I21,"—")</f>
        <v/>
      </c>
      <c r="J23" s="40">
        <f>IFERROR(J22/J21,"—")</f>
        <v/>
      </c>
    </row>
    <row r="25">
      <c r="B25" s="41" t="inlineStr">
        <is>
          <t>Reconciliation vs DCF Model</t>
        </is>
      </c>
      <c r="C25" s="42" t="n"/>
      <c r="D25" s="42" t="n"/>
      <c r="E25" s="42" t="n"/>
      <c r="F25" s="42" t="n"/>
      <c r="G25" s="42" t="n"/>
      <c r="H25" s="42" t="n"/>
      <c r="I25" s="42" t="n"/>
      <c r="J25" s="42" t="n"/>
    </row>
    <row r="26">
      <c r="B26" s="4" t="inlineStr">
        <is>
          <t>DCF Model Revenue</t>
        </is>
      </c>
      <c r="F26" s="43">
        <f>'DCF Model'!C33</f>
        <v/>
      </c>
      <c r="G26" s="43">
        <f>'DCF Model'!D33</f>
        <v/>
      </c>
      <c r="H26" s="43">
        <f>'DCF Model'!E33</f>
        <v/>
      </c>
      <c r="I26" s="43">
        <f>'DCF Model'!F33</f>
        <v/>
      </c>
      <c r="J26" s="43">
        <f>'DCF Model'!G33</f>
        <v/>
      </c>
    </row>
    <row r="27">
      <c r="B27" s="4" t="inlineStr">
        <is>
          <t>Segment Total Revenue</t>
        </is>
      </c>
      <c r="F27" s="28">
        <f>F21</f>
        <v/>
      </c>
      <c r="G27" s="28">
        <f>G21</f>
        <v/>
      </c>
      <c r="H27" s="28">
        <f>H21</f>
        <v/>
      </c>
      <c r="I27" s="28">
        <f>I21</f>
        <v/>
      </c>
      <c r="J27" s="28">
        <f>J21</f>
        <v/>
      </c>
    </row>
    <row r="28">
      <c r="B28" s="4" t="inlineStr">
        <is>
          <t>Difference</t>
        </is>
      </c>
      <c r="F28" s="24">
        <f>F27-F26</f>
        <v/>
      </c>
      <c r="G28" s="24">
        <f>G27-G26</f>
        <v/>
      </c>
      <c r="H28" s="24">
        <f>H27-H26</f>
        <v/>
      </c>
      <c r="I28" s="24">
        <f>I27-I26</f>
        <v/>
      </c>
      <c r="J28" s="24">
        <f>J27-J26</f>
        <v/>
      </c>
    </row>
    <row r="31">
      <c r="B31" s="44" t="inlineStr">
        <is>
          <t>Segment Scenario Input Matrix</t>
        </is>
      </c>
      <c r="C31" s="45" t="n"/>
      <c r="D31" s="45" t="n"/>
      <c r="E31" s="45" t="n"/>
      <c r="F31" s="45" t="n"/>
      <c r="G31" s="45" t="n"/>
      <c r="H31" s="45" t="n"/>
      <c r="I31" s="45" t="n"/>
      <c r="J31" s="45" t="n"/>
    </row>
    <row r="32">
      <c r="F32" s="30" t="inlineStr">
        <is>
          <t>FY2026(E)</t>
        </is>
      </c>
      <c r="G32" s="30" t="inlineStr">
        <is>
          <t>FY2027(E)</t>
        </is>
      </c>
      <c r="H32" s="30" t="inlineStr">
        <is>
          <t>FY2028(E)</t>
        </is>
      </c>
      <c r="I32" s="30" t="inlineStr">
        <is>
          <t>FY2029(E)</t>
        </is>
      </c>
      <c r="J32" s="30" t="inlineStr">
        <is>
          <t>FY2030(E)</t>
        </is>
      </c>
    </row>
    <row r="33">
      <c r="B33" s="3" t="inlineStr">
        <is>
          <t>Future Society Solutions - Revenue Growth (YoY)</t>
        </is>
      </c>
    </row>
    <row r="34">
      <c r="B34" s="4" t="inlineStr">
        <is>
          <t>Base</t>
        </is>
      </c>
      <c r="F34" s="46" t="n">
        <v>0.105</v>
      </c>
      <c r="G34" s="46" t="n">
        <v>0.1287</v>
      </c>
      <c r="H34" s="46" t="n">
        <v>0.0877</v>
      </c>
      <c r="I34" s="46" t="n">
        <v>0.0806</v>
      </c>
      <c r="J34" s="46" t="n">
        <v>0.0448</v>
      </c>
    </row>
    <row r="35">
      <c r="B35" s="4" t="inlineStr">
        <is>
          <t>Upside</t>
        </is>
      </c>
      <c r="F35" s="46" t="n">
        <v>0.105</v>
      </c>
      <c r="G35" s="46" t="n">
        <v>0.1287</v>
      </c>
      <c r="H35" s="46" t="n">
        <v>0.0877</v>
      </c>
      <c r="I35" s="46" t="n">
        <v>0.0806</v>
      </c>
      <c r="J35" s="46" t="n">
        <v>0.0448</v>
      </c>
    </row>
    <row r="36">
      <c r="B36" s="4" t="inlineStr">
        <is>
          <t>Management</t>
        </is>
      </c>
      <c r="F36" s="46" t="n">
        <v>0.105</v>
      </c>
      <c r="G36" s="46" t="n">
        <v>0.1287</v>
      </c>
      <c r="H36" s="46" t="n">
        <v>0.0877</v>
      </c>
      <c r="I36" s="46" t="n">
        <v>0.0806</v>
      </c>
      <c r="J36" s="46" t="n">
        <v>0.0448</v>
      </c>
    </row>
    <row r="37">
      <c r="B37" s="4" t="inlineStr">
        <is>
          <t>Downside 1</t>
        </is>
      </c>
      <c r="F37" s="46" t="n">
        <v>0.105</v>
      </c>
      <c r="G37" s="46" t="n">
        <v>0.1287</v>
      </c>
      <c r="H37" s="46" t="n">
        <v>0.0877</v>
      </c>
      <c r="I37" s="46" t="n">
        <v>0.0806</v>
      </c>
      <c r="J37" s="46" t="n">
        <v>0.0448</v>
      </c>
    </row>
    <row r="38">
      <c r="B38" s="4" t="inlineStr">
        <is>
          <t>Downside 2</t>
        </is>
      </c>
      <c r="F38" s="46" t="n">
        <v>0.105</v>
      </c>
      <c r="G38" s="46" t="n">
        <v>0.1287</v>
      </c>
      <c r="H38" s="46" t="n">
        <v>0.0877</v>
      </c>
      <c r="I38" s="46" t="n">
        <v>0.0806</v>
      </c>
      <c r="J38" s="46" t="n">
        <v>0.0448</v>
      </c>
    </row>
    <row r="40">
      <c r="B40" s="3" t="inlineStr">
        <is>
          <t>Future Society Solutions - OP Margin</t>
        </is>
      </c>
    </row>
    <row r="41">
      <c r="B41" s="4" t="inlineStr">
        <is>
          <t>Base</t>
        </is>
      </c>
      <c r="F41" s="46" t="n">
        <v>0.149</v>
      </c>
      <c r="G41" s="46" t="n">
        <v>0.14</v>
      </c>
      <c r="H41" s="46" t="n">
        <v>0.145</v>
      </c>
      <c r="I41" s="46" t="n">
        <v>0.15</v>
      </c>
      <c r="J41" s="46" t="n">
        <v>0.152</v>
      </c>
    </row>
    <row r="42">
      <c r="B42" s="4" t="inlineStr">
        <is>
          <t>Upside</t>
        </is>
      </c>
      <c r="F42" s="46" t="n">
        <v>0.149</v>
      </c>
      <c r="G42" s="46" t="n">
        <v>0.14</v>
      </c>
      <c r="H42" s="46" t="n">
        <v>0.145</v>
      </c>
      <c r="I42" s="46" t="n">
        <v>0.15</v>
      </c>
      <c r="J42" s="46" t="n">
        <v>0.152</v>
      </c>
    </row>
    <row r="43">
      <c r="B43" s="4" t="inlineStr">
        <is>
          <t>Management</t>
        </is>
      </c>
      <c r="F43" s="46" t="n">
        <v>0.149</v>
      </c>
      <c r="G43" s="46" t="n">
        <v>0.14</v>
      </c>
      <c r="H43" s="46" t="n">
        <v>0.145</v>
      </c>
      <c r="I43" s="46" t="n">
        <v>0.15</v>
      </c>
      <c r="J43" s="46" t="n">
        <v>0.152</v>
      </c>
    </row>
    <row r="44">
      <c r="B44" s="4" t="inlineStr">
        <is>
          <t>Downside 1</t>
        </is>
      </c>
      <c r="F44" s="46" t="n">
        <v>0.149</v>
      </c>
      <c r="G44" s="46" t="n">
        <v>0.14</v>
      </c>
      <c r="H44" s="46" t="n">
        <v>0.145</v>
      </c>
      <c r="I44" s="46" t="n">
        <v>0.15</v>
      </c>
      <c r="J44" s="46" t="n">
        <v>0.152</v>
      </c>
    </row>
    <row r="45">
      <c r="B45" s="4" t="inlineStr">
        <is>
          <t>Downside 2</t>
        </is>
      </c>
      <c r="F45" s="46" t="n">
        <v>0.149</v>
      </c>
      <c r="G45" s="46" t="n">
        <v>0.14</v>
      </c>
      <c r="H45" s="46" t="n">
        <v>0.145</v>
      </c>
      <c r="I45" s="46" t="n">
        <v>0.15</v>
      </c>
      <c r="J45" s="46" t="n">
        <v>0.152</v>
      </c>
    </row>
    <row r="47">
      <c r="B47" s="3" t="inlineStr">
        <is>
          <t>Industrial Technology Solutions - Revenue Growth (YoY)</t>
        </is>
      </c>
    </row>
    <row r="48">
      <c r="B48" s="4" t="inlineStr">
        <is>
          <t>Base</t>
        </is>
      </c>
      <c r="F48" s="46" t="n">
        <v>0.1591</v>
      </c>
      <c r="G48" s="46" t="n">
        <v>0.147</v>
      </c>
      <c r="H48" s="46" t="n">
        <v>0.125</v>
      </c>
      <c r="I48" s="46" t="n">
        <v>0.1111</v>
      </c>
      <c r="J48" s="46" t="n">
        <v>0.05</v>
      </c>
    </row>
    <row r="49">
      <c r="B49" s="4" t="inlineStr">
        <is>
          <t>Upside</t>
        </is>
      </c>
      <c r="F49" s="46" t="n">
        <v>0.1591</v>
      </c>
      <c r="G49" s="46" t="n">
        <v>0.147</v>
      </c>
      <c r="H49" s="46" t="n">
        <v>0.125</v>
      </c>
      <c r="I49" s="46" t="n">
        <v>0.1111</v>
      </c>
      <c r="J49" s="46" t="n">
        <v>0.05</v>
      </c>
    </row>
    <row r="50">
      <c r="B50" s="4" t="inlineStr">
        <is>
          <t>Management</t>
        </is>
      </c>
      <c r="F50" s="46" t="n">
        <v>0.1591</v>
      </c>
      <c r="G50" s="46" t="n">
        <v>0.147</v>
      </c>
      <c r="H50" s="46" t="n">
        <v>0.125</v>
      </c>
      <c r="I50" s="46" t="n">
        <v>0.1111</v>
      </c>
      <c r="J50" s="46" t="n">
        <v>0.05</v>
      </c>
    </row>
    <row r="51">
      <c r="B51" s="4" t="inlineStr">
        <is>
          <t>Downside 1</t>
        </is>
      </c>
      <c r="F51" s="46" t="n">
        <v>0.1591</v>
      </c>
      <c r="G51" s="46" t="n">
        <v>0.147</v>
      </c>
      <c r="H51" s="46" t="n">
        <v>0.125</v>
      </c>
      <c r="I51" s="46" t="n">
        <v>0.1111</v>
      </c>
      <c r="J51" s="46" t="n">
        <v>0.05</v>
      </c>
    </row>
    <row r="52">
      <c r="B52" s="4" t="inlineStr">
        <is>
          <t>Downside 2</t>
        </is>
      </c>
      <c r="F52" s="46" t="n">
        <v>0.1591</v>
      </c>
      <c r="G52" s="46" t="n">
        <v>0.147</v>
      </c>
      <c r="H52" s="46" t="n">
        <v>0.125</v>
      </c>
      <c r="I52" s="46" t="n">
        <v>0.1111</v>
      </c>
      <c r="J52" s="46" t="n">
        <v>0.05</v>
      </c>
    </row>
    <row r="54">
      <c r="B54" s="3" t="inlineStr">
        <is>
          <t>Industrial Technology Solutions - OP Margin</t>
        </is>
      </c>
    </row>
    <row r="55">
      <c r="B55" s="4" t="inlineStr">
        <is>
          <t>Base</t>
        </is>
      </c>
      <c r="F55" s="46" t="n">
        <v>0.172</v>
      </c>
      <c r="G55" s="46" t="n">
        <v>0.165</v>
      </c>
      <c r="H55" s="46" t="n">
        <v>0.17</v>
      </c>
      <c r="I55" s="46" t="n">
        <v>0.175</v>
      </c>
      <c r="J55" s="46" t="n">
        <v>0.178</v>
      </c>
    </row>
    <row r="56">
      <c r="B56" s="4" t="inlineStr">
        <is>
          <t>Upside</t>
        </is>
      </c>
      <c r="F56" s="46" t="n">
        <v>0.172</v>
      </c>
      <c r="G56" s="46" t="n">
        <v>0.165</v>
      </c>
      <c r="H56" s="46" t="n">
        <v>0.17</v>
      </c>
      <c r="I56" s="46" t="n">
        <v>0.175</v>
      </c>
      <c r="J56" s="46" t="n">
        <v>0.178</v>
      </c>
    </row>
    <row r="57">
      <c r="B57" s="4" t="inlineStr">
        <is>
          <t>Management</t>
        </is>
      </c>
      <c r="F57" s="46" t="n">
        <v>0.172</v>
      </c>
      <c r="G57" s="46" t="n">
        <v>0.165</v>
      </c>
      <c r="H57" s="46" t="n">
        <v>0.17</v>
      </c>
      <c r="I57" s="46" t="n">
        <v>0.175</v>
      </c>
      <c r="J57" s="46" t="n">
        <v>0.178</v>
      </c>
    </row>
    <row r="58">
      <c r="B58" s="4" t="inlineStr">
        <is>
          <t>Downside 1</t>
        </is>
      </c>
      <c r="F58" s="46" t="n">
        <v>0.172</v>
      </c>
      <c r="G58" s="46" t="n">
        <v>0.165</v>
      </c>
      <c r="H58" s="46" t="n">
        <v>0.17</v>
      </c>
      <c r="I58" s="46" t="n">
        <v>0.175</v>
      </c>
      <c r="J58" s="46" t="n">
        <v>0.178</v>
      </c>
    </row>
    <row r="59">
      <c r="B59" s="4" t="inlineStr">
        <is>
          <t>Downside 2</t>
        </is>
      </c>
      <c r="F59" s="46" t="n">
        <v>0.172</v>
      </c>
      <c r="G59" s="46" t="n">
        <v>0.165</v>
      </c>
      <c r="H59" s="46" t="n">
        <v>0.17</v>
      </c>
      <c r="I59" s="46" t="n">
        <v>0.175</v>
      </c>
      <c r="J59" s="46" t="n">
        <v>0.178</v>
      </c>
    </row>
    <row r="61">
      <c r="B61" s="3" t="inlineStr">
        <is>
          <t>Customer Business Integration - Revenue Growth (YoY)</t>
        </is>
      </c>
    </row>
    <row r="62">
      <c r="B62" s="4" t="inlineStr">
        <is>
          <t>Base</t>
        </is>
      </c>
      <c r="F62" s="46" t="n">
        <v>0.0009</v>
      </c>
      <c r="G62" s="46" t="n">
        <v>0.0125</v>
      </c>
      <c r="H62" s="46" t="n">
        <v>0.0123</v>
      </c>
      <c r="I62" s="46" t="n">
        <v>0.0122</v>
      </c>
      <c r="J62" s="46" t="n">
        <v>0.012</v>
      </c>
    </row>
    <row r="63">
      <c r="B63" s="4" t="inlineStr">
        <is>
          <t>Upside</t>
        </is>
      </c>
      <c r="F63" s="46" t="n">
        <v>0.0009</v>
      </c>
      <c r="G63" s="46" t="n">
        <v>0.0125</v>
      </c>
      <c r="H63" s="46" t="n">
        <v>0.0123</v>
      </c>
      <c r="I63" s="46" t="n">
        <v>0.0122</v>
      </c>
      <c r="J63" s="46" t="n">
        <v>0.012</v>
      </c>
    </row>
    <row r="64">
      <c r="B64" s="4" t="inlineStr">
        <is>
          <t>Management</t>
        </is>
      </c>
      <c r="F64" s="46" t="n">
        <v>0.0009</v>
      </c>
      <c r="G64" s="46" t="n">
        <v>0.0125</v>
      </c>
      <c r="H64" s="46" t="n">
        <v>0.0123</v>
      </c>
      <c r="I64" s="46" t="n">
        <v>0.0122</v>
      </c>
      <c r="J64" s="46" t="n">
        <v>0.012</v>
      </c>
    </row>
    <row r="65">
      <c r="B65" s="4" t="inlineStr">
        <is>
          <t>Downside 1</t>
        </is>
      </c>
      <c r="F65" s="46" t="n">
        <v>0.0009</v>
      </c>
      <c r="G65" s="46" t="n">
        <v>0.0125</v>
      </c>
      <c r="H65" s="46" t="n">
        <v>0.0123</v>
      </c>
      <c r="I65" s="46" t="n">
        <v>0.0122</v>
      </c>
      <c r="J65" s="46" t="n">
        <v>0.012</v>
      </c>
    </row>
    <row r="66">
      <c r="B66" s="4" t="inlineStr">
        <is>
          <t>Downside 2</t>
        </is>
      </c>
      <c r="F66" s="46" t="n">
        <v>0.0009</v>
      </c>
      <c r="G66" s="46" t="n">
        <v>0.0125</v>
      </c>
      <c r="H66" s="46" t="n">
        <v>0.0123</v>
      </c>
      <c r="I66" s="46" t="n">
        <v>0.0122</v>
      </c>
      <c r="J66" s="46" t="n">
        <v>0.012</v>
      </c>
    </row>
    <row r="68">
      <c r="B68" s="3" t="inlineStr">
        <is>
          <t>Customer Business Integration - OP Margin</t>
        </is>
      </c>
    </row>
    <row r="69">
      <c r="B69" s="4" t="inlineStr">
        <is>
          <t>Base</t>
        </is>
      </c>
      <c r="F69" s="46" t="n">
        <v>0.1125</v>
      </c>
      <c r="G69" s="46" t="n">
        <v>0.108</v>
      </c>
      <c r="H69" s="46" t="n">
        <v>0.11</v>
      </c>
      <c r="I69" s="46" t="n">
        <v>0.112</v>
      </c>
      <c r="J69" s="46" t="n">
        <v>0.114</v>
      </c>
    </row>
    <row r="70">
      <c r="B70" s="4" t="inlineStr">
        <is>
          <t>Upside</t>
        </is>
      </c>
      <c r="F70" s="46" t="n">
        <v>0.1125</v>
      </c>
      <c r="G70" s="46" t="n">
        <v>0.108</v>
      </c>
      <c r="H70" s="46" t="n">
        <v>0.11</v>
      </c>
      <c r="I70" s="46" t="n">
        <v>0.112</v>
      </c>
      <c r="J70" s="46" t="n">
        <v>0.114</v>
      </c>
    </row>
    <row r="71">
      <c r="B71" s="4" t="inlineStr">
        <is>
          <t>Management</t>
        </is>
      </c>
      <c r="F71" s="46" t="n">
        <v>0.1125</v>
      </c>
      <c r="G71" s="46" t="n">
        <v>0.108</v>
      </c>
      <c r="H71" s="46" t="n">
        <v>0.11</v>
      </c>
      <c r="I71" s="46" t="n">
        <v>0.112</v>
      </c>
      <c r="J71" s="46" t="n">
        <v>0.114</v>
      </c>
    </row>
    <row r="72">
      <c r="B72" s="4" t="inlineStr">
        <is>
          <t>Downside 1</t>
        </is>
      </c>
      <c r="F72" s="46" t="n">
        <v>0.1125</v>
      </c>
      <c r="G72" s="46" t="n">
        <v>0.108</v>
      </c>
      <c r="H72" s="46" t="n">
        <v>0.11</v>
      </c>
      <c r="I72" s="46" t="n">
        <v>0.112</v>
      </c>
      <c r="J72" s="46" t="n">
        <v>0.114</v>
      </c>
    </row>
    <row r="73">
      <c r="B73" s="4" t="inlineStr">
        <is>
          <t>Downside 2</t>
        </is>
      </c>
      <c r="F73" s="46" t="n">
        <v>0.1125</v>
      </c>
      <c r="G73" s="46" t="n">
        <v>0.108</v>
      </c>
      <c r="H73" s="46" t="n">
        <v>0.11</v>
      </c>
      <c r="I73" s="46" t="n">
        <v>0.112</v>
      </c>
      <c r="J73" s="46" t="n">
        <v>0.114</v>
      </c>
    </row>
    <row r="76">
      <c r="B76" s="47" t="inlineStr">
        <is>
          <t>Consolidated Inputs (連結レベル)</t>
        </is>
      </c>
      <c r="C76" s="48" t="n"/>
      <c r="D76" s="48" t="n"/>
      <c r="E76" s="48" t="n"/>
      <c r="F76" s="48" t="n"/>
      <c r="G76" s="48" t="n"/>
      <c r="H76" s="48" t="n"/>
      <c r="I76" s="48" t="n"/>
      <c r="J76" s="48" t="n"/>
    </row>
    <row r="77">
      <c r="F77" s="30" t="inlineStr">
        <is>
          <t>FY2026(E)</t>
        </is>
      </c>
      <c r="G77" s="30" t="inlineStr">
        <is>
          <t>FY2027(E)</t>
        </is>
      </c>
      <c r="H77" s="30" t="inlineStr">
        <is>
          <t>FY2028(E)</t>
        </is>
      </c>
      <c r="I77" s="30" t="inlineStr">
        <is>
          <t>FY2029(E)</t>
        </is>
      </c>
      <c r="J77" s="30" t="inlineStr">
        <is>
          <t>FY2030(E)</t>
        </is>
      </c>
    </row>
    <row r="78">
      <c r="B78" s="3" t="inlineStr">
        <is>
          <t>COGS % of Revenue</t>
        </is>
      </c>
    </row>
    <row r="79">
      <c r="B79" s="4" t="inlineStr">
        <is>
          <t>Base</t>
        </is>
      </c>
      <c r="F79" s="46" t="n">
        <v>0.7245</v>
      </c>
      <c r="G79" s="46" t="n">
        <v>0.7245</v>
      </c>
      <c r="H79" s="46" t="n">
        <v>0.7245</v>
      </c>
      <c r="I79" s="46" t="n">
        <v>0.7245</v>
      </c>
      <c r="J79" s="46" t="n">
        <v>0.7245</v>
      </c>
    </row>
    <row r="80">
      <c r="B80" s="4" t="inlineStr">
        <is>
          <t>Upside</t>
        </is>
      </c>
      <c r="F80" s="46" t="n">
        <v>0.6883</v>
      </c>
      <c r="G80" s="46" t="n">
        <v>0.6883</v>
      </c>
      <c r="H80" s="46" t="n">
        <v>0.6883</v>
      </c>
      <c r="I80" s="46" t="n">
        <v>0.6883</v>
      </c>
      <c r="J80" s="46" t="n">
        <v>0.6883</v>
      </c>
    </row>
    <row r="81">
      <c r="B81" s="4" t="inlineStr">
        <is>
          <t>Management</t>
        </is>
      </c>
      <c r="F81" s="46" t="n">
        <v>0.7245</v>
      </c>
      <c r="G81" s="46" t="n">
        <v>0.7245</v>
      </c>
      <c r="H81" s="46" t="n">
        <v>0.7245</v>
      </c>
      <c r="I81" s="46" t="n">
        <v>0.7245</v>
      </c>
      <c r="J81" s="46" t="n">
        <v>0.7245</v>
      </c>
    </row>
    <row r="82">
      <c r="B82" s="4" t="inlineStr">
        <is>
          <t>Downside 1</t>
        </is>
      </c>
      <c r="F82" s="46" t="n">
        <v>0.7607</v>
      </c>
      <c r="G82" s="46" t="n">
        <v>0.7607</v>
      </c>
      <c r="H82" s="46" t="n">
        <v>0.7607</v>
      </c>
      <c r="I82" s="46" t="n">
        <v>0.7607</v>
      </c>
      <c r="J82" s="46" t="n">
        <v>0.7607</v>
      </c>
    </row>
    <row r="83">
      <c r="B83" s="4" t="inlineStr">
        <is>
          <t>Downside 2</t>
        </is>
      </c>
      <c r="F83" s="46" t="n">
        <v>0.797</v>
      </c>
      <c r="G83" s="46" t="n">
        <v>0.797</v>
      </c>
      <c r="H83" s="46" t="n">
        <v>0.797</v>
      </c>
      <c r="I83" s="46" t="n">
        <v>0.797</v>
      </c>
      <c r="J83" s="46" t="n">
        <v>0.797</v>
      </c>
    </row>
    <row r="85">
      <c r="B85" s="3" t="inlineStr">
        <is>
          <t>SGA % of Revenue</t>
        </is>
      </c>
    </row>
    <row r="86">
      <c r="B86" s="4" t="inlineStr">
        <is>
          <t>Base</t>
        </is>
      </c>
      <c r="F86" s="46" t="n">
        <v>0.133</v>
      </c>
      <c r="G86" s="46" t="n">
        <v>0.13</v>
      </c>
      <c r="H86" s="46" t="n">
        <v>0.128</v>
      </c>
      <c r="I86" s="46" t="n">
        <v>0.126</v>
      </c>
      <c r="J86" s="46" t="n">
        <v>0.125</v>
      </c>
    </row>
    <row r="87">
      <c r="B87" s="4" t="inlineStr">
        <is>
          <t>Upside</t>
        </is>
      </c>
      <c r="F87" s="46" t="n">
        <v>0.13</v>
      </c>
      <c r="G87" s="46" t="n">
        <v>0.125</v>
      </c>
      <c r="H87" s="46" t="n">
        <v>0.122</v>
      </c>
      <c r="I87" s="46" t="n">
        <v>0.12</v>
      </c>
      <c r="J87" s="46" t="n">
        <v>0.118</v>
      </c>
    </row>
    <row r="88">
      <c r="B88" s="4" t="inlineStr">
        <is>
          <t>Management</t>
        </is>
      </c>
      <c r="F88" s="46" t="n">
        <v>0.146</v>
      </c>
      <c r="G88" s="46" t="n">
        <v>0.143</v>
      </c>
      <c r="H88" s="46" t="n">
        <v>0.14</v>
      </c>
      <c r="I88" s="46" t="n">
        <v>0.138</v>
      </c>
      <c r="J88" s="46" t="n">
        <v>0.135</v>
      </c>
    </row>
    <row r="89">
      <c r="B89" s="4" t="inlineStr">
        <is>
          <t>Downside 1</t>
        </is>
      </c>
      <c r="F89" s="46" t="n">
        <v>0.14</v>
      </c>
      <c r="G89" s="46" t="n">
        <v>0.142</v>
      </c>
      <c r="H89" s="46" t="n">
        <v>0.145</v>
      </c>
      <c r="I89" s="46" t="n">
        <v>0.145</v>
      </c>
      <c r="J89" s="46" t="n">
        <v>0.145</v>
      </c>
    </row>
    <row r="90">
      <c r="B90" s="4" t="inlineStr">
        <is>
          <t>Downside 2</t>
        </is>
      </c>
      <c r="F90" s="46" t="n">
        <v>0.148</v>
      </c>
      <c r="G90" s="46" t="n">
        <v>0.15</v>
      </c>
      <c r="H90" s="46" t="n">
        <v>0.155</v>
      </c>
      <c r="I90" s="46" t="n">
        <v>0.155</v>
      </c>
      <c r="J90" s="46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株式会社コア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Future Society Solutions (未来社会ソリューション) [manual]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 (Direct Input)</t>
        </is>
      </c>
      <c r="C6" s="38" t="inlineStr">
        <is>
          <t>—</t>
        </is>
      </c>
      <c r="D6" s="28" t="n">
        <v>4771</v>
      </c>
      <c r="E6" s="28" t="n">
        <v>4570</v>
      </c>
      <c r="F6" s="49" t="n">
        <v>5050</v>
      </c>
      <c r="G6" s="49" t="n">
        <v>5700</v>
      </c>
      <c r="H6" s="49" t="n">
        <v>6200</v>
      </c>
      <c r="I6" s="49" t="n">
        <v>6700</v>
      </c>
      <c r="J6" s="49" t="n">
        <v>7000</v>
      </c>
    </row>
    <row r="7">
      <c r="B7" s="39" t="inlineStr">
        <is>
          <t>YoY Growth</t>
        </is>
      </c>
      <c r="C7" s="38" t="inlineStr">
        <is>
          <t>—</t>
        </is>
      </c>
      <c r="D7" s="40">
        <f>IFERROR((D6-C6)/C6,"—")</f>
        <v/>
      </c>
      <c r="E7" s="40">
        <f>IFERROR((E6-D6)/D6,"—")</f>
        <v/>
      </c>
      <c r="F7" s="40">
        <f>IFERROR((F6-E6)/E6,"—")</f>
        <v/>
      </c>
      <c r="G7" s="40">
        <f>IFERROR((G6-F6)/F6,"—")</f>
        <v/>
      </c>
      <c r="H7" s="40">
        <f>IFERROR((H6-G6)/G6,"—")</f>
        <v/>
      </c>
      <c r="I7" s="40">
        <f>IFERROR((I6-H6)/H6,"—")</f>
        <v/>
      </c>
      <c r="J7" s="40">
        <f>IFERROR((J6-I6)/I6,"—")</f>
        <v/>
      </c>
    </row>
    <row r="9">
      <c r="B9" s="8" t="inlineStr">
        <is>
          <t>Industrial Technology Solutions (産業技術ソリューション) [manmonth]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B10" s="4" t="inlineStr">
        <is>
          <t>Headcount</t>
        </is>
      </c>
      <c r="C10" s="38" t="inlineStr">
        <is>
          <t>—</t>
        </is>
      </c>
      <c r="D10" s="38" t="inlineStr">
        <is>
          <t>—</t>
        </is>
      </c>
      <c r="E10" s="38" t="inlineStr">
        <is>
          <t>—</t>
        </is>
      </c>
      <c r="F10" s="31" t="n">
        <v>820</v>
      </c>
      <c r="G10" s="31" t="n">
        <v>850</v>
      </c>
      <c r="H10" s="31" t="n">
        <v>880</v>
      </c>
      <c r="I10" s="31" t="n">
        <v>910</v>
      </c>
      <c r="J10" s="31" t="n">
        <v>940</v>
      </c>
    </row>
    <row r="11">
      <c r="B11" s="4" t="inlineStr">
        <is>
          <t>× Utilization</t>
        </is>
      </c>
      <c r="C11" s="38" t="inlineStr">
        <is>
          <t>—</t>
        </is>
      </c>
      <c r="D11" s="38" t="inlineStr">
        <is>
          <t>—</t>
        </is>
      </c>
      <c r="E11" s="38" t="inlineStr">
        <is>
          <t>—</t>
        </is>
      </c>
      <c r="F11" s="46" t="n">
        <v>0.92</v>
      </c>
      <c r="G11" s="46" t="n">
        <v>0.93</v>
      </c>
      <c r="H11" s="46" t="n">
        <v>0.93</v>
      </c>
      <c r="I11" s="46" t="n">
        <v>0.9399999999999999</v>
      </c>
      <c r="J11" s="46" t="n">
        <v>0.9399999999999999</v>
      </c>
    </row>
    <row r="12">
      <c r="B12" s="4" t="inlineStr">
        <is>
          <t>× Unit Price (JPY mn/month)</t>
        </is>
      </c>
      <c r="C12" s="38" t="inlineStr">
        <is>
          <t>—</t>
        </is>
      </c>
      <c r="D12" s="38" t="inlineStr">
        <is>
          <t>—</t>
        </is>
      </c>
      <c r="E12" s="38" t="inlineStr">
        <is>
          <t>—</t>
        </is>
      </c>
      <c r="F12" s="50" t="n">
        <v>0.7</v>
      </c>
      <c r="G12" s="50" t="n">
        <v>0.72</v>
      </c>
      <c r="H12" s="50" t="n">
        <v>0.74</v>
      </c>
      <c r="I12" s="50" t="n">
        <v>0.76</v>
      </c>
      <c r="J12" s="50" t="n">
        <v>0.78</v>
      </c>
    </row>
    <row r="13">
      <c r="B13" s="4" t="inlineStr">
        <is>
          <t>Layer 1 Revenue</t>
        </is>
      </c>
      <c r="C13" s="38" t="inlineStr">
        <is>
          <t>—</t>
        </is>
      </c>
      <c r="D13" s="38" t="inlineStr">
        <is>
          <t>—</t>
        </is>
      </c>
      <c r="E13" s="38" t="inlineStr">
        <is>
          <t>—</t>
        </is>
      </c>
      <c r="F13" s="20">
        <f>F10*F11*F12*12</f>
        <v/>
      </c>
      <c r="G13" s="20">
        <f>G10*G11*G12*12</f>
        <v/>
      </c>
      <c r="H13" s="20">
        <f>H10*H11*H12*12</f>
        <v/>
      </c>
      <c r="I13" s="20">
        <f>I10*I11*I12*12</f>
        <v/>
      </c>
      <c r="J13" s="20">
        <f>J10*J11*J12*12</f>
        <v/>
      </c>
    </row>
    <row r="14">
      <c r="B14" s="4" t="inlineStr">
        <is>
          <t>+ Layer 2 (Solution) Revenue</t>
        </is>
      </c>
      <c r="C14" s="38" t="inlineStr">
        <is>
          <t>—</t>
        </is>
      </c>
      <c r="D14" s="38" t="inlineStr">
        <is>
          <t>—</t>
        </is>
      </c>
      <c r="E14" s="28" t="n">
        <v>6058</v>
      </c>
      <c r="F14" s="49" t="n">
        <v>7400</v>
      </c>
      <c r="G14" s="49" t="n">
        <v>9238</v>
      </c>
      <c r="H14" s="49" t="n">
        <v>11000</v>
      </c>
      <c r="I14" s="49" t="n">
        <v>13000</v>
      </c>
      <c r="J14" s="49" t="n">
        <v>14500</v>
      </c>
    </row>
    <row r="15">
      <c r="B15" s="4" t="inlineStr">
        <is>
          <t>Segment Revenue</t>
        </is>
      </c>
      <c r="C15" s="38" t="inlineStr">
        <is>
          <t>—</t>
        </is>
      </c>
      <c r="D15" s="20" t="n">
        <v>10546</v>
      </c>
      <c r="E15" s="20" t="n">
        <v>12035</v>
      </c>
      <c r="F15" s="20">
        <f>F13+F14</f>
        <v/>
      </c>
      <c r="G15" s="20">
        <f>G13+G14</f>
        <v/>
      </c>
      <c r="H15" s="20">
        <f>H13+H14</f>
        <v/>
      </c>
      <c r="I15" s="20">
        <f>I13+I14</f>
        <v/>
      </c>
      <c r="J15" s="20">
        <f>J13+J14</f>
        <v/>
      </c>
    </row>
    <row r="16">
      <c r="B16" s="39" t="inlineStr">
        <is>
          <t>Layer 2 Mix %</t>
        </is>
      </c>
      <c r="C16" s="40">
        <f>IFERROR(C14/C15,"—")</f>
        <v/>
      </c>
      <c r="D16" s="40">
        <f>IFERROR(D14/D15,"—")</f>
        <v/>
      </c>
      <c r="E16" s="40">
        <f>IFERROR(E14/E15,"—")</f>
        <v/>
      </c>
      <c r="F16" s="40">
        <f>IFERROR(F14/F15,"—")</f>
        <v/>
      </c>
      <c r="G16" s="40">
        <f>IFERROR(G14/G15,"—")</f>
        <v/>
      </c>
      <c r="H16" s="40">
        <f>IFERROR(H14/H15,"—")</f>
        <v/>
      </c>
      <c r="I16" s="40">
        <f>IFERROR(I14/I15,"—")</f>
        <v/>
      </c>
      <c r="J16" s="40">
        <f>IFERROR(J14/J15,"—")</f>
        <v/>
      </c>
    </row>
    <row r="18">
      <c r="B18" s="8" t="inlineStr">
        <is>
          <t>Customer Business Integration (顧客業務インテグレーション) [manual]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B19" s="4" t="inlineStr">
        <is>
          <t>Revenue (Direct Input)</t>
        </is>
      </c>
      <c r="C19" s="38" t="inlineStr">
        <is>
          <t>—</t>
        </is>
      </c>
      <c r="D19" s="28" t="n">
        <v>8680</v>
      </c>
      <c r="E19" s="28" t="n">
        <v>7993</v>
      </c>
      <c r="F19" s="49" t="n">
        <v>8000</v>
      </c>
      <c r="G19" s="49" t="n">
        <v>8100</v>
      </c>
      <c r="H19" s="49" t="n">
        <v>8200</v>
      </c>
      <c r="I19" s="49" t="n">
        <v>8300</v>
      </c>
      <c r="J19" s="49" t="n">
        <v>8400</v>
      </c>
    </row>
    <row r="20">
      <c r="B20" s="39" t="inlineStr">
        <is>
          <t>YoY Growth</t>
        </is>
      </c>
      <c r="C20" s="38" t="inlineStr">
        <is>
          <t>—</t>
        </is>
      </c>
      <c r="D20" s="40">
        <f>IFERROR((D19-C19)/C19,"—")</f>
        <v/>
      </c>
      <c r="E20" s="40">
        <f>IFERROR((E19-D19)/D19,"—")</f>
        <v/>
      </c>
      <c r="F20" s="40">
        <f>IFERROR((F19-E19)/E19,"—")</f>
        <v/>
      </c>
      <c r="G20" s="40">
        <f>IFERROR((G19-F19)/F19,"—")</f>
        <v/>
      </c>
      <c r="H20" s="40">
        <f>IFERROR((H19-G19)/G19,"—")</f>
        <v/>
      </c>
      <c r="I20" s="40">
        <f>IFERROR((I19-H19)/H19,"—")</f>
        <v/>
      </c>
      <c r="J20" s="40">
        <f>IFERROR((J19-I19)/I19,"—")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2026-04-09T07:56:14Z</dcterms:created>
  <dcterms:modified xmlns:dcterms="http://purl.org/dc/terms/" xmlns:xsi="http://www.w3.org/2001/XMLSchema-instance" xsi:type="dcterms:W3CDTF">2026-04-09T07:56:14Z</dcterms:modified>
</cp:coreProperties>
</file>