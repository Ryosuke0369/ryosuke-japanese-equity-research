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株式会社ＩＨＩ (7013.T)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株式会社ＩＨＩ</t>
        </is>
      </c>
    </row>
    <row r="7">
      <c r="B7" s="4" t="inlineStr">
        <is>
          <t>Ticker</t>
        </is>
      </c>
      <c r="C7" t="inlineStr">
        <is>
          <t>7013.T (TSE)</t>
        </is>
      </c>
    </row>
    <row r="8">
      <c r="B8" s="4" t="inlineStr">
        <is>
          <t>Sector</t>
        </is>
      </c>
      <c r="C8" t="inlineStr">
        <is>
          <t>Heavy Industry / Machinery</t>
        </is>
      </c>
    </row>
    <row r="9">
      <c r="B9" s="4" t="inlineStr">
        <is>
          <t>Current Price</t>
        </is>
      </c>
      <c r="C9" s="5" t="n">
        <v>3391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Aero Engine: V2500/PW1100G aftermarket revenue accelerating; installed base of 5,000+ engines drives recurring high-margin MRO demand</t>
        </is>
      </c>
    </row>
    <row r="25">
      <c r="B25" t="inlineStr">
        <is>
          <t>2. Defense upside: Japan defense budget doubling (1%→2% GDP by FY2027); IHI is sole supplier of F110/F135 engine MRO for JASDF F-15/F-35 fleet</t>
        </is>
      </c>
    </row>
    <row r="26">
      <c r="B26" t="inlineStr">
        <is>
          <t>3. Margin recovery: FY2025 OPM 8.8% recovering from FY2024 trough (-9.2%); structural improvement from aero engine mix shift and turbocharger restructuring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Aero engine concentration: 70%+ of OP from single segment; Boeing/Airbus delivery delays reduce new engine shipments</t>
        </is>
      </c>
    </row>
    <row r="30">
      <c r="B30" t="inlineStr">
        <is>
          <t>2. Civil aero engine PBH contracts: long-term risk-sharing partnerships expose IHI to OEM production cycle downturns</t>
        </is>
      </c>
    </row>
    <row r="31">
      <c r="B31" t="inlineStr">
        <is>
          <t>3. Legacy segments (Social Infrastructure, Industrial Systems) remain low-margin; turnaround execution risk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2" t="inlineStr">
        <is>
          <t>株式会社ＩＨＩ - Historical Financials (JPY mn)</t>
        </is>
      </c>
    </row>
    <row r="4">
      <c r="C4" s="10" t="inlineStr">
        <is>
          <t>FY2020</t>
        </is>
      </c>
      <c r="D4" s="10" t="inlineStr">
        <is>
          <t>FY2021</t>
        </is>
      </c>
      <c r="E4" s="10" t="inlineStr">
        <is>
          <t>FY2022</t>
        </is>
      </c>
      <c r="F4" s="10" t="inlineStr">
        <is>
          <t>FY2023</t>
        </is>
      </c>
      <c r="G4" s="10" t="inlineStr">
        <is>
          <t>FY2024</t>
        </is>
      </c>
      <c r="H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1263178</v>
      </c>
      <c r="D6" s="5" t="n">
        <v>1112906</v>
      </c>
      <c r="E6" s="5" t="n">
        <v>1172904</v>
      </c>
      <c r="F6" s="5" t="n">
        <v>1352940</v>
      </c>
      <c r="G6" s="5" t="n">
        <v>1322591</v>
      </c>
      <c r="H6" s="5" t="n">
        <v>1626831</v>
      </c>
    </row>
    <row r="7">
      <c r="B7" s="4" t="inlineStr">
        <is>
          <t>COGS</t>
        </is>
      </c>
      <c r="C7" s="5" t="n">
        <v>1030585</v>
      </c>
      <c r="D7" s="5" t="n">
        <v>932932</v>
      </c>
      <c r="E7" s="5" t="n">
        <v>963497</v>
      </c>
      <c r="F7" s="5" t="n">
        <v>1070935</v>
      </c>
      <c r="G7" s="5" t="n">
        <v>1177736</v>
      </c>
      <c r="H7" s="5" t="n">
        <v>1252317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  <c r="H9" s="7">
        <f>H8/H6</f>
        <v/>
      </c>
    </row>
    <row r="10">
      <c r="B10" s="4" t="inlineStr">
        <is>
          <t>SGA</t>
        </is>
      </c>
      <c r="C10" s="5" t="n">
        <v>188104</v>
      </c>
      <c r="D10" s="5" t="n">
        <v>164225</v>
      </c>
      <c r="E10" s="5" t="n">
        <v>176600</v>
      </c>
      <c r="F10" s="5" t="n">
        <v>201158</v>
      </c>
      <c r="G10" s="5" t="n">
        <v>212837</v>
      </c>
      <c r="H10" s="5" t="n">
        <v>223638</v>
      </c>
    </row>
    <row r="11">
      <c r="B11" s="4" t="inlineStr">
        <is>
          <t>Operating Income</t>
        </is>
      </c>
      <c r="C11" s="5" t="n">
        <v>47859</v>
      </c>
      <c r="D11" s="5" t="n">
        <v>27961</v>
      </c>
      <c r="E11" s="5" t="n">
        <v>81497</v>
      </c>
      <c r="F11" s="5" t="n">
        <v>81985</v>
      </c>
      <c r="G11" s="5" t="n">
        <v>-70138</v>
      </c>
      <c r="H11" s="5" t="n">
        <v>143517</v>
      </c>
    </row>
    <row r="12">
      <c r="B12" s="4" t="inlineStr">
        <is>
          <t>Net Income</t>
        </is>
      </c>
      <c r="C12" s="5" t="n">
        <v>8204</v>
      </c>
      <c r="D12" s="5" t="n">
        <v>13093</v>
      </c>
      <c r="E12" s="5" t="n">
        <v>66065</v>
      </c>
      <c r="F12" s="5" t="n">
        <v>44545</v>
      </c>
      <c r="G12" s="5" t="n">
        <v>-68214</v>
      </c>
      <c r="H12" s="5" t="n">
        <v>112740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  <c r="H13" s="7">
        <f>H11/H6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  <c r="H14" s="7">
        <f>H12/H6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  <c r="H15" s="7">
        <f>(H6-G6)/G6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  <c r="H16" s="7">
        <f>(H11-G11)/G11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42484</v>
      </c>
      <c r="D19" s="5" t="n">
        <v>36380</v>
      </c>
      <c r="E19" s="5" t="n">
        <v>114155</v>
      </c>
      <c r="F19" s="5" t="n">
        <v>54116</v>
      </c>
      <c r="G19" s="5" t="n">
        <v>62117</v>
      </c>
      <c r="H19" s="5" t="n">
        <v>177634</v>
      </c>
    </row>
    <row r="20">
      <c r="B20" s="4" t="inlineStr">
        <is>
          <t>Capex</t>
        </is>
      </c>
      <c r="C20" s="5" t="n">
        <v>72293</v>
      </c>
      <c r="D20" s="5" t="n">
        <v>57458</v>
      </c>
      <c r="E20" s="5" t="n">
        <v>45574</v>
      </c>
      <c r="F20" s="5" t="n">
        <v>62577</v>
      </c>
      <c r="G20" s="5" t="n">
        <v>60993</v>
      </c>
      <c r="H20" s="5" t="n">
        <v>60249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  <c r="H22" s="7">
        <f>H21/H6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  <c r="H23" s="7">
        <f>H20/H6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145738</v>
      </c>
      <c r="D26" s="5" t="n">
        <v>120766</v>
      </c>
      <c r="E26" s="5" t="n">
        <v>145489</v>
      </c>
      <c r="F26" s="5" t="n">
        <v>124749</v>
      </c>
      <c r="G26" s="5" t="n">
        <v>138805</v>
      </c>
      <c r="H26" s="5" t="n">
        <v>136809</v>
      </c>
    </row>
    <row r="27">
      <c r="B27" s="4" t="inlineStr">
        <is>
          <t>Short-term Debt</t>
        </is>
      </c>
      <c r="C27" s="5" t="n">
        <v>463361</v>
      </c>
      <c r="D27" s="5" t="n">
        <v>463112</v>
      </c>
      <c r="E27" s="5" t="n">
        <v>372207</v>
      </c>
      <c r="F27" s="5" t="n">
        <v>393661</v>
      </c>
      <c r="G27" s="5" t="n">
        <v>449153</v>
      </c>
      <c r="H27" s="5" t="n">
        <v>389396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  <c r="H28" s="5">
        <f>H27-H26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株式会社ＩＨＩ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0.065</v>
      </c>
    </row>
    <row r="6">
      <c r="B6" s="4" t="inlineStr">
        <is>
          <t>Effective Tax Rate</t>
        </is>
      </c>
      <c r="C6" s="7" t="n">
        <v>0.305</v>
      </c>
    </row>
    <row r="7">
      <c r="B7" s="4" t="inlineStr">
        <is>
          <t>Risk-Free Rate</t>
        </is>
      </c>
      <c r="C7" s="7" t="n">
        <v>0.023</v>
      </c>
    </row>
    <row r="8">
      <c r="B8" s="4" t="inlineStr">
        <is>
          <t>Beta</t>
        </is>
      </c>
      <c r="C8" s="12" t="n">
        <v>1.2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</v>
      </c>
    </row>
    <row r="11">
      <c r="B11" s="4" t="inlineStr">
        <is>
          <t>After-tax Cost of Debt</t>
        </is>
      </c>
      <c r="C11" s="7" t="n">
        <v>0.008</v>
      </c>
    </row>
    <row r="12">
      <c r="B12" s="4" t="inlineStr">
        <is>
          <t>D/E Ratio</t>
        </is>
      </c>
      <c r="C12" s="13" t="n">
        <v>0.98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15</v>
      </c>
    </row>
    <row r="15">
      <c r="B15" s="4" t="inlineStr">
        <is>
          <t>Fully Diluted Shares</t>
        </is>
      </c>
      <c r="C15" s="15" t="n">
        <v>1060152314</v>
      </c>
    </row>
    <row r="16">
      <c r="B16" s="4" t="inlineStr">
        <is>
          <t>Net Debt (JPY mn)</t>
        </is>
      </c>
      <c r="C16" s="5" t="n">
        <v>360593</v>
      </c>
    </row>
    <row r="17">
      <c r="B17" s="4" t="inlineStr">
        <is>
          <t>Base Year Revenue (JPY mn)</t>
        </is>
      </c>
      <c r="C17" s="5" t="n">
        <v>1626831</v>
      </c>
    </row>
    <row r="18">
      <c r="B18" s="4" t="inlineStr">
        <is>
          <t>D&amp;A / Revenue</t>
        </is>
      </c>
      <c r="C18" s="7" t="n">
        <v>0.042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1582994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Analysis'!F98,'Segment Analysis'!F99,'Segment Analysis'!F100,'Segment Analysis'!F101,'Segment Analysis'!F102)</f>
        <v/>
      </c>
      <c r="D31" s="18">
        <f>CHOOSE($D$27,'Segment Analysis'!G98,'Segment Analysis'!G99,'Segment Analysis'!G100,'Segment Analysis'!G101,'Segment Analysis'!G102)</f>
        <v/>
      </c>
      <c r="E31" s="18">
        <f>CHOOSE($D$27,'Segment Analysis'!H98,'Segment Analysis'!H99,'Segment Analysis'!H100,'Segment Analysis'!H101,'Segment Analysis'!H102)</f>
        <v/>
      </c>
      <c r="F31" s="18">
        <f>CHOOSE($D$27,'Segment Analysis'!I98,'Segment Analysis'!I99,'Segment Analysis'!I100,'Segment Analysis'!I101,'Segment Analysis'!I102)</f>
        <v/>
      </c>
      <c r="G31" s="18">
        <f>CHOOSE($D$27,'Segment Analysis'!J98,'Segment Analysis'!J99,'Segment Analysis'!J100,'Segment Analysis'!J101,'Segment Analysis'!J102)</f>
        <v/>
      </c>
    </row>
    <row r="32">
      <c r="B32" s="4" t="inlineStr">
        <is>
          <t>SGA % of Revenue</t>
        </is>
      </c>
      <c r="C32" s="18">
        <f>CHOOSE($D$27,'Segment Analysis'!F105,'Segment Analysis'!F106,'Segment Analysis'!F107,'Segment Analysis'!F108,'Segment Analysis'!F109)</f>
        <v/>
      </c>
      <c r="D32" s="18">
        <f>CHOOSE($D$27,'Segment Analysis'!G105,'Segment Analysis'!G106,'Segment Analysis'!G107,'Segment Analysis'!G108,'Segment Analysis'!G109)</f>
        <v/>
      </c>
      <c r="E32" s="18">
        <f>CHOOSE($D$27,'Segment Analysis'!H105,'Segment Analysis'!H106,'Segment Analysis'!H107,'Segment Analysis'!H108,'Segment Analysis'!H109)</f>
        <v/>
      </c>
      <c r="F32" s="18">
        <f>CHOOSE($D$27,'Segment Analysis'!I105,'Segment Analysis'!I106,'Segment Analysis'!I107,'Segment Analysis'!I108,'Segment Analysis'!I109)</f>
        <v/>
      </c>
      <c r="G32" s="18">
        <f>CHOOSE($D$27,'Segment Analysis'!J105,'Segment Analysis'!J106,'Segment Analysis'!J107,'Segment Analysis'!J108,'Segment Analysis'!J109)</f>
        <v/>
      </c>
    </row>
    <row r="33">
      <c r="B33" s="4" t="inlineStr">
        <is>
          <t>Revenue</t>
        </is>
      </c>
      <c r="C33" s="5">
        <f>'Segment Analysis'!F26</f>
        <v/>
      </c>
      <c r="D33" s="5">
        <f>'Segment Analysis'!G26</f>
        <v/>
      </c>
      <c r="E33" s="5">
        <f>'Segment Analysis'!H26</f>
        <v/>
      </c>
      <c r="F33" s="5">
        <f>'Segment Analysis'!I26</f>
        <v/>
      </c>
      <c r="G33" s="5">
        <f>'Segment Analysis'!J26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株式会社ＩＨＩ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Analysis'!F112,'Segment Analysis'!F113,'Segment Analysis'!F114,'Segment Analysis'!F115,'Segment Analysis'!F116)</f>
        <v/>
      </c>
      <c r="E5" s="27">
        <f>CHOOSE('DCF Model'!$D$27,'Segment Analysis'!G112,'Segment Analysis'!G113,'Segment Analysis'!G114,'Segment Analysis'!G115,'Segment Analysis'!G116)</f>
        <v/>
      </c>
      <c r="F5" s="27">
        <f>CHOOSE('DCF Model'!$D$27,'Segment Analysis'!H112,'Segment Analysis'!H113,'Segment Analysis'!H114,'Segment Analysis'!H115,'Segment Analysis'!H116)</f>
        <v/>
      </c>
      <c r="G5" s="27">
        <f>CHOOSE('DCF Model'!$D$27,'Segment Analysis'!I112,'Segment Analysis'!I113,'Segment Analysis'!I114,'Segment Analysis'!I115,'Segment Analysis'!I116)</f>
        <v/>
      </c>
      <c r="H5" s="27">
        <f>CHOOSE('DCF Model'!$D$27,'Segment Analysis'!J112,'Segment Analysis'!J113,'Segment Analysis'!J114,'Segment Analysis'!J115,'Segment Analysis'!J116)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1626831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663583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Mitsubishi Heavy Industries</t>
        </is>
      </c>
      <c r="C5" t="inlineStr">
        <is>
          <t>7011.T</t>
        </is>
      </c>
      <c r="D5" s="31" t="n">
        <v>16064712.802304</v>
      </c>
      <c r="E5" s="31" t="n">
        <v>16064712.802304</v>
      </c>
      <c r="F5" s="31" t="n">
        <v>4800000</v>
      </c>
      <c r="G5" s="31" t="n">
        <v>540643</v>
      </c>
      <c r="H5" s="31" t="n">
        <v>380000</v>
      </c>
      <c r="I5" s="31" t="n">
        <v>261997</v>
      </c>
      <c r="J5" s="32">
        <f>E5/G5</f>
        <v/>
      </c>
      <c r="K5" s="32">
        <f>E5/F5</f>
        <v/>
      </c>
      <c r="L5" s="32">
        <f>D5/I5</f>
        <v/>
      </c>
      <c r="M5" s="32" t="n">
        <v>6.504398413288725</v>
      </c>
      <c r="N5" s="33">
        <f>H5/F5</f>
        <v/>
      </c>
      <c r="O5" s="33" t="n">
        <v>0.1060792615503216</v>
      </c>
    </row>
    <row r="6">
      <c r="B6" s="4" t="inlineStr">
        <is>
          <t>Kawasaki Heavy Industries</t>
        </is>
      </c>
      <c r="C6" t="inlineStr">
        <is>
          <t>7012.T</t>
        </is>
      </c>
      <c r="D6" s="31" t="n">
        <v>2772502.577152</v>
      </c>
      <c r="E6" s="31" t="n">
        <v>2772502.577152</v>
      </c>
      <c r="F6" s="31" t="n">
        <v>2340000</v>
      </c>
      <c r="G6" s="31" t="n">
        <v>243431</v>
      </c>
      <c r="H6" s="31" t="n">
        <v>150000</v>
      </c>
      <c r="I6" s="31" t="n">
        <v>95000</v>
      </c>
      <c r="J6" s="32">
        <f>E6/G6</f>
        <v/>
      </c>
      <c r="K6" s="32">
        <f>E6/F6</f>
        <v/>
      </c>
      <c r="L6" s="32">
        <f>D6/I6</f>
        <v/>
      </c>
      <c r="M6" s="32" t="n">
        <v>3.823803936138051</v>
      </c>
      <c r="N6" s="33">
        <f>H6/F6</f>
        <v/>
      </c>
      <c r="O6" s="33" t="n">
        <v>0.1310229165977072</v>
      </c>
    </row>
    <row r="7">
      <c r="B7" s="4" t="inlineStr">
        <is>
          <t>Sumitomo Heavy Industries</t>
        </is>
      </c>
      <c r="C7" t="inlineStr">
        <is>
          <t>6302.T</t>
        </is>
      </c>
      <c r="D7" s="31" t="n">
        <v>626145.099776</v>
      </c>
      <c r="E7" s="31" t="n">
        <v>878848.099776</v>
      </c>
      <c r="F7" s="31" t="n">
        <v>1090000</v>
      </c>
      <c r="G7" s="31" t="n">
        <v>98596</v>
      </c>
      <c r="H7" s="31" t="n">
        <v>60000</v>
      </c>
      <c r="I7" s="31" t="n">
        <v>34000</v>
      </c>
      <c r="J7" s="32">
        <f>E7/G7</f>
        <v/>
      </c>
      <c r="K7" s="32">
        <f>E7/F7</f>
        <v/>
      </c>
      <c r="L7" s="32">
        <f>D7/I7</f>
        <v/>
      </c>
      <c r="M7" s="32" t="n">
        <v>0.9124513456646017</v>
      </c>
      <c r="N7" s="33">
        <f>H7/F7</f>
        <v/>
      </c>
      <c r="O7" s="33" t="n">
        <v>0.0495465759672876</v>
      </c>
    </row>
    <row r="8">
      <c r="B8" s="4" t="inlineStr">
        <is>
          <t>Kanadevia</t>
        </is>
      </c>
      <c r="C8" t="inlineStr">
        <is>
          <t>7004.T</t>
        </is>
      </c>
      <c r="D8" s="31" t="n">
        <v>204753.993728</v>
      </c>
      <c r="E8" s="31" t="n">
        <v>340516.993728</v>
      </c>
      <c r="F8" s="31" t="n">
        <v>620000</v>
      </c>
      <c r="G8" s="31" t="n">
        <v>25413</v>
      </c>
      <c r="H8" s="31" t="n">
        <v>13500</v>
      </c>
      <c r="I8" s="31" t="n">
        <v>5000</v>
      </c>
      <c r="J8" s="32">
        <f>E8/G8</f>
        <v/>
      </c>
      <c r="K8" s="32">
        <f>E8/F8</f>
        <v/>
      </c>
      <c r="L8" s="32">
        <f>D8/I8</f>
        <v/>
      </c>
      <c r="M8" s="32" t="n">
        <v>1.034659762641805</v>
      </c>
      <c r="N8" s="33">
        <f>H8/F8</f>
        <v/>
      </c>
      <c r="O8" s="33" t="n">
        <v>0.02526592384850552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PERCENTILE(J5:J8,0.25)</f>
        <v/>
      </c>
      <c r="E15" s="32">
        <f>PERCENTILE(K5:K8,0.25)</f>
        <v/>
      </c>
      <c r="F15" s="32">
        <f>PERCENTILE(L5:L8,0.25)</f>
        <v/>
      </c>
      <c r="G15" s="32">
        <f>PERCENTILE(M5:M8,0.25)</f>
        <v/>
      </c>
      <c r="H15" s="33">
        <f>PERCENTILE(N5:N8,0.25)</f>
        <v/>
      </c>
      <c r="I15" s="33">
        <f>PERCENTILE(O5:O8,0.25)</f>
        <v/>
      </c>
    </row>
    <row r="16">
      <c r="B16" s="4" t="inlineStr">
        <is>
          <t>Median (50th)</t>
        </is>
      </c>
      <c r="D16" s="32">
        <f>MEDIAN(J5:J8)</f>
        <v/>
      </c>
      <c r="E16" s="32">
        <f>MEDIAN(K5:K8)</f>
        <v/>
      </c>
      <c r="F16" s="32">
        <f>MEDIAN(L5:L8)</f>
        <v/>
      </c>
      <c r="G16" s="32">
        <f>MEDIAN(M5:M8)</f>
        <v/>
      </c>
      <c r="H16" s="33">
        <f>MEDIAN(N5:N8)</f>
        <v/>
      </c>
      <c r="I16" s="33">
        <f>MEDIAN(O5:O8)</f>
        <v/>
      </c>
    </row>
    <row r="17">
      <c r="B17" s="4" t="inlineStr">
        <is>
          <t>75th Percentile</t>
        </is>
      </c>
      <c r="D17" s="32">
        <f>PERCENTILE(J5:J8,0.75)</f>
        <v/>
      </c>
      <c r="E17" s="32">
        <f>PERCENTILE(K5:K8,0.75)</f>
        <v/>
      </c>
      <c r="F17" s="32">
        <f>PERCENTILE(L5:L8,0.75)</f>
        <v/>
      </c>
      <c r="G17" s="32">
        <f>PERCENTILE(M5:M8,0.75)</f>
        <v/>
      </c>
      <c r="H17" s="33">
        <f>PERCENTILE(N5:N8,0.75)</f>
        <v/>
      </c>
      <c r="I17" s="33">
        <f>PERCENTILE(O5:O8,0.75)</f>
        <v/>
      </c>
    </row>
    <row r="19">
      <c r="B19" s="22" t="inlineStr">
        <is>
          <t>Implied Valuation for 株式会社ＩＨＩ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株式会社ＩＨＩ Financials</t>
        </is>
      </c>
    </row>
    <row r="21">
      <c r="B21" s="4" t="inlineStr">
        <is>
          <t>EBITDA (JPY mn)</t>
        </is>
      </c>
      <c r="C21" s="5" t="n">
        <v>215669</v>
      </c>
    </row>
    <row r="22">
      <c r="B22" s="4" t="inlineStr">
        <is>
          <t>Net Income (JPY mn)</t>
        </is>
      </c>
      <c r="C22" s="5" t="n">
        <v>112740</v>
      </c>
    </row>
    <row r="23">
      <c r="B23" s="4" t="inlineStr">
        <is>
          <t>Shares Outstanding</t>
        </is>
      </c>
      <c r="C23" s="15" t="n">
        <v>1060152314</v>
      </c>
    </row>
    <row r="24">
      <c r="B24" s="4" t="inlineStr">
        <is>
          <t>Net Debt (JPY mn)</t>
        </is>
      </c>
      <c r="C24" s="5" t="n">
        <v>360593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J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Segment Analysis - 株式会社ＩＨＩ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Resources, Energy &amp; Environment (資源・エネルギー・環境)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</t>
        </is>
      </c>
      <c r="C6" s="29" t="n">
        <v>369721</v>
      </c>
      <c r="D6" s="29" t="n">
        <v>402503</v>
      </c>
      <c r="E6" s="29" t="n">
        <v>408301</v>
      </c>
      <c r="F6" s="29">
        <f>E6*(1+CHOOSE('DCF Model'!$D$27,F39,F40,F41,F42,F43))</f>
        <v/>
      </c>
      <c r="G6" s="29">
        <f>F6*(1+CHOOSE('DCF Model'!$D$27,G39,G40,G41,G42,G43))</f>
        <v/>
      </c>
      <c r="H6" s="29">
        <f>G6*(1+CHOOSE('DCF Model'!$D$27,H39,H40,H41,H42,H43))</f>
        <v/>
      </c>
      <c r="I6" s="29">
        <f>H6*(1+CHOOSE('DCF Model'!$D$27,I39,I40,I41,I42,I43))</f>
        <v/>
      </c>
      <c r="J6" s="29">
        <f>I6*(1+CHOOSE('DCF Model'!$D$27,J39,J40,J41,J42,J43))</f>
        <v/>
      </c>
    </row>
    <row r="7">
      <c r="B7" s="4" t="inlineStr">
        <is>
          <t>Operating Profit</t>
        </is>
      </c>
      <c r="C7" s="29" t="n">
        <v>26264</v>
      </c>
      <c r="D7" s="29" t="n">
        <v>17715</v>
      </c>
      <c r="E7" s="29" t="n">
        <v>16136</v>
      </c>
      <c r="F7" s="29">
        <f>F6*CHOOSE('DCF Model'!$D$27,F46,F47,F48,F49,F50)</f>
        <v/>
      </c>
      <c r="G7" s="29">
        <f>G6*CHOOSE('DCF Model'!$D$27,G46,G47,G48,G49,G50)</f>
        <v/>
      </c>
      <c r="H7" s="29">
        <f>H6*CHOOSE('DCF Model'!$D$27,H46,H47,H48,H49,H50)</f>
        <v/>
      </c>
      <c r="I7" s="29">
        <f>I6*CHOOSE('DCF Model'!$D$27,I46,I47,I48,I49,I50)</f>
        <v/>
      </c>
      <c r="J7" s="29">
        <f>J6*CHOOSE('DCF Model'!$D$27,J46,J47,J48,J49,J50)</f>
        <v/>
      </c>
    </row>
    <row r="8">
      <c r="B8" s="37" t="inlineStr">
        <is>
          <t>OP Margin</t>
        </is>
      </c>
      <c r="C8" s="27">
        <f>C7/C6</f>
        <v/>
      </c>
      <c r="D8" s="27">
        <f>D7/D6</f>
        <v/>
      </c>
      <c r="E8" s="27">
        <f>E7/E6</f>
        <v/>
      </c>
      <c r="F8" s="27">
        <f>CHOOSE('DCF Model'!$D$27,F46,F47,F48,F49,F50)</f>
        <v/>
      </c>
      <c r="G8" s="27">
        <f>CHOOSE('DCF Model'!$D$27,G46,G47,G48,G49,G50)</f>
        <v/>
      </c>
      <c r="H8" s="27">
        <f>CHOOSE('DCF Model'!$D$27,H46,H47,H48,H49,H50)</f>
        <v/>
      </c>
      <c r="I8" s="27">
        <f>CHOOSE('DCF Model'!$D$27,I46,I47,I48,I49,I50)</f>
        <v/>
      </c>
      <c r="J8" s="27">
        <f>CHOOSE('DCF Model'!$D$27,J46,J47,J48,J49,J50)</f>
        <v/>
      </c>
    </row>
    <row r="10">
      <c r="B10" s="8" t="inlineStr">
        <is>
          <t>Social Infrastructure (社会基盤)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B11" s="4" t="inlineStr">
        <is>
          <t>Revenue</t>
        </is>
      </c>
      <c r="C11" s="29" t="n">
        <v>166155</v>
      </c>
      <c r="D11" s="29" t="n">
        <v>165394</v>
      </c>
      <c r="E11" s="29" t="n">
        <v>155910</v>
      </c>
      <c r="F11" s="29">
        <f>E11*(1+CHOOSE('DCF Model'!$D$27,F53,F54,F55,F56,F57))</f>
        <v/>
      </c>
      <c r="G11" s="29">
        <f>F11*(1+CHOOSE('DCF Model'!$D$27,G53,G54,G55,G56,G57))</f>
        <v/>
      </c>
      <c r="H11" s="29">
        <f>G11*(1+CHOOSE('DCF Model'!$D$27,H53,H54,H55,H56,H57))</f>
        <v/>
      </c>
      <c r="I11" s="29">
        <f>H11*(1+CHOOSE('DCF Model'!$D$27,I53,I54,I55,I56,I57))</f>
        <v/>
      </c>
      <c r="J11" s="29">
        <f>I11*(1+CHOOSE('DCF Model'!$D$27,J53,J54,J55,J56,J57))</f>
        <v/>
      </c>
    </row>
    <row r="12">
      <c r="B12" s="4" t="inlineStr">
        <is>
          <t>Operating Profit</t>
        </is>
      </c>
      <c r="C12" s="29" t="n">
        <v>17089</v>
      </c>
      <c r="D12" s="29" t="n">
        <v>15066</v>
      </c>
      <c r="E12" s="29" t="n">
        <v>9442</v>
      </c>
      <c r="F12" s="29">
        <f>F11*CHOOSE('DCF Model'!$D$27,F60,F61,F62,F63,F64)</f>
        <v/>
      </c>
      <c r="G12" s="29">
        <f>G11*CHOOSE('DCF Model'!$D$27,G60,G61,G62,G63,G64)</f>
        <v/>
      </c>
      <c r="H12" s="29">
        <f>H11*CHOOSE('DCF Model'!$D$27,H60,H61,H62,H63,H64)</f>
        <v/>
      </c>
      <c r="I12" s="29">
        <f>I11*CHOOSE('DCF Model'!$D$27,I60,I61,I62,I63,I64)</f>
        <v/>
      </c>
      <c r="J12" s="29">
        <f>J11*CHOOSE('DCF Model'!$D$27,J60,J61,J62,J63,J64)</f>
        <v/>
      </c>
    </row>
    <row r="13">
      <c r="B13" s="37" t="inlineStr">
        <is>
          <t>OP Margin</t>
        </is>
      </c>
      <c r="C13" s="27">
        <f>C12/C11</f>
        <v/>
      </c>
      <c r="D13" s="27">
        <f>D12/D11</f>
        <v/>
      </c>
      <c r="E13" s="27">
        <f>E12/E11</f>
        <v/>
      </c>
      <c r="F13" s="27">
        <f>CHOOSE('DCF Model'!$D$27,F60,F61,F62,F63,F64)</f>
        <v/>
      </c>
      <c r="G13" s="27">
        <f>CHOOSE('DCF Model'!$D$27,G60,G61,G62,G63,G64)</f>
        <v/>
      </c>
      <c r="H13" s="27">
        <f>CHOOSE('DCF Model'!$D$27,H60,H61,H62,H63,H64)</f>
        <v/>
      </c>
      <c r="I13" s="27">
        <f>CHOOSE('DCF Model'!$D$27,I60,I61,I62,I63,I64)</f>
        <v/>
      </c>
      <c r="J13" s="27">
        <f>CHOOSE('DCF Model'!$D$27,J60,J61,J62,J63,J64)</f>
        <v/>
      </c>
    </row>
    <row r="15">
      <c r="B15" s="8" t="inlineStr">
        <is>
          <t>Industrial Systems &amp; General-Purpose Machinery (産業システム・汎用機械)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4" t="inlineStr">
        <is>
          <t>Revenue</t>
        </is>
      </c>
      <c r="C16" s="29" t="n">
        <v>428195</v>
      </c>
      <c r="D16" s="29" t="n">
        <v>457132</v>
      </c>
      <c r="E16" s="29" t="n">
        <v>475644</v>
      </c>
      <c r="F16" s="29">
        <f>E16*(1+CHOOSE('DCF Model'!$D$27,F67,F68,F69,F70,F71))</f>
        <v/>
      </c>
      <c r="G16" s="29">
        <f>F16*(1+CHOOSE('DCF Model'!$D$27,G67,G68,G69,G70,G71))</f>
        <v/>
      </c>
      <c r="H16" s="29">
        <f>G16*(1+CHOOSE('DCF Model'!$D$27,H67,H68,H69,H70,H71))</f>
        <v/>
      </c>
      <c r="I16" s="29">
        <f>H16*(1+CHOOSE('DCF Model'!$D$27,I67,I68,I69,I70,I71))</f>
        <v/>
      </c>
      <c r="J16" s="29">
        <f>I16*(1+CHOOSE('DCF Model'!$D$27,J67,J68,J69,J70,J71))</f>
        <v/>
      </c>
    </row>
    <row r="17">
      <c r="B17" s="4" t="inlineStr">
        <is>
          <t>Operating Profit</t>
        </is>
      </c>
      <c r="C17" s="29" t="n">
        <v>18000</v>
      </c>
      <c r="D17" s="29" t="n">
        <v>12800</v>
      </c>
      <c r="E17" s="29" t="n">
        <v>10800</v>
      </c>
      <c r="F17" s="29">
        <f>F16*CHOOSE('DCF Model'!$D$27,F74,F75,F76,F77,F78)</f>
        <v/>
      </c>
      <c r="G17" s="29">
        <f>G16*CHOOSE('DCF Model'!$D$27,G74,G75,G76,G77,G78)</f>
        <v/>
      </c>
      <c r="H17" s="29">
        <f>H16*CHOOSE('DCF Model'!$D$27,H74,H75,H76,H77,H78)</f>
        <v/>
      </c>
      <c r="I17" s="29">
        <f>I16*CHOOSE('DCF Model'!$D$27,I74,I75,I76,I77,I78)</f>
        <v/>
      </c>
      <c r="J17" s="29">
        <f>J16*CHOOSE('DCF Model'!$D$27,J74,J75,J76,J77,J78)</f>
        <v/>
      </c>
    </row>
    <row r="18">
      <c r="B18" s="37" t="inlineStr">
        <is>
          <t>OP Margin</t>
        </is>
      </c>
      <c r="C18" s="27">
        <f>C17/C16</f>
        <v/>
      </c>
      <c r="D18" s="27">
        <f>D17/D16</f>
        <v/>
      </c>
      <c r="E18" s="27">
        <f>E17/E16</f>
        <v/>
      </c>
      <c r="F18" s="27">
        <f>CHOOSE('DCF Model'!$D$27,F74,F75,F76,F77,F78)</f>
        <v/>
      </c>
      <c r="G18" s="27">
        <f>CHOOSE('DCF Model'!$D$27,G74,G75,G76,G77,G78)</f>
        <v/>
      </c>
      <c r="H18" s="27">
        <f>CHOOSE('DCF Model'!$D$27,H74,H75,H76,H77,H78)</f>
        <v/>
      </c>
      <c r="I18" s="27">
        <f>CHOOSE('DCF Model'!$D$27,I74,I75,I76,I77,I78)</f>
        <v/>
      </c>
      <c r="J18" s="27">
        <f>CHOOSE('DCF Model'!$D$27,J74,J75,J76,J77,J78)</f>
        <v/>
      </c>
    </row>
    <row r="20">
      <c r="B20" s="8" t="inlineStr">
        <is>
          <t>Aero Engine, Space &amp; Defense (航空・宇宙・防衛)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4" t="inlineStr">
        <is>
          <t>Revenue</t>
        </is>
      </c>
      <c r="C21" s="29" t="n">
        <v>360272</v>
      </c>
      <c r="D21" s="29" t="n">
        <v>266896</v>
      </c>
      <c r="E21" s="29" t="n">
        <v>552700</v>
      </c>
      <c r="F21" s="29">
        <f>E21*(1+CHOOSE('DCF Model'!$D$27,F81,F82,F83,F84,F85))</f>
        <v/>
      </c>
      <c r="G21" s="29">
        <f>F21*(1+CHOOSE('DCF Model'!$D$27,G81,G82,G83,G84,G85))</f>
        <v/>
      </c>
      <c r="H21" s="29">
        <f>G21*(1+CHOOSE('DCF Model'!$D$27,H81,H82,H83,H84,H85))</f>
        <v/>
      </c>
      <c r="I21" s="29">
        <f>H21*(1+CHOOSE('DCF Model'!$D$27,I81,I82,I83,I84,I85))</f>
        <v/>
      </c>
      <c r="J21" s="29">
        <f>I21*(1+CHOOSE('DCF Model'!$D$27,J81,J82,J83,J84,J85))</f>
        <v/>
      </c>
    </row>
    <row r="22">
      <c r="B22" s="4" t="inlineStr">
        <is>
          <t>Operating Profit</t>
        </is>
      </c>
      <c r="C22" s="29" t="n">
        <v>36171</v>
      </c>
      <c r="D22" s="29" t="n">
        <v>-102897</v>
      </c>
      <c r="E22" s="29" t="n">
        <v>122791</v>
      </c>
      <c r="F22" s="29">
        <f>F21*CHOOSE('DCF Model'!$D$27,F88,F89,F90,F91,F92)</f>
        <v/>
      </c>
      <c r="G22" s="29">
        <f>G21*CHOOSE('DCF Model'!$D$27,G88,G89,G90,G91,G92)</f>
        <v/>
      </c>
      <c r="H22" s="29">
        <f>H21*CHOOSE('DCF Model'!$D$27,H88,H89,H90,H91,H92)</f>
        <v/>
      </c>
      <c r="I22" s="29">
        <f>I21*CHOOSE('DCF Model'!$D$27,I88,I89,I90,I91,I92)</f>
        <v/>
      </c>
      <c r="J22" s="29">
        <f>J21*CHOOSE('DCF Model'!$D$27,J88,J89,J90,J91,J92)</f>
        <v/>
      </c>
    </row>
    <row r="23">
      <c r="B23" s="37" t="inlineStr">
        <is>
          <t>OP Margin</t>
        </is>
      </c>
      <c r="C23" s="27">
        <f>C22/C21</f>
        <v/>
      </c>
      <c r="D23" s="27">
        <f>D22/D21</f>
        <v/>
      </c>
      <c r="E23" s="27">
        <f>E22/E21</f>
        <v/>
      </c>
      <c r="F23" s="27">
        <f>CHOOSE('DCF Model'!$D$27,F88,F89,F90,F91,F92)</f>
        <v/>
      </c>
      <c r="G23" s="27">
        <f>CHOOSE('DCF Model'!$D$27,G88,G89,G90,G91,G92)</f>
        <v/>
      </c>
      <c r="H23" s="27">
        <f>CHOOSE('DCF Model'!$D$27,H88,H89,H90,H91,H92)</f>
        <v/>
      </c>
      <c r="I23" s="27">
        <f>CHOOSE('DCF Model'!$D$27,I88,I89,I90,I91,I92)</f>
        <v/>
      </c>
      <c r="J23" s="27">
        <f>CHOOSE('DCF Model'!$D$27,J88,J89,J90,J91,J92)</f>
        <v/>
      </c>
    </row>
    <row r="25">
      <c r="B25" s="22" t="inlineStr">
        <is>
          <t>Consolidated Total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>
      <c r="B26" s="4" t="inlineStr">
        <is>
          <t>Total Revenue</t>
        </is>
      </c>
      <c r="C26" s="20">
        <f>C6+C11+C16+C21</f>
        <v/>
      </c>
      <c r="D26" s="20">
        <f>D6+D11+D16+D21</f>
        <v/>
      </c>
      <c r="E26" s="20">
        <f>E6+E11+E16+E21</f>
        <v/>
      </c>
      <c r="F26" s="20">
        <f>F6+F11+F16+F21</f>
        <v/>
      </c>
      <c r="G26" s="20">
        <f>G6+G11+G16+G21</f>
        <v/>
      </c>
      <c r="H26" s="20">
        <f>H6+H11+H16+H21</f>
        <v/>
      </c>
      <c r="I26" s="20">
        <f>I6+I11+I16+I21</f>
        <v/>
      </c>
      <c r="J26" s="20">
        <f>J6+J11+J16+J21</f>
        <v/>
      </c>
    </row>
    <row r="27">
      <c r="B27" s="4" t="inlineStr">
        <is>
          <t>Total Operating Profit</t>
        </is>
      </c>
      <c r="C27" s="20">
        <f>C7+C12+C17+C22</f>
        <v/>
      </c>
      <c r="D27" s="20">
        <f>D7+D12+D17+D22</f>
        <v/>
      </c>
      <c r="E27" s="20">
        <f>E7+E12+E17+E22</f>
        <v/>
      </c>
      <c r="F27" s="20">
        <f>F7+F12+F17+F22</f>
        <v/>
      </c>
      <c r="G27" s="20">
        <f>G7+G12+G17+G22</f>
        <v/>
      </c>
      <c r="H27" s="20">
        <f>H7+H12+H17+H22</f>
        <v/>
      </c>
      <c r="I27" s="20">
        <f>I7+I12+I17+I22</f>
        <v/>
      </c>
      <c r="J27" s="20">
        <f>J7+J12+J17+J22</f>
        <v/>
      </c>
    </row>
    <row r="28">
      <c r="B28" s="37" t="inlineStr">
        <is>
          <t>Total OP Margin</t>
        </is>
      </c>
      <c r="C28" s="27">
        <f>IFERROR(C27/C26,"—")</f>
        <v/>
      </c>
      <c r="D28" s="27">
        <f>IFERROR(D27/D26,"—")</f>
        <v/>
      </c>
      <c r="E28" s="27">
        <f>IFERROR(E27/E26,"—")</f>
        <v/>
      </c>
      <c r="F28" s="27">
        <f>IFERROR(F27/F26,"—")</f>
        <v/>
      </c>
      <c r="G28" s="27">
        <f>IFERROR(G27/G26,"—")</f>
        <v/>
      </c>
      <c r="H28" s="27">
        <f>IFERROR(H27/H26,"—")</f>
        <v/>
      </c>
      <c r="I28" s="27">
        <f>IFERROR(I27/I26,"—")</f>
        <v/>
      </c>
      <c r="J28" s="27">
        <f>IFERROR(J27/J26,"—")</f>
        <v/>
      </c>
    </row>
    <row r="30">
      <c r="B30" s="38" t="inlineStr">
        <is>
          <t>Reconciliation vs DCF Model</t>
        </is>
      </c>
      <c r="C30" s="39" t="n"/>
      <c r="D30" s="39" t="n"/>
      <c r="E30" s="39" t="n"/>
      <c r="F30" s="39" t="n"/>
      <c r="G30" s="39" t="n"/>
      <c r="H30" s="39" t="n"/>
      <c r="I30" s="39" t="n"/>
      <c r="J30" s="39" t="n"/>
    </row>
    <row r="31">
      <c r="B31" s="4" t="inlineStr">
        <is>
          <t>DCF Model Revenue</t>
        </is>
      </c>
      <c r="F31" s="40">
        <f>'DCF Model'!C33</f>
        <v/>
      </c>
      <c r="G31" s="40">
        <f>'DCF Model'!D33</f>
        <v/>
      </c>
      <c r="H31" s="40">
        <f>'DCF Model'!E33</f>
        <v/>
      </c>
      <c r="I31" s="40">
        <f>'DCF Model'!F33</f>
        <v/>
      </c>
      <c r="J31" s="40">
        <f>'DCF Model'!G33</f>
        <v/>
      </c>
    </row>
    <row r="32">
      <c r="B32" s="4" t="inlineStr">
        <is>
          <t>Segment Total Revenue</t>
        </is>
      </c>
      <c r="F32" s="29">
        <f>F26</f>
        <v/>
      </c>
      <c r="G32" s="29">
        <f>G26</f>
        <v/>
      </c>
      <c r="H32" s="29">
        <f>H26</f>
        <v/>
      </c>
      <c r="I32" s="29">
        <f>I26</f>
        <v/>
      </c>
      <c r="J32" s="29">
        <f>J26</f>
        <v/>
      </c>
    </row>
    <row r="33">
      <c r="B33" s="4" t="inlineStr">
        <is>
          <t>Difference</t>
        </is>
      </c>
      <c r="F33" s="24">
        <f>F32-F31</f>
        <v/>
      </c>
      <c r="G33" s="24">
        <f>G32-G31</f>
        <v/>
      </c>
      <c r="H33" s="24">
        <f>H32-H31</f>
        <v/>
      </c>
      <c r="I33" s="24">
        <f>I32-I31</f>
        <v/>
      </c>
      <c r="J33" s="24">
        <f>J32-J31</f>
        <v/>
      </c>
    </row>
    <row r="36">
      <c r="B36" s="41" t="inlineStr">
        <is>
          <t>Segment Scenario Input Matrix</t>
        </is>
      </c>
      <c r="C36" s="42" t="n"/>
      <c r="D36" s="42" t="n"/>
      <c r="E36" s="42" t="n"/>
      <c r="F36" s="42" t="n"/>
      <c r="G36" s="42" t="n"/>
      <c r="H36" s="42" t="n"/>
      <c r="I36" s="42" t="n"/>
      <c r="J36" s="42" t="n"/>
    </row>
    <row r="37">
      <c r="F37" s="43" t="inlineStr">
        <is>
          <t>FY2026(E)</t>
        </is>
      </c>
      <c r="G37" s="43" t="inlineStr">
        <is>
          <t>FY2027(E)</t>
        </is>
      </c>
      <c r="H37" s="43" t="inlineStr">
        <is>
          <t>FY2028(E)</t>
        </is>
      </c>
      <c r="I37" s="43" t="inlineStr">
        <is>
          <t>FY2029(E)</t>
        </is>
      </c>
      <c r="J37" s="43" t="inlineStr">
        <is>
          <t>FY2030(E)</t>
        </is>
      </c>
    </row>
    <row r="38">
      <c r="B38" s="3" t="inlineStr">
        <is>
          <t>Resources, Energy &amp; Environment - Revenue Growth (YoY)</t>
        </is>
      </c>
    </row>
    <row r="39">
      <c r="B39" s="4" t="inlineStr">
        <is>
          <t>Base</t>
        </is>
      </c>
      <c r="F39" s="44" t="n">
        <v>0.035</v>
      </c>
      <c r="G39" s="44" t="n">
        <v>0.04</v>
      </c>
      <c r="H39" s="44" t="n">
        <v>0.05</v>
      </c>
      <c r="I39" s="44" t="n">
        <v>0.06</v>
      </c>
      <c r="J39" s="44" t="n">
        <v>0.065</v>
      </c>
    </row>
    <row r="40">
      <c r="B40" s="4" t="inlineStr">
        <is>
          <t>Upside</t>
        </is>
      </c>
      <c r="F40" s="44" t="n">
        <v>0.06</v>
      </c>
      <c r="G40" s="44" t="n">
        <v>0.065</v>
      </c>
      <c r="H40" s="44" t="n">
        <v>0.075</v>
      </c>
      <c r="I40" s="44" t="n">
        <v>0.08500000000000001</v>
      </c>
      <c r="J40" s="44" t="n">
        <v>0.09</v>
      </c>
    </row>
    <row r="41">
      <c r="B41" s="4" t="inlineStr">
        <is>
          <t>Management</t>
        </is>
      </c>
      <c r="F41" s="44" t="n">
        <v>0.04</v>
      </c>
      <c r="G41" s="44" t="n">
        <v>0.045</v>
      </c>
      <c r="H41" s="44" t="n">
        <v>0.055</v>
      </c>
      <c r="I41" s="44" t="n">
        <v>0.065</v>
      </c>
      <c r="J41" s="44" t="n">
        <v>0.07000000000000001</v>
      </c>
    </row>
    <row r="42">
      <c r="B42" s="4" t="inlineStr">
        <is>
          <t>Downside 1</t>
        </is>
      </c>
      <c r="F42" s="44" t="n">
        <v>0.005</v>
      </c>
      <c r="G42" s="44" t="n">
        <v>0.01</v>
      </c>
      <c r="H42" s="44" t="n">
        <v>0.02</v>
      </c>
      <c r="I42" s="44" t="n">
        <v>0.03</v>
      </c>
      <c r="J42" s="44" t="n">
        <v>0.035</v>
      </c>
    </row>
    <row r="43">
      <c r="B43" s="4" t="inlineStr">
        <is>
          <t>Downside 2</t>
        </is>
      </c>
      <c r="F43" s="44" t="n">
        <v>-0.02</v>
      </c>
      <c r="G43" s="44" t="n">
        <v>-0.015</v>
      </c>
      <c r="H43" s="44" t="n">
        <v>-0.005</v>
      </c>
      <c r="I43" s="44" t="n">
        <v>0.005</v>
      </c>
      <c r="J43" s="44" t="n">
        <v>0.01</v>
      </c>
    </row>
    <row r="45">
      <c r="B45" s="3" t="inlineStr">
        <is>
          <t>Resources, Energy &amp; Environment - OP Margin</t>
        </is>
      </c>
    </row>
    <row r="46">
      <c r="B46" s="4" t="inlineStr">
        <is>
          <t>Base</t>
        </is>
      </c>
      <c r="F46" s="44" t="n">
        <v>0.05</v>
      </c>
      <c r="G46" s="44" t="n">
        <v>0.055</v>
      </c>
      <c r="H46" s="44" t="n">
        <v>0.06</v>
      </c>
      <c r="I46" s="44" t="n">
        <v>0.065</v>
      </c>
      <c r="J46" s="44" t="n">
        <v>0.07000000000000001</v>
      </c>
    </row>
    <row r="47">
      <c r="B47" s="4" t="inlineStr">
        <is>
          <t>Upside</t>
        </is>
      </c>
      <c r="F47" s="44" t="n">
        <v>0.065</v>
      </c>
      <c r="G47" s="44" t="n">
        <v>0.07000000000000001</v>
      </c>
      <c r="H47" s="44" t="n">
        <v>0.075</v>
      </c>
      <c r="I47" s="44" t="n">
        <v>0.08</v>
      </c>
      <c r="J47" s="44" t="n">
        <v>0.08500000000000001</v>
      </c>
    </row>
    <row r="48">
      <c r="B48" s="4" t="inlineStr">
        <is>
          <t>Management</t>
        </is>
      </c>
      <c r="F48" s="44" t="n">
        <v>0.05</v>
      </c>
      <c r="G48" s="44" t="n">
        <v>0.055</v>
      </c>
      <c r="H48" s="44" t="n">
        <v>0.06</v>
      </c>
      <c r="I48" s="44" t="n">
        <v>0.065</v>
      </c>
      <c r="J48" s="44" t="n">
        <v>0.07000000000000001</v>
      </c>
    </row>
    <row r="49">
      <c r="B49" s="4" t="inlineStr">
        <is>
          <t>Downside 1</t>
        </is>
      </c>
      <c r="F49" s="44" t="n">
        <v>0.03</v>
      </c>
      <c r="G49" s="44" t="n">
        <v>0.035</v>
      </c>
      <c r="H49" s="44" t="n">
        <v>0.04</v>
      </c>
      <c r="I49" s="44" t="n">
        <v>0.045</v>
      </c>
      <c r="J49" s="44" t="n">
        <v>0.05</v>
      </c>
    </row>
    <row r="50">
      <c r="B50" s="4" t="inlineStr">
        <is>
          <t>Downside 2</t>
        </is>
      </c>
      <c r="F50" s="44" t="n">
        <v>0.015</v>
      </c>
      <c r="G50" s="44" t="n">
        <v>0.02</v>
      </c>
      <c r="H50" s="44" t="n">
        <v>0.025</v>
      </c>
      <c r="I50" s="44" t="n">
        <v>0.03</v>
      </c>
      <c r="J50" s="44" t="n">
        <v>0.035</v>
      </c>
    </row>
    <row r="52">
      <c r="B52" s="3" t="inlineStr">
        <is>
          <t>Social Infrastructure - Revenue Growth (YoY)</t>
        </is>
      </c>
    </row>
    <row r="53">
      <c r="B53" s="4" t="inlineStr">
        <is>
          <t>Base</t>
        </is>
      </c>
      <c r="F53" s="44" t="n">
        <v>-0.03</v>
      </c>
      <c r="G53" s="44" t="n">
        <v>-0.025</v>
      </c>
      <c r="H53" s="44" t="n">
        <v>-0.02</v>
      </c>
      <c r="I53" s="44" t="n">
        <v>-0.015</v>
      </c>
      <c r="J53" s="44" t="n">
        <v>-0.01</v>
      </c>
    </row>
    <row r="54">
      <c r="B54" s="4" t="inlineStr">
        <is>
          <t>Upside</t>
        </is>
      </c>
      <c r="F54" s="44" t="n">
        <v>-0.01</v>
      </c>
      <c r="G54" s="44" t="n">
        <v>-0.005</v>
      </c>
      <c r="H54" s="44" t="n">
        <v>0</v>
      </c>
      <c r="I54" s="44" t="n">
        <v>0.005</v>
      </c>
      <c r="J54" s="44" t="n">
        <v>0.01</v>
      </c>
    </row>
    <row r="55">
      <c r="B55" s="4" t="inlineStr">
        <is>
          <t>Management</t>
        </is>
      </c>
      <c r="F55" s="44" t="n">
        <v>-0.035</v>
      </c>
      <c r="G55" s="44" t="n">
        <v>-0.03</v>
      </c>
      <c r="H55" s="44" t="n">
        <v>-0.025</v>
      </c>
      <c r="I55" s="44" t="n">
        <v>-0.02</v>
      </c>
      <c r="J55" s="44" t="n">
        <v>-0.015</v>
      </c>
    </row>
    <row r="56">
      <c r="B56" s="4" t="inlineStr">
        <is>
          <t>Downside 1</t>
        </is>
      </c>
      <c r="F56" s="44" t="n">
        <v>-0.055</v>
      </c>
      <c r="G56" s="44" t="n">
        <v>-0.05</v>
      </c>
      <c r="H56" s="44" t="n">
        <v>-0.045</v>
      </c>
      <c r="I56" s="44" t="n">
        <v>-0.04</v>
      </c>
      <c r="J56" s="44" t="n">
        <v>-0.035</v>
      </c>
    </row>
    <row r="57">
      <c r="B57" s="4" t="inlineStr">
        <is>
          <t>Downside 2</t>
        </is>
      </c>
      <c r="F57" s="44" t="n">
        <v>-0.07000000000000001</v>
      </c>
      <c r="G57" s="44" t="n">
        <v>-0.065</v>
      </c>
      <c r="H57" s="44" t="n">
        <v>-0.06</v>
      </c>
      <c r="I57" s="44" t="n">
        <v>-0.055</v>
      </c>
      <c r="J57" s="44" t="n">
        <v>-0.05</v>
      </c>
    </row>
    <row r="59">
      <c r="B59" s="3" t="inlineStr">
        <is>
          <t>Social Infrastructure - OP Margin</t>
        </is>
      </c>
    </row>
    <row r="60">
      <c r="B60" s="4" t="inlineStr">
        <is>
          <t>Base</t>
        </is>
      </c>
      <c r="F60" s="44" t="n">
        <v>0.03</v>
      </c>
      <c r="G60" s="44" t="n">
        <v>0.025</v>
      </c>
      <c r="H60" s="44" t="n">
        <v>0.02</v>
      </c>
      <c r="I60" s="44" t="n">
        <v>0.02</v>
      </c>
      <c r="J60" s="44" t="n">
        <v>0.02</v>
      </c>
    </row>
    <row r="61">
      <c r="B61" s="4" t="inlineStr">
        <is>
          <t>Upside</t>
        </is>
      </c>
      <c r="F61" s="44" t="n">
        <v>0.05</v>
      </c>
      <c r="G61" s="44" t="n">
        <v>0.045</v>
      </c>
      <c r="H61" s="44" t="n">
        <v>0.04</v>
      </c>
      <c r="I61" s="44" t="n">
        <v>0.04</v>
      </c>
      <c r="J61" s="44" t="n">
        <v>0.04</v>
      </c>
    </row>
    <row r="62">
      <c r="B62" s="4" t="inlineStr">
        <is>
          <t>Management</t>
        </is>
      </c>
      <c r="F62" s="44" t="n">
        <v>0.025</v>
      </c>
      <c r="G62" s="44" t="n">
        <v>0.02</v>
      </c>
      <c r="H62" s="44" t="n">
        <v>0.015</v>
      </c>
      <c r="I62" s="44" t="n">
        <v>0.015</v>
      </c>
      <c r="J62" s="44" t="n">
        <v>0.015</v>
      </c>
    </row>
    <row r="63">
      <c r="B63" s="4" t="inlineStr">
        <is>
          <t>Downside 1</t>
        </is>
      </c>
      <c r="F63" s="44" t="n">
        <v>0.01</v>
      </c>
      <c r="G63" s="44" t="n">
        <v>0.005</v>
      </c>
      <c r="H63" s="44" t="n">
        <v>0</v>
      </c>
      <c r="I63" s="44" t="n">
        <v>0</v>
      </c>
      <c r="J63" s="44" t="n">
        <v>0</v>
      </c>
    </row>
    <row r="64">
      <c r="B64" s="4" t="inlineStr">
        <is>
          <t>Downside 2</t>
        </is>
      </c>
      <c r="F64" s="44" t="n">
        <v>-0.005</v>
      </c>
      <c r="G64" s="44" t="n">
        <v>-0.01</v>
      </c>
      <c r="H64" s="44" t="n">
        <v>-0.015</v>
      </c>
      <c r="I64" s="44" t="n">
        <v>-0.015</v>
      </c>
      <c r="J64" s="44" t="n">
        <v>-0.015</v>
      </c>
    </row>
    <row r="66">
      <c r="B66" s="3" t="inlineStr">
        <is>
          <t>Industrial Systems &amp; General-Purpose Machinery - Revenue Growth (YoY)</t>
        </is>
      </c>
    </row>
    <row r="67">
      <c r="B67" s="4" t="inlineStr">
        <is>
          <t>Base</t>
        </is>
      </c>
      <c r="F67" s="44" t="n">
        <v>-0.02</v>
      </c>
      <c r="G67" s="44" t="n">
        <v>0.01</v>
      </c>
      <c r="H67" s="44" t="n">
        <v>0.02</v>
      </c>
      <c r="I67" s="44" t="n">
        <v>0.02</v>
      </c>
      <c r="J67" s="44" t="n">
        <v>0.025</v>
      </c>
    </row>
    <row r="68">
      <c r="B68" s="4" t="inlineStr">
        <is>
          <t>Upside</t>
        </is>
      </c>
      <c r="F68" s="44" t="n">
        <v>0.005</v>
      </c>
      <c r="G68" s="44" t="n">
        <v>0.035</v>
      </c>
      <c r="H68" s="44" t="n">
        <v>0.045</v>
      </c>
      <c r="I68" s="44" t="n">
        <v>0.045</v>
      </c>
      <c r="J68" s="44" t="n">
        <v>0.05</v>
      </c>
    </row>
    <row r="69">
      <c r="B69" s="4" t="inlineStr">
        <is>
          <t>Management</t>
        </is>
      </c>
      <c r="F69" s="44" t="n">
        <v>-0.015</v>
      </c>
      <c r="G69" s="44" t="n">
        <v>0.015</v>
      </c>
      <c r="H69" s="44" t="n">
        <v>0.025</v>
      </c>
      <c r="I69" s="44" t="n">
        <v>0.025</v>
      </c>
      <c r="J69" s="44" t="n">
        <v>0.03</v>
      </c>
    </row>
    <row r="70">
      <c r="B70" s="4" t="inlineStr">
        <is>
          <t>Downside 1</t>
        </is>
      </c>
      <c r="F70" s="44" t="n">
        <v>-0.045</v>
      </c>
      <c r="G70" s="44" t="n">
        <v>-0.015</v>
      </c>
      <c r="H70" s="44" t="n">
        <v>-0.005</v>
      </c>
      <c r="I70" s="44" t="n">
        <v>-0.005</v>
      </c>
      <c r="J70" s="44" t="n">
        <v>0</v>
      </c>
    </row>
    <row r="71">
      <c r="B71" s="4" t="inlineStr">
        <is>
          <t>Downside 2</t>
        </is>
      </c>
      <c r="F71" s="44" t="n">
        <v>-0.06</v>
      </c>
      <c r="G71" s="44" t="n">
        <v>-0.03</v>
      </c>
      <c r="H71" s="44" t="n">
        <v>-0.02</v>
      </c>
      <c r="I71" s="44" t="n">
        <v>-0.02</v>
      </c>
      <c r="J71" s="44" t="n">
        <v>-0.015</v>
      </c>
    </row>
    <row r="73">
      <c r="B73" s="3" t="inlineStr">
        <is>
          <t>Industrial Systems &amp; General-Purpose Machinery - OP Margin</t>
        </is>
      </c>
    </row>
    <row r="74">
      <c r="B74" s="4" t="inlineStr">
        <is>
          <t>Base</t>
        </is>
      </c>
      <c r="F74" s="44" t="n">
        <v>0.055</v>
      </c>
      <c r="G74" s="44" t="n">
        <v>0.06</v>
      </c>
      <c r="H74" s="44" t="n">
        <v>0.065</v>
      </c>
      <c r="I74" s="44" t="n">
        <v>0.065</v>
      </c>
      <c r="J74" s="44" t="n">
        <v>0.07000000000000001</v>
      </c>
    </row>
    <row r="75">
      <c r="B75" s="4" t="inlineStr">
        <is>
          <t>Upside</t>
        </is>
      </c>
      <c r="F75" s="44" t="n">
        <v>0.07000000000000001</v>
      </c>
      <c r="G75" s="44" t="n">
        <v>0.075</v>
      </c>
      <c r="H75" s="44" t="n">
        <v>0.08</v>
      </c>
      <c r="I75" s="44" t="n">
        <v>0.08</v>
      </c>
      <c r="J75" s="44" t="n">
        <v>0.08500000000000001</v>
      </c>
    </row>
    <row r="76">
      <c r="B76" s="4" t="inlineStr">
        <is>
          <t>Management</t>
        </is>
      </c>
      <c r="F76" s="44" t="n">
        <v>0.055</v>
      </c>
      <c r="G76" s="44" t="n">
        <v>0.06</v>
      </c>
      <c r="H76" s="44" t="n">
        <v>0.065</v>
      </c>
      <c r="I76" s="44" t="n">
        <v>0.065</v>
      </c>
      <c r="J76" s="44" t="n">
        <v>0.07000000000000001</v>
      </c>
    </row>
    <row r="77">
      <c r="B77" s="4" t="inlineStr">
        <is>
          <t>Downside 1</t>
        </is>
      </c>
      <c r="F77" s="44" t="n">
        <v>0.03</v>
      </c>
      <c r="G77" s="44" t="n">
        <v>0.035</v>
      </c>
      <c r="H77" s="44" t="n">
        <v>0.04</v>
      </c>
      <c r="I77" s="44" t="n">
        <v>0.04</v>
      </c>
      <c r="J77" s="44" t="n">
        <v>0.045</v>
      </c>
    </row>
    <row r="78">
      <c r="B78" s="4" t="inlineStr">
        <is>
          <t>Downside 2</t>
        </is>
      </c>
      <c r="F78" s="44" t="n">
        <v>0.01</v>
      </c>
      <c r="G78" s="44" t="n">
        <v>0.015</v>
      </c>
      <c r="H78" s="44" t="n">
        <v>0.02</v>
      </c>
      <c r="I78" s="44" t="n">
        <v>0.02</v>
      </c>
      <c r="J78" s="44" t="n">
        <v>0.025</v>
      </c>
    </row>
    <row r="80">
      <c r="B80" s="3" t="inlineStr">
        <is>
          <t>Aero Engine, Space &amp; Defense - Revenue Growth (YoY)</t>
        </is>
      </c>
    </row>
    <row r="81">
      <c r="B81" s="4" t="inlineStr">
        <is>
          <t>Base</t>
        </is>
      </c>
      <c r="F81" s="44" t="n">
        <v>0.1</v>
      </c>
      <c r="G81" s="44" t="n">
        <v>0.08</v>
      </c>
      <c r="H81" s="44" t="n">
        <v>0.07000000000000001</v>
      </c>
      <c r="I81" s="44" t="n">
        <v>0.06</v>
      </c>
      <c r="J81" s="44" t="n">
        <v>0.05</v>
      </c>
    </row>
    <row r="82">
      <c r="B82" s="4" t="inlineStr">
        <is>
          <t>Upside</t>
        </is>
      </c>
      <c r="F82" s="44" t="n">
        <v>0.13</v>
      </c>
      <c r="G82" s="44" t="n">
        <v>0.11</v>
      </c>
      <c r="H82" s="44" t="n">
        <v>0.1</v>
      </c>
      <c r="I82" s="44" t="n">
        <v>0.09</v>
      </c>
      <c r="J82" s="44" t="n">
        <v>0.08</v>
      </c>
    </row>
    <row r="83">
      <c r="B83" s="4" t="inlineStr">
        <is>
          <t>Management</t>
        </is>
      </c>
      <c r="F83" s="44" t="n">
        <v>0.09</v>
      </c>
      <c r="G83" s="44" t="n">
        <v>0.07000000000000001</v>
      </c>
      <c r="H83" s="44" t="n">
        <v>0.06</v>
      </c>
      <c r="I83" s="44" t="n">
        <v>0.05</v>
      </c>
      <c r="J83" s="44" t="n">
        <v>0.04</v>
      </c>
    </row>
    <row r="84">
      <c r="B84" s="4" t="inlineStr">
        <is>
          <t>Downside 1</t>
        </is>
      </c>
      <c r="F84" s="44" t="n">
        <v>0.05</v>
      </c>
      <c r="G84" s="44" t="n">
        <v>0.03</v>
      </c>
      <c r="H84" s="44" t="n">
        <v>0.02</v>
      </c>
      <c r="I84" s="44" t="n">
        <v>0.01</v>
      </c>
      <c r="J84" s="44" t="n">
        <v>0</v>
      </c>
    </row>
    <row r="85">
      <c r="B85" s="4" t="inlineStr">
        <is>
          <t>Downside 2</t>
        </is>
      </c>
      <c r="F85" s="44" t="n">
        <v>0.02</v>
      </c>
      <c r="G85" s="44" t="n">
        <v>0</v>
      </c>
      <c r="H85" s="44" t="n">
        <v>-0.01</v>
      </c>
      <c r="I85" s="44" t="n">
        <v>-0.02</v>
      </c>
      <c r="J85" s="44" t="n">
        <v>-0.03</v>
      </c>
    </row>
    <row r="87">
      <c r="B87" s="3" t="inlineStr">
        <is>
          <t>Aero Engine, Space &amp; Defense - OP Margin</t>
        </is>
      </c>
    </row>
    <row r="88">
      <c r="B88" s="4" t="inlineStr">
        <is>
          <t>Base</t>
        </is>
      </c>
      <c r="F88" s="44" t="n">
        <v>0.18</v>
      </c>
      <c r="G88" s="44" t="n">
        <v>0.185</v>
      </c>
      <c r="H88" s="44" t="n">
        <v>0.19</v>
      </c>
      <c r="I88" s="44" t="n">
        <v>0.19</v>
      </c>
      <c r="J88" s="44" t="n">
        <v>0.195</v>
      </c>
    </row>
    <row r="89">
      <c r="B89" s="4" t="inlineStr">
        <is>
          <t>Upside</t>
        </is>
      </c>
      <c r="F89" s="44" t="n">
        <v>0.21</v>
      </c>
      <c r="G89" s="44" t="n">
        <v>0.215</v>
      </c>
      <c r="H89" s="44" t="n">
        <v>0.22</v>
      </c>
      <c r="I89" s="44" t="n">
        <v>0.22</v>
      </c>
      <c r="J89" s="44" t="n">
        <v>0.225</v>
      </c>
    </row>
    <row r="90">
      <c r="B90" s="4" t="inlineStr">
        <is>
          <t>Management</t>
        </is>
      </c>
      <c r="F90" s="44" t="n">
        <v>0.175</v>
      </c>
      <c r="G90" s="44" t="n">
        <v>0.18</v>
      </c>
      <c r="H90" s="44" t="n">
        <v>0.185</v>
      </c>
      <c r="I90" s="44" t="n">
        <v>0.185</v>
      </c>
      <c r="J90" s="44" t="n">
        <v>0.19</v>
      </c>
    </row>
    <row r="91">
      <c r="B91" s="4" t="inlineStr">
        <is>
          <t>Downside 1</t>
        </is>
      </c>
      <c r="F91" s="44" t="n">
        <v>0.15</v>
      </c>
      <c r="G91" s="44" t="n">
        <v>0.155</v>
      </c>
      <c r="H91" s="44" t="n">
        <v>0.16</v>
      </c>
      <c r="I91" s="44" t="n">
        <v>0.16</v>
      </c>
      <c r="J91" s="44" t="n">
        <v>0.165</v>
      </c>
    </row>
    <row r="92">
      <c r="B92" s="4" t="inlineStr">
        <is>
          <t>Downside 2</t>
        </is>
      </c>
      <c r="F92" s="44" t="n">
        <v>0.12</v>
      </c>
      <c r="G92" s="44" t="n">
        <v>0.125</v>
      </c>
      <c r="H92" s="44" t="n">
        <v>0.13</v>
      </c>
      <c r="I92" s="44" t="n">
        <v>0.13</v>
      </c>
      <c r="J92" s="44" t="n">
        <v>0.135</v>
      </c>
    </row>
    <row r="95">
      <c r="B95" s="45" t="inlineStr">
        <is>
          <t>Consolidated Inputs (連結レベル)</t>
        </is>
      </c>
      <c r="C95" s="46" t="n"/>
      <c r="D95" s="46" t="n"/>
      <c r="E95" s="46" t="n"/>
      <c r="F95" s="46" t="n"/>
      <c r="G95" s="46" t="n"/>
      <c r="H95" s="46" t="n"/>
      <c r="I95" s="46" t="n"/>
      <c r="J95" s="46" t="n"/>
    </row>
    <row r="96">
      <c r="F96" s="43" t="inlineStr">
        <is>
          <t>FY2026(E)</t>
        </is>
      </c>
      <c r="G96" s="43" t="inlineStr">
        <is>
          <t>FY2027(E)</t>
        </is>
      </c>
      <c r="H96" s="43" t="inlineStr">
        <is>
          <t>FY2028(E)</t>
        </is>
      </c>
      <c r="I96" s="43" t="inlineStr">
        <is>
          <t>FY2029(E)</t>
        </is>
      </c>
      <c r="J96" s="43" t="inlineStr">
        <is>
          <t>FY2030(E)</t>
        </is>
      </c>
    </row>
    <row r="97">
      <c r="B97" s="3" t="inlineStr">
        <is>
          <t>COGS % of Revenue</t>
        </is>
      </c>
    </row>
    <row r="98">
      <c r="B98" s="4" t="inlineStr">
        <is>
          <t>Base</t>
        </is>
      </c>
      <c r="F98" s="44" t="n">
        <v>0.7655</v>
      </c>
      <c r="G98" s="44" t="n">
        <v>0.7614</v>
      </c>
      <c r="H98" s="44" t="n">
        <v>0.7578</v>
      </c>
      <c r="I98" s="44" t="n">
        <v>0.7575</v>
      </c>
      <c r="J98" s="44" t="n">
        <v>0.7534</v>
      </c>
    </row>
    <row r="99">
      <c r="B99" s="4" t="inlineStr">
        <is>
          <t>Upside</t>
        </is>
      </c>
      <c r="F99" s="44" t="n">
        <v>0.7494</v>
      </c>
      <c r="G99" s="44" t="n">
        <v>0.747</v>
      </c>
      <c r="H99" s="44" t="n">
        <v>0.7441</v>
      </c>
      <c r="I99" s="44" t="n">
        <v>0.7446</v>
      </c>
      <c r="J99" s="44" t="n">
        <v>0.7412</v>
      </c>
    </row>
    <row r="100">
      <c r="B100" s="4" t="inlineStr">
        <is>
          <t>Management</t>
        </is>
      </c>
      <c r="F100" s="44" t="n">
        <v>0.7681</v>
      </c>
      <c r="G100" s="44" t="n">
        <v>0.7635</v>
      </c>
      <c r="H100" s="44" t="n">
        <v>0.7593</v>
      </c>
      <c r="I100" s="44" t="n">
        <v>0.7583</v>
      </c>
      <c r="J100" s="44" t="n">
        <v>0.7546</v>
      </c>
    </row>
    <row r="101">
      <c r="B101" s="4" t="inlineStr">
        <is>
          <t>Downside 1</t>
        </is>
      </c>
      <c r="F101" s="44" t="n">
        <v>0.7861</v>
      </c>
      <c r="G101" s="44" t="n">
        <v>0.7788</v>
      </c>
      <c r="H101" s="44" t="n">
        <v>0.7729</v>
      </c>
      <c r="I101" s="44" t="n">
        <v>0.7703</v>
      </c>
      <c r="J101" s="44" t="n">
        <v>0.7658</v>
      </c>
    </row>
    <row r="102">
      <c r="B102" s="4" t="inlineStr">
        <is>
          <t>Downside 2</t>
        </is>
      </c>
      <c r="F102" s="44" t="n">
        <v>0.8023</v>
      </c>
      <c r="G102" s="44" t="n">
        <v>0.7953</v>
      </c>
      <c r="H102" s="44" t="n">
        <v>0.7887999999999999</v>
      </c>
      <c r="I102" s="44" t="n">
        <v>0.7855</v>
      </c>
      <c r="J102" s="44" t="n">
        <v>0.7803</v>
      </c>
    </row>
    <row r="104">
      <c r="B104" s="3" t="inlineStr">
        <is>
          <t>SGA % of Revenue</t>
        </is>
      </c>
    </row>
    <row r="105">
      <c r="B105" s="4" t="inlineStr">
        <is>
          <t>Base</t>
        </is>
      </c>
      <c r="F105" s="44" t="n">
        <v>0.137</v>
      </c>
      <c r="G105" s="44" t="n">
        <v>0.135</v>
      </c>
      <c r="H105" s="44" t="n">
        <v>0.133</v>
      </c>
      <c r="I105" s="44" t="n">
        <v>0.131</v>
      </c>
      <c r="J105" s="44" t="n">
        <v>0.13</v>
      </c>
    </row>
    <row r="106">
      <c r="B106" s="4" t="inlineStr">
        <is>
          <t>Upside</t>
        </is>
      </c>
      <c r="F106" s="44" t="n">
        <v>0.132</v>
      </c>
      <c r="G106" s="44" t="n">
        <v>0.128</v>
      </c>
      <c r="H106" s="44" t="n">
        <v>0.125</v>
      </c>
      <c r="I106" s="44" t="n">
        <v>0.122</v>
      </c>
      <c r="J106" s="44" t="n">
        <v>0.12</v>
      </c>
    </row>
    <row r="107">
      <c r="B107" s="4" t="inlineStr">
        <is>
          <t>Management</t>
        </is>
      </c>
      <c r="F107" s="44" t="n">
        <v>0.137</v>
      </c>
      <c r="G107" s="44" t="n">
        <v>0.136</v>
      </c>
      <c r="H107" s="44" t="n">
        <v>0.135</v>
      </c>
      <c r="I107" s="44" t="n">
        <v>0.134</v>
      </c>
      <c r="J107" s="44" t="n">
        <v>0.133</v>
      </c>
    </row>
    <row r="108">
      <c r="B108" s="4" t="inlineStr">
        <is>
          <t>Downside 1</t>
        </is>
      </c>
      <c r="F108" s="44" t="n">
        <v>0.142</v>
      </c>
      <c r="G108" s="44" t="n">
        <v>0.144</v>
      </c>
      <c r="H108" s="44" t="n">
        <v>0.145</v>
      </c>
      <c r="I108" s="44" t="n">
        <v>0.146</v>
      </c>
      <c r="J108" s="44" t="n">
        <v>0.146</v>
      </c>
    </row>
    <row r="109">
      <c r="B109" s="4" t="inlineStr">
        <is>
          <t>Downside 2</t>
        </is>
      </c>
      <c r="F109" s="44" t="n">
        <v>0.148</v>
      </c>
      <c r="G109" s="44" t="n">
        <v>0.15</v>
      </c>
      <c r="H109" s="44" t="n">
        <v>0.152</v>
      </c>
      <c r="I109" s="44" t="n">
        <v>0.154</v>
      </c>
      <c r="J109" s="44" t="n">
        <v>0.155</v>
      </c>
    </row>
    <row r="111">
      <c r="B111" s="3" t="inlineStr">
        <is>
          <t>NWC % of Revenue</t>
        </is>
      </c>
    </row>
    <row r="112">
      <c r="B112" s="4" t="inlineStr">
        <is>
          <t>Base</t>
        </is>
      </c>
      <c r="F112" s="44" t="n">
        <v>0.39</v>
      </c>
      <c r="G112" s="44" t="n">
        <v>0.38</v>
      </c>
      <c r="H112" s="44" t="n">
        <v>0.37</v>
      </c>
      <c r="I112" s="44" t="n">
        <v>0.36</v>
      </c>
      <c r="J112" s="44" t="n">
        <v>0.35</v>
      </c>
    </row>
    <row r="113">
      <c r="B113" s="4" t="inlineStr">
        <is>
          <t>Upside</t>
        </is>
      </c>
      <c r="F113" s="44" t="n">
        <v>0.38</v>
      </c>
      <c r="G113" s="44" t="n">
        <v>0.36</v>
      </c>
      <c r="H113" s="44" t="n">
        <v>0.34</v>
      </c>
      <c r="I113" s="44" t="n">
        <v>0.33</v>
      </c>
      <c r="J113" s="44" t="n">
        <v>0.32</v>
      </c>
    </row>
    <row r="114">
      <c r="B114" s="4" t="inlineStr">
        <is>
          <t>Management</t>
        </is>
      </c>
      <c r="F114" s="44" t="n">
        <v>0.41</v>
      </c>
      <c r="G114" s="44" t="n">
        <v>0.4</v>
      </c>
      <c r="H114" s="44" t="n">
        <v>0.39</v>
      </c>
      <c r="I114" s="44" t="n">
        <v>0.38</v>
      </c>
      <c r="J114" s="44" t="n">
        <v>0.37</v>
      </c>
    </row>
    <row r="115">
      <c r="B115" s="4" t="inlineStr">
        <is>
          <t>Downside 1</t>
        </is>
      </c>
      <c r="F115" s="44" t="n">
        <v>0.43</v>
      </c>
      <c r="G115" s="44" t="n">
        <v>0.44</v>
      </c>
      <c r="H115" s="44" t="n">
        <v>0.45</v>
      </c>
      <c r="I115" s="44" t="n">
        <v>0.45</v>
      </c>
      <c r="J115" s="44" t="n">
        <v>0.45</v>
      </c>
    </row>
    <row r="116">
      <c r="B116" s="4" t="inlineStr">
        <is>
          <t>Downside 2</t>
        </is>
      </c>
      <c r="F116" s="44" t="n">
        <v>0.46</v>
      </c>
      <c r="G116" s="44" t="n">
        <v>0.47</v>
      </c>
      <c r="H116" s="44" t="n">
        <v>0.48</v>
      </c>
      <c r="I116" s="44" t="n">
        <v>0.48</v>
      </c>
      <c r="J116" s="44" t="n">
        <v>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Driver Analysis - 株式会社ＩＨＩ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Resources, Energy &amp; Environment (資源・エネルギー・環境) [manual]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 (Direct Input)</t>
        </is>
      </c>
      <c r="C6" s="29" t="n">
        <v>369721</v>
      </c>
      <c r="D6" s="29" t="n">
        <v>402503</v>
      </c>
      <c r="E6" s="29" t="n">
        <v>408301</v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  <c r="I6" s="28" t="inlineStr">
        <is>
          <t>—</t>
        </is>
      </c>
      <c r="J6" s="28" t="inlineStr">
        <is>
          <t>—</t>
        </is>
      </c>
    </row>
    <row r="7">
      <c r="B7" s="37" t="inlineStr">
        <is>
          <t>YoY Growth</t>
        </is>
      </c>
      <c r="C7" s="28" t="inlineStr">
        <is>
          <t>—</t>
        </is>
      </c>
      <c r="D7" s="27">
        <f>IFERROR((D6-C6)/C6,"—")</f>
        <v/>
      </c>
      <c r="E7" s="27">
        <f>IFERROR((E6-D6)/D6,"—")</f>
        <v/>
      </c>
      <c r="F7" s="27">
        <f>IFERROR((F6-E6)/E6,"—")</f>
        <v/>
      </c>
      <c r="G7" s="27">
        <f>IFERROR((G6-F6)/F6,"—")</f>
        <v/>
      </c>
      <c r="H7" s="27">
        <f>IFERROR((H6-G6)/G6,"—")</f>
        <v/>
      </c>
      <c r="I7" s="27">
        <f>IFERROR((I6-H6)/H6,"—")</f>
        <v/>
      </c>
      <c r="J7" s="27">
        <f>IFERROR((J6-I6)/I6,"—")</f>
        <v/>
      </c>
    </row>
    <row r="9">
      <c r="B9" s="8" t="inlineStr">
        <is>
          <t>Social Infrastructure (社会基盤) [manual]</t>
        </is>
      </c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B10" s="4" t="inlineStr">
        <is>
          <t>Revenue (Direct Input)</t>
        </is>
      </c>
      <c r="C10" s="29" t="n">
        <v>166155</v>
      </c>
      <c r="D10" s="29" t="n">
        <v>165394</v>
      </c>
      <c r="E10" s="29" t="n">
        <v>155910</v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—</t>
        </is>
      </c>
    </row>
    <row r="11">
      <c r="B11" s="37" t="inlineStr">
        <is>
          <t>YoY Growth</t>
        </is>
      </c>
      <c r="C11" s="28" t="inlineStr">
        <is>
          <t>—</t>
        </is>
      </c>
      <c r="D11" s="27">
        <f>IFERROR((D10-C10)/C10,"—")</f>
        <v/>
      </c>
      <c r="E11" s="27">
        <f>IFERROR((E10-D10)/D10,"—")</f>
        <v/>
      </c>
      <c r="F11" s="27">
        <f>IFERROR((F10-E10)/E10,"—")</f>
        <v/>
      </c>
      <c r="G11" s="27">
        <f>IFERROR((G10-F10)/F10,"—")</f>
        <v/>
      </c>
      <c r="H11" s="27">
        <f>IFERROR((H10-G10)/G10,"—")</f>
        <v/>
      </c>
      <c r="I11" s="27">
        <f>IFERROR((I10-H10)/H10,"—")</f>
        <v/>
      </c>
      <c r="J11" s="27">
        <f>IFERROR((J10-I10)/I10,"—")</f>
        <v/>
      </c>
    </row>
    <row r="13">
      <c r="B13" s="8" t="inlineStr">
        <is>
          <t>Industrial Systems &amp; General-Purpose Machinery (産業システム・汎用機械) [growth_rate]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B14" s="4" t="inlineStr">
        <is>
          <t>Revenue Growth (YoY)</t>
        </is>
      </c>
      <c r="C14" s="28" t="inlineStr">
        <is>
          <t>—</t>
        </is>
      </c>
      <c r="D14" s="27">
        <f>(D15-C15)/C15</f>
        <v/>
      </c>
      <c r="E14" s="27">
        <f>(E15-D15)/D15</f>
        <v/>
      </c>
      <c r="F14" s="44" t="n">
        <v>-0.02</v>
      </c>
      <c r="G14" s="44" t="n">
        <v>0.01</v>
      </c>
      <c r="H14" s="44" t="n">
        <v>0.02</v>
      </c>
      <c r="I14" s="44" t="n">
        <v>0.02</v>
      </c>
      <c r="J14" s="44" t="n">
        <v>0.025</v>
      </c>
    </row>
    <row r="15">
      <c r="B15" s="4" t="inlineStr">
        <is>
          <t>Revenue</t>
        </is>
      </c>
      <c r="C15" s="29" t="n">
        <v>428195</v>
      </c>
      <c r="D15" s="29" t="n">
        <v>457132</v>
      </c>
      <c r="E15" s="29" t="n">
        <v>475644</v>
      </c>
      <c r="F15" s="20">
        <f>E15*(1+F14)</f>
        <v/>
      </c>
      <c r="G15" s="20">
        <f>F15*(1+G14)</f>
        <v/>
      </c>
      <c r="H15" s="20">
        <f>G15*(1+H14)</f>
        <v/>
      </c>
      <c r="I15" s="20">
        <f>H15*(1+I14)</f>
        <v/>
      </c>
      <c r="J15" s="20">
        <f>I15*(1+J14)</f>
        <v/>
      </c>
    </row>
    <row r="17">
      <c r="B17" s="8" t="inlineStr">
        <is>
          <t>Aero Engine, Space &amp; Defense (航空・宇宙・防衛) [manual]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B18" s="4" t="inlineStr">
        <is>
          <t>Revenue (Direct Input)</t>
        </is>
      </c>
      <c r="C18" s="29" t="n">
        <v>360272</v>
      </c>
      <c r="D18" s="29" t="n">
        <v>266896</v>
      </c>
      <c r="E18" s="29" t="n">
        <v>552700</v>
      </c>
      <c r="F18" s="28" t="inlineStr">
        <is>
          <t>—</t>
        </is>
      </c>
      <c r="G18" s="28" t="inlineStr">
        <is>
          <t>—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—</t>
        </is>
      </c>
    </row>
    <row r="19">
      <c r="B19" s="37" t="inlineStr">
        <is>
          <t>YoY Growth</t>
        </is>
      </c>
      <c r="C19" s="28" t="inlineStr">
        <is>
          <t>—</t>
        </is>
      </c>
      <c r="D19" s="27">
        <f>IFERROR((D18-C18)/C18,"—")</f>
        <v/>
      </c>
      <c r="E19" s="27">
        <f>IFERROR((E18-D18)/D18,"—")</f>
        <v/>
      </c>
      <c r="F19" s="27">
        <f>IFERROR((F18-E18)/E18,"—")</f>
        <v/>
      </c>
      <c r="G19" s="27">
        <f>IFERROR((G18-F18)/F18,"—")</f>
        <v/>
      </c>
      <c r="H19" s="27">
        <f>IFERROR((H18-G18)/G18,"—")</f>
        <v/>
      </c>
      <c r="I19" s="27">
        <f>IFERROR((I18-H18)/H18,"—")</f>
        <v/>
      </c>
      <c r="J19" s="27">
        <f>IFERROR((J18-I18)/I18,"—")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2026-04-09T07:54:23Z</dcterms:created>
  <dcterms:modified xmlns:dcterms="http://purl.org/dc/terms/" xmlns:xsi="http://www.w3.org/2001/XMLSchema-instance" xsi:type="dcterms:W3CDTF">2026-04-09T07:54:23Z</dcterms:modified>
</cp:coreProperties>
</file>