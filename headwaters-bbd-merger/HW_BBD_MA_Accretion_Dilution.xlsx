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Executive Summary" sheetId="1" state="visible" r:id="rId1"/>
    <sheet name="Transaction Overview" sheetId="2" state="visible" r:id="rId2"/>
    <sheet name="Pre-Deal Financials" sheetId="3" state="visible" r:id="rId3"/>
    <sheet name="Pro Forma EPS" sheetId="4" state="visible" r:id="rId4"/>
    <sheet name="Transaction Multiples" sheetId="5" state="visible" r:id="rId5"/>
    <sheet name="Pro Forma Balance Sheet" sheetId="6" state="visible" r:id="rId6"/>
    <sheet name="Sensitivity Analysis" sheetId="7" state="visible" r:id="rId7"/>
  </sheets>
  <definedNames/>
  <calcPr calcId="181029" fullCalcOnLoad="1"/>
</workbook>
</file>

<file path=xl/styles.xml><?xml version="1.0" encoding="utf-8"?>
<styleSheet xmlns="http://schemas.openxmlformats.org/spreadsheetml/2006/main">
  <numFmts count="6">
    <numFmt numFmtId="164" formatCode="#,##0.0;\(#,##0.0\)"/>
    <numFmt numFmtId="165" formatCode="0.0%;\(0.0%\)"/>
    <numFmt numFmtId="166" formatCode="#,##0;\(#,##0\)"/>
    <numFmt numFmtId="167" formatCode="0.0&quot;x&quot;"/>
    <numFmt numFmtId="168" formatCode="0.000"/>
    <numFmt numFmtId="169" formatCode="0.0%"/>
  </numFmts>
  <fonts count="28">
    <font>
      <name val="ＭＳ Ｐゴシック"/>
      <family val="2"/>
      <color theme="1"/>
      <sz val="11"/>
      <scheme val="minor"/>
    </font>
    <font>
      <name val="Arial"/>
      <i val="1"/>
      <color rgb="FF808080"/>
      <sz val="9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color rgb="FF000000"/>
      <sz val="10"/>
    </font>
    <font>
      <name val="Arial"/>
      <color rgb="FF0000CC"/>
      <sz val="10"/>
    </font>
    <font>
      <name val="Arial"/>
      <b val="1"/>
      <color rgb="FFFFFFFF"/>
      <sz val="11"/>
    </font>
    <font>
      <name val="Arial"/>
      <color rgb="FFCC0000"/>
      <sz val="10"/>
    </font>
    <font>
      <name val="Arial"/>
      <sz val="10"/>
    </font>
    <font>
      <name val="Arial"/>
      <i val="1"/>
      <color rgb="FF666666"/>
      <sz val="9"/>
    </font>
    <font>
      <name val="Arial"/>
      <color rgb="FF006600"/>
      <sz val="10"/>
    </font>
    <font>
      <name val="Arial"/>
      <i val="1"/>
      <sz val="9"/>
    </font>
    <font>
      <name val="Arial"/>
      <i val="1"/>
      <color rgb="FFCC0000"/>
      <sz val="8"/>
    </font>
    <font>
      <name val="Arial"/>
      <b val="1"/>
      <color rgb="FFCC0000"/>
      <sz val="11"/>
    </font>
    <font>
      <name val="ＭＳ Ｐゴシック"/>
      <charset val="128"/>
      <family val="3"/>
      <sz val="6"/>
      <scheme val="minor"/>
    </font>
    <font>
      <name val="Arial"/>
      <b val="1"/>
      <color rgb="FF000000"/>
      <sz val="13"/>
    </font>
    <font>
      <name val="Arial"/>
      <b val="1"/>
      <color rgb="FF000000"/>
      <sz val="11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008000"/>
      <sz val="10"/>
    </font>
    <font>
      <name val="Arial"/>
      <i val="1"/>
      <color rgb="FF666666"/>
      <sz val="9"/>
    </font>
    <font>
      <name val="Arial"/>
      <color rgb="FF0000FF"/>
      <sz val="10"/>
    </font>
    <font>
      <name val="Arial"/>
      <b val="1"/>
      <color rgb="FFFF0000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b val="1"/>
      <color rgb="FF000000"/>
      <sz val="11"/>
    </font>
    <font>
      <name val="Arial"/>
      <color rgb="FF000000"/>
      <sz val="10"/>
    </font>
  </fonts>
  <fills count="12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3366"/>
        <bgColor rgb="FF00336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rgb="FFFFFFCC"/>
      </patternFill>
    </fill>
    <fill>
      <patternFill patternType="solid">
        <fgColor rgb="FF002060"/>
        <bgColor rgb="FF002060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E2EFDA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4"/>
  </cellStyleXfs>
  <cellXfs count="129">
    <xf numFmtId="0" fontId="0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3" borderId="2" applyAlignment="1" pivotButton="0" quotePrefix="0" xfId="0">
      <alignment horizontal="center" wrapText="1"/>
    </xf>
    <xf numFmtId="0" fontId="4" fillId="0" borderId="2" pivotButton="0" quotePrefix="0" xfId="0"/>
    <xf numFmtId="164" fontId="5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4" fillId="4" borderId="2" pivotButton="0" quotePrefix="0" xfId="0"/>
    <xf numFmtId="165" fontId="8" fillId="4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166" fontId="5" fillId="0" borderId="2" applyAlignment="1" pivotButton="0" quotePrefix="0" xfId="0">
      <alignment horizontal="center"/>
    </xf>
    <xf numFmtId="3" fontId="6" fillId="0" borderId="2" applyAlignment="1" pivotButton="0" quotePrefix="0" xfId="0">
      <alignment horizontal="right"/>
    </xf>
    <xf numFmtId="0" fontId="10" fillId="0" borderId="2" pivotButton="0" quotePrefix="0" xfId="0"/>
    <xf numFmtId="0" fontId="4" fillId="5" borderId="2" pivotButton="0" quotePrefix="0" xfId="0"/>
    <xf numFmtId="3" fontId="5" fillId="5" borderId="2" applyAlignment="1" pivotButton="0" quotePrefix="0" xfId="0">
      <alignment horizontal="right"/>
    </xf>
    <xf numFmtId="0" fontId="10" fillId="5" borderId="2" pivotButton="0" quotePrefix="0" xfId="0"/>
    <xf numFmtId="2" fontId="6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3" fontId="5" fillId="5" borderId="3" applyAlignment="1" pivotButton="0" quotePrefix="0" xfId="0">
      <alignment horizontal="right"/>
    </xf>
    <xf numFmtId="166" fontId="6" fillId="0" borderId="2" applyAlignment="1" pivotButton="0" quotePrefix="0" xfId="0">
      <alignment horizontal="right"/>
    </xf>
    <xf numFmtId="2" fontId="11" fillId="0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  <xf numFmtId="0" fontId="12" fillId="0" borderId="2" pivotButton="0" quotePrefix="0" xfId="0"/>
    <xf numFmtId="165" fontId="8" fillId="0" borderId="2" applyAlignment="1" pivotButton="0" quotePrefix="0" xfId="0">
      <alignment horizontal="right"/>
    </xf>
    <xf numFmtId="165" fontId="11" fillId="0" borderId="2" applyAlignment="1" pivotButton="0" quotePrefix="0" xfId="0">
      <alignment horizontal="right"/>
    </xf>
    <xf numFmtId="0" fontId="4" fillId="4" borderId="3" pivotButton="0" quotePrefix="0" xfId="0"/>
    <xf numFmtId="166" fontId="5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6" fontId="11" fillId="6" borderId="2" applyAlignment="1" pivotButton="0" quotePrefix="0" xfId="0">
      <alignment horizontal="right"/>
    </xf>
    <xf numFmtId="164" fontId="6" fillId="6" borderId="2" applyAlignment="1" pivotButton="0" quotePrefix="0" xfId="0">
      <alignment horizontal="right"/>
    </xf>
    <xf numFmtId="165" fontId="6" fillId="6" borderId="2" applyAlignment="1" pivotButton="0" quotePrefix="0" xfId="0">
      <alignment horizontal="right"/>
    </xf>
    <xf numFmtId="166" fontId="11" fillId="0" borderId="2" applyAlignment="1" pivotButton="0" quotePrefix="0" xfId="0">
      <alignment horizontal="right"/>
    </xf>
    <xf numFmtId="3" fontId="11" fillId="0" borderId="2" applyAlignment="1" pivotButton="0" quotePrefix="0" xfId="0">
      <alignment horizontal="right"/>
    </xf>
    <xf numFmtId="165" fontId="14" fillId="4" borderId="3" applyAlignment="1" pivotButton="0" quotePrefix="0" xfId="0">
      <alignment horizontal="right"/>
    </xf>
    <xf numFmtId="166" fontId="3" fillId="4" borderId="3" applyAlignment="1" pivotButton="0" quotePrefix="0" xfId="0">
      <alignment horizontal="right"/>
    </xf>
    <xf numFmtId="0" fontId="10" fillId="4" borderId="0" pivotButton="0" quotePrefix="0" xfId="0"/>
    <xf numFmtId="0" fontId="0" fillId="0" borderId="2" pivotButton="0" quotePrefix="0" xfId="0"/>
    <xf numFmtId="0" fontId="13" fillId="0" borderId="2" pivotButton="0" quotePrefix="0" xfId="0"/>
    <xf numFmtId="0" fontId="7" fillId="7" borderId="2" applyAlignment="1" pivotButton="0" quotePrefix="0" xfId="0">
      <alignment horizontal="center" wrapText="1"/>
    </xf>
    <xf numFmtId="0" fontId="0" fillId="0" borderId="4" pivotButton="0" quotePrefix="0" xfId="0"/>
    <xf numFmtId="0" fontId="16" fillId="0" borderId="4" pivotButton="0" quotePrefix="0" xfId="0"/>
    <xf numFmtId="0" fontId="17" fillId="8" borderId="6" pivotButton="0" quotePrefix="0" xfId="0"/>
    <xf numFmtId="0" fontId="0" fillId="8" borderId="6" pivotButton="0" quotePrefix="0" xfId="0"/>
    <xf numFmtId="0" fontId="24" fillId="7" borderId="7" applyAlignment="1" pivotButton="0" quotePrefix="0" xfId="0">
      <alignment horizontal="center"/>
    </xf>
    <xf numFmtId="0" fontId="19" fillId="0" borderId="7" pivotButton="0" quotePrefix="0" xfId="0"/>
    <xf numFmtId="166" fontId="20" fillId="0" borderId="7" pivotButton="0" quotePrefix="0" xfId="0"/>
    <xf numFmtId="0" fontId="21" fillId="0" borderId="7" pivotButton="0" quotePrefix="0" xfId="0"/>
    <xf numFmtId="166" fontId="19" fillId="0" borderId="7" pivotButton="0" quotePrefix="0" xfId="0"/>
    <xf numFmtId="0" fontId="22" fillId="0" borderId="7" pivotButton="0" quotePrefix="0" xfId="0"/>
    <xf numFmtId="166" fontId="22" fillId="0" borderId="7" pivotButton="0" quotePrefix="0" xfId="0"/>
    <xf numFmtId="0" fontId="18" fillId="9" borderId="8" pivotButton="0" quotePrefix="0" xfId="0"/>
    <xf numFmtId="166" fontId="18" fillId="9" borderId="8" pivotButton="0" quotePrefix="0" xfId="0"/>
    <xf numFmtId="0" fontId="21" fillId="9" borderId="8" pivotButton="0" quotePrefix="0" xfId="0"/>
    <xf numFmtId="167" fontId="19" fillId="0" borderId="7" pivotButton="0" quotePrefix="0" xfId="0"/>
    <xf numFmtId="164" fontId="22" fillId="0" borderId="7" pivotButton="0" quotePrefix="0" xfId="0"/>
    <xf numFmtId="0" fontId="23" fillId="0" borderId="7" pivotButton="0" quotePrefix="0" xfId="0"/>
    <xf numFmtId="0" fontId="20" fillId="0" borderId="7" pivotButton="0" quotePrefix="0" xfId="0"/>
    <xf numFmtId="168" fontId="19" fillId="0" borderId="7" pivotButton="0" quotePrefix="0" xfId="0"/>
    <xf numFmtId="0" fontId="0" fillId="0" borderId="7" pivotButton="0" quotePrefix="0" xfId="0"/>
    <xf numFmtId="0" fontId="20" fillId="9" borderId="12" pivotButton="0" quotePrefix="0" xfId="0"/>
    <xf numFmtId="168" fontId="20" fillId="9" borderId="12" pivotButton="0" quotePrefix="0" xfId="0"/>
    <xf numFmtId="0" fontId="21" fillId="9" borderId="12" pivotButton="0" quotePrefix="0" xfId="0"/>
    <xf numFmtId="0" fontId="24" fillId="7" borderId="5" applyAlignment="1" pivotButton="0" quotePrefix="0" xfId="0">
      <alignment horizontal="center" vertical="center" wrapText="1"/>
    </xf>
    <xf numFmtId="0" fontId="18" fillId="0" borderId="8" pivotButton="0" quotePrefix="0" xfId="0"/>
    <xf numFmtId="166" fontId="18" fillId="0" borderId="8" pivotButton="0" quotePrefix="0" xfId="0"/>
    <xf numFmtId="0" fontId="18" fillId="9" borderId="9" pivotButton="0" quotePrefix="0" xfId="0"/>
    <xf numFmtId="0" fontId="0" fillId="9" borderId="9" pivotButton="0" quotePrefix="0" xfId="0"/>
    <xf numFmtId="166" fontId="18" fillId="9" borderId="9" pivotButton="0" quotePrefix="0" xfId="0"/>
    <xf numFmtId="0" fontId="25" fillId="0" borderId="10" pivotButton="0" quotePrefix="0" xfId="0"/>
    <xf numFmtId="0" fontId="0" fillId="0" borderId="10" pivotButton="0" quotePrefix="0" xfId="0"/>
    <xf numFmtId="166" fontId="25" fillId="0" borderId="10" pivotButton="0" quotePrefix="0" xfId="0"/>
    <xf numFmtId="0" fontId="17" fillId="8" borderId="11" pivotButton="0" quotePrefix="0" xfId="0"/>
    <xf numFmtId="0" fontId="24" fillId="7" borderId="11" applyAlignment="1" pivotButton="0" quotePrefix="0" xfId="0">
      <alignment horizontal="center"/>
    </xf>
    <xf numFmtId="0" fontId="0" fillId="0" borderId="11" pivotButton="0" quotePrefix="0" xfId="0"/>
    <xf numFmtId="169" fontId="19" fillId="0" borderId="7" pivotButton="0" quotePrefix="0" xfId="0"/>
    <xf numFmtId="0" fontId="0" fillId="8" borderId="11" pivotButton="0" quotePrefix="0" xfId="0"/>
    <xf numFmtId="164" fontId="19" fillId="0" borderId="7" pivotButton="0" quotePrefix="0" xfId="0"/>
    <xf numFmtId="169" fontId="22" fillId="0" borderId="7" pivotButton="0" quotePrefix="0" xfId="0"/>
    <xf numFmtId="169" fontId="24" fillId="7" borderId="7" applyAlignment="1" pivotButton="0" quotePrefix="0" xfId="0">
      <alignment horizontal="center"/>
    </xf>
    <xf numFmtId="166" fontId="24" fillId="7" borderId="7" applyAlignment="1" pivotButton="0" quotePrefix="0" xfId="0">
      <alignment horizontal="center"/>
    </xf>
    <xf numFmtId="2" fontId="6" fillId="0" borderId="0" applyAlignment="1" pivotButton="0" quotePrefix="0" xfId="0">
      <alignment horizontal="left"/>
    </xf>
    <xf numFmtId="0" fontId="0" fillId="10" borderId="0" pivotButton="0" quotePrefix="0" xfId="0"/>
    <xf numFmtId="3" fontId="5" fillId="4" borderId="13" applyAlignment="1" pivotButton="0" quotePrefix="0" xfId="0">
      <alignment horizontal="right"/>
    </xf>
    <xf numFmtId="0" fontId="0" fillId="11" borderId="0" pivotButton="0" quotePrefix="0" xfId="0"/>
    <xf numFmtId="164" fontId="5" fillId="5" borderId="7" applyAlignment="1" pivotButton="0" quotePrefix="0" xfId="0">
      <alignment horizontal="right"/>
    </xf>
    <xf numFmtId="0" fontId="26" fillId="0" borderId="0" pivotButton="0" quotePrefix="0" xfId="0"/>
    <xf numFmtId="0" fontId="3" fillId="0" borderId="4" pivotButton="0" quotePrefix="0" xfId="0"/>
    <xf numFmtId="0" fontId="0" fillId="0" borderId="0" pivotButton="0" quotePrefix="0" xfId="0"/>
    <xf numFmtId="0" fontId="9" fillId="0" borderId="4" pivotButton="0" quotePrefix="0" xfId="0"/>
    <xf numFmtId="0" fontId="2" fillId="0" borderId="4" pivotButton="0" quotePrefix="0" xfId="0"/>
    <xf numFmtId="0" fontId="1" fillId="0" borderId="4" pivotButton="0" quotePrefix="0" xfId="0"/>
    <xf numFmtId="0" fontId="27" fillId="0" borderId="0" applyAlignment="1" pivotButton="0" quotePrefix="0" xfId="0">
      <alignment horizontal="left" vertical="top" wrapText="1"/>
    </xf>
    <xf numFmtId="164" fontId="5" fillId="0" borderId="2" applyAlignment="1" pivotButton="0" quotePrefix="0" xfId="0">
      <alignment horizontal="center"/>
    </xf>
    <xf numFmtId="165" fontId="8" fillId="4" borderId="2" applyAlignment="1" pivotButton="0" quotePrefix="0" xfId="0">
      <alignment horizontal="center"/>
    </xf>
    <xf numFmtId="166" fontId="5" fillId="0" borderId="2" applyAlignment="1" pivotButton="0" quotePrefix="0" xfId="0">
      <alignment horizontal="center"/>
    </xf>
    <xf numFmtId="0" fontId="27" fillId="0" borderId="4" applyAlignment="1" pivotButton="0" quotePrefix="0" xfId="0">
      <alignment horizontal="left" vertical="top" wrapText="1"/>
    </xf>
    <xf numFmtId="166" fontId="6" fillId="0" borderId="2" applyAlignment="1" pivotButton="0" quotePrefix="0" xfId="0">
      <alignment horizontal="right"/>
    </xf>
    <xf numFmtId="164" fontId="5" fillId="5" borderId="7" applyAlignment="1" pivotButton="0" quotePrefix="0" xfId="0">
      <alignment horizontal="right"/>
    </xf>
    <xf numFmtId="165" fontId="8" fillId="0" borderId="2" applyAlignment="1" pivotButton="0" quotePrefix="0" xfId="0">
      <alignment horizontal="right"/>
    </xf>
    <xf numFmtId="165" fontId="11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6" fontId="11" fillId="6" borderId="2" applyAlignment="1" pivotButton="0" quotePrefix="0" xfId="0">
      <alignment horizontal="right"/>
    </xf>
    <xf numFmtId="164" fontId="6" fillId="6" borderId="2" applyAlignment="1" pivotButton="0" quotePrefix="0" xfId="0">
      <alignment horizontal="right"/>
    </xf>
    <xf numFmtId="165" fontId="6" fillId="6" borderId="2" applyAlignment="1" pivotButton="0" quotePrefix="0" xfId="0">
      <alignment horizontal="right"/>
    </xf>
    <xf numFmtId="166" fontId="11" fillId="0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  <xf numFmtId="165" fontId="14" fillId="4" borderId="3" applyAlignment="1" pivotButton="0" quotePrefix="0" xfId="0">
      <alignment horizontal="right"/>
    </xf>
    <xf numFmtId="166" fontId="3" fillId="4" borderId="3" applyAlignment="1" pivotButton="0" quotePrefix="0" xfId="0">
      <alignment horizontal="right"/>
    </xf>
    <xf numFmtId="166" fontId="20" fillId="0" borderId="7" pivotButton="0" quotePrefix="0" xfId="0"/>
    <xf numFmtId="166" fontId="19" fillId="0" borderId="7" pivotButton="0" quotePrefix="0" xfId="0"/>
    <xf numFmtId="166" fontId="22" fillId="0" borderId="7" pivotButton="0" quotePrefix="0" xfId="0"/>
    <xf numFmtId="166" fontId="18" fillId="9" borderId="8" pivotButton="0" quotePrefix="0" xfId="0"/>
    <xf numFmtId="167" fontId="19" fillId="0" borderId="7" pivotButton="0" quotePrefix="0" xfId="0"/>
    <xf numFmtId="164" fontId="22" fillId="0" borderId="7" pivotButton="0" quotePrefix="0" xfId="0"/>
    <xf numFmtId="168" fontId="19" fillId="0" borderId="7" pivotButton="0" quotePrefix="0" xfId="0"/>
    <xf numFmtId="168" fontId="20" fillId="9" borderId="12" pivotButton="0" quotePrefix="0" xfId="0"/>
    <xf numFmtId="166" fontId="18" fillId="0" borderId="8" pivotButton="0" quotePrefix="0" xfId="0"/>
    <xf numFmtId="166" fontId="18" fillId="9" borderId="9" pivotButton="0" quotePrefix="0" xfId="0"/>
    <xf numFmtId="166" fontId="25" fillId="0" borderId="10" pivotButton="0" quotePrefix="0" xfId="0"/>
    <xf numFmtId="169" fontId="19" fillId="0" borderId="7" pivotButton="0" quotePrefix="0" xfId="0"/>
    <xf numFmtId="164" fontId="19" fillId="0" borderId="7" pivotButton="0" quotePrefix="0" xfId="0"/>
    <xf numFmtId="169" fontId="22" fillId="0" borderId="7" pivotButton="0" quotePrefix="0" xfId="0"/>
    <xf numFmtId="169" fontId="24" fillId="7" borderId="7" applyAlignment="1" pivotButton="0" quotePrefix="0" xfId="0">
      <alignment horizontal="center"/>
    </xf>
    <xf numFmtId="166" fontId="24" fillId="7" borderId="7" applyAlignment="1" pivotButton="0" quotePrefix="0" xfId="0">
      <alignment horizontal="center"/>
    </xf>
  </cellXfs>
  <cellStyles count="1">
    <cellStyle name="標準" xfId="0" builtinId="0"/>
  </cellStyles>
  <dxfs count="2">
    <dxf>
      <font>
        <name val="Arial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3366"/>
    <outlinePr summaryBelow="1" summaryRight="1"/>
    <pageSetUpPr/>
  </sheetPr>
  <dimension ref="B1:F31"/>
  <sheetViews>
    <sheetView showGridLines="0" tabSelected="1" zoomScale="71" workbookViewId="0">
      <selection activeCell="E29" sqref="E29"/>
    </sheetView>
  </sheetViews>
  <sheetFormatPr baseColWidth="8" defaultRowHeight="13"/>
  <cols>
    <col width="3" customWidth="1" style="90" min="1" max="1"/>
    <col width="42" customWidth="1" style="90" min="2" max="2"/>
    <col width="37" customWidth="1" style="90" min="3" max="3"/>
    <col width="12" customWidth="1" style="90" min="4" max="4"/>
    <col width="15" customWidth="1" style="90" min="5" max="5"/>
    <col width="10" customWidth="1" style="90" min="6" max="6"/>
  </cols>
  <sheetData>
    <row r="1" ht="14" customHeight="1" s="90">
      <c r="B1" s="93" t="inlineStr">
        <is>
          <t>DISCLAIMER: This is a sample analysis for demonstration purposes only. It does not constitute investment advice.</t>
        </is>
      </c>
    </row>
    <row r="3" ht="18" customHeight="1" s="90">
      <c r="B3" s="92" t="inlineStr">
        <is>
          <t>M&amp;A Accretion / Dilution Analysis</t>
        </is>
      </c>
    </row>
    <row r="4" ht="14" customHeight="1" s="90">
      <c r="B4" s="89" t="inlineStr">
        <is>
          <t>Headwaters Inc. (4011.T)  x  BBD Initiative Inc. (5259.T)</t>
        </is>
      </c>
    </row>
    <row r="6" ht="14" customHeight="1" s="90">
      <c r="B6" s="1" t="inlineStr">
        <is>
          <t>Transaction Summary</t>
        </is>
      </c>
      <c r="C6" s="2" t="n"/>
      <c r="D6" s="2" t="n"/>
      <c r="E6" s="2" t="n"/>
      <c r="F6" s="2" t="n"/>
    </row>
    <row r="7" ht="14" customHeight="1" s="90">
      <c r="B7" s="3" t="inlineStr">
        <is>
          <t>Acquirer</t>
        </is>
      </c>
      <c r="C7" s="4" t="inlineStr">
        <is>
          <t>Headwaters Inc. (4011.T)</t>
        </is>
      </c>
    </row>
    <row r="8" ht="14" customHeight="1" s="90">
      <c r="B8" s="3" t="inlineStr">
        <is>
          <t>Target</t>
        </is>
      </c>
      <c r="C8" s="4" t="inlineStr">
        <is>
          <t>BBD Initiative Inc. (5259.T)</t>
        </is>
      </c>
    </row>
    <row r="9" ht="14" customHeight="1" s="90">
      <c r="B9" s="3" t="inlineStr">
        <is>
          <t>Transaction Type</t>
        </is>
      </c>
      <c r="C9" s="4" t="inlineStr">
        <is>
          <t>Absorption Merger (Stock-for-Stock)</t>
        </is>
      </c>
    </row>
    <row r="10" ht="14" customHeight="1" s="90">
      <c r="B10" s="3" t="inlineStr">
        <is>
          <t>Merger Ratio</t>
        </is>
      </c>
      <c r="C10" s="83" t="n">
        <v>0.5</v>
      </c>
    </row>
    <row r="11" ht="14" customHeight="1" s="90">
      <c r="B11" s="3" t="inlineStr">
        <is>
          <t>Deal Value (est.)</t>
        </is>
      </c>
      <c r="C11" s="4" t="inlineStr">
        <is>
          <t>¥6,521 mn</t>
        </is>
      </c>
    </row>
    <row r="12" ht="14" customHeight="1" s="90">
      <c r="B12" s="3" t="inlineStr">
        <is>
          <t>Announcement Date</t>
        </is>
      </c>
      <c r="C12" s="4" t="inlineStr">
        <is>
          <t>2026-01-26</t>
        </is>
      </c>
    </row>
    <row r="13" ht="14" customHeight="1" s="90">
      <c r="B13" s="3" t="inlineStr">
        <is>
          <t>Effective Date</t>
        </is>
      </c>
      <c r="C13" s="4" t="inlineStr">
        <is>
          <t>2026-05-01 (planned)</t>
        </is>
      </c>
    </row>
    <row r="15" ht="14" customHeight="1" s="90">
      <c r="B15" s="1" t="inlineStr">
        <is>
          <t>EPS Impact Summary (FY2026E)</t>
        </is>
      </c>
      <c r="C15" s="2" t="n"/>
      <c r="D15" s="2" t="n"/>
      <c r="E15" s="2" t="n"/>
      <c r="F15" s="2" t="n"/>
    </row>
    <row r="16" ht="28" customHeight="1" s="90">
      <c r="B16" s="5" t="n"/>
      <c r="C16" s="41" t="inlineStr">
        <is>
          <t>Scenario A
(Base)</t>
        </is>
      </c>
      <c r="D16" s="41" t="inlineStr">
        <is>
          <t>Scenario B
(Downside)</t>
        </is>
      </c>
      <c r="E16" s="41" t="inlineStr">
        <is>
          <t>Scenario C
(Synergy 20%)</t>
        </is>
      </c>
      <c r="F16" s="41" t="inlineStr">
        <is>
          <t>Unit</t>
        </is>
      </c>
    </row>
    <row r="17" ht="14" customHeight="1" s="90">
      <c r="B17" s="6" t="inlineStr">
        <is>
          <t>HW Standalone EPS</t>
        </is>
      </c>
      <c r="C17" s="95" t="n">
        <v>60.1</v>
      </c>
      <c r="D17" s="95" t="n">
        <v>60.1</v>
      </c>
      <c r="E17" s="95" t="n">
        <v>60.1</v>
      </c>
      <c r="F17" s="8" t="inlineStr">
        <is>
          <t>JPY</t>
        </is>
      </c>
    </row>
    <row r="18" ht="14" customHeight="1" s="90">
      <c r="B18" s="6" t="inlineStr">
        <is>
          <t>Pro Forma EPS (Diluted)</t>
        </is>
      </c>
      <c r="C18" s="95" t="n">
        <v>36.5</v>
      </c>
      <c r="D18" s="95" t="n">
        <v>-3.7</v>
      </c>
      <c r="E18" s="95" t="n">
        <v>39.1</v>
      </c>
      <c r="F18" s="8" t="inlineStr">
        <is>
          <t>JPY</t>
        </is>
      </c>
    </row>
    <row r="19" ht="14" customHeight="1" s="90">
      <c r="B19" s="9" t="inlineStr">
        <is>
          <t>Accretion / (Dilution)</t>
        </is>
      </c>
      <c r="C19" s="96" t="n">
        <v>-0.37</v>
      </c>
      <c r="D19" s="96" t="n">
        <v>-1.064</v>
      </c>
      <c r="E19" s="96" t="n">
        <v>-0.326</v>
      </c>
      <c r="F19" s="11" t="inlineStr">
        <is>
          <t>%</t>
        </is>
      </c>
    </row>
    <row r="20" ht="14" customHeight="1" s="90">
      <c r="B20" s="6" t="inlineStr">
        <is>
          <t>Break-Even Synergy</t>
        </is>
      </c>
      <c r="C20" s="97" t="n">
        <v>131</v>
      </c>
      <c r="D20" s="97" t="n">
        <v>377</v>
      </c>
      <c r="E20" s="97" t="inlineStr">
        <is>
          <t>n/a</t>
        </is>
      </c>
      <c r="F20" s="8" t="inlineStr">
        <is>
          <t>JPY mn</t>
        </is>
      </c>
    </row>
    <row r="22" ht="14" customHeight="1" s="90">
      <c r="B22" s="1" t="inlineStr">
        <is>
          <t>Key Observations</t>
        </is>
      </c>
      <c r="C22" s="2" t="n"/>
      <c r="D22" s="2" t="n"/>
      <c r="E22" s="2" t="n"/>
      <c r="F22" s="2" t="n"/>
    </row>
    <row r="23" ht="13.5" customHeight="1" s="90">
      <c r="B23" s="91" t="inlineStr">
        <is>
          <t>1. The transaction is dilutive under all scenarios due to the increase in share count.</t>
        </is>
      </c>
    </row>
    <row r="24" ht="13.5" customHeight="1" s="90">
      <c r="B24" s="91" t="inlineStr">
        <is>
          <t>2. Scenario B assumes BBD's FY2025 operating loss continues (¥-245.7 mn contribution).</t>
        </is>
      </c>
    </row>
    <row r="25" ht="13.5" customHeight="1" s="90">
      <c r="B25" s="91" t="inlineStr">
        <is>
          <t>3. 20% revenue synergy (Scenario C) reduces dilution to -32.6% but does not achieve accretion.</t>
        </is>
      </c>
    </row>
    <row r="26" ht="13.5" customHeight="1" s="90">
      <c r="B26" s="91" t="inlineStr">
        <is>
          <t>4. Break-even synergy of ¥131 mn (Base) represents ~2.3% of combined revenue.</t>
        </is>
      </c>
    </row>
    <row r="28" ht="14" customHeight="1" s="90">
      <c r="B28" s="88" t="inlineStr">
        <is>
          <t>Analyst View</t>
        </is>
      </c>
    </row>
    <row r="29" ht="53.5" customHeight="1" s="90">
      <c r="B29" s="98" t="inlineStr">
        <is>
          <t>This merger is structurally dilutive in the short term and represents a high-risk, high-reward transaction for HW shareholders. The critical question is whether HW can convert BBD's SaaS customer base (ARR ¥1,640mn) into an AI-driven revenue stream fast enough to offset the 58.8% share dilution.</t>
        </is>
      </c>
    </row>
    <row r="30" ht="84.5" customHeight="1" s="90">
      <c r="B30" s="98" t="inlineStr">
        <is>
          <t>With BBD's FY2025 operating loss at ¥-351mn and goodwill amortization consuming ¥167mn/year after tax, HW needs at least ¥131mn in annual synergies just to maintain pre-merger EPS levels. Failure to reach this threshold results in persistent EPS dilution. Moreover, if BBD's business turnaround stalls and its recoverable value falls below the carrying amount including ¥4,763mn of goodwill, impairment losses could materialize — delivering a double impact on enterprise value through both ongoing operating losses and a one-time write-down.</t>
        </is>
      </c>
    </row>
    <row r="31" ht="56" customHeight="1" s="90">
      <c r="B31" s="98" t="inlineStr">
        <is>
          <t>On the upside, BBD's recurring subscription base provides a stable foundation for AI integration, and the combined entity could establish a dominant position in Japan's emerging AX (AI Transformation) market. The reward is significant if execution succeeds, but the margin for error is narrow.</t>
        </is>
      </c>
    </row>
  </sheetData>
  <mergeCells count="10">
    <mergeCell ref="B4:F4"/>
    <mergeCell ref="B30:C30"/>
    <mergeCell ref="B29:C29"/>
    <mergeCell ref="B24:F24"/>
    <mergeCell ref="B25:F25"/>
    <mergeCell ref="B3:F3"/>
    <mergeCell ref="B23:F23"/>
    <mergeCell ref="B1:F1"/>
    <mergeCell ref="B31:C31"/>
    <mergeCell ref="B26:F26"/>
  </mergeCell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/>
  </sheetPr>
  <dimension ref="B1:E30"/>
  <sheetViews>
    <sheetView showGridLines="0" zoomScale="60" workbookViewId="0">
      <selection activeCell="F26" sqref="F26"/>
    </sheetView>
  </sheetViews>
  <sheetFormatPr baseColWidth="8" defaultRowHeight="13"/>
  <cols>
    <col width="3" customWidth="1" style="90" min="1" max="1"/>
    <col width="38" customWidth="1" style="90" min="2" max="2"/>
    <col width="17" customWidth="1" style="90" min="3" max="3"/>
    <col width="39" customWidth="1" style="90" min="4" max="4"/>
    <col width="10" customWidth="1" style="90" min="5" max="5"/>
  </cols>
  <sheetData>
    <row r="1" ht="18" customHeight="1" s="90">
      <c r="B1" s="92" t="inlineStr">
        <is>
          <t>Transaction Overview</t>
        </is>
      </c>
    </row>
    <row r="3" ht="14" customHeight="1" s="90">
      <c r="B3" s="1" t="inlineStr">
        <is>
          <t>Share Calculation</t>
        </is>
      </c>
      <c r="C3" s="2" t="n"/>
      <c r="D3" s="2" t="n"/>
      <c r="E3" s="2" t="n"/>
    </row>
    <row r="4" ht="14" customHeight="1" s="90">
      <c r="B4" s="5" t="n"/>
      <c r="C4" s="41" t="inlineStr">
        <is>
          <t>Shares</t>
        </is>
      </c>
      <c r="D4" s="41" t="inlineStr">
        <is>
          <t>Notes</t>
        </is>
      </c>
    </row>
    <row r="5" ht="14" customHeight="1" s="90">
      <c r="B5" s="6" t="inlineStr">
        <is>
          <t>BBD Total Outstanding Shares</t>
        </is>
      </c>
      <c r="C5" s="13" t="n">
        <v>6120221</v>
      </c>
      <c r="D5" s="14" t="inlineStr">
        <is>
          <t>As of latest filing</t>
        </is>
      </c>
    </row>
    <row r="6" ht="14" customHeight="1" s="90">
      <c r="B6" s="6" t="inlineStr">
        <is>
          <t>Less: HW Holdings in BBD</t>
        </is>
      </c>
      <c r="C6" s="13" t="n">
        <v>1599100</v>
      </c>
      <c r="D6" s="14" t="inlineStr">
        <is>
          <t>Acquirer's existing stake</t>
        </is>
      </c>
    </row>
    <row r="7" ht="14" customHeight="1" s="90">
      <c r="B7" s="6" t="inlineStr">
        <is>
          <t>Less: BBD Treasury Shares</t>
        </is>
      </c>
      <c r="C7" s="13" t="n">
        <v>296</v>
      </c>
      <c r="D7" s="14" t="inlineStr">
        <is>
          <t>Treasury stock</t>
        </is>
      </c>
    </row>
    <row r="8" ht="14" customHeight="1" s="90">
      <c r="B8" s="15" t="inlineStr">
        <is>
          <t>Shares Subject to Merger</t>
        </is>
      </c>
      <c r="C8" s="16">
        <f>C5-C6-C7</f>
        <v/>
      </c>
      <c r="D8" s="17">
        <f>Outstanding - HW Holdings - Treasury</f>
        <v/>
      </c>
    </row>
    <row r="9" ht="14" customHeight="1" s="90">
      <c r="B9" s="6" t="inlineStr">
        <is>
          <t>Merger Ratio (HW : BBD)</t>
        </is>
      </c>
      <c r="C9" s="18" t="n">
        <v>0.5</v>
      </c>
      <c r="D9" s="14" t="inlineStr">
        <is>
          <t>1 BBD share = 0.50 HW share</t>
        </is>
      </c>
    </row>
    <row r="10" ht="14" customHeight="1" s="90">
      <c r="B10" s="15" t="inlineStr">
        <is>
          <t>New HW Shares Issued</t>
        </is>
      </c>
      <c r="C10" s="16">
        <f>C8*C9</f>
        <v/>
      </c>
      <c r="D10" s="17">
        <f>Subject Shares x Ratio</f>
        <v/>
      </c>
    </row>
    <row r="11" ht="14" customHeight="1" s="90">
      <c r="B11" s="6" t="n"/>
      <c r="D11" s="14" t="n"/>
    </row>
    <row r="12" ht="14" customHeight="1" s="90">
      <c r="B12" s="6" t="inlineStr">
        <is>
          <t>HW Pre-Merger Shares Outstanding</t>
        </is>
      </c>
      <c r="C12" s="13" t="n">
        <v>3844144</v>
      </c>
      <c r="D12" s="14" t="inlineStr">
        <is>
          <t>Before merger</t>
        </is>
      </c>
    </row>
    <row r="13" ht="14" customHeight="1" s="90">
      <c r="B13" s="6" t="inlineStr">
        <is>
          <t>New HW Shares Issued (from above)</t>
        </is>
      </c>
      <c r="C13" s="19">
        <f>C10</f>
        <v/>
      </c>
      <c r="D13" s="14" t="inlineStr">
        <is>
          <t>Cross-ref</t>
        </is>
      </c>
    </row>
    <row r="14" ht="14" customHeight="1" s="90">
      <c r="B14" s="15" t="inlineStr">
        <is>
          <t>Post-Merger Shares Outstanding</t>
        </is>
      </c>
      <c r="C14" s="20">
        <f>C12+C13</f>
        <v/>
      </c>
      <c r="D14" s="17">
        <f>Pre-Merger + New Shares</f>
        <v/>
      </c>
    </row>
    <row r="15" ht="14" customHeight="1" s="90">
      <c r="B15" s="6" t="inlineStr">
        <is>
          <t>Stock Options Outstanding</t>
        </is>
      </c>
      <c r="C15" s="13" t="n">
        <v>399200</v>
      </c>
      <c r="D15" s="14" t="inlineStr">
        <is>
          <t>Dilutive securities</t>
        </is>
      </c>
    </row>
    <row r="16" ht="14" customHeight="1" s="90">
      <c r="B16" s="15" t="inlineStr">
        <is>
          <t>Fully Diluted Shares</t>
        </is>
      </c>
      <c r="C16" s="20">
        <f>C14+C15</f>
        <v/>
      </c>
      <c r="D16" s="17">
        <f>Post-Merger + Options</f>
        <v/>
      </c>
    </row>
    <row r="18" ht="14" customHeight="1" s="90">
      <c r="B18" s="1" t="inlineStr">
        <is>
          <t>Premium / (Discount) Analysis</t>
        </is>
      </c>
      <c r="C18" s="2" t="n"/>
      <c r="D18" s="2" t="n"/>
      <c r="E18" s="2" t="n"/>
    </row>
    <row r="19" ht="28" customHeight="1" s="90">
      <c r="B19" s="5" t="n"/>
      <c r="C19" s="41" t="inlineStr">
        <is>
          <t>Price (JPY)</t>
        </is>
      </c>
      <c r="D19" s="41" t="inlineStr">
        <is>
          <t>Premium / (Discount)</t>
        </is>
      </c>
      <c r="E19" s="5" t="n"/>
    </row>
    <row r="20" ht="14" customHeight="1" s="90">
      <c r="B20" s="6" t="inlineStr">
        <is>
          <t>HW Share Price (Current)</t>
        </is>
      </c>
      <c r="C20" s="99" t="n">
        <v>2885</v>
      </c>
    </row>
    <row r="21" ht="14" customHeight="1" s="90">
      <c r="B21" s="6" t="inlineStr">
        <is>
          <t>Merger Ratio</t>
        </is>
      </c>
      <c r="C21" s="22">
        <f>C9</f>
        <v/>
      </c>
    </row>
    <row r="22" ht="14" customHeight="1" s="90">
      <c r="B22" s="15" t="inlineStr">
        <is>
          <t>Implied Consideration per BBD Share</t>
        </is>
      </c>
      <c r="C22" s="100">
        <f>C20*C21</f>
        <v/>
      </c>
      <c r="D22" s="86" t="n"/>
    </row>
    <row r="24" ht="14" customHeight="1" s="90">
      <c r="B24" s="6" t="inlineStr">
        <is>
          <t>BBD Pre-Announcement Price</t>
        </is>
      </c>
      <c r="C24" s="99" t="n">
        <v>1591</v>
      </c>
      <c r="D24" s="24" t="inlineStr">
        <is>
          <t>Premium vs Pre-Announce</t>
        </is>
      </c>
    </row>
    <row r="25" ht="14" customHeight="1" s="90">
      <c r="B25" s="6" t="inlineStr">
        <is>
          <t>Premium / (Discount) vs Pre-Announce</t>
        </is>
      </c>
      <c r="C25" s="101">
        <f>C22/C24-1</f>
        <v/>
      </c>
    </row>
    <row r="27" ht="14" customHeight="1" s="90">
      <c r="B27" s="6" t="inlineStr">
        <is>
          <t>BBD Current Price</t>
        </is>
      </c>
      <c r="C27" s="99" t="n">
        <v>1194</v>
      </c>
    </row>
    <row r="28" ht="14" customHeight="1" s="90">
      <c r="B28" s="6" t="inlineStr">
        <is>
          <t>Premium / (Discount) vs Current</t>
        </is>
      </c>
      <c r="C28" s="102">
        <f>C22/C27-1</f>
        <v/>
      </c>
    </row>
    <row r="30" ht="14" customHeight="1" s="90">
      <c r="B30" s="27" t="inlineStr">
        <is>
          <t>Implied Deal Value (mn JPY)</t>
        </is>
      </c>
      <c r="C30" s="85">
        <f>C22*C8/1000000</f>
        <v/>
      </c>
      <c r="D30" s="84" t="n"/>
    </row>
  </sheetData>
  <mergeCells count="1">
    <mergeCell ref="B1:E1"/>
  </mergeCell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B1:I29"/>
  <sheetViews>
    <sheetView showGridLines="0" workbookViewId="0">
      <selection activeCell="H22" sqref="H22"/>
    </sheetView>
  </sheetViews>
  <sheetFormatPr baseColWidth="8" defaultRowHeight="13"/>
  <cols>
    <col width="3" customWidth="1" style="90" min="1" max="1"/>
    <col width="39" customWidth="1" style="90" min="2" max="2"/>
    <col width="10" customWidth="1" style="90" min="3" max="4"/>
    <col width="31" customWidth="1" style="90" min="5" max="5"/>
    <col width="10" customWidth="1" style="90" min="6" max="9"/>
  </cols>
  <sheetData>
    <row r="1" ht="18" customHeight="1" s="90">
      <c r="B1" s="92" t="inlineStr">
        <is>
          <t>Pre-Deal Standalone Financials</t>
        </is>
      </c>
    </row>
    <row r="3" ht="14" customHeight="1" s="90">
      <c r="B3" s="1" t="inlineStr">
        <is>
          <t>Headwaters Inc. (4011.T) — Acquirer</t>
        </is>
      </c>
      <c r="C3" s="2" t="n"/>
      <c r="D3" s="2" t="n"/>
      <c r="E3" s="2" t="n"/>
    </row>
    <row r="4" ht="14" customHeight="1" s="90">
      <c r="B4" s="41" t="inlineStr">
        <is>
          <t>(JPY mn)</t>
        </is>
      </c>
      <c r="C4" s="41" t="inlineStr">
        <is>
          <t>FY2024</t>
        </is>
      </c>
      <c r="D4" s="41" t="inlineStr">
        <is>
          <t>FY2025</t>
        </is>
      </c>
      <c r="E4" s="41" t="inlineStr">
        <is>
          <t>FY2026E</t>
        </is>
      </c>
    </row>
    <row r="5" ht="14" customHeight="1" s="90">
      <c r="B5" s="6" t="inlineStr">
        <is>
          <t>Revenue</t>
        </is>
      </c>
      <c r="C5" s="99" t="n">
        <v>2905</v>
      </c>
      <c r="D5" s="99" t="n">
        <v>3900</v>
      </c>
      <c r="E5" s="99" t="n">
        <v>5764</v>
      </c>
    </row>
    <row r="6" ht="14" customHeight="1" s="90">
      <c r="B6" s="6" t="inlineStr">
        <is>
          <t>Operating Income</t>
        </is>
      </c>
      <c r="C6" s="99" t="n">
        <v>307</v>
      </c>
      <c r="D6" s="99" t="n">
        <v>229</v>
      </c>
      <c r="E6" s="99" t="n">
        <v>436</v>
      </c>
    </row>
    <row r="7" ht="14" customHeight="1" s="90">
      <c r="B7" s="6" t="inlineStr">
        <is>
          <t>D&amp;A</t>
        </is>
      </c>
      <c r="C7" s="99" t="n">
        <v>20</v>
      </c>
      <c r="D7" s="99" t="n">
        <v>27</v>
      </c>
      <c r="E7" s="39" t="n"/>
    </row>
    <row r="8" ht="14" customHeight="1" s="90">
      <c r="B8" s="6" t="inlineStr">
        <is>
          <t>EBITDA</t>
        </is>
      </c>
      <c r="C8" s="103">
        <f>C6+C7</f>
        <v/>
      </c>
      <c r="D8" s="103">
        <f>D6+D7</f>
        <v/>
      </c>
      <c r="E8" s="39" t="n"/>
    </row>
    <row r="9" ht="14" customHeight="1" s="90">
      <c r="B9" s="6" t="inlineStr">
        <is>
          <t>Net Income</t>
        </is>
      </c>
      <c r="C9" s="99" t="n">
        <v>272</v>
      </c>
      <c r="D9" s="99" t="n">
        <v>58</v>
      </c>
      <c r="E9" s="99" t="n">
        <v>223</v>
      </c>
    </row>
    <row r="10" ht="14" customHeight="1" s="90">
      <c r="B10" s="6" t="n"/>
      <c r="C10" s="39" t="n"/>
      <c r="D10" s="39" t="n"/>
      <c r="E10" s="39" t="n"/>
    </row>
    <row r="11" ht="14" customHeight="1" s="90">
      <c r="B11" s="6" t="inlineStr">
        <is>
          <t>Shares Outstanding</t>
        </is>
      </c>
      <c r="C11" s="39" t="n"/>
      <c r="D11" s="39" t="n"/>
      <c r="E11" s="13" t="n">
        <v>3844144</v>
      </c>
    </row>
    <row r="12" ht="14" customHeight="1" s="90">
      <c r="B12" s="6" t="inlineStr">
        <is>
          <t>EPS (JPY)</t>
        </is>
      </c>
      <c r="C12" s="104" t="n">
        <v>72</v>
      </c>
      <c r="D12" s="104" t="n">
        <v>15.3</v>
      </c>
      <c r="E12" s="105">
        <f>E9/E11*1000000</f>
        <v/>
      </c>
    </row>
    <row r="13">
      <c r="B13" s="39" t="n"/>
      <c r="C13" s="39" t="n"/>
      <c r="D13" s="39" t="n"/>
      <c r="E13" s="39" t="n"/>
    </row>
    <row r="14" ht="14" customHeight="1" s="90">
      <c r="B14" s="6" t="inlineStr">
        <is>
          <t>Share Price (JPY)</t>
        </is>
      </c>
      <c r="C14" s="39" t="n"/>
      <c r="D14" s="14" t="inlineStr">
        <is>
          <t>Current</t>
        </is>
      </c>
      <c r="E14" s="99" t="n">
        <v>2885</v>
      </c>
    </row>
    <row r="15" ht="14" customHeight="1" s="90">
      <c r="B15" s="6" t="inlineStr">
        <is>
          <t>Market Cap (mn JPY)</t>
        </is>
      </c>
      <c r="C15" s="39" t="n"/>
      <c r="D15" s="39" t="n"/>
      <c r="E15" s="103">
        <f>E11*E14/1000000</f>
        <v/>
      </c>
    </row>
    <row r="17" ht="14" customHeight="1" s="90">
      <c r="B17" s="1" t="inlineStr">
        <is>
          <t>BBD Initiative Inc. (5259.T) — Target</t>
        </is>
      </c>
      <c r="C17" s="2" t="n"/>
      <c r="D17" s="2" t="n"/>
      <c r="E17" s="2" t="n"/>
    </row>
    <row r="18" ht="14" customHeight="1" s="90">
      <c r="B18" s="41" t="inlineStr">
        <is>
          <t>(JPY mn)</t>
        </is>
      </c>
      <c r="C18" s="41" t="inlineStr">
        <is>
          <t>FY2024</t>
        </is>
      </c>
      <c r="D18" s="41" t="inlineStr">
        <is>
          <t>FY2025</t>
        </is>
      </c>
      <c r="E18" s="41" t="inlineStr">
        <is>
          <t>FY2026E</t>
        </is>
      </c>
    </row>
    <row r="19" ht="14" customHeight="1" s="90">
      <c r="B19" s="6" t="inlineStr">
        <is>
          <t>Revenue</t>
        </is>
      </c>
      <c r="C19" s="99" t="n">
        <v>4131</v>
      </c>
      <c r="D19" s="99" t="n">
        <v>4399</v>
      </c>
      <c r="E19" s="99" t="n">
        <v>4803</v>
      </c>
    </row>
    <row r="20" ht="14" customHeight="1" s="90">
      <c r="B20" s="6" t="inlineStr">
        <is>
          <t>Operating Income</t>
        </is>
      </c>
      <c r="C20" s="99" t="n">
        <v>273</v>
      </c>
      <c r="D20" s="99" t="n">
        <v>-351</v>
      </c>
      <c r="E20" s="39" t="n"/>
    </row>
    <row r="21" ht="14" customHeight="1" s="90">
      <c r="B21" s="6" t="inlineStr">
        <is>
          <t>D&amp;A</t>
        </is>
      </c>
      <c r="C21" s="99" t="n">
        <v>312</v>
      </c>
      <c r="D21" s="99" t="n">
        <v>342</v>
      </c>
      <c r="E21" s="39" t="n"/>
    </row>
    <row r="22" ht="14" customHeight="1" s="90">
      <c r="B22" s="6" t="inlineStr">
        <is>
          <t>EBITDA</t>
        </is>
      </c>
      <c r="C22" s="103">
        <f>C20+C21</f>
        <v/>
      </c>
      <c r="D22" s="103">
        <f>D20+D21</f>
        <v/>
      </c>
      <c r="E22" s="39" t="n"/>
    </row>
    <row r="23" ht="14" customHeight="1" s="90">
      <c r="B23" s="6" t="inlineStr">
        <is>
          <t>Net Income</t>
        </is>
      </c>
      <c r="C23" s="99" t="n">
        <v>156</v>
      </c>
      <c r="D23" s="99" t="n">
        <v>1750</v>
      </c>
      <c r="E23" s="40" t="inlineStr">
        <is>
          <t>* Includes extraordinary gain</t>
        </is>
      </c>
    </row>
    <row r="24" ht="14" customHeight="1" s="90">
      <c r="B24" s="6" t="n"/>
      <c r="C24" s="39" t="n"/>
      <c r="D24" s="39" t="n"/>
      <c r="E24" s="39" t="n"/>
    </row>
    <row r="25" ht="14" customHeight="1" s="90">
      <c r="B25" s="6" t="inlineStr">
        <is>
          <t>Shares Outstanding</t>
        </is>
      </c>
      <c r="C25" s="39" t="n"/>
      <c r="D25" s="39" t="n"/>
      <c r="E25" s="13" t="n">
        <v>6120221</v>
      </c>
    </row>
    <row r="26" ht="14" customHeight="1" s="90">
      <c r="B26" s="6" t="inlineStr">
        <is>
          <t>EPS (JPY)</t>
        </is>
      </c>
      <c r="C26" s="104" t="n">
        <v>31.2</v>
      </c>
      <c r="D26" s="104" t="n">
        <v>-63.6</v>
      </c>
      <c r="E26" s="39" t="n"/>
    </row>
    <row r="27">
      <c r="B27" s="39" t="n"/>
      <c r="C27" s="39" t="n"/>
      <c r="D27" s="39" t="n"/>
      <c r="E27" s="39" t="n"/>
    </row>
    <row r="28" ht="14" customHeight="1" s="90">
      <c r="B28" s="6" t="inlineStr">
        <is>
          <t>Share Price (JPY)</t>
        </is>
      </c>
      <c r="C28" s="39" t="n"/>
      <c r="D28" s="14" t="inlineStr">
        <is>
          <t>Current</t>
        </is>
      </c>
      <c r="E28" s="99" t="n">
        <v>1194</v>
      </c>
    </row>
    <row r="29" ht="14" customHeight="1" s="90">
      <c r="B29" s="6" t="inlineStr">
        <is>
          <t>Market Cap (mn JPY)</t>
        </is>
      </c>
      <c r="C29" s="39" t="n"/>
      <c r="D29" s="39" t="n"/>
      <c r="E29" s="103">
        <f>E25*E28/1000000</f>
        <v/>
      </c>
    </row>
  </sheetData>
  <mergeCells count="1">
    <mergeCell ref="B1:I1"/>
  </mergeCell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/>
  </sheetPr>
  <dimension ref="B1:F31"/>
  <sheetViews>
    <sheetView showGridLines="0" zoomScale="50" workbookViewId="0">
      <selection activeCell="A1" sqref="A1"/>
    </sheetView>
  </sheetViews>
  <sheetFormatPr baseColWidth="8" defaultRowHeight="13"/>
  <cols>
    <col width="3" customWidth="1" style="90" min="1" max="1"/>
    <col width="42" customWidth="1" style="90" min="2" max="5"/>
    <col width="10" customWidth="1" style="90" min="6" max="6"/>
  </cols>
  <sheetData>
    <row r="1" ht="18" customHeight="1" s="90">
      <c r="B1" s="92" t="inlineStr">
        <is>
          <t>Pro Forma EPS — Accretion / Dilution Analysis</t>
        </is>
      </c>
    </row>
    <row r="3" ht="14" customHeight="1" s="90">
      <c r="B3" s="1" t="inlineStr">
        <is>
          <t>Key Assumptions (FY2026E)</t>
        </is>
      </c>
      <c r="C3" s="2" t="n"/>
      <c r="D3" s="2" t="n"/>
      <c r="E3" s="2" t="n"/>
    </row>
    <row r="4" ht="28" customHeight="1" s="90">
      <c r="B4" s="5" t="n"/>
      <c r="C4" s="41" t="inlineStr">
        <is>
          <t>Scenario A
(Base)</t>
        </is>
      </c>
      <c r="D4" s="41" t="inlineStr">
        <is>
          <t>Scenario B
(Downside)</t>
        </is>
      </c>
      <c r="E4" s="41" t="inlineStr">
        <is>
          <t>Scenario C
(Synergy)</t>
        </is>
      </c>
    </row>
    <row r="5" ht="14" customHeight="1" s="90">
      <c r="B5" s="6" t="inlineStr">
        <is>
          <t>HW Net Income (mn JPY)</t>
        </is>
      </c>
      <c r="C5" s="106">
        <f>'Pre-Deal Financials'!E9</f>
        <v/>
      </c>
      <c r="D5" s="106">
        <f>'Pre-Deal Financials'!E9</f>
        <v/>
      </c>
      <c r="E5" s="106">
        <f>'Pre-Deal Financials'!E9</f>
        <v/>
      </c>
    </row>
    <row r="6" ht="14" customHeight="1" s="90">
      <c r="B6" s="6" t="inlineStr">
        <is>
          <t>BBD Contribution to NI (mn JPY)</t>
        </is>
      </c>
      <c r="C6" s="107" t="n">
        <v>0</v>
      </c>
      <c r="D6" s="107" t="n">
        <v>-245.7</v>
      </c>
      <c r="E6" s="107" t="n">
        <v>0</v>
      </c>
    </row>
    <row r="7" ht="14" customHeight="1" s="90">
      <c r="B7" s="6" t="inlineStr">
        <is>
          <t>Revenue Synergy (%)</t>
        </is>
      </c>
      <c r="C7" s="108" t="n">
        <v>0</v>
      </c>
      <c r="D7" s="108" t="n">
        <v>0</v>
      </c>
      <c r="E7" s="108" t="n">
        <v>0.2</v>
      </c>
    </row>
    <row r="8" ht="14" customHeight="1" s="90">
      <c r="B8" s="6" t="inlineStr">
        <is>
          <t>Combined Revenue Base (mn JPY)</t>
        </is>
      </c>
      <c r="C8" s="109">
        <f>'Pre-Deal Financials'!E5+'Pre-Deal Financials'!E19</f>
        <v/>
      </c>
      <c r="D8" s="109">
        <f>'Pre-Deal Financials'!E5+'Pre-Deal Financials'!E19</f>
        <v/>
      </c>
      <c r="E8" s="109">
        <f>'Pre-Deal Financials'!E5+'Pre-Deal Financials'!E19</f>
        <v/>
      </c>
    </row>
    <row r="9" ht="14" customHeight="1" s="90">
      <c r="B9" s="6" t="inlineStr">
        <is>
          <t>Synergy Amount (mn JPY)</t>
        </is>
      </c>
      <c r="C9" s="103">
        <f>C5*C7</f>
        <v/>
      </c>
      <c r="D9" s="103">
        <f>D5*D7</f>
        <v/>
      </c>
      <c r="E9" s="103">
        <f>E5*E7</f>
        <v/>
      </c>
    </row>
    <row r="10" ht="14" customHeight="1" s="90">
      <c r="B10" s="6" t="inlineStr">
        <is>
          <t>Tax Rate on Synergies</t>
        </is>
      </c>
      <c r="C10" s="108" t="n">
        <v>0.3</v>
      </c>
      <c r="D10" s="108" t="n">
        <v>0.3</v>
      </c>
      <c r="E10" s="108" t="n">
        <v>0.3</v>
      </c>
    </row>
    <row r="11" ht="14" customHeight="1" s="90">
      <c r="B11" s="6" t="inlineStr">
        <is>
          <t>After-Tax Synergy (mn JPY)</t>
        </is>
      </c>
      <c r="C11" s="105">
        <f>C9*(1-C10)</f>
        <v/>
      </c>
      <c r="D11" s="105">
        <f>D9*(1-D10)</f>
        <v/>
      </c>
      <c r="E11" s="105">
        <f>E9*(1-E10)</f>
        <v/>
      </c>
    </row>
    <row r="13" ht="14" customHeight="1" s="90">
      <c r="B13" s="1" t="inlineStr">
        <is>
          <t>Share Count (from Transaction Overview)</t>
        </is>
      </c>
      <c r="C13" s="2" t="n"/>
      <c r="D13" s="2" t="n"/>
      <c r="E13" s="2" t="n"/>
    </row>
    <row r="14" ht="14" customHeight="1" s="90">
      <c r="B14" s="6" t="inlineStr">
        <is>
          <t>HW Pre-Merger Shares</t>
        </is>
      </c>
      <c r="C14" s="35">
        <f>'Transaction Overview'!C12</f>
        <v/>
      </c>
    </row>
    <row r="15" ht="14" customHeight="1" s="90">
      <c r="B15" s="6" t="inlineStr">
        <is>
          <t>Post-Merger Shares</t>
        </is>
      </c>
      <c r="C15" s="35">
        <f>'Transaction Overview'!C14</f>
        <v/>
      </c>
    </row>
    <row r="16" ht="14" customHeight="1" s="90">
      <c r="B16" s="6" t="inlineStr">
        <is>
          <t>Fully Diluted Shares</t>
        </is>
      </c>
      <c r="C16" s="35">
        <f>'Transaction Overview'!C16</f>
        <v/>
      </c>
    </row>
    <row r="18" ht="14" customHeight="1" s="90">
      <c r="B18" s="1" t="inlineStr">
        <is>
          <t>Pro Forma EPS Calculation</t>
        </is>
      </c>
      <c r="C18" s="2" t="n"/>
      <c r="D18" s="2" t="n"/>
      <c r="E18" s="2" t="n"/>
    </row>
    <row r="19" ht="28" customHeight="1" s="90">
      <c r="B19" s="5" t="n"/>
      <c r="C19" s="41" t="inlineStr">
        <is>
          <t>Scenario A
(Base)</t>
        </is>
      </c>
      <c r="D19" s="41" t="inlineStr">
        <is>
          <t>Scenario B
(Downside)</t>
        </is>
      </c>
      <c r="E19" s="41" t="inlineStr">
        <is>
          <t>Scenario C
(Synergy)</t>
        </is>
      </c>
    </row>
    <row r="20" ht="14" customHeight="1" s="90">
      <c r="B20" s="15" t="inlineStr">
        <is>
          <t>Pro Forma Net Income (mn JPY)</t>
        </is>
      </c>
      <c r="C20" s="110">
        <f>C5+C6+C11</f>
        <v/>
      </c>
      <c r="D20" s="110">
        <f>D5+D6+D11</f>
        <v/>
      </c>
      <c r="E20" s="110">
        <f>E5+E6+E11</f>
        <v/>
      </c>
    </row>
    <row r="21" ht="14" customHeight="1" s="90">
      <c r="B21" s="6" t="inlineStr">
        <is>
          <t>PF EPS — Basic (JPY)</t>
        </is>
      </c>
      <c r="C21" s="105">
        <f>C20/$C$15*1000000</f>
        <v/>
      </c>
      <c r="D21" s="105">
        <f>D20/$C$15*1000000</f>
        <v/>
      </c>
      <c r="E21" s="105">
        <f>E20/$C$15*1000000</f>
        <v/>
      </c>
    </row>
    <row r="22" ht="14" customHeight="1" s="90">
      <c r="B22" s="15" t="inlineStr">
        <is>
          <t>PF EPS — Diluted (JPY)</t>
        </is>
      </c>
      <c r="C22" s="110">
        <f>C20/$C$16*1000000</f>
        <v/>
      </c>
      <c r="D22" s="110">
        <f>D20/$C$16*1000000</f>
        <v/>
      </c>
      <c r="E22" s="110">
        <f>E20/$C$16*1000000</f>
        <v/>
      </c>
    </row>
    <row r="24" ht="14" customHeight="1" s="90">
      <c r="B24" s="6" t="inlineStr">
        <is>
          <t>HW Standalone EPS (JPY)</t>
        </is>
      </c>
      <c r="C24" s="105">
        <f>C5/$C$14*1000000</f>
        <v/>
      </c>
      <c r="D24" s="105">
        <f>D5/$C$14*1000000</f>
        <v/>
      </c>
      <c r="E24" s="105">
        <f>E5/$C$14*1000000</f>
        <v/>
      </c>
    </row>
    <row r="25" ht="14" customHeight="1" s="90">
      <c r="B25" s="6" t="inlineStr">
        <is>
          <t>Accretion / (Dilution) (JPY)</t>
        </is>
      </c>
      <c r="C25" s="105">
        <f>C22-C24</f>
        <v/>
      </c>
      <c r="D25" s="105">
        <f>D22-D24</f>
        <v/>
      </c>
      <c r="E25" s="105">
        <f>E22-E24</f>
        <v/>
      </c>
    </row>
    <row r="26" ht="14" customHeight="1" s="90">
      <c r="B26" s="27" t="inlineStr">
        <is>
          <t>Accretion / (Dilution) (%)</t>
        </is>
      </c>
      <c r="C26" s="111">
        <f>C22/C24-1</f>
        <v/>
      </c>
      <c r="D26" s="111">
        <f>D22/D24-1</f>
        <v/>
      </c>
      <c r="E26" s="111">
        <f>E22/E24-1</f>
        <v/>
      </c>
    </row>
    <row r="28" ht="14" customHeight="1" s="90">
      <c r="B28" s="1" t="inlineStr">
        <is>
          <t>Break-Even Synergy Analysis</t>
        </is>
      </c>
      <c r="C28" s="2" t="n"/>
      <c r="D28" s="2" t="n"/>
      <c r="E28" s="2" t="n"/>
    </row>
    <row r="29" ht="14" customHeight="1" s="90">
      <c r="B29" s="6" t="inlineStr">
        <is>
          <t>Required PF NI to match Standalone EPS (mn)</t>
        </is>
      </c>
      <c r="C29" s="105">
        <f>C24*$C$16/1000000</f>
        <v/>
      </c>
      <c r="D29" s="105">
        <f>D24*$C$16/1000000</f>
        <v/>
      </c>
    </row>
    <row r="30" ht="14" customHeight="1" s="90">
      <c r="B30" s="6" t="inlineStr">
        <is>
          <t>Less: HW NI + BBD Contribution (mn)</t>
        </is>
      </c>
      <c r="C30" s="105">
        <f>C5+C6</f>
        <v/>
      </c>
      <c r="D30" s="105">
        <f>D5+D6</f>
        <v/>
      </c>
    </row>
    <row r="31" ht="14" customHeight="1" s="90">
      <c r="B31" s="27" t="inlineStr">
        <is>
          <t>Break-Even Pre-Tax Synergy (mn JPY)</t>
        </is>
      </c>
      <c r="C31" s="112">
        <f>(C29-C30)/(1-C10)</f>
        <v/>
      </c>
      <c r="D31" s="112">
        <f>(D29-D30)/(1-D10)</f>
        <v/>
      </c>
      <c r="E31" s="38" t="inlineStr">
        <is>
          <t>n/a (already has synergy)</t>
        </is>
      </c>
    </row>
  </sheetData>
  <mergeCells count="1">
    <mergeCell ref="B1:F1"/>
  </mergeCells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zoomScale="68" workbookViewId="0">
      <selection activeCell="A1" sqref="A1"/>
    </sheetView>
  </sheetViews>
  <sheetFormatPr baseColWidth="8" defaultRowHeight="13"/>
  <cols>
    <col width="38" customWidth="1" style="90" min="2" max="2"/>
    <col width="20" customWidth="1" style="90" min="3" max="3"/>
    <col width="30" customWidth="1" style="90" min="4" max="4"/>
    <col width="18" customWidth="1" style="90" min="5" max="5"/>
  </cols>
  <sheetData>
    <row r="1" ht="16.5" customHeight="1" s="90">
      <c r="A1" s="42" t="n"/>
      <c r="B1" s="43" t="inlineStr">
        <is>
          <t>Transaction Multiples</t>
        </is>
      </c>
      <c r="C1" s="42" t="n"/>
      <c r="D1" s="42" t="n"/>
    </row>
    <row r="2">
      <c r="A2" s="42" t="n"/>
      <c r="B2" s="42" t="n"/>
      <c r="C2" s="42" t="n"/>
      <c r="D2" s="42" t="n"/>
    </row>
    <row r="3" ht="14" customHeight="1" s="90">
      <c r="A3" s="42" t="n"/>
      <c r="B3" s="44" t="inlineStr">
        <is>
          <t>Deal Value Calculation</t>
        </is>
      </c>
      <c r="C3" s="45" t="n"/>
      <c r="D3" s="45" t="n"/>
    </row>
    <row r="4" ht="14" customHeight="1" s="90">
      <c r="A4" s="42" t="n"/>
      <c r="B4" s="42" t="n"/>
      <c r="C4" s="46" t="inlineStr">
        <is>
          <t>Value</t>
        </is>
      </c>
      <c r="D4" s="46" t="inlineStr">
        <is>
          <t>Unit</t>
        </is>
      </c>
    </row>
    <row r="5" ht="14" customHeight="1" s="90">
      <c r="A5" s="42" t="n"/>
      <c r="B5" s="47" t="inlineStr">
        <is>
          <t>New HW Shares Issued</t>
        </is>
      </c>
      <c r="C5" s="113">
        <f>'Transaction Overview'!C10</f>
        <v/>
      </c>
      <c r="D5" s="49" t="inlineStr">
        <is>
          <t>shares</t>
        </is>
      </c>
    </row>
    <row r="6" ht="14" customHeight="1" s="90">
      <c r="A6" s="42" t="n"/>
      <c r="B6" s="47" t="inlineStr">
        <is>
          <t>HW Share Price (JPY)</t>
        </is>
      </c>
      <c r="C6" s="113">
        <f>'Pre-Deal Financials'!E14</f>
        <v/>
      </c>
      <c r="D6" s="49" t="inlineStr">
        <is>
          <t>JPY</t>
        </is>
      </c>
    </row>
    <row r="7" ht="14" customHeight="1" s="90">
      <c r="A7" s="42" t="n"/>
      <c r="B7" s="47" t="inlineStr">
        <is>
          <t>Equity Value (Deal)</t>
        </is>
      </c>
      <c r="C7" s="114">
        <f>C5*C6/1000000</f>
        <v/>
      </c>
      <c r="D7" s="49" t="inlineStr">
        <is>
          <t>mn JPY</t>
        </is>
      </c>
    </row>
    <row r="8" ht="14" customHeight="1" s="90">
      <c r="A8" s="42" t="n"/>
      <c r="B8" s="51" t="inlineStr">
        <is>
          <t>BBD Total Assets</t>
        </is>
      </c>
      <c r="C8" s="115" t="n">
        <v>3989</v>
      </c>
      <c r="D8" s="49" t="inlineStr">
        <is>
          <t>mn JPY</t>
        </is>
      </c>
    </row>
    <row r="9" ht="14" customHeight="1" s="90">
      <c r="A9" s="42" t="n"/>
      <c r="B9" s="51" t="inlineStr">
        <is>
          <t>BBD Equity</t>
        </is>
      </c>
      <c r="C9" s="115" t="n">
        <v>1758</v>
      </c>
      <c r="D9" s="49" t="inlineStr">
        <is>
          <t>mn JPY</t>
        </is>
      </c>
    </row>
    <row r="10" ht="14" customHeight="1" s="90">
      <c r="A10" s="42" t="n"/>
      <c r="B10" s="47" t="inlineStr">
        <is>
          <t>BBD Net Debt</t>
        </is>
      </c>
      <c r="C10" s="114">
        <f>C8-C9</f>
        <v/>
      </c>
      <c r="D10" s="49" t="inlineStr">
        <is>
          <t>mn JPY</t>
        </is>
      </c>
    </row>
    <row r="11" ht="14" customHeight="1" s="90">
      <c r="A11" s="42" t="n"/>
      <c r="B11" s="53" t="inlineStr">
        <is>
          <t>Enterprise Value (Deal)</t>
        </is>
      </c>
      <c r="C11" s="116">
        <f>C7+C10</f>
        <v/>
      </c>
      <c r="D11" s="55" t="inlineStr">
        <is>
          <t>mn JPY</t>
        </is>
      </c>
    </row>
    <row r="12">
      <c r="A12" s="42" t="n"/>
      <c r="B12" s="42" t="n"/>
      <c r="C12" s="42" t="n"/>
      <c r="D12" s="42" t="n"/>
    </row>
    <row r="13" ht="14" customHeight="1" s="90">
      <c r="A13" s="42" t="n"/>
      <c r="B13" s="44" t="inlineStr">
        <is>
          <t>Implied Multiples (FY2024)</t>
        </is>
      </c>
      <c r="C13" s="45" t="n"/>
      <c r="D13" s="45" t="n"/>
    </row>
    <row r="14" ht="14" customHeight="1" s="90">
      <c r="A14" s="42" t="n"/>
      <c r="B14" s="42" t="n"/>
      <c r="C14" s="46" t="inlineStr">
        <is>
          <t>Multiple</t>
        </is>
      </c>
      <c r="D14" s="46" t="inlineStr">
        <is>
          <t>Basis</t>
        </is>
      </c>
    </row>
    <row r="15" ht="14" customHeight="1" s="90">
      <c r="A15" s="42" t="n"/>
      <c r="B15" s="51" t="inlineStr">
        <is>
          <t>BBD Revenue (FY2024)</t>
        </is>
      </c>
      <c r="C15" s="115" t="n">
        <v>4131</v>
      </c>
      <c r="D15" s="49" t="inlineStr">
        <is>
          <t>mn JPY</t>
        </is>
      </c>
    </row>
    <row r="16" ht="14" customHeight="1" s="90">
      <c r="A16" s="42" t="n"/>
      <c r="B16" s="47" t="inlineStr">
        <is>
          <t>EV / Revenue</t>
        </is>
      </c>
      <c r="C16" s="117">
        <f>$C$11/C15</f>
        <v/>
      </c>
      <c r="D16" s="49" t="inlineStr">
        <is>
          <t>x</t>
        </is>
      </c>
    </row>
    <row r="17" ht="14" customHeight="1" s="90">
      <c r="A17" s="42" t="n"/>
      <c r="B17" s="51" t="inlineStr">
        <is>
          <t>BBD EBITDA (FY2024)</t>
        </is>
      </c>
      <c r="C17" s="115" t="n">
        <v>585</v>
      </c>
      <c r="D17" s="49" t="inlineStr">
        <is>
          <t>mn JPY</t>
        </is>
      </c>
    </row>
    <row r="18" ht="14" customHeight="1" s="90">
      <c r="A18" s="42" t="n"/>
      <c r="B18" s="47" t="inlineStr">
        <is>
          <t>EV / EBITDA</t>
        </is>
      </c>
      <c r="C18" s="117">
        <f>$C$11/C17</f>
        <v/>
      </c>
      <c r="D18" s="49" t="inlineStr">
        <is>
          <t>x</t>
        </is>
      </c>
    </row>
    <row r="19" ht="14" customHeight="1" s="90">
      <c r="A19" s="42" t="n"/>
      <c r="B19" s="51" t="inlineStr">
        <is>
          <t>BBD EPS (FY2024, JPY)</t>
        </is>
      </c>
      <c r="C19" s="118" t="n">
        <v>31.2</v>
      </c>
      <c r="D19" s="49" t="inlineStr">
        <is>
          <t>JPY</t>
        </is>
      </c>
    </row>
    <row r="20" ht="14" customHeight="1" s="90">
      <c r="A20" s="42" t="n"/>
      <c r="B20" s="47" t="inlineStr">
        <is>
          <t>Implied Consideration per BBD Share</t>
        </is>
      </c>
      <c r="C20" s="113">
        <f>C6*'Transaction Overview'!C9</f>
        <v/>
      </c>
      <c r="D20" s="49" t="inlineStr">
        <is>
          <t>JPY</t>
        </is>
      </c>
    </row>
    <row r="21" ht="14" customHeight="1" s="90">
      <c r="A21" s="42" t="n"/>
      <c r="B21" s="47" t="inlineStr">
        <is>
          <t>PER (FY2024)</t>
        </is>
      </c>
      <c r="C21" s="117">
        <f>C20/C19</f>
        <v/>
      </c>
      <c r="D21" s="49" t="inlineStr">
        <is>
          <t>x</t>
        </is>
      </c>
    </row>
    <row r="22" ht="14" customHeight="1" s="90">
      <c r="A22" s="42" t="n"/>
      <c r="B22" s="51" t="inlineStr">
        <is>
          <t>BBD ARR (FY2024)</t>
        </is>
      </c>
      <c r="C22" s="115" t="n">
        <v>1640</v>
      </c>
      <c r="D22" s="49" t="inlineStr">
        <is>
          <t>mn JPY</t>
        </is>
      </c>
    </row>
    <row r="23" ht="14" customHeight="1" s="90">
      <c r="A23" s="42" t="n"/>
      <c r="B23" s="47" t="inlineStr">
        <is>
          <t>EV / ARR</t>
        </is>
      </c>
      <c r="C23" s="117">
        <f>$C$11/C22</f>
        <v/>
      </c>
      <c r="D23" s="49" t="inlineStr">
        <is>
          <t>x</t>
        </is>
      </c>
    </row>
    <row r="24">
      <c r="A24" s="42" t="n"/>
      <c r="B24" s="42" t="n"/>
      <c r="C24" s="42" t="n"/>
      <c r="D24" s="42" t="n"/>
    </row>
    <row r="25" ht="14" customHeight="1" s="90">
      <c r="A25" s="42" t="n"/>
      <c r="B25" s="44" t="inlineStr">
        <is>
          <t>Implied Multiples (FY2025)</t>
        </is>
      </c>
      <c r="C25" s="45" t="n"/>
      <c r="D25" s="45" t="n"/>
    </row>
    <row r="26" ht="14" customHeight="1" s="90">
      <c r="A26" s="42" t="n"/>
      <c r="B26" s="42" t="n"/>
      <c r="C26" s="46" t="inlineStr">
        <is>
          <t>Multiple</t>
        </is>
      </c>
      <c r="D26" s="46" t="inlineStr">
        <is>
          <t>Basis</t>
        </is>
      </c>
    </row>
    <row r="27" ht="14" customHeight="1" s="90">
      <c r="A27" s="42" t="n"/>
      <c r="B27" s="51" t="inlineStr">
        <is>
          <t>BBD Revenue (FY2025)</t>
        </is>
      </c>
      <c r="C27" s="115" t="n">
        <v>4399</v>
      </c>
      <c r="D27" s="49" t="inlineStr">
        <is>
          <t>mn JPY</t>
        </is>
      </c>
    </row>
    <row r="28" ht="14" customHeight="1" s="90">
      <c r="A28" s="42" t="n"/>
      <c r="B28" s="47" t="inlineStr">
        <is>
          <t>EV / Revenue</t>
        </is>
      </c>
      <c r="C28" s="117">
        <f>$C$11/C27</f>
        <v/>
      </c>
      <c r="D28" s="49" t="inlineStr">
        <is>
          <t>x</t>
        </is>
      </c>
    </row>
    <row r="29" ht="14" customHeight="1" s="90">
      <c r="A29" s="42" t="n"/>
      <c r="B29" s="58" t="inlineStr">
        <is>
          <t>EV / EBITDA</t>
        </is>
      </c>
      <c r="C29" s="58" t="inlineStr">
        <is>
          <t>N/M</t>
        </is>
      </c>
      <c r="D29" s="49" t="inlineStr">
        <is>
          <t>Negative EBITDA</t>
        </is>
      </c>
    </row>
    <row r="30" ht="14" customHeight="1" s="90">
      <c r="A30" s="42" t="n"/>
      <c r="B30" s="58" t="inlineStr">
        <is>
          <t>PER</t>
        </is>
      </c>
      <c r="C30" s="58" t="inlineStr">
        <is>
          <t>N/M</t>
        </is>
      </c>
      <c r="D30" s="49" t="inlineStr">
        <is>
          <t>Negative Earnings</t>
        </is>
      </c>
    </row>
    <row r="31">
      <c r="A31" s="42" t="n"/>
      <c r="B31" s="42" t="n"/>
      <c r="C31" s="42" t="n"/>
      <c r="D31" s="42" t="n"/>
    </row>
    <row r="32" ht="14" customHeight="1" s="90">
      <c r="A32" s="42" t="n"/>
      <c r="B32" s="44" t="inlineStr">
        <is>
          <t>Merger Ratio Validation</t>
        </is>
      </c>
      <c r="C32" s="45" t="n"/>
      <c r="D32" s="45" t="n"/>
    </row>
    <row r="33" ht="14" customHeight="1" s="90">
      <c r="A33" s="42" t="n"/>
      <c r="B33" s="42" t="n"/>
      <c r="C33" s="46" t="inlineStr">
        <is>
          <t>Ratio</t>
        </is>
      </c>
      <c r="D33" s="46" t="inlineStr">
        <is>
          <t>Method</t>
        </is>
      </c>
    </row>
    <row r="34" ht="14" customHeight="1" s="90">
      <c r="A34" s="42" t="n"/>
      <c r="B34" s="59" t="inlineStr">
        <is>
          <t>BBD Current Price</t>
        </is>
      </c>
      <c r="C34" s="113">
        <f>'Pre-Deal Financials'!E28</f>
        <v/>
      </c>
      <c r="D34" s="49" t="inlineStr">
        <is>
          <t>JPY</t>
        </is>
      </c>
    </row>
    <row r="35" ht="14" customHeight="1" s="90">
      <c r="A35" s="42" t="n"/>
      <c r="B35" s="59" t="inlineStr">
        <is>
          <t>HW Share Price</t>
        </is>
      </c>
      <c r="C35" s="113">
        <f>'Pre-Deal Financials'!E14</f>
        <v/>
      </c>
      <c r="D35" s="49" t="inlineStr">
        <is>
          <t>JPY</t>
        </is>
      </c>
    </row>
    <row r="36" ht="14" customHeight="1" s="90">
      <c r="A36" s="42" t="n"/>
      <c r="B36" s="47" t="inlineStr">
        <is>
          <t>Market Price Method</t>
        </is>
      </c>
      <c r="C36" s="119">
        <f>C34/C35</f>
        <v/>
      </c>
      <c r="D36" s="49" t="inlineStr">
        <is>
          <t>BBD Price / HW Price</t>
        </is>
      </c>
    </row>
    <row r="37" ht="13.5" customHeight="1" s="90">
      <c r="A37" s="42" t="n"/>
      <c r="B37" s="51" t="inlineStr">
        <is>
          <t>HW EPS (FY2024, JPY)</t>
        </is>
      </c>
      <c r="C37" s="118" t="n">
        <v>72</v>
      </c>
      <c r="D37" s="61" t="n"/>
    </row>
    <row r="38" ht="14" customHeight="1" s="90">
      <c r="A38" s="42" t="n"/>
      <c r="B38" s="47" t="inlineStr">
        <is>
          <t>PER Method</t>
        </is>
      </c>
      <c r="C38" s="119">
        <f>(C19*(C35/C37))/C35</f>
        <v/>
      </c>
      <c r="D38" s="49" t="inlineStr">
        <is>
          <t>(BBD EPS x HW PER) / HW Price</t>
        </is>
      </c>
    </row>
    <row r="39" ht="14" customHeight="1" s="90">
      <c r="A39" s="42" t="n"/>
      <c r="B39" s="62" t="inlineStr">
        <is>
          <t>Actual Merger Ratio</t>
        </is>
      </c>
      <c r="C39" s="120">
        <f>'Transaction Overview'!C9</f>
        <v/>
      </c>
      <c r="D39" s="64" t="inlineStr">
        <is>
          <t>From deal terms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zoomScale="87" workbookViewId="0">
      <selection activeCell="H12" sqref="H12"/>
    </sheetView>
  </sheetViews>
  <sheetFormatPr baseColWidth="8" defaultRowHeight="13"/>
  <cols>
    <col width="36" customWidth="1" style="90" min="2" max="2"/>
    <col width="18" customWidth="1" style="90" min="3" max="5"/>
    <col width="20" customWidth="1" style="90" min="6" max="6"/>
  </cols>
  <sheetData>
    <row r="1" ht="16.5" customHeight="1" s="90">
      <c r="A1" s="42" t="n"/>
      <c r="B1" s="43" t="inlineStr">
        <is>
          <t>Pro Forma Balance Sheet (Simplified)</t>
        </is>
      </c>
      <c r="C1" s="42" t="n"/>
      <c r="D1" s="42" t="n"/>
      <c r="E1" s="42" t="n"/>
      <c r="F1" s="42" t="n"/>
    </row>
    <row r="2">
      <c r="A2" s="42" t="n"/>
      <c r="B2" s="42" t="n"/>
      <c r="C2" s="42" t="n"/>
      <c r="D2" s="42" t="n"/>
      <c r="E2" s="42" t="n"/>
      <c r="F2" s="42" t="n"/>
    </row>
    <row r="3" ht="26" customHeight="1" s="90">
      <c r="A3" s="42" t="n"/>
      <c r="B3" s="65" t="inlineStr">
        <is>
          <t>(mn JPY)</t>
        </is>
      </c>
      <c r="C3" s="65" t="inlineStr">
        <is>
          <t>HW
(Pre-Merger)</t>
        </is>
      </c>
      <c r="D3" s="65" t="inlineStr">
        <is>
          <t>BBD
(Pre-Merger)</t>
        </is>
      </c>
      <c r="E3" s="65" t="inlineStr">
        <is>
          <t>Adjustments</t>
        </is>
      </c>
      <c r="F3" s="65" t="inlineStr">
        <is>
          <t>Pro Forma
(Combined)</t>
        </is>
      </c>
    </row>
    <row r="4" ht="14" customHeight="1" s="90">
      <c r="A4" s="42" t="n"/>
      <c r="B4" s="44" t="inlineStr">
        <is>
          <t>Total Assets (excl. Goodwill)</t>
        </is>
      </c>
      <c r="C4" s="45" t="n"/>
      <c r="D4" s="45" t="n"/>
      <c r="E4" s="45" t="n"/>
      <c r="F4" s="45" t="n"/>
    </row>
    <row r="5" ht="13.5" customHeight="1" s="90">
      <c r="A5" s="42" t="n"/>
      <c r="B5" s="47" t="inlineStr">
        <is>
          <t>Total Assets</t>
        </is>
      </c>
      <c r="C5" s="115" t="n">
        <v>1800</v>
      </c>
      <c r="D5" s="115" t="n">
        <v>3989</v>
      </c>
      <c r="E5" s="47" t="n"/>
      <c r="F5" s="114">
        <f>C5+D5</f>
        <v/>
      </c>
    </row>
    <row r="6">
      <c r="A6" s="42" t="n"/>
      <c r="B6" s="42" t="n"/>
      <c r="C6" s="42" t="n"/>
      <c r="D6" s="42" t="n"/>
      <c r="E6" s="42" t="n"/>
      <c r="F6" s="42" t="n"/>
    </row>
    <row r="7" ht="14" customHeight="1" s="90">
      <c r="A7" s="42" t="n"/>
      <c r="B7" s="44" t="inlineStr">
        <is>
          <t>Goodwill</t>
        </is>
      </c>
      <c r="C7" s="45" t="n"/>
      <c r="D7" s="45" t="n"/>
      <c r="E7" s="45" t="n"/>
      <c r="F7" s="45" t="n"/>
    </row>
    <row r="8" ht="14" customHeight="1" s="90">
      <c r="A8" s="42" t="n"/>
      <c r="B8" s="59" t="inlineStr">
        <is>
          <t>Equity Value (Deal)</t>
        </is>
      </c>
      <c r="C8" s="61" t="n"/>
      <c r="D8" s="61" t="n"/>
      <c r="E8" s="113">
        <f>'Transaction Multiples'!C7</f>
        <v/>
      </c>
      <c r="F8" s="49" t="n"/>
    </row>
    <row r="9" ht="13.5" customHeight="1" s="90">
      <c r="A9" s="42" t="n"/>
      <c r="B9" s="51" t="inlineStr">
        <is>
          <t>Less: BBD Book Equity</t>
        </is>
      </c>
      <c r="C9" s="61" t="n"/>
      <c r="D9" s="61" t="n"/>
      <c r="E9" s="114">
        <f>-D12</f>
        <v/>
      </c>
      <c r="F9" s="61" t="n"/>
    </row>
    <row r="10" ht="14" customHeight="1" s="90">
      <c r="A10" s="42" t="n"/>
      <c r="B10" s="66" t="inlineStr">
        <is>
          <t>Goodwill Created</t>
        </is>
      </c>
      <c r="C10" s="66" t="n"/>
      <c r="D10" s="66" t="n"/>
      <c r="E10" s="121">
        <f>E8+E9</f>
        <v/>
      </c>
      <c r="F10" s="121">
        <f>E10</f>
        <v/>
      </c>
    </row>
    <row r="11" ht="14" customHeight="1" s="90">
      <c r="A11" s="42" t="n"/>
      <c r="B11" s="68" t="inlineStr">
        <is>
          <t>Pro Forma Total Assets</t>
        </is>
      </c>
      <c r="C11" s="69" t="n"/>
      <c r="D11" s="69" t="n"/>
      <c r="E11" s="69" t="n"/>
      <c r="F11" s="122">
        <f>F5+F10</f>
        <v/>
      </c>
    </row>
    <row r="12" ht="13.5" customHeight="1" s="90">
      <c r="A12" s="42" t="n"/>
      <c r="B12" s="47" t="inlineStr">
        <is>
          <t>Total Equity</t>
        </is>
      </c>
      <c r="C12" s="115" t="n">
        <v>1273</v>
      </c>
      <c r="D12" s="115" t="n">
        <v>1758</v>
      </c>
      <c r="E12" s="114">
        <f>E8</f>
        <v/>
      </c>
      <c r="F12" s="114">
        <f>C12+E8</f>
        <v/>
      </c>
    </row>
    <row r="13" ht="13.5" customHeight="1" s="90">
      <c r="A13" s="42" t="n"/>
      <c r="B13" s="47" t="inlineStr">
        <is>
          <t>Total Debt</t>
        </is>
      </c>
      <c r="C13" s="115" t="n">
        <v>527</v>
      </c>
      <c r="D13" s="115" t="n">
        <v>2231</v>
      </c>
      <c r="E13" s="61" t="n"/>
      <c r="F13" s="114">
        <f>C13+D13</f>
        <v/>
      </c>
    </row>
    <row r="14" ht="14" customHeight="1" s="90">
      <c r="A14" s="42" t="n"/>
      <c r="B14" s="71" t="inlineStr">
        <is>
          <t>Check: Assets = Equity + Debt</t>
        </is>
      </c>
      <c r="C14" s="72" t="n"/>
      <c r="D14" s="72" t="n"/>
      <c r="E14" s="72" t="n"/>
      <c r="F14" s="123">
        <f>F11-(F12+F13)</f>
        <v/>
      </c>
    </row>
    <row r="15">
      <c r="A15" s="42" t="n"/>
      <c r="B15" s="42" t="n"/>
      <c r="C15" s="42" t="n"/>
      <c r="D15" s="42" t="n"/>
      <c r="E15" s="42" t="n"/>
      <c r="F15" s="42" t="n"/>
    </row>
    <row r="16" ht="14" customHeight="1" s="90">
      <c r="A16" s="42" t="n"/>
      <c r="B16" s="74" t="inlineStr">
        <is>
          <t>Key Ratios</t>
        </is>
      </c>
      <c r="C16" s="75" t="inlineStr">
        <is>
          <t>HW Pre</t>
        </is>
      </c>
      <c r="D16" s="75" t="inlineStr">
        <is>
          <t>BBD Pre</t>
        </is>
      </c>
      <c r="E16" s="76" t="n"/>
      <c r="F16" s="75" t="inlineStr">
        <is>
          <t>Post-Merger</t>
        </is>
      </c>
    </row>
    <row r="17" ht="13.5" customHeight="1" s="90">
      <c r="A17" s="42" t="n"/>
      <c r="B17" s="47" t="inlineStr">
        <is>
          <t>Debt / Equity (D/E)</t>
        </is>
      </c>
      <c r="C17" s="117">
        <f>C13/C12</f>
        <v/>
      </c>
      <c r="D17" s="117">
        <f>D13/D12</f>
        <v/>
      </c>
      <c r="E17" s="61" t="n"/>
      <c r="F17" s="117">
        <f>F13/F12</f>
        <v/>
      </c>
    </row>
    <row r="18" ht="13.5" customHeight="1" s="90">
      <c r="A18" s="42" t="n"/>
      <c r="B18" s="47" t="inlineStr">
        <is>
          <t>Goodwill % of Total Assets</t>
        </is>
      </c>
      <c r="C18" s="61" t="n"/>
      <c r="D18" s="61" t="n"/>
      <c r="E18" s="61" t="n"/>
      <c r="F18" s="124">
        <f>F10/F11</f>
        <v/>
      </c>
    </row>
    <row r="19">
      <c r="A19" s="42" t="n"/>
      <c r="B19" s="42" t="n"/>
      <c r="C19" s="42" t="n"/>
      <c r="D19" s="42" t="n"/>
      <c r="E19" s="42" t="n"/>
      <c r="F19" s="42" t="n"/>
    </row>
    <row r="20" ht="14" customHeight="1" s="90">
      <c r="A20" s="42" t="n"/>
      <c r="B20" s="74" t="inlineStr">
        <is>
          <t>Goodwill Amortization</t>
        </is>
      </c>
      <c r="C20" s="78" t="n"/>
      <c r="D20" s="78" t="n"/>
      <c r="E20" s="78" t="n"/>
      <c r="F20" s="78" t="n"/>
    </row>
    <row r="21" ht="13.5" customHeight="1" s="90">
      <c r="A21" s="42" t="n"/>
      <c r="B21" s="51" t="inlineStr">
        <is>
          <t>Useful Life (years)</t>
        </is>
      </c>
      <c r="C21" s="51" t="n">
        <v>20</v>
      </c>
      <c r="D21" s="61" t="n"/>
      <c r="E21" s="61" t="n"/>
      <c r="F21" s="61" t="n"/>
    </row>
    <row r="22" ht="13.5" customHeight="1" s="90">
      <c r="A22" s="42" t="n"/>
      <c r="B22" s="47" t="inlineStr">
        <is>
          <t>Annual Amortization (mn JPY)</t>
        </is>
      </c>
      <c r="C22" s="114">
        <f>F10/C21</f>
        <v/>
      </c>
      <c r="D22" s="61" t="n"/>
      <c r="E22" s="61" t="n"/>
      <c r="F22" s="61" t="n"/>
    </row>
    <row r="23" ht="13.5" customHeight="1" s="90">
      <c r="A23" s="42" t="n"/>
      <c r="B23" s="47" t="inlineStr">
        <is>
          <t>Annual After-Tax Impact (30% tax)</t>
        </is>
      </c>
      <c r="C23" s="114">
        <f>C22*(1-0.3)</f>
        <v/>
      </c>
      <c r="D23" s="61" t="n"/>
      <c r="E23" s="61" t="n"/>
      <c r="F23" s="6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zoomScale="61" workbookViewId="0">
      <selection activeCell="C9" sqref="C9"/>
    </sheetView>
  </sheetViews>
  <sheetFormatPr baseColWidth="8" defaultRowHeight="13"/>
  <cols>
    <col width="30" customWidth="1" style="90" min="2" max="2"/>
    <col width="14" customWidth="1" style="90" min="3" max="9"/>
  </cols>
  <sheetData>
    <row r="1" ht="16.5" customHeight="1" s="90">
      <c r="A1" s="42" t="n"/>
      <c r="B1" s="43" t="inlineStr">
        <is>
          <t>Sensitivity Analysis — Pro Forma EPS</t>
        </is>
      </c>
      <c r="C1" s="42" t="n"/>
      <c r="D1" s="42" t="n"/>
      <c r="E1" s="42" t="n"/>
      <c r="F1" s="42" t="n"/>
      <c r="G1" s="42" t="n"/>
      <c r="H1" s="42" t="n"/>
      <c r="I1" s="42" t="n"/>
    </row>
    <row r="2">
      <c r="A2" s="42" t="n"/>
      <c r="B2" s="42" t="n"/>
      <c r="C2" s="42" t="n"/>
      <c r="D2" s="42" t="n"/>
      <c r="E2" s="42" t="n"/>
      <c r="F2" s="42" t="n"/>
      <c r="G2" s="42" t="n"/>
      <c r="H2" s="42" t="n"/>
      <c r="I2" s="42" t="n"/>
    </row>
    <row r="3" ht="14" customHeight="1" s="90">
      <c r="A3" s="42" t="n"/>
      <c r="B3" s="44" t="inlineStr">
        <is>
          <t>Key Parameters</t>
        </is>
      </c>
      <c r="C3" s="45" t="n"/>
      <c r="D3" s="42" t="n"/>
      <c r="E3" s="42" t="n"/>
      <c r="F3" s="42" t="n"/>
      <c r="G3" s="42" t="n"/>
      <c r="H3" s="42" t="n"/>
      <c r="I3" s="42" t="n"/>
    </row>
    <row r="4" ht="13.5" customHeight="1" s="90">
      <c r="A4" s="42" t="n"/>
      <c r="B4" s="59" t="inlineStr">
        <is>
          <t>HW Net Income (mn JPY)</t>
        </is>
      </c>
      <c r="C4" s="113">
        <f>'Pre-Deal Financials'!E9</f>
        <v/>
      </c>
      <c r="D4" s="42" t="n"/>
      <c r="E4" s="42" t="n"/>
      <c r="F4" s="42" t="n"/>
      <c r="G4" s="42" t="n"/>
      <c r="H4" s="42" t="n"/>
      <c r="I4" s="42" t="n"/>
    </row>
    <row r="5" ht="13.5" customHeight="1" s="90">
      <c r="A5" s="42" t="n"/>
      <c r="B5" s="59" t="inlineStr">
        <is>
          <t>Fully Diluted Shares</t>
        </is>
      </c>
      <c r="C5" s="113">
        <f>'Transaction Overview'!C16</f>
        <v/>
      </c>
      <c r="D5" s="42" t="n"/>
      <c r="E5" s="42" t="n"/>
      <c r="F5" s="42" t="n"/>
      <c r="G5" s="42" t="n"/>
      <c r="H5" s="42" t="n"/>
      <c r="I5" s="42" t="n"/>
    </row>
    <row r="6" ht="13.5" customHeight="1" s="90">
      <c r="A6" s="42" t="n"/>
      <c r="B6" s="59" t="inlineStr">
        <is>
          <t>HW Pre-Merger Shares</t>
        </is>
      </c>
      <c r="C6" s="113">
        <f>'Transaction Overview'!C12</f>
        <v/>
      </c>
      <c r="D6" s="42" t="n"/>
      <c r="E6" s="42" t="n"/>
      <c r="F6" s="42" t="n"/>
      <c r="G6" s="42" t="n"/>
      <c r="H6" s="42" t="n"/>
      <c r="I6" s="42" t="n"/>
    </row>
    <row r="7" ht="13.5" customHeight="1" s="90">
      <c r="A7" s="42" t="n"/>
      <c r="B7" s="47" t="inlineStr">
        <is>
          <t>Standalone EPS (JPY)</t>
        </is>
      </c>
      <c r="C7" s="125">
        <f>C4/C6*1000000</f>
        <v/>
      </c>
      <c r="D7" s="42" t="n"/>
      <c r="E7" s="42" t="n"/>
      <c r="F7" s="42" t="n"/>
      <c r="G7" s="42" t="n"/>
      <c r="H7" s="42" t="n"/>
      <c r="I7" s="42" t="n"/>
    </row>
    <row r="8" ht="13.5" customHeight="1" s="90">
      <c r="A8" s="42" t="n"/>
      <c r="B8" s="51" t="inlineStr">
        <is>
          <t>Tax Rate</t>
        </is>
      </c>
      <c r="C8" s="126" t="n">
        <v>0.3062</v>
      </c>
      <c r="D8" s="42" t="n"/>
      <c r="E8" s="42" t="n"/>
      <c r="F8" s="42" t="n"/>
      <c r="G8" s="42" t="n"/>
      <c r="H8" s="42" t="n"/>
      <c r="I8" s="42" t="n"/>
    </row>
    <row r="9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</row>
    <row r="10" ht="14" customHeight="1" s="90">
      <c r="A10" s="42" t="n"/>
      <c r="B10" s="44" t="inlineStr">
        <is>
          <t>Table 1: Pro Forma EPS (JPY)</t>
        </is>
      </c>
      <c r="C10" s="45" t="n"/>
      <c r="D10" s="45" t="n"/>
      <c r="E10" s="45" t="n"/>
      <c r="F10" s="45" t="n"/>
      <c r="G10" s="45" t="n"/>
      <c r="H10" s="45" t="n"/>
      <c r="I10" s="45" t="n"/>
    </row>
    <row r="11" ht="14" customHeight="1" s="90">
      <c r="A11" s="42" t="n"/>
      <c r="B11" s="46" t="inlineStr">
        <is>
          <t>BBD Op Profit Impr. \ Synergy %</t>
        </is>
      </c>
      <c r="C11" s="127" t="n">
        <v>0</v>
      </c>
      <c r="D11" s="127" t="n">
        <v>0.05</v>
      </c>
      <c r="E11" s="127" t="n">
        <v>0.1</v>
      </c>
      <c r="F11" s="127" t="n">
        <v>0.15</v>
      </c>
      <c r="G11" s="127" t="n">
        <v>0.2</v>
      </c>
      <c r="H11" s="127" t="n">
        <v>0.25</v>
      </c>
      <c r="I11" s="127" t="n">
        <v>0.3</v>
      </c>
    </row>
    <row r="12" ht="14" customHeight="1" s="90">
      <c r="A12" s="42" t="n"/>
      <c r="B12" s="128" t="n">
        <v>-400</v>
      </c>
      <c r="C12" s="125">
        <f>($C$4+$B12*(1-$C$8)+$C$4*C$11*(1-$C$8))/$C$5*1000000</f>
        <v/>
      </c>
      <c r="D12" s="125">
        <f>($C$4+$B12*(1-$C$8)+$C$4*D$11*(1-$C$8))/$C$5*1000000</f>
        <v/>
      </c>
      <c r="E12" s="125">
        <f>($C$4+$B12*(1-$C$8)+$C$4*E$11*(1-$C$8))/$C$5*1000000</f>
        <v/>
      </c>
      <c r="F12" s="125">
        <f>($C$4+$B12*(1-$C$8)+$C$4*F$11*(1-$C$8))/$C$5*1000000</f>
        <v/>
      </c>
      <c r="G12" s="125">
        <f>($C$4+$B12*(1-$C$8)+$C$4*G$11*(1-$C$8))/$C$5*1000000</f>
        <v/>
      </c>
      <c r="H12" s="125">
        <f>($C$4+$B12*(1-$C$8)+$C$4*H$11*(1-$C$8))/$C$5*1000000</f>
        <v/>
      </c>
      <c r="I12" s="125">
        <f>($C$4+$B12*(1-$C$8)+$C$4*I$11*(1-$C$8))/$C$5*1000000</f>
        <v/>
      </c>
    </row>
    <row r="13" ht="14" customHeight="1" s="90">
      <c r="A13" s="42" t="n"/>
      <c r="B13" s="128" t="n">
        <v>-300</v>
      </c>
      <c r="C13" s="125">
        <f>($C$4+$B13*(1-$C$8)+$C$4*C$11*(1-$C$8))/$C$5*1000000</f>
        <v/>
      </c>
      <c r="D13" s="125">
        <f>($C$4+$B13*(1-$C$8)+$C$4*D$11*(1-$C$8))/$C$5*1000000</f>
        <v/>
      </c>
      <c r="E13" s="125">
        <f>($C$4+$B13*(1-$C$8)+$C$4*E$11*(1-$C$8))/$C$5*1000000</f>
        <v/>
      </c>
      <c r="F13" s="125">
        <f>($C$4+$B13*(1-$C$8)+$C$4*F$11*(1-$C$8))/$C$5*1000000</f>
        <v/>
      </c>
      <c r="G13" s="125">
        <f>($C$4+$B13*(1-$C$8)+$C$4*G$11*(1-$C$8))/$C$5*1000000</f>
        <v/>
      </c>
      <c r="H13" s="125">
        <f>($C$4+$B13*(1-$C$8)+$C$4*H$11*(1-$C$8))/$C$5*1000000</f>
        <v/>
      </c>
      <c r="I13" s="125">
        <f>($C$4+$B13*(1-$C$8)+$C$4*I$11*(1-$C$8))/$C$5*1000000</f>
        <v/>
      </c>
    </row>
    <row r="14" ht="14" customHeight="1" s="90">
      <c r="A14" s="42" t="n"/>
      <c r="B14" s="128" t="n">
        <v>-200</v>
      </c>
      <c r="C14" s="125">
        <f>($C$4+$B14*(1-$C$8)+$C$4*C$11*(1-$C$8))/$C$5*1000000</f>
        <v/>
      </c>
      <c r="D14" s="125">
        <f>($C$4+$B14*(1-$C$8)+$C$4*D$11*(1-$C$8))/$C$5*1000000</f>
        <v/>
      </c>
      <c r="E14" s="125">
        <f>($C$4+$B14*(1-$C$8)+$C$4*E$11*(1-$C$8))/$C$5*1000000</f>
        <v/>
      </c>
      <c r="F14" s="125">
        <f>($C$4+$B14*(1-$C$8)+$C$4*F$11*(1-$C$8))/$C$5*1000000</f>
        <v/>
      </c>
      <c r="G14" s="125">
        <f>($C$4+$B14*(1-$C$8)+$C$4*G$11*(1-$C$8))/$C$5*1000000</f>
        <v/>
      </c>
      <c r="H14" s="125">
        <f>($C$4+$B14*(1-$C$8)+$C$4*H$11*(1-$C$8))/$C$5*1000000</f>
        <v/>
      </c>
      <c r="I14" s="125">
        <f>($C$4+$B14*(1-$C$8)+$C$4*I$11*(1-$C$8))/$C$5*1000000</f>
        <v/>
      </c>
    </row>
    <row r="15" ht="14" customHeight="1" s="90">
      <c r="A15" s="42" t="n"/>
      <c r="B15" s="128" t="n">
        <v>-100</v>
      </c>
      <c r="C15" s="125">
        <f>($C$4+$B15*(1-$C$8)+$C$4*C$11*(1-$C$8))/$C$5*1000000</f>
        <v/>
      </c>
      <c r="D15" s="125">
        <f>($C$4+$B15*(1-$C$8)+$C$4*D$11*(1-$C$8))/$C$5*1000000</f>
        <v/>
      </c>
      <c r="E15" s="125">
        <f>($C$4+$B15*(1-$C$8)+$C$4*E$11*(1-$C$8))/$C$5*1000000</f>
        <v/>
      </c>
      <c r="F15" s="125">
        <f>($C$4+$B15*(1-$C$8)+$C$4*F$11*(1-$C$8))/$C$5*1000000</f>
        <v/>
      </c>
      <c r="G15" s="125">
        <f>($C$4+$B15*(1-$C$8)+$C$4*G$11*(1-$C$8))/$C$5*1000000</f>
        <v/>
      </c>
      <c r="H15" s="125">
        <f>($C$4+$B15*(1-$C$8)+$C$4*H$11*(1-$C$8))/$C$5*1000000</f>
        <v/>
      </c>
      <c r="I15" s="125">
        <f>($C$4+$B15*(1-$C$8)+$C$4*I$11*(1-$C$8))/$C$5*1000000</f>
        <v/>
      </c>
    </row>
    <row r="16" ht="14" customHeight="1" s="90">
      <c r="A16" s="42" t="n"/>
      <c r="B16" s="128" t="n">
        <v>0</v>
      </c>
      <c r="C16" s="125">
        <f>($C$4+$B16*(1-$C$8)+$C$4*C$11*(1-$C$8))/$C$5*1000000</f>
        <v/>
      </c>
      <c r="D16" s="125">
        <f>($C$4+$B16*(1-$C$8)+$C$4*D$11*(1-$C$8))/$C$5*1000000</f>
        <v/>
      </c>
      <c r="E16" s="125">
        <f>($C$4+$B16*(1-$C$8)+$C$4*E$11*(1-$C$8))/$C$5*1000000</f>
        <v/>
      </c>
      <c r="F16" s="125">
        <f>($C$4+$B16*(1-$C$8)+$C$4*F$11*(1-$C$8))/$C$5*1000000</f>
        <v/>
      </c>
      <c r="G16" s="125">
        <f>($C$4+$B16*(1-$C$8)+$C$4*G$11*(1-$C$8))/$C$5*1000000</f>
        <v/>
      </c>
      <c r="H16" s="125">
        <f>($C$4+$B16*(1-$C$8)+$C$4*H$11*(1-$C$8))/$C$5*1000000</f>
        <v/>
      </c>
      <c r="I16" s="125">
        <f>($C$4+$B16*(1-$C$8)+$C$4*I$11*(1-$C$8))/$C$5*1000000</f>
        <v/>
      </c>
    </row>
    <row r="17" ht="14" customHeight="1" s="90">
      <c r="A17" s="42" t="n"/>
      <c r="B17" s="128" t="n">
        <v>100</v>
      </c>
      <c r="C17" s="125">
        <f>($C$4+$B17*(1-$C$8)+$C$4*C$11*(1-$C$8))/$C$5*1000000</f>
        <v/>
      </c>
      <c r="D17" s="125">
        <f>($C$4+$B17*(1-$C$8)+$C$4*D$11*(1-$C$8))/$C$5*1000000</f>
        <v/>
      </c>
      <c r="E17" s="125">
        <f>($C$4+$B17*(1-$C$8)+$C$4*E$11*(1-$C$8))/$C$5*1000000</f>
        <v/>
      </c>
      <c r="F17" s="125">
        <f>($C$4+$B17*(1-$C$8)+$C$4*F$11*(1-$C$8))/$C$5*1000000</f>
        <v/>
      </c>
      <c r="G17" s="125">
        <f>($C$4+$B17*(1-$C$8)+$C$4*G$11*(1-$C$8))/$C$5*1000000</f>
        <v/>
      </c>
      <c r="H17" s="125">
        <f>($C$4+$B17*(1-$C$8)+$C$4*H$11*(1-$C$8))/$C$5*1000000</f>
        <v/>
      </c>
      <c r="I17" s="125">
        <f>($C$4+$B17*(1-$C$8)+$C$4*I$11*(1-$C$8))/$C$5*1000000</f>
        <v/>
      </c>
    </row>
    <row r="18" ht="14" customHeight="1" s="90">
      <c r="A18" s="42" t="n"/>
      <c r="B18" s="128" t="n">
        <v>200</v>
      </c>
      <c r="C18" s="125">
        <f>($C$4+$B18*(1-$C$8)+$C$4*C$11*(1-$C$8))/$C$5*1000000</f>
        <v/>
      </c>
      <c r="D18" s="125">
        <f>($C$4+$B18*(1-$C$8)+$C$4*D$11*(1-$C$8))/$C$5*1000000</f>
        <v/>
      </c>
      <c r="E18" s="125">
        <f>($C$4+$B18*(1-$C$8)+$C$4*E$11*(1-$C$8))/$C$5*1000000</f>
        <v/>
      </c>
      <c r="F18" s="125">
        <f>($C$4+$B18*(1-$C$8)+$C$4*F$11*(1-$C$8))/$C$5*1000000</f>
        <v/>
      </c>
      <c r="G18" s="125">
        <f>($C$4+$B18*(1-$C$8)+$C$4*G$11*(1-$C$8))/$C$5*1000000</f>
        <v/>
      </c>
      <c r="H18" s="125">
        <f>($C$4+$B18*(1-$C$8)+$C$4*H$11*(1-$C$8))/$C$5*1000000</f>
        <v/>
      </c>
      <c r="I18" s="125">
        <f>($C$4+$B18*(1-$C$8)+$C$4*I$11*(1-$C$8))/$C$5*1000000</f>
        <v/>
      </c>
    </row>
    <row r="19" ht="14" customHeight="1" s="90">
      <c r="A19" s="42" t="n"/>
      <c r="B19" s="128" t="n">
        <v>300</v>
      </c>
      <c r="C19" s="125">
        <f>($C$4+$B19*(1-$C$8)+$C$4*C$11*(1-$C$8))/$C$5*1000000</f>
        <v/>
      </c>
      <c r="D19" s="125">
        <f>($C$4+$B19*(1-$C$8)+$C$4*D$11*(1-$C$8))/$C$5*1000000</f>
        <v/>
      </c>
      <c r="E19" s="125">
        <f>($C$4+$B19*(1-$C$8)+$C$4*E$11*(1-$C$8))/$C$5*1000000</f>
        <v/>
      </c>
      <c r="F19" s="125">
        <f>($C$4+$B19*(1-$C$8)+$C$4*F$11*(1-$C$8))/$C$5*1000000</f>
        <v/>
      </c>
      <c r="G19" s="125">
        <f>($C$4+$B19*(1-$C$8)+$C$4*G$11*(1-$C$8))/$C$5*1000000</f>
        <v/>
      </c>
      <c r="H19" s="125">
        <f>($C$4+$B19*(1-$C$8)+$C$4*H$11*(1-$C$8))/$C$5*1000000</f>
        <v/>
      </c>
      <c r="I19" s="125">
        <f>($C$4+$B19*(1-$C$8)+$C$4*I$11*(1-$C$8))/$C$5*1000000</f>
        <v/>
      </c>
    </row>
    <row r="20" ht="14" customHeight="1" s="90">
      <c r="A20" s="42" t="n"/>
      <c r="B20" s="128" t="n">
        <v>400</v>
      </c>
      <c r="C20" s="125">
        <f>($C$4+$B20*(1-$C$8)+$C$4*C$11*(1-$C$8))/$C$5*1000000</f>
        <v/>
      </c>
      <c r="D20" s="125">
        <f>($C$4+$B20*(1-$C$8)+$C$4*D$11*(1-$C$8))/$C$5*1000000</f>
        <v/>
      </c>
      <c r="E20" s="125">
        <f>($C$4+$B20*(1-$C$8)+$C$4*E$11*(1-$C$8))/$C$5*1000000</f>
        <v/>
      </c>
      <c r="F20" s="125">
        <f>($C$4+$B20*(1-$C$8)+$C$4*F$11*(1-$C$8))/$C$5*1000000</f>
        <v/>
      </c>
      <c r="G20" s="125">
        <f>($C$4+$B20*(1-$C$8)+$C$4*G$11*(1-$C$8))/$C$5*1000000</f>
        <v/>
      </c>
      <c r="H20" s="125">
        <f>($C$4+$B20*(1-$C$8)+$C$4*H$11*(1-$C$8))/$C$5*1000000</f>
        <v/>
      </c>
      <c r="I20" s="125">
        <f>($C$4+$B20*(1-$C$8)+$C$4*I$11*(1-$C$8))/$C$5*1000000</f>
        <v/>
      </c>
    </row>
    <row r="21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</row>
    <row r="22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</row>
    <row r="23" ht="14" customHeight="1" s="90">
      <c r="A23" s="42" t="n"/>
      <c r="B23" s="44" t="inlineStr">
        <is>
          <t>Table 2: Accretion / Dilution (%)</t>
        </is>
      </c>
      <c r="C23" s="45" t="n"/>
      <c r="D23" s="45" t="n"/>
      <c r="E23" s="45" t="n"/>
      <c r="F23" s="45" t="n"/>
      <c r="G23" s="45" t="n"/>
      <c r="H23" s="45" t="n"/>
      <c r="I23" s="45" t="n"/>
    </row>
    <row r="24" ht="14" customHeight="1" s="90">
      <c r="A24" s="42" t="n"/>
      <c r="B24" s="46" t="inlineStr">
        <is>
          <t>BBD Op Profit Impr. \ Synergy %</t>
        </is>
      </c>
      <c r="C24" s="127" t="n">
        <v>0</v>
      </c>
      <c r="D24" s="127" t="n">
        <v>0.05</v>
      </c>
      <c r="E24" s="127" t="n">
        <v>0.1</v>
      </c>
      <c r="F24" s="127" t="n">
        <v>0.15</v>
      </c>
      <c r="G24" s="127" t="n">
        <v>0.2</v>
      </c>
      <c r="H24" s="127" t="n">
        <v>0.25</v>
      </c>
      <c r="I24" s="127" t="n">
        <v>0.3</v>
      </c>
    </row>
    <row r="25" ht="14" customHeight="1" s="90">
      <c r="A25" s="42" t="n"/>
      <c r="B25" s="128" t="n">
        <v>-400</v>
      </c>
      <c r="C25" s="124">
        <f>C12/$C$7-1</f>
        <v/>
      </c>
      <c r="D25" s="124">
        <f>D12/$C$7-1</f>
        <v/>
      </c>
      <c r="E25" s="124">
        <f>E12/$C$7-1</f>
        <v/>
      </c>
      <c r="F25" s="124">
        <f>F12/$C$7-1</f>
        <v/>
      </c>
      <c r="G25" s="124">
        <f>G12/$C$7-1</f>
        <v/>
      </c>
      <c r="H25" s="124">
        <f>H12/$C$7-1</f>
        <v/>
      </c>
      <c r="I25" s="124">
        <f>I12/$C$7-1</f>
        <v/>
      </c>
    </row>
    <row r="26" ht="14" customHeight="1" s="90">
      <c r="A26" s="42" t="n"/>
      <c r="B26" s="128" t="n">
        <v>-300</v>
      </c>
      <c r="C26" s="124">
        <f>C13/$C$7-1</f>
        <v/>
      </c>
      <c r="D26" s="124">
        <f>D13/$C$7-1</f>
        <v/>
      </c>
      <c r="E26" s="124">
        <f>E13/$C$7-1</f>
        <v/>
      </c>
      <c r="F26" s="124">
        <f>F13/$C$7-1</f>
        <v/>
      </c>
      <c r="G26" s="124">
        <f>G13/$C$7-1</f>
        <v/>
      </c>
      <c r="H26" s="124">
        <f>H13/$C$7-1</f>
        <v/>
      </c>
      <c r="I26" s="124">
        <f>I13/$C$7-1</f>
        <v/>
      </c>
    </row>
    <row r="27" ht="14" customHeight="1" s="90">
      <c r="A27" s="42" t="n"/>
      <c r="B27" s="128" t="n">
        <v>-200</v>
      </c>
      <c r="C27" s="124">
        <f>C14/$C$7-1</f>
        <v/>
      </c>
      <c r="D27" s="124">
        <f>D14/$C$7-1</f>
        <v/>
      </c>
      <c r="E27" s="124">
        <f>E14/$C$7-1</f>
        <v/>
      </c>
      <c r="F27" s="124">
        <f>F14/$C$7-1</f>
        <v/>
      </c>
      <c r="G27" s="124">
        <f>G14/$C$7-1</f>
        <v/>
      </c>
      <c r="H27" s="124">
        <f>H14/$C$7-1</f>
        <v/>
      </c>
      <c r="I27" s="124">
        <f>I14/$C$7-1</f>
        <v/>
      </c>
    </row>
    <row r="28" ht="14" customHeight="1" s="90">
      <c r="A28" s="42" t="n"/>
      <c r="B28" s="128" t="n">
        <v>-100</v>
      </c>
      <c r="C28" s="124">
        <f>C15/$C$7-1</f>
        <v/>
      </c>
      <c r="D28" s="124">
        <f>D15/$C$7-1</f>
        <v/>
      </c>
      <c r="E28" s="124">
        <f>E15/$C$7-1</f>
        <v/>
      </c>
      <c r="F28" s="124">
        <f>F15/$C$7-1</f>
        <v/>
      </c>
      <c r="G28" s="124">
        <f>G15/$C$7-1</f>
        <v/>
      </c>
      <c r="H28" s="124">
        <f>H15/$C$7-1</f>
        <v/>
      </c>
      <c r="I28" s="124">
        <f>I15/$C$7-1</f>
        <v/>
      </c>
    </row>
    <row r="29" ht="14" customHeight="1" s="90">
      <c r="A29" s="42" t="n"/>
      <c r="B29" s="128" t="n">
        <v>0</v>
      </c>
      <c r="C29" s="124">
        <f>C16/$C$7-1</f>
        <v/>
      </c>
      <c r="D29" s="124">
        <f>D16/$C$7-1</f>
        <v/>
      </c>
      <c r="E29" s="124">
        <f>E16/$C$7-1</f>
        <v/>
      </c>
      <c r="F29" s="124">
        <f>F16/$C$7-1</f>
        <v/>
      </c>
      <c r="G29" s="124">
        <f>G16/$C$7-1</f>
        <v/>
      </c>
      <c r="H29" s="124">
        <f>H16/$C$7-1</f>
        <v/>
      </c>
      <c r="I29" s="124">
        <f>I16/$C$7-1</f>
        <v/>
      </c>
    </row>
    <row r="30" ht="14" customHeight="1" s="90">
      <c r="A30" s="42" t="n"/>
      <c r="B30" s="128" t="n">
        <v>100</v>
      </c>
      <c r="C30" s="124">
        <f>C17/$C$7-1</f>
        <v/>
      </c>
      <c r="D30" s="124">
        <f>D17/$C$7-1</f>
        <v/>
      </c>
      <c r="E30" s="124">
        <f>E17/$C$7-1</f>
        <v/>
      </c>
      <c r="F30" s="124">
        <f>F17/$C$7-1</f>
        <v/>
      </c>
      <c r="G30" s="124">
        <f>G17/$C$7-1</f>
        <v/>
      </c>
      <c r="H30" s="124">
        <f>H17/$C$7-1</f>
        <v/>
      </c>
      <c r="I30" s="124">
        <f>I17/$C$7-1</f>
        <v/>
      </c>
    </row>
    <row r="31" ht="14" customHeight="1" s="90">
      <c r="A31" s="42" t="n"/>
      <c r="B31" s="128" t="n">
        <v>200</v>
      </c>
      <c r="C31" s="124">
        <f>C18/$C$7-1</f>
        <v/>
      </c>
      <c r="D31" s="124">
        <f>D18/$C$7-1</f>
        <v/>
      </c>
      <c r="E31" s="124">
        <f>E18/$C$7-1</f>
        <v/>
      </c>
      <c r="F31" s="124">
        <f>F18/$C$7-1</f>
        <v/>
      </c>
      <c r="G31" s="124">
        <f>G18/$C$7-1</f>
        <v/>
      </c>
      <c r="H31" s="124">
        <f>H18/$C$7-1</f>
        <v/>
      </c>
      <c r="I31" s="124">
        <f>I18/$C$7-1</f>
        <v/>
      </c>
    </row>
    <row r="32" ht="14" customHeight="1" s="90">
      <c r="A32" s="42" t="n"/>
      <c r="B32" s="128" t="n">
        <v>300</v>
      </c>
      <c r="C32" s="124">
        <f>C19/$C$7-1</f>
        <v/>
      </c>
      <c r="D32" s="124">
        <f>D19/$C$7-1</f>
        <v/>
      </c>
      <c r="E32" s="124">
        <f>E19/$C$7-1</f>
        <v/>
      </c>
      <c r="F32" s="124">
        <f>F19/$C$7-1</f>
        <v/>
      </c>
      <c r="G32" s="124">
        <f>G19/$C$7-1</f>
        <v/>
      </c>
      <c r="H32" s="124">
        <f>H19/$C$7-1</f>
        <v/>
      </c>
      <c r="I32" s="124">
        <f>I19/$C$7-1</f>
        <v/>
      </c>
    </row>
    <row r="33" ht="14" customHeight="1" s="90">
      <c r="A33" s="42" t="n"/>
      <c r="B33" s="128" t="n">
        <v>400</v>
      </c>
      <c r="C33" s="124">
        <f>C20/$C$7-1</f>
        <v/>
      </c>
      <c r="D33" s="124">
        <f>D20/$C$7-1</f>
        <v/>
      </c>
      <c r="E33" s="124">
        <f>E20/$C$7-1</f>
        <v/>
      </c>
      <c r="F33" s="124">
        <f>F20/$C$7-1</f>
        <v/>
      </c>
      <c r="G33" s="124">
        <f>G20/$C$7-1</f>
        <v/>
      </c>
      <c r="H33" s="124">
        <f>H20/$C$7-1</f>
        <v/>
      </c>
      <c r="I33" s="124">
        <f>I20/$C$7-1</f>
        <v/>
      </c>
    </row>
  </sheetData>
  <conditionalFormatting sqref="C25:I33">
    <cfRule type="cellIs" priority="1" operator="greaterThan" dxfId="1">
      <formula>0</formula>
    </cfRule>
    <cfRule type="cellIs" priority="2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2026-02-20T06:18:48Z</dcterms:created>
  <dcterms:modified xsi:type="dcterms:W3CDTF">2026-02-22T02:36:06Z</dcterms:modified>
  <cp:lastModifiedBy>良亮 佐藤</cp:lastModifiedBy>
</cp:coreProperties>
</file>